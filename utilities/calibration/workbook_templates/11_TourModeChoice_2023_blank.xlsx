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2F1DA096-0098-474B-AC87-FABEE287533A}" xr6:coauthVersionLast="47" xr6:coauthVersionMax="47" xr10:uidLastSave="{00000000-0000-0000-0000-000000000000}"/>
  <bookViews>
    <workbookView xWindow="390" yWindow="390" windowWidth="20160" windowHeight="11745" tabRatio="810" activeTab="1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targets" sheetId="7" r:id="rId7"/>
    <sheet name="modeldata" sheetId="3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3" i="11" l="1"/>
  <c r="V52" i="11" l="1"/>
  <c r="W52" i="11" s="1"/>
  <c r="X52" i="11" s="1"/>
  <c r="V58" i="11"/>
  <c r="W58" i="11" s="1"/>
  <c r="X58" i="11" s="1"/>
  <c r="U58" i="11"/>
  <c r="T58" i="11"/>
  <c r="V56" i="11"/>
  <c r="W56" i="11" s="1"/>
  <c r="X56" i="11" s="1"/>
  <c r="U56" i="11"/>
  <c r="T56" i="11"/>
  <c r="V54" i="11"/>
  <c r="W54" i="11" s="1"/>
  <c r="X54" i="11" s="1"/>
  <c r="U54" i="11"/>
  <c r="T54" i="11"/>
  <c r="U52" i="11"/>
  <c r="T52" i="11"/>
  <c r="V41" i="11"/>
  <c r="W41" i="11" s="1"/>
  <c r="X41" i="11" s="1"/>
  <c r="U41" i="11"/>
  <c r="T41" i="11"/>
  <c r="V39" i="11"/>
  <c r="W39" i="11" s="1"/>
  <c r="X39" i="11" s="1"/>
  <c r="U39" i="11"/>
  <c r="T39" i="11"/>
  <c r="V37" i="11"/>
  <c r="W37" i="11" s="1"/>
  <c r="X37" i="11" s="1"/>
  <c r="U37" i="11"/>
  <c r="T37" i="11"/>
  <c r="V35" i="11"/>
  <c r="W35" i="11" s="1"/>
  <c r="X35" i="11" s="1"/>
  <c r="U35" i="11"/>
  <c r="T35" i="11"/>
  <c r="V33" i="11"/>
  <c r="W33" i="11" s="1"/>
  <c r="X33" i="11" s="1"/>
  <c r="U33" i="11"/>
  <c r="T33" i="11"/>
  <c r="V31" i="11"/>
  <c r="W31" i="11" s="1"/>
  <c r="X31" i="11" s="1"/>
  <c r="U31" i="11"/>
  <c r="T31" i="11"/>
  <c r="V29" i="11"/>
  <c r="W29" i="11" s="1"/>
  <c r="X29" i="11" s="1"/>
  <c r="U29" i="11"/>
  <c r="T29" i="11"/>
  <c r="V27" i="11"/>
  <c r="W27" i="11" s="1"/>
  <c r="X27" i="11" s="1"/>
  <c r="U27" i="11"/>
  <c r="T27" i="11"/>
  <c r="U17" i="11"/>
  <c r="V17" i="11"/>
  <c r="T17" i="11"/>
  <c r="V15" i="11"/>
  <c r="U15" i="11"/>
  <c r="T15" i="11"/>
  <c r="U13" i="11"/>
  <c r="W13" i="11" s="1"/>
  <c r="X13" i="11" s="1"/>
  <c r="V13" i="11"/>
  <c r="T13" i="11"/>
  <c r="V11" i="11"/>
  <c r="W11" i="11"/>
  <c r="X11" i="11" s="1"/>
  <c r="U11" i="11"/>
  <c r="T11" i="11"/>
  <c r="W17" i="11"/>
  <c r="X17" i="11" s="1"/>
  <c r="W15" i="11"/>
  <c r="X15" i="11" s="1"/>
  <c r="V9" i="11"/>
  <c r="U9" i="11"/>
  <c r="W9" i="11" s="1"/>
  <c r="X9" i="11" s="1"/>
  <c r="T9" i="11"/>
  <c r="V7" i="11"/>
  <c r="W7" i="11" s="1"/>
  <c r="X7" i="11" s="1"/>
  <c r="U7" i="11"/>
  <c r="T7" i="11"/>
  <c r="V5" i="11"/>
  <c r="W5" i="11" s="1"/>
  <c r="X5" i="11" s="1"/>
  <c r="U5" i="11"/>
  <c r="T5" i="11"/>
  <c r="X3" i="11"/>
  <c r="W3" i="11"/>
  <c r="V3" i="11"/>
  <c r="U3" i="11"/>
  <c r="T3" i="11"/>
  <c r="AN61" i="6"/>
  <c r="AN60" i="6"/>
  <c r="AJ61" i="6"/>
  <c r="AJ60" i="6"/>
  <c r="AF61" i="6"/>
  <c r="AF60" i="6"/>
  <c r="AB61" i="6"/>
  <c r="AB60" i="6"/>
  <c r="X61" i="6"/>
  <c r="X60" i="6"/>
  <c r="T61" i="6"/>
  <c r="T60" i="6"/>
  <c r="P61" i="6"/>
  <c r="P60" i="6"/>
  <c r="L60" i="1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B86" i="8" l="1"/>
  <c r="B88" i="8"/>
  <c r="C87" i="8"/>
  <c r="D86" i="8"/>
  <c r="D85" i="8"/>
  <c r="E86" i="8"/>
  <c r="E85" i="8"/>
  <c r="C86" i="8"/>
  <c r="C85" i="8"/>
  <c r="B85" i="8"/>
  <c r="B87" i="8"/>
  <c r="C69" i="8"/>
  <c r="D69" i="8"/>
  <c r="C70" i="8"/>
  <c r="D70" i="8"/>
  <c r="C71" i="8"/>
  <c r="D71" i="8"/>
  <c r="C72" i="8"/>
  <c r="D72" i="8"/>
  <c r="C73" i="8"/>
  <c r="D73" i="8"/>
  <c r="C74" i="8"/>
  <c r="D74" i="8"/>
  <c r="C75" i="8"/>
  <c r="D75" i="8"/>
  <c r="C76" i="8"/>
  <c r="D76" i="8"/>
  <c r="B76" i="8"/>
  <c r="B75" i="8"/>
  <c r="B74" i="8"/>
  <c r="B73" i="8"/>
  <c r="B72" i="8"/>
  <c r="B71" i="8"/>
  <c r="B70" i="8"/>
  <c r="B69" i="8"/>
  <c r="C56" i="8"/>
  <c r="D56" i="8"/>
  <c r="C57" i="8"/>
  <c r="D57" i="8"/>
  <c r="C58" i="8"/>
  <c r="D58" i="8"/>
  <c r="C59" i="8"/>
  <c r="D59" i="8"/>
  <c r="C60" i="8"/>
  <c r="D60" i="8"/>
  <c r="C61" i="8"/>
  <c r="D61" i="8"/>
  <c r="C62" i="8"/>
  <c r="D62" i="8"/>
  <c r="C63" i="8"/>
  <c r="D63" i="8"/>
  <c r="B63" i="8"/>
  <c r="B62" i="8"/>
  <c r="B61" i="8"/>
  <c r="B60" i="8"/>
  <c r="B59" i="8"/>
  <c r="B58" i="8"/>
  <c r="B57" i="8"/>
  <c r="B56" i="8"/>
  <c r="C43" i="8"/>
  <c r="D43" i="8"/>
  <c r="E43" i="8"/>
  <c r="C44" i="8"/>
  <c r="D44" i="8"/>
  <c r="E44" i="8"/>
  <c r="C45" i="8"/>
  <c r="D45" i="8"/>
  <c r="E45" i="8"/>
  <c r="C46" i="8"/>
  <c r="D46" i="8"/>
  <c r="E46" i="8"/>
  <c r="C47" i="8"/>
  <c r="D47" i="8"/>
  <c r="E47" i="8"/>
  <c r="C48" i="8"/>
  <c r="D48" i="8"/>
  <c r="E48" i="8"/>
  <c r="C49" i="8"/>
  <c r="D49" i="8"/>
  <c r="E49" i="8"/>
  <c r="C50" i="8"/>
  <c r="D50" i="8"/>
  <c r="E50" i="8"/>
  <c r="B50" i="8"/>
  <c r="B49" i="8"/>
  <c r="B48" i="8"/>
  <c r="B47" i="8"/>
  <c r="B46" i="8"/>
  <c r="B45" i="8"/>
  <c r="B44" i="8"/>
  <c r="B43" i="8"/>
  <c r="C30" i="8"/>
  <c r="D30" i="8"/>
  <c r="C31" i="8"/>
  <c r="D31" i="8"/>
  <c r="C32" i="8"/>
  <c r="D32" i="8"/>
  <c r="C33" i="8"/>
  <c r="E33" i="8" s="1"/>
  <c r="D33" i="8"/>
  <c r="AB33" i="8" s="1"/>
  <c r="C34" i="8"/>
  <c r="D34" i="8"/>
  <c r="C35" i="8"/>
  <c r="D35" i="8"/>
  <c r="C36" i="8"/>
  <c r="D36" i="8"/>
  <c r="C37" i="8"/>
  <c r="D37" i="8"/>
  <c r="B37" i="8"/>
  <c r="B36" i="8"/>
  <c r="B35" i="8"/>
  <c r="E34" i="8"/>
  <c r="B34" i="8"/>
  <c r="B33" i="8"/>
  <c r="B32" i="8"/>
  <c r="H46" i="8" a="1"/>
  <c r="H46" i="8" s="1"/>
  <c r="I46" i="8" a="1"/>
  <c r="I46" i="8" s="1"/>
  <c r="J46" i="8" a="1"/>
  <c r="J46" i="8" s="1"/>
  <c r="AB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Z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/>
  <c r="B31" i="8"/>
  <c r="B30" i="8"/>
  <c r="AL73" i="8"/>
  <c r="AL72" i="8"/>
  <c r="AL60" i="8"/>
  <c r="AL59" i="8"/>
  <c r="AL47" i="8"/>
  <c r="AL46" i="8"/>
  <c r="AX21" i="8"/>
  <c r="AX20" i="8"/>
  <c r="AW21" i="8"/>
  <c r="AW20" i="8"/>
  <c r="AV21" i="8"/>
  <c r="AV20" i="8"/>
  <c r="AU21" i="8"/>
  <c r="AU20" i="8"/>
  <c r="AT21" i="8"/>
  <c r="AT20" i="8"/>
  <c r="AS21" i="8"/>
  <c r="AS20" i="8"/>
  <c r="AR21" i="8"/>
  <c r="AR20" i="8"/>
  <c r="AQ21" i="8"/>
  <c r="AQ20" i="8"/>
  <c r="AM21" i="8"/>
  <c r="AM20" i="8"/>
  <c r="AH21" i="8"/>
  <c r="AH20" i="8"/>
  <c r="AI21" i="8"/>
  <c r="AI20" i="8"/>
  <c r="AG21" i="8"/>
  <c r="AG20" i="8"/>
  <c r="AF21" i="8"/>
  <c r="AF20" i="8"/>
  <c r="AC21" i="8"/>
  <c r="AC20" i="8"/>
  <c r="AB21" i="8"/>
  <c r="AB20" i="8"/>
  <c r="AA21" i="8"/>
  <c r="AA20" i="8"/>
  <c r="Z21" i="8"/>
  <c r="Z20" i="8"/>
  <c r="W21" i="8"/>
  <c r="W20" i="8"/>
  <c r="V21" i="8"/>
  <c r="U21" i="8"/>
  <c r="V20" i="8"/>
  <c r="U20" i="8"/>
  <c r="T21" i="8"/>
  <c r="T20" i="8"/>
  <c r="Q21" i="8"/>
  <c r="Q20" i="8"/>
  <c r="P21" i="8"/>
  <c r="P20" i="8"/>
  <c r="O21" i="8"/>
  <c r="O20" i="8"/>
  <c r="N21" i="8"/>
  <c r="N20" i="8"/>
  <c r="K21" i="8"/>
  <c r="K20" i="8"/>
  <c r="J21" i="8" a="1"/>
  <c r="J21" i="8" s="1"/>
  <c r="I21" i="8" a="1"/>
  <c r="I21" i="8" s="1"/>
  <c r="J20" i="8" a="1"/>
  <c r="J20" i="8" s="1"/>
  <c r="I20" i="8" a="1"/>
  <c r="I20" i="8" s="1"/>
  <c r="H21" i="8" a="1"/>
  <c r="H21" i="8" s="1"/>
  <c r="H20" i="8" a="1"/>
  <c r="H20" i="8"/>
  <c r="C20" i="8"/>
  <c r="D20" i="8"/>
  <c r="C21" i="8"/>
  <c r="D21" i="8"/>
  <c r="E21" i="8"/>
  <c r="E20" i="8"/>
  <c r="B21" i="8"/>
  <c r="B20" i="8"/>
  <c r="J8" i="8" a="1"/>
  <c r="J8" i="8" s="1"/>
  <c r="J7" i="8" a="1"/>
  <c r="J7" i="8" s="1"/>
  <c r="AB7" i="8" s="1"/>
  <c r="I8" i="8" a="1"/>
  <c r="I8" i="8" s="1"/>
  <c r="I7" i="8" a="1"/>
  <c r="I7" i="8" s="1"/>
  <c r="AA7" i="8" s="1"/>
  <c r="H8" i="8" a="1"/>
  <c r="H8" i="8" s="1"/>
  <c r="H7" i="8" a="1"/>
  <c r="H7" i="8" s="1"/>
  <c r="H6" i="8" a="1"/>
  <c r="H6" i="8" s="1"/>
  <c r="C4" i="8"/>
  <c r="D4" i="8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B11" i="8"/>
  <c r="B10" i="8"/>
  <c r="B9" i="8"/>
  <c r="B8" i="8"/>
  <c r="B7" i="8"/>
  <c r="AB60" i="8" l="1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86" i="8" s="1"/>
  <c r="AA73" i="8"/>
  <c r="K73" i="8"/>
  <c r="H86" i="8"/>
  <c r="Z86" i="8" s="1"/>
  <c r="Z73" i="8"/>
  <c r="J85" i="8"/>
  <c r="AB85" i="8" s="1"/>
  <c r="AB72" i="8"/>
  <c r="AB73" i="8"/>
  <c r="J86" i="8"/>
  <c r="AB86" i="8" s="1"/>
  <c r="AA72" i="8"/>
  <c r="I85" i="8"/>
  <c r="AA85" i="8" s="1"/>
  <c r="Z72" i="8"/>
  <c r="H85" i="8"/>
  <c r="Z85" i="8" s="1"/>
  <c r="K72" i="8"/>
  <c r="Z33" i="8"/>
  <c r="AA33" i="8"/>
  <c r="K33" i="8"/>
  <c r="AC33" i="8" s="1"/>
  <c r="K34" i="8"/>
  <c r="AB34" i="8"/>
  <c r="K7" i="8"/>
  <c r="E7" i="8"/>
  <c r="K8" i="8"/>
  <c r="AC7" i="8"/>
  <c r="AB8" i="8"/>
  <c r="E8" i="8"/>
  <c r="Z7" i="8"/>
  <c r="AA8" i="8"/>
  <c r="Z8" i="8"/>
  <c r="K85" i="8" l="1"/>
  <c r="AC85" i="8" s="1"/>
  <c r="AC72" i="8"/>
  <c r="K86" i="8"/>
  <c r="AC86" i="8" s="1"/>
  <c r="AC73" i="8"/>
  <c r="AC34" i="8"/>
  <c r="AC8" i="8"/>
  <c r="K42" i="4" l="1"/>
  <c r="K41" i="4"/>
  <c r="K40" i="4"/>
  <c r="K39" i="4"/>
  <c r="K38" i="4"/>
  <c r="K37" i="4"/>
  <c r="K36" i="4"/>
  <c r="J36" i="4"/>
  <c r="J37" i="4"/>
  <c r="J38" i="4"/>
  <c r="J39" i="4"/>
  <c r="J40" i="4"/>
  <c r="J41" i="4"/>
  <c r="J42" i="4"/>
  <c r="K43" i="4"/>
  <c r="J43" i="4"/>
  <c r="I43" i="4"/>
  <c r="I42" i="4"/>
  <c r="I41" i="4"/>
  <c r="I40" i="4"/>
  <c r="I39" i="4"/>
  <c r="I38" i="4"/>
  <c r="I37" i="4"/>
  <c r="I36" i="4"/>
  <c r="I35" i="4"/>
  <c r="J35" i="4"/>
  <c r="K35" i="4"/>
  <c r="K34" i="4"/>
  <c r="J34" i="4"/>
  <c r="I34" i="4"/>
  <c r="D103" i="4"/>
  <c r="D102" i="4"/>
  <c r="D101" i="4"/>
  <c r="D100" i="4"/>
  <c r="D99" i="4"/>
  <c r="D98" i="4"/>
  <c r="D97" i="4"/>
  <c r="D96" i="4"/>
  <c r="D95" i="4"/>
  <c r="D94" i="4"/>
  <c r="D88" i="4"/>
  <c r="D87" i="4"/>
  <c r="D86" i="4"/>
  <c r="D85" i="4"/>
  <c r="D84" i="4"/>
  <c r="D83" i="4"/>
  <c r="D82" i="4"/>
  <c r="D81" i="4"/>
  <c r="D80" i="4"/>
  <c r="D79" i="4"/>
  <c r="D73" i="4"/>
  <c r="D72" i="4"/>
  <c r="D71" i="4"/>
  <c r="D70" i="4"/>
  <c r="D69" i="4"/>
  <c r="D68" i="4"/>
  <c r="D67" i="4"/>
  <c r="D66" i="4"/>
  <c r="D65" i="4"/>
  <c r="D64" i="4"/>
  <c r="D58" i="4"/>
  <c r="D57" i="4"/>
  <c r="D56" i="4"/>
  <c r="D55" i="4"/>
  <c r="D54" i="4"/>
  <c r="D53" i="4"/>
  <c r="D52" i="4"/>
  <c r="D51" i="4"/>
  <c r="D50" i="4"/>
  <c r="D49" i="4"/>
  <c r="D43" i="4"/>
  <c r="D42" i="4"/>
  <c r="D41" i="4"/>
  <c r="D40" i="4"/>
  <c r="D39" i="4"/>
  <c r="D38" i="4"/>
  <c r="D37" i="4"/>
  <c r="D36" i="4"/>
  <c r="D35" i="4"/>
  <c r="D34" i="4"/>
  <c r="D28" i="4"/>
  <c r="D27" i="4"/>
  <c r="D26" i="4"/>
  <c r="D25" i="4"/>
  <c r="D24" i="4"/>
  <c r="D23" i="4"/>
  <c r="D22" i="4"/>
  <c r="D21" i="4"/>
  <c r="D20" i="4"/>
  <c r="D19" i="4"/>
  <c r="D13" i="4"/>
  <c r="D12" i="4"/>
  <c r="D11" i="4"/>
  <c r="D10" i="4"/>
  <c r="D9" i="4"/>
  <c r="D8" i="4"/>
  <c r="D7" i="4"/>
  <c r="D6" i="4"/>
  <c r="D5" i="4"/>
  <c r="D4" i="4"/>
  <c r="C103" i="4"/>
  <c r="C102" i="4"/>
  <c r="C101" i="4"/>
  <c r="C100" i="4"/>
  <c r="C99" i="4"/>
  <c r="C98" i="4"/>
  <c r="C97" i="4"/>
  <c r="C96" i="4"/>
  <c r="C95" i="4"/>
  <c r="C94" i="4"/>
  <c r="C88" i="4"/>
  <c r="C87" i="4"/>
  <c r="C86" i="4"/>
  <c r="C85" i="4"/>
  <c r="C84" i="4"/>
  <c r="C83" i="4"/>
  <c r="C82" i="4"/>
  <c r="C81" i="4"/>
  <c r="C80" i="4"/>
  <c r="C79" i="4"/>
  <c r="C73" i="4"/>
  <c r="C72" i="4"/>
  <c r="C71" i="4"/>
  <c r="C70" i="4"/>
  <c r="C69" i="4"/>
  <c r="C68" i="4"/>
  <c r="C67" i="4"/>
  <c r="C66" i="4"/>
  <c r="C65" i="4"/>
  <c r="C64" i="4"/>
  <c r="C58" i="4"/>
  <c r="C57" i="4"/>
  <c r="C56" i="4"/>
  <c r="C55" i="4"/>
  <c r="C54" i="4"/>
  <c r="C53" i="4"/>
  <c r="C52" i="4"/>
  <c r="C51" i="4"/>
  <c r="C50" i="4"/>
  <c r="C49" i="4"/>
  <c r="C43" i="4"/>
  <c r="C42" i="4"/>
  <c r="C41" i="4"/>
  <c r="C40" i="4"/>
  <c r="C39" i="4"/>
  <c r="C38" i="4"/>
  <c r="C37" i="4"/>
  <c r="C36" i="4"/>
  <c r="C35" i="4"/>
  <c r="C34" i="4"/>
  <c r="C28" i="4"/>
  <c r="C27" i="4"/>
  <c r="C26" i="4"/>
  <c r="C25" i="4"/>
  <c r="C24" i="4"/>
  <c r="C23" i="4"/>
  <c r="C22" i="4"/>
  <c r="C21" i="4"/>
  <c r="C20" i="4"/>
  <c r="C19" i="4"/>
  <c r="C13" i="4"/>
  <c r="C12" i="4"/>
  <c r="C11" i="4"/>
  <c r="C10" i="4"/>
  <c r="C9" i="4"/>
  <c r="C8" i="4"/>
  <c r="C7" i="4"/>
  <c r="C6" i="4"/>
  <c r="C5" i="4"/>
  <c r="C4" i="4"/>
  <c r="B103" i="4"/>
  <c r="B102" i="4"/>
  <c r="B101" i="4"/>
  <c r="B100" i="4"/>
  <c r="B99" i="4"/>
  <c r="B98" i="4"/>
  <c r="B97" i="4"/>
  <c r="B96" i="4"/>
  <c r="B95" i="4"/>
  <c r="B94" i="4"/>
  <c r="B88" i="4"/>
  <c r="B87" i="4"/>
  <c r="B86" i="4"/>
  <c r="B85" i="4"/>
  <c r="B84" i="4"/>
  <c r="B83" i="4"/>
  <c r="B82" i="4"/>
  <c r="B81" i="4"/>
  <c r="B80" i="4"/>
  <c r="B79" i="4"/>
  <c r="B73" i="4"/>
  <c r="B72" i="4"/>
  <c r="B71" i="4"/>
  <c r="B70" i="4"/>
  <c r="B69" i="4"/>
  <c r="B68" i="4"/>
  <c r="B67" i="4"/>
  <c r="B66" i="4"/>
  <c r="B65" i="4"/>
  <c r="B64" i="4"/>
  <c r="B58" i="4"/>
  <c r="B57" i="4"/>
  <c r="B56" i="4"/>
  <c r="B55" i="4"/>
  <c r="B54" i="4"/>
  <c r="B53" i="4"/>
  <c r="B52" i="4"/>
  <c r="B51" i="4"/>
  <c r="B50" i="4"/>
  <c r="B49" i="4"/>
  <c r="B43" i="4"/>
  <c r="B42" i="4"/>
  <c r="B41" i="4"/>
  <c r="B40" i="4"/>
  <c r="B39" i="4"/>
  <c r="B38" i="4"/>
  <c r="B37" i="4"/>
  <c r="B36" i="4"/>
  <c r="B35" i="4"/>
  <c r="B34" i="4"/>
  <c r="B28" i="4"/>
  <c r="B27" i="4"/>
  <c r="B26" i="4"/>
  <c r="B25" i="4"/>
  <c r="B24" i="4"/>
  <c r="B23" i="4"/>
  <c r="B22" i="4"/>
  <c r="B21" i="4"/>
  <c r="B20" i="4"/>
  <c r="B13" i="4"/>
  <c r="B12" i="4"/>
  <c r="B11" i="4"/>
  <c r="B10" i="4"/>
  <c r="B9" i="4"/>
  <c r="B8" i="4"/>
  <c r="B7" i="4"/>
  <c r="B6" i="4"/>
  <c r="B5" i="4"/>
  <c r="B4" i="4"/>
  <c r="B19" i="4"/>
  <c r="C18" i="8" l="1"/>
  <c r="D18" i="8"/>
  <c r="C19" i="8"/>
  <c r="D19" i="8"/>
  <c r="B19" i="8"/>
  <c r="B18" i="8"/>
  <c r="B6" i="8"/>
  <c r="B5" i="8"/>
  <c r="E32" i="8" l="1"/>
  <c r="E31" i="8"/>
  <c r="C22" i="8" l="1"/>
  <c r="D22" i="8"/>
  <c r="C23" i="8"/>
  <c r="D23" i="8"/>
  <c r="C24" i="8"/>
  <c r="D24" i="8"/>
  <c r="C17" i="8"/>
  <c r="D17" i="8"/>
  <c r="B24" i="8"/>
  <c r="B23" i="8"/>
  <c r="B22" i="8"/>
  <c r="B17" i="8"/>
  <c r="B4" i="8"/>
  <c r="H4" i="8" a="1"/>
  <c r="H4" i="8" s="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AM64" i="6" l="1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AN21" i="8" s="1"/>
  <c r="H61" i="6" s="1"/>
  <c r="G60" i="6"/>
  <c r="AL20" i="8" s="1"/>
  <c r="AN20" i="8" s="1"/>
  <c r="H60" i="6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/>
  <c r="F47" i="11"/>
  <c r="H25" i="11" l="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L39" i="4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P74" i="8" l="1"/>
  <c r="P69" i="8"/>
  <c r="P71" i="8"/>
  <c r="P75" i="8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O71" i="8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N71" i="8"/>
  <c r="N69" i="8"/>
  <c r="AQ69" i="8" s="1"/>
  <c r="N74" i="8"/>
  <c r="N72" i="8"/>
  <c r="AQ72" i="8" s="1"/>
  <c r="P57" i="8"/>
  <c r="P61" i="8"/>
  <c r="P56" i="8"/>
  <c r="P58" i="8"/>
  <c r="P62" i="8"/>
  <c r="P63" i="8"/>
  <c r="P60" i="8"/>
  <c r="AU60" i="8" s="1"/>
  <c r="P59" i="8"/>
  <c r="AU59" i="8" s="1"/>
  <c r="AS63" i="8"/>
  <c r="O57" i="8"/>
  <c r="AS57" i="8" s="1"/>
  <c r="O61" i="8"/>
  <c r="O56" i="8"/>
  <c r="O58" i="8"/>
  <c r="O59" i="8"/>
  <c r="AS59" i="8" s="1"/>
  <c r="O63" i="8"/>
  <c r="O60" i="8"/>
  <c r="AS60" i="8" s="1"/>
  <c r="O62" i="8"/>
  <c r="AS62" i="8" s="1"/>
  <c r="N57" i="8"/>
  <c r="N60" i="8"/>
  <c r="AQ60" i="8" s="1"/>
  <c r="N63" i="8"/>
  <c r="N56" i="8"/>
  <c r="N61" i="8"/>
  <c r="N59" i="8"/>
  <c r="AQ59" i="8" s="1"/>
  <c r="N62" i="8"/>
  <c r="N58" i="8"/>
  <c r="P50" i="8"/>
  <c r="P46" i="8"/>
  <c r="AU46" i="8" s="1"/>
  <c r="P47" i="8"/>
  <c r="AU47" i="8" s="1"/>
  <c r="P43" i="8"/>
  <c r="P45" i="8"/>
  <c r="P44" i="8"/>
  <c r="P49" i="8"/>
  <c r="P48" i="8"/>
  <c r="AU48" i="8" s="1"/>
  <c r="O48" i="8"/>
  <c r="AS48" i="8" s="1"/>
  <c r="O47" i="8"/>
  <c r="AS47" i="8" s="1"/>
  <c r="O44" i="8"/>
  <c r="O43" i="8"/>
  <c r="O49" i="8"/>
  <c r="O46" i="8"/>
  <c r="AS46" i="8" s="1"/>
  <c r="O45" i="8"/>
  <c r="O50" i="8"/>
  <c r="N46" i="8"/>
  <c r="AQ46" i="8" s="1"/>
  <c r="N49" i="8"/>
  <c r="N47" i="8"/>
  <c r="AQ47" i="8" s="1"/>
  <c r="N43" i="8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P30" i="8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N31" i="8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D104" i="4"/>
  <c r="C104" i="4"/>
  <c r="B104" i="4"/>
  <c r="W73" i="6"/>
  <c r="W75" i="6"/>
  <c r="W77" i="6"/>
  <c r="AE71" i="6"/>
  <c r="AE73" i="6"/>
  <c r="AE75" i="6"/>
  <c r="AE77" i="6"/>
  <c r="AM73" i="6"/>
  <c r="AM75" i="6"/>
  <c r="AM77" i="6"/>
  <c r="L40" i="4"/>
  <c r="C109" i="4"/>
  <c r="AS32" i="8"/>
  <c r="AS71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U44" i="8"/>
  <c r="AQ75" i="8"/>
  <c r="D83" i="8"/>
  <c r="B115" i="4"/>
  <c r="E5" i="8"/>
  <c r="D88" i="8"/>
  <c r="D114" i="4"/>
  <c r="C115" i="4"/>
  <c r="B84" i="8"/>
  <c r="D115" i="4"/>
  <c r="B114" i="4"/>
  <c r="C84" i="8"/>
  <c r="AS45" i="8"/>
  <c r="B112" i="4"/>
  <c r="C112" i="4"/>
  <c r="B109" i="4"/>
  <c r="D112" i="4"/>
  <c r="AS69" i="8"/>
  <c r="B116" i="4"/>
  <c r="D109" i="4"/>
  <c r="C116" i="4"/>
  <c r="D84" i="8"/>
  <c r="D116" i="4"/>
  <c r="AU61" i="8"/>
  <c r="AQ56" i="8"/>
  <c r="C113" i="4"/>
  <c r="B110" i="4"/>
  <c r="D113" i="4"/>
  <c r="C110" i="4"/>
  <c r="D87" i="8"/>
  <c r="AS56" i="8"/>
  <c r="C114" i="4"/>
  <c r="AS58" i="8"/>
  <c r="B113" i="4"/>
  <c r="D110" i="4"/>
  <c r="C88" i="8"/>
  <c r="AU35" i="8"/>
  <c r="O73" i="6"/>
  <c r="O75" i="6"/>
  <c r="O77" i="6"/>
  <c r="S71" i="6"/>
  <c r="S73" i="6"/>
  <c r="S75" i="6"/>
  <c r="S77" i="6"/>
  <c r="E10" i="8"/>
  <c r="C12" i="8"/>
  <c r="C82" i="8"/>
  <c r="B12" i="8"/>
  <c r="B82" i="8"/>
  <c r="D12" i="8"/>
  <c r="D82" i="8"/>
  <c r="E11" i="8"/>
  <c r="B89" i="8"/>
  <c r="AS61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AH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AG40" i="4" s="1"/>
  <c r="Q55" i="4" a="1"/>
  <c r="Q55" i="4" s="1"/>
  <c r="Q40" i="4" a="1"/>
  <c r="Q40" i="4" s="1"/>
  <c r="AI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AG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U71" i="8"/>
  <c r="AU69" i="8"/>
  <c r="AU74" i="8"/>
  <c r="AQ74" i="8"/>
  <c r="AQ71" i="8"/>
  <c r="AQ70" i="8"/>
  <c r="AQ76" i="8"/>
  <c r="AU76" i="8"/>
  <c r="AU75" i="8"/>
  <c r="E77" i="8"/>
  <c r="AU63" i="8"/>
  <c r="AU62" i="8"/>
  <c r="AQ63" i="8"/>
  <c r="E64" i="8"/>
  <c r="AQ57" i="8"/>
  <c r="AQ61" i="8"/>
  <c r="AQ62" i="8"/>
  <c r="AQ58" i="8"/>
  <c r="AU58" i="8"/>
  <c r="AU56" i="8"/>
  <c r="AS49" i="8"/>
  <c r="AS50" i="8"/>
  <c r="AS44" i="8"/>
  <c r="AS43" i="8"/>
  <c r="AQ43" i="8"/>
  <c r="AQ49" i="8"/>
  <c r="AU43" i="8"/>
  <c r="AQ45" i="8"/>
  <c r="AU45" i="8"/>
  <c r="AU50" i="8"/>
  <c r="AU49" i="8"/>
  <c r="E51" i="8"/>
  <c r="AQ31" i="8"/>
  <c r="AQ37" i="8"/>
  <c r="E38" i="8"/>
  <c r="AU37" i="8"/>
  <c r="AU32" i="8"/>
  <c r="AU30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Q73" i="8" l="1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AH99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J98" i="4"/>
  <c r="AH98" i="4" s="1"/>
  <c r="J99" i="4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AH102" i="4"/>
  <c r="D14" i="4"/>
  <c r="C44" i="4"/>
  <c r="B44" i="4"/>
  <c r="E12" i="8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E104" i="4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AQ25" i="8"/>
  <c r="AU25" i="8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P89" i="8" l="1"/>
  <c r="P84" i="8"/>
  <c r="P88" i="8"/>
  <c r="P83" i="8"/>
  <c r="AU83" i="8" s="1"/>
  <c r="P87" i="8"/>
  <c r="AU87" i="8" s="1"/>
  <c r="P82" i="8"/>
  <c r="P85" i="8"/>
  <c r="AU85" i="8" s="1"/>
  <c r="P86" i="8"/>
  <c r="AU86" i="8" s="1"/>
  <c r="O89" i="8"/>
  <c r="AS89" i="8" s="1"/>
  <c r="O84" i="8"/>
  <c r="AS84" i="8" s="1"/>
  <c r="O88" i="8"/>
  <c r="O83" i="8"/>
  <c r="O85" i="8"/>
  <c r="AS85" i="8" s="1"/>
  <c r="O87" i="8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/>
  <c r="AG38" i="4"/>
  <c r="AG34" i="4"/>
  <c r="AG41" i="4"/>
  <c r="AG43" i="4"/>
  <c r="AI21" i="4"/>
  <c r="E74" i="4"/>
  <c r="E14" i="4"/>
  <c r="AG42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AH40" i="4"/>
  <c r="R40" i="4"/>
  <c r="AJ40" i="4" s="1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AI39" i="4"/>
  <c r="R39" i="4"/>
  <c r="AJ39" i="4" s="1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AU82" i="8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U89" i="8"/>
  <c r="AW51" i="8"/>
  <c r="AU84" i="8"/>
  <c r="AW77" i="8"/>
  <c r="AU88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25" i="8"/>
  <c r="AS88" i="8"/>
  <c r="AS87" i="8"/>
  <c r="AS83" i="8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35" i="4"/>
  <c r="AG6" i="4"/>
  <c r="AC111" i="4"/>
  <c r="AB118" i="4"/>
  <c r="BK118" i="4" s="1"/>
  <c r="AG36" i="4"/>
  <c r="AG7" i="4"/>
  <c r="AG3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C77" i="8" l="1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AH89" i="8"/>
  <c r="AG87" i="8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Q90" i="8"/>
  <c r="AU90" i="8"/>
  <c r="P90" i="8"/>
  <c r="N90" i="8"/>
  <c r="O90" i="8"/>
  <c r="AV89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J7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73" i="8" l="1"/>
  <c r="AM73" i="8"/>
  <c r="AN73" i="8" s="1"/>
  <c r="AI73" i="8"/>
  <c r="AM72" i="8"/>
  <c r="AN72" i="8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W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73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H74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I83" i="8" l="1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E38" i="4"/>
  <c r="L14" i="6" s="1"/>
  <c r="M14" i="6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<sst xmlns="http://schemas.openxmlformats.org/spreadsheetml/2006/main" count="11198" uniqueCount="352">
  <si>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</si>
  <si>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</si>
  <si>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</si>
  <si>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</si>
  <si>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</si>
  <si>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</si>
  <si>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</si>
  <si>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</si>
  <si>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</si>
  <si>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</si>
  <si>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</si>
  <si>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</si>
  <si>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</si>
  <si>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</si>
  <si>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</si>
  <si>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</si>
  <si>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</si>
  <si>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</si>
  <si>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</si>
  <si>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</si>
  <si>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</si>
  <si>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</si>
  <si>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</si>
  <si>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</si>
  <si>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</si>
  <si>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</si>
  <si>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</si>
  <si>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</si>
  <si>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</si>
  <si>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</si>
  <si>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</si>
  <si>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</si>
  <si>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</si>
  <si>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</si>
  <si>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</si>
  <si>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</si>
  <si>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</si>
  <si>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</si>
  <si>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</si>
  <si>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</si>
  <si>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</si>
  <si>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</si>
  <si>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</si>
  <si>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</si>
  <si>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</si>
  <si>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</si>
  <si>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</si>
  <si>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</si>
  <si>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</si>
  <si>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</si>
  <si>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</si>
  <si>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</si>
  <si>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</si>
  <si>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</si>
  <si>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</si>
  <si>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</si>
  <si>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</si>
  <si>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</si>
  <si>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</si>
  <si>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</si>
  <si>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</si>
  <si>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</si>
  <si>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</si>
  <si>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</si>
  <si>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</si>
  <si>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</si>
  <si>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</si>
  <si>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</si>
  <si>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</si>
  <si>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</si>
  <si>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</si>
  <si>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</si>
  <si>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</si>
  <si>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</si>
  <si>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</si>
  <si>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</si>
  <si>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</si>
  <si>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</si>
  <si>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</si>
  <si>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</si>
  <si>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</si>
  <si>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</si>
  <si>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</si>
  <si>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</si>
  <si>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</si>
  <si>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</si>
  <si>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</si>
  <si>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</si>
  <si>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</si>
  <si>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</si>
  <si>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</si>
  <si>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</si>
  <si>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</si>
  <si>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</si>
  <si>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</si>
  <si>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</si>
  <si>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</si>
  <si>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</si>
  <si>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</si>
  <si>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</si>
  <si>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</si>
  <si>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</si>
  <si>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</si>
  <si>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</si>
  <si>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</si>
  <si>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</si>
  <si>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</si>
  <si>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</si>
  <si>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</si>
  <si>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</si>
  <si>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</si>
  <si>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</si>
  <si>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</si>
  <si>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</si>
  <si>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</si>
  <si>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</si>
  <si>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</si>
  <si>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</si>
  <si>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</si>
  <si>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</si>
  <si>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</si>
  <si>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</si>
  <si>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</si>
  <si>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</si>
  <si>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</si>
  <si>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</si>
  <si>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</si>
  <si>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</si>
  <si>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</si>
  <si>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</si>
  <si>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</si>
  <si>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</si>
  <si>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</si>
  <si>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</si>
  <si>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</si>
  <si>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</si>
  <si>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</si>
  <si>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</si>
  <si>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</si>
  <si>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</si>
  <si>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</si>
  <si>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</si>
  <si>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</si>
  <si>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</si>
  <si>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</si>
  <si>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</si>
  <si>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</si>
  <si>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</si>
  <si>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</si>
  <si>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</si>
  <si>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</si>
  <si>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</si>
  <si>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</si>
  <si>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</si>
  <si>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</si>
  <si>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</si>
  <si>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</si>
  <si>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</si>
  <si>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</si>
  <si>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</si>
  <si>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</si>
  <si>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</si>
  <si>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</si>
  <si>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</si>
  <si>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</si>
  <si>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</si>
  <si>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</si>
  <si>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</si>
  <si>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</si>
  <si>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</si>
  <si>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</si>
  <si>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</si>
  <si>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</si>
  <si>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</si>
  <si>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</si>
  <si>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</si>
  <si>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</si>
  <si>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</si>
  <si>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</si>
  <si>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</si>
  <si>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</si>
  <si>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</si>
  <si>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</si>
  <si>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</si>
  <si>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</si>
  <si>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</si>
  <si>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</si>
  <si>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</si>
  <si>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</si>
  <si>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</si>
  <si>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</si>
  <si>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</si>
  <si>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</si>
  <si>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</si>
  <si>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</si>
  <si>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</si>
  <si>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</si>
  <si>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</si>
  <si>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</si>
  <si>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</si>
  <si>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</si>
  <si>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</si>
  <si>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</si>
  <si>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</si>
  <si>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</si>
  <si>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</si>
  <si>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</si>
  <si>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</si>
  <si>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</si>
  <si>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</si>
  <si>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</si>
  <si>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</si>
  <si>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</si>
  <si>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</si>
  <si>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</si>
  <si>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</si>
  <si>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</si>
  <si>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</si>
  <si>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</si>
  <si>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</si>
  <si>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</si>
  <si>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</si>
  <si>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</si>
  <si>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</si>
  <si>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</si>
  <si>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</si>
  <si>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</si>
  <si>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</si>
  <si>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</si>
  <si>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</si>
  <si>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</si>
  <si>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</si>
  <si>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</si>
  <si>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</si>
  <si>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</si>
  <si>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</si>
  <si>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</si>
  <si>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</si>
  <si>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</si>
  <si>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</si>
  <si>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</si>
  <si>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</si>
  <si>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</si>
  <si>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</si>
  <si>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</si>
  <si>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</si>
  <si>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</si>
  <si>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</si>
  <si>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</si>
  <si>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</si>
  <si>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</si>
  <si>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</si>
  <si>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</si>
  <si>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</si>
  <si>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</si>
  <si>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</si>
  <si>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</si>
  <si>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</si>
  <si>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</si>
  <si>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</si>
  <si>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</si>
  <si>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</si>
  <si>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</si>
  <si>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</si>
  <si>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</si>
  <si>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</si>
  <si>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</si>
  <si>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</si>
  <si>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</si>
  <si>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</si>
  <si>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</si>
  <si>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</si>
  <si>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</si>
  <si>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</si>
  <si>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</si>
  <si>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</si>
  <si>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</si>
  <si>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</si>
  <si>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</si>
  <si>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</si>
  <si>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</si>
  <si>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</si>
  <si>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</si>
  <si>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</si>
  <si>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</si>
  <si>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</si>
  <si>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</si>
  <si>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</si>
  <si>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</si>
  <si>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</si>
  <si>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</si>
  <si>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</si>
  <si>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</si>
  <si>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</si>
  <si>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</si>
  <si>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</si>
  <si>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</si>
  <si>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</si>
  <si>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</si>
  <si>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</si>
  <si>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</si>
  <si>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</si>
  <si>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</si>
  <si>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</si>
  <si>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</si>
  <si>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</si>
  <si>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</si>
  <si>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</si>
  <si>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</si>
  <si>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</si>
  <si>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</si>
  <si>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</si>
  <si>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</si>
  <si>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</si>
  <si>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</si>
  <si>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</si>
  <si>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</si>
  <si>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Walk to light rail or ferry</t>
  </si>
  <si>
    <t>Drive to light rail</t>
  </si>
  <si>
    <t>all-weighted (adjusted) - dropping all drive tours for autos = 0 since CTRAMP does not allow for this</t>
  </si>
  <si>
    <t>LRT - Drive</t>
  </si>
  <si>
    <t>Ferry - Walk</t>
  </si>
  <si>
    <t>Ferry - Drive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</si>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</sst>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55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textRotation="90" wrapText="1"/>
    </xf>
    <xf numFmtId="0" fontId="21" fillId="8" borderId="0" xfId="0" applyFont="1" applyFill="1" applyAlignment="1">
      <alignment horizontal="center" vertical="center" wrapText="1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0.62423428742710219</c:v>
                </c:pt>
                <c:pt idx="1">
                  <c:v>0</c:v>
                </c:pt>
                <c:pt idx="2">
                  <c:v>0.31495611692811898</c:v>
                </c:pt>
                <c:pt idx="3">
                  <c:v>0</c:v>
                </c:pt>
                <c:pt idx="4">
                  <c:v>0.31098405761601683</c:v>
                </c:pt>
                <c:pt idx="5">
                  <c:v>0</c:v>
                </c:pt>
                <c:pt idx="6">
                  <c:v>0.39857407754200941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0.15389009365936521</c:v>
                </c:pt>
                <c:pt idx="1">
                  <c:v>0</c:v>
                </c:pt>
                <c:pt idx="2">
                  <c:v>0.11879199395021189</c:v>
                </c:pt>
                <c:pt idx="3">
                  <c:v>0</c:v>
                </c:pt>
                <c:pt idx="4">
                  <c:v>4.8931310468048744E-2</c:v>
                </c:pt>
                <c:pt idx="5">
                  <c:v>0</c:v>
                </c:pt>
                <c:pt idx="6">
                  <c:v>9.4229370981401953E-2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7.1612288768462254E-3</c:v>
                </c:pt>
                <c:pt idx="5">
                  <c:v>0</c:v>
                </c:pt>
                <c:pt idx="6">
                  <c:v>3.5132381179391794E-3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1.3319272503936896E-2</c:v>
                </c:pt>
                <c:pt idx="1">
                  <c:v>0</c:v>
                </c:pt>
                <c:pt idx="2">
                  <c:v>2.8756010172004336E-3</c:v>
                </c:pt>
                <c:pt idx="3">
                  <c:v>0</c:v>
                </c:pt>
                <c:pt idx="4">
                  <c:v>5.5388291425823875E-2</c:v>
                </c:pt>
                <c:pt idx="5">
                  <c:v>0</c:v>
                </c:pt>
                <c:pt idx="6">
                  <c:v>3.1527285570452965E-2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0.10674043741207585</c:v>
                </c:pt>
                <c:pt idx="1">
                  <c:v>0</c:v>
                </c:pt>
                <c:pt idx="2">
                  <c:v>0.47720388535293623</c:v>
                </c:pt>
                <c:pt idx="3">
                  <c:v>0</c:v>
                </c:pt>
                <c:pt idx="4">
                  <c:v>0.36579092222216031</c:v>
                </c:pt>
                <c:pt idx="5">
                  <c:v>0</c:v>
                </c:pt>
                <c:pt idx="6">
                  <c:v>0.32005115262842881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0.10149166819303965</c:v>
                </c:pt>
                <c:pt idx="1">
                  <c:v>0</c:v>
                </c:pt>
                <c:pt idx="2">
                  <c:v>8.6172402751532401E-2</c:v>
                </c:pt>
                <c:pt idx="3">
                  <c:v>0</c:v>
                </c:pt>
                <c:pt idx="4">
                  <c:v>0.19960677315631864</c:v>
                </c:pt>
                <c:pt idx="5">
                  <c:v>0</c:v>
                </c:pt>
                <c:pt idx="6">
                  <c:v>0.14606065548639013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0.91088040783323598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0.76422814528913063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6.4409584364250122E-2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6.769742857437086E-2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2.471000780251386E-2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0.1491621867216476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1.8912239414850974E-2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0.68667380417986801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0.69283264806108691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0.17647089387814888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0.10373809128219988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2.3051508477752538E-3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1.0008212152096336E-2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1.2421912119855841E-2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0.12007905771167217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0.17044023402143704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4.5299869520296866E-3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1.7067823854311371E-2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0.76111247964558915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0.66006447258374323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0.10305642109081606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0.12713623155407408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2.5906103705193055E-3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5.1756738044739852E-3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1.2339507621399419E-2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7.6151339416605596E-2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0.16481558649948297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5.2371157732994639E-2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3.1291306029448719E-2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0.70447608386001803</c:v>
                </c:pt>
                <c:pt idx="1">
                  <c:v>0</c:v>
                </c:pt>
                <c:pt idx="2">
                  <c:v>0.43260476450433644</c:v>
                </c:pt>
                <c:pt idx="3">
                  <c:v>0</c:v>
                </c:pt>
                <c:pt idx="4">
                  <c:v>0.46387091561693</c:v>
                </c:pt>
                <c:pt idx="5">
                  <c:v>0</c:v>
                </c:pt>
                <c:pt idx="6">
                  <c:v>0.54253361365598152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0.13613857402236593</c:v>
                </c:pt>
                <c:pt idx="1">
                  <c:v>0</c:v>
                </c:pt>
                <c:pt idx="2">
                  <c:v>0.10829848469516441</c:v>
                </c:pt>
                <c:pt idx="3">
                  <c:v>0</c:v>
                </c:pt>
                <c:pt idx="4">
                  <c:v>6.8320532240123688E-2</c:v>
                </c:pt>
                <c:pt idx="5">
                  <c:v>0</c:v>
                </c:pt>
                <c:pt idx="6">
                  <c:v>9.9243559254942881E-2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 - 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2.1107458475172845E-3</c:v>
                </c:pt>
                <c:pt idx="3">
                  <c:v>0</c:v>
                </c:pt>
                <c:pt idx="4">
                  <c:v>5.5870423625677713E-3</c:v>
                </c:pt>
                <c:pt idx="5">
                  <c:v>0</c:v>
                </c:pt>
                <c:pt idx="6">
                  <c:v>3.0067300191411695E-3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9.1287151756356179E-3</c:v>
                </c:pt>
                <c:pt idx="1">
                  <c:v>0</c:v>
                </c:pt>
                <c:pt idx="2">
                  <c:v>1.0278965512927497E-2</c:v>
                </c:pt>
                <c:pt idx="3">
                  <c:v>0</c:v>
                </c:pt>
                <c:pt idx="4">
                  <c:v>3.5944537080185301E-2</c:v>
                </c:pt>
                <c:pt idx="5">
                  <c:v>0</c:v>
                </c:pt>
                <c:pt idx="6">
                  <c:v>2.1949251642335774E-2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9.3057366342512285E-2</c:v>
                </c:pt>
                <c:pt idx="1">
                  <c:v>0</c:v>
                </c:pt>
                <c:pt idx="2">
                  <c:v>0.37891906631208144</c:v>
                </c:pt>
                <c:pt idx="3">
                  <c:v>0</c:v>
                </c:pt>
                <c:pt idx="4">
                  <c:v>0.30455132781318184</c:v>
                </c:pt>
                <c:pt idx="5">
                  <c:v>0</c:v>
                </c:pt>
                <c:pt idx="6">
                  <c:v>0.24381507445583939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5.6002138118853573E-2</c:v>
                </c:pt>
                <c:pt idx="1">
                  <c:v>0</c:v>
                </c:pt>
                <c:pt idx="2">
                  <c:v>6.7787973127972703E-2</c:v>
                </c:pt>
                <c:pt idx="3">
                  <c:v>0</c:v>
                </c:pt>
                <c:pt idx="4">
                  <c:v>0.11477602480313989</c:v>
                </c:pt>
                <c:pt idx="5">
                  <c:v>0</c:v>
                </c:pt>
                <c:pt idx="6">
                  <c:v>8.5763366613081995E-2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  <row r="474">
          <cell r="E474">
            <v>0</v>
          </cell>
        </row>
        <row r="475">
          <cell r="E475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6.2729698193651062</v>
          </cell>
        </row>
        <row r="409">
          <cell r="E409">
            <v>3.1379324414007987</v>
          </cell>
        </row>
        <row r="410">
          <cell r="E410">
            <v>-0.21944485628197907</v>
          </cell>
        </row>
        <row r="411">
          <cell r="E411">
            <v>5.1189753954142372</v>
          </cell>
        </row>
        <row r="412">
          <cell r="E412">
            <v>1.4248603561307907</v>
          </cell>
        </row>
        <row r="413">
          <cell r="E413">
            <v>-0.93492327148725085</v>
          </cell>
        </row>
        <row r="414">
          <cell r="E414">
            <v>-1.9169923773565345</v>
          </cell>
        </row>
        <row r="415">
          <cell r="E415">
            <v>-0.35115119493492275</v>
          </cell>
        </row>
        <row r="416">
          <cell r="E416">
            <v>-1.0801923962836759</v>
          </cell>
        </row>
        <row r="417">
          <cell r="E417">
            <v>-6.014344845339167</v>
          </cell>
        </row>
        <row r="418">
          <cell r="E418">
            <v>-1.2062951665560318</v>
          </cell>
        </row>
        <row r="419">
          <cell r="E419">
            <v>-1.5592525215333548</v>
          </cell>
        </row>
        <row r="420">
          <cell r="E420">
            <v>7.249682573192147</v>
          </cell>
        </row>
        <row r="421">
          <cell r="E421">
            <v>1.4252889738036167</v>
          </cell>
        </row>
        <row r="422">
          <cell r="E422">
            <v>-2.0809227680456805</v>
          </cell>
        </row>
        <row r="423">
          <cell r="E423">
            <v>0</v>
          </cell>
        </row>
        <row r="424">
          <cell r="E424">
            <v>0.53304116577437599</v>
          </cell>
        </row>
        <row r="425">
          <cell r="E425">
            <v>-2.5162425804656534</v>
          </cell>
        </row>
        <row r="426">
          <cell r="E426">
            <v>4.6700532849127212</v>
          </cell>
        </row>
        <row r="427">
          <cell r="E427">
            <v>-2.1603565150567876</v>
          </cell>
        </row>
        <row r="428">
          <cell r="E428">
            <v>-4.484995842895473</v>
          </cell>
        </row>
        <row r="429">
          <cell r="E429">
            <v>5.1905887187831814</v>
          </cell>
        </row>
        <row r="430">
          <cell r="E430">
            <v>-0.6226974736145634</v>
          </cell>
        </row>
        <row r="431">
          <cell r="E431">
            <v>-3.9793976975368217</v>
          </cell>
        </row>
        <row r="432">
          <cell r="E432">
            <v>2.6108715524196224</v>
          </cell>
        </row>
        <row r="433">
          <cell r="E433">
            <v>-1.8664358326709918</v>
          </cell>
        </row>
        <row r="434">
          <cell r="E434">
            <v>-5.0490648026127545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-0.31815115275807759</v>
          </cell>
        </row>
        <row r="463">
          <cell r="E463">
            <v>0.45186680543860891</v>
          </cell>
        </row>
        <row r="464">
          <cell r="E464">
            <v>1.4021026707285751</v>
          </cell>
        </row>
        <row r="465">
          <cell r="E465">
            <v>0.31009481330628685</v>
          </cell>
        </row>
        <row r="466">
          <cell r="E466">
            <v>0.82793179408351336</v>
          </cell>
        </row>
        <row r="467">
          <cell r="E467">
            <v>-0.31169760262710067</v>
          </cell>
        </row>
        <row r="468">
          <cell r="E468">
            <v>0.98361669209841995</v>
          </cell>
        </row>
        <row r="469">
          <cell r="E469">
            <v>1.8909569500513621</v>
          </cell>
        </row>
      </sheetData>
      <sheetData sheetId="2">
        <row r="408">
          <cell r="E408">
            <v>1.2608880993596563</v>
          </cell>
        </row>
        <row r="409">
          <cell r="E409">
            <v>2.5045276894900903</v>
          </cell>
        </row>
        <row r="410">
          <cell r="E410">
            <v>0.78841341726425862</v>
          </cell>
        </row>
        <row r="411">
          <cell r="E411">
            <v>-31.405421868572375</v>
          </cell>
        </row>
        <row r="412">
          <cell r="E412">
            <v>4.0590501661132876</v>
          </cell>
        </row>
        <row r="413">
          <cell r="E413">
            <v>-0.10525880722592745</v>
          </cell>
        </row>
        <row r="414">
          <cell r="E414">
            <v>-43.740534506643428</v>
          </cell>
        </row>
        <row r="415">
          <cell r="E415">
            <v>0.55702017699133688</v>
          </cell>
        </row>
        <row r="416">
          <cell r="E416">
            <v>-0.48219869422336836</v>
          </cell>
        </row>
        <row r="417">
          <cell r="E417">
            <v>-42.624990489070008</v>
          </cell>
        </row>
        <row r="418">
          <cell r="E418">
            <v>-0.61209018058181708</v>
          </cell>
        </row>
        <row r="419">
          <cell r="E419">
            <v>-1.6288271462222002</v>
          </cell>
        </row>
        <row r="420">
          <cell r="E420">
            <v>3.3247644965402174</v>
          </cell>
        </row>
        <row r="421">
          <cell r="E421">
            <v>8.8464008547332238</v>
          </cell>
        </row>
        <row r="422">
          <cell r="E422">
            <v>0.14407522629676245</v>
          </cell>
        </row>
        <row r="423">
          <cell r="E423">
            <v>0</v>
          </cell>
        </row>
        <row r="424">
          <cell r="E424">
            <v>8.349588663340672</v>
          </cell>
        </row>
        <row r="425">
          <cell r="E425">
            <v>-0.98645780218556578</v>
          </cell>
        </row>
        <row r="426">
          <cell r="E426">
            <v>-14.413390978433416</v>
          </cell>
        </row>
        <row r="427">
          <cell r="E427">
            <v>6.4845220535912729</v>
          </cell>
        </row>
        <row r="428">
          <cell r="E428">
            <v>0.43767598393300017</v>
          </cell>
        </row>
        <row r="429">
          <cell r="E429">
            <v>-10.676137427221992</v>
          </cell>
        </row>
        <row r="430">
          <cell r="E430">
            <v>6.6422253593276448</v>
          </cell>
        </row>
        <row r="431">
          <cell r="E431">
            <v>0.77954807261903292</v>
          </cell>
        </row>
        <row r="432">
          <cell r="E432">
            <v>-14.729836472719608</v>
          </cell>
        </row>
        <row r="433">
          <cell r="E433">
            <v>4.8142594101410943</v>
          </cell>
        </row>
        <row r="434">
          <cell r="E434">
            <v>-0.39805094433082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-0.93096630503973687</v>
          </cell>
        </row>
        <row r="463">
          <cell r="E463">
            <v>1.9040166958068052</v>
          </cell>
        </row>
        <row r="464">
          <cell r="E464">
            <v>1.2529149734960667</v>
          </cell>
        </row>
        <row r="465">
          <cell r="E465">
            <v>0.92023167885195711</v>
          </cell>
        </row>
        <row r="466">
          <cell r="E466">
            <v>1.1857263978332993</v>
          </cell>
        </row>
        <row r="467">
          <cell r="E467">
            <v>0.44771311043045986</v>
          </cell>
        </row>
        <row r="468">
          <cell r="E468">
            <v>2.3853986682521611</v>
          </cell>
        </row>
        <row r="469">
          <cell r="E469">
            <v>3.8697597406003323</v>
          </cell>
        </row>
      </sheetData>
      <sheetData sheetId="3">
        <row r="408">
          <cell r="E408">
            <v>6.3993796174715216</v>
          </cell>
        </row>
        <row r="409">
          <cell r="E409">
            <v>2.1051643912402112</v>
          </cell>
        </row>
        <row r="410">
          <cell r="E410">
            <v>0.44192395753720504</v>
          </cell>
        </row>
        <row r="411">
          <cell r="E411">
            <v>9.8734445243454871E-2</v>
          </cell>
        </row>
        <row r="412">
          <cell r="E412">
            <v>0.50129212432596892</v>
          </cell>
        </row>
        <row r="413">
          <cell r="E413">
            <v>-1.2214003392579784</v>
          </cell>
        </row>
        <row r="414">
          <cell r="E414">
            <v>1.8134281227050912</v>
          </cell>
        </row>
        <row r="415">
          <cell r="E415">
            <v>0.43366687392471565</v>
          </cell>
        </row>
        <row r="416">
          <cell r="E416">
            <v>-1.1937681905496664</v>
          </cell>
        </row>
        <row r="417">
          <cell r="E417">
            <v>2.5421558481015238</v>
          </cell>
        </row>
        <row r="418">
          <cell r="E418">
            <v>1.4115980067948612</v>
          </cell>
        </row>
        <row r="419">
          <cell r="E419">
            <v>-0.54465321234502873</v>
          </cell>
        </row>
        <row r="420">
          <cell r="E420">
            <v>6.3632595428081382</v>
          </cell>
        </row>
        <row r="421">
          <cell r="E421">
            <v>2.7950200957900235</v>
          </cell>
        </row>
        <row r="422">
          <cell r="E422">
            <v>-0.34266236588790688</v>
          </cell>
        </row>
        <row r="423">
          <cell r="E423">
            <v>0</v>
          </cell>
        </row>
        <row r="424">
          <cell r="E424">
            <v>4.7508739098177042</v>
          </cell>
        </row>
        <row r="425">
          <cell r="E425">
            <v>1.5014426870579298</v>
          </cell>
        </row>
        <row r="426">
          <cell r="E426">
            <v>-7</v>
          </cell>
        </row>
        <row r="427">
          <cell r="E427">
            <v>0.28184039999534261</v>
          </cell>
        </row>
        <row r="428">
          <cell r="E428">
            <v>-2.5669593489578419</v>
          </cell>
        </row>
        <row r="429">
          <cell r="E429">
            <v>-7.0235290838524334</v>
          </cell>
        </row>
        <row r="430">
          <cell r="E430">
            <v>0.85736594660611809</v>
          </cell>
        </row>
        <row r="431">
          <cell r="E431">
            <v>-2.1334433614703663</v>
          </cell>
        </row>
        <row r="432">
          <cell r="E432">
            <v>-6.7983840493851302</v>
          </cell>
        </row>
        <row r="433">
          <cell r="E433">
            <v>0.11808074494863624</v>
          </cell>
        </row>
        <row r="434">
          <cell r="E434">
            <v>-2.8682956350451771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-2.6564987197677463E-2</v>
          </cell>
        </row>
        <row r="463">
          <cell r="E463">
            <v>0.27748791127846173</v>
          </cell>
        </row>
        <row r="464">
          <cell r="E464">
            <v>0.88235554522637227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0.70532550276961969</v>
          </cell>
        </row>
        <row r="468">
          <cell r="E468">
            <v>0.94979703280177841</v>
          </cell>
        </row>
        <row r="469">
          <cell r="E469">
            <v>2.3346610789723181</v>
          </cell>
        </row>
      </sheetData>
      <sheetData sheetId="4">
        <row r="408">
          <cell r="E408">
            <v>1.577325865687816</v>
          </cell>
        </row>
        <row r="409">
          <cell r="E409">
            <v>2.5500710615922282</v>
          </cell>
        </row>
        <row r="410">
          <cell r="E410">
            <v>1.9431761346474106</v>
          </cell>
        </row>
        <row r="411">
          <cell r="E411">
            <v>-1.7366540882323533E-2</v>
          </cell>
        </row>
        <row r="412">
          <cell r="E412">
            <v>6.2182802486794281E-2</v>
          </cell>
        </row>
        <row r="413">
          <cell r="E413">
            <v>-1.4839293365657247</v>
          </cell>
        </row>
        <row r="414">
          <cell r="E414">
            <v>-1.4319945727473127</v>
          </cell>
        </row>
        <row r="415">
          <cell r="E415">
            <v>0.88700714334679787</v>
          </cell>
        </row>
        <row r="416">
          <cell r="E416">
            <v>0.70599617144003857</v>
          </cell>
        </row>
        <row r="417">
          <cell r="E417">
            <v>-1.7958631667569529</v>
          </cell>
        </row>
        <row r="418">
          <cell r="E418">
            <v>1.0642861726414936</v>
          </cell>
        </row>
        <row r="419">
          <cell r="E419">
            <v>0.55909458214101626</v>
          </cell>
        </row>
        <row r="420">
          <cell r="E420">
            <v>3.6358887906785036</v>
          </cell>
        </row>
        <row r="421">
          <cell r="E421">
            <v>0.15690495264132095</v>
          </cell>
        </row>
        <row r="422">
          <cell r="E422">
            <v>-1.6595498119666381</v>
          </cell>
        </row>
        <row r="423">
          <cell r="E423">
            <v>0</v>
          </cell>
        </row>
        <row r="424">
          <cell r="E424">
            <v>0.2745878148497114</v>
          </cell>
        </row>
        <row r="425">
          <cell r="E425">
            <v>-2.0868743029797789</v>
          </cell>
        </row>
        <row r="426">
          <cell r="E426">
            <v>0.37747431280016519</v>
          </cell>
        </row>
        <row r="427">
          <cell r="E427">
            <v>-0.20343406377716192</v>
          </cell>
        </row>
        <row r="428">
          <cell r="E428">
            <v>-2.2797491205650484</v>
          </cell>
        </row>
        <row r="429">
          <cell r="E429">
            <v>0.93560216615044656</v>
          </cell>
        </row>
        <row r="430">
          <cell r="E430">
            <v>0.16275080443243242</v>
          </cell>
        </row>
        <row r="431">
          <cell r="E431">
            <v>-2.0154708928296126</v>
          </cell>
        </row>
        <row r="432">
          <cell r="E432">
            <v>0.22114732457021613</v>
          </cell>
        </row>
        <row r="433">
          <cell r="E433">
            <v>-0.83971689670473904</v>
          </cell>
        </row>
        <row r="434">
          <cell r="E434">
            <v>-2.9488051270202056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0.1754838972903548</v>
          </cell>
        </row>
        <row r="463">
          <cell r="E463">
            <v>0.82907724163125396</v>
          </cell>
        </row>
        <row r="464">
          <cell r="E464">
            <v>0.26400157193792728</v>
          </cell>
        </row>
        <row r="465">
          <cell r="E465">
            <v>-4.0299387784848095</v>
          </cell>
        </row>
        <row r="466">
          <cell r="E466">
            <v>-1.5190980731061539</v>
          </cell>
        </row>
        <row r="467">
          <cell r="E467">
            <v>-0.21388281800038872</v>
          </cell>
        </row>
        <row r="468">
          <cell r="E468">
            <v>0.283474350895143</v>
          </cell>
        </row>
        <row r="469">
          <cell r="E469">
            <v>2.0627847043131</v>
          </cell>
        </row>
      </sheetData>
      <sheetData sheetId="5">
        <row r="408">
          <cell r="E408">
            <v>1.577325865687816</v>
          </cell>
        </row>
        <row r="409">
          <cell r="E409">
            <v>2.5500710615922282</v>
          </cell>
        </row>
        <row r="410">
          <cell r="E410">
            <v>1.9431761346474106</v>
          </cell>
        </row>
        <row r="411">
          <cell r="E411">
            <v>-1.7366540882323533E-2</v>
          </cell>
        </row>
        <row r="412">
          <cell r="E412">
            <v>6.2182802486794281E-2</v>
          </cell>
        </row>
        <row r="413">
          <cell r="E413">
            <v>-1.4839293365657247</v>
          </cell>
        </row>
        <row r="414">
          <cell r="E414">
            <v>-1.4319945727473127</v>
          </cell>
        </row>
        <row r="415">
          <cell r="E415">
            <v>0.88700714334679787</v>
          </cell>
        </row>
        <row r="416">
          <cell r="E416">
            <v>0.70599617144003857</v>
          </cell>
        </row>
        <row r="417">
          <cell r="E417">
            <v>-1.7958631667569529</v>
          </cell>
        </row>
        <row r="418">
          <cell r="E418">
            <v>1.0642861726414936</v>
          </cell>
        </row>
        <row r="419">
          <cell r="E419">
            <v>0.55909458214101626</v>
          </cell>
        </row>
        <row r="420">
          <cell r="E420">
            <v>3.6358887906785036</v>
          </cell>
        </row>
        <row r="421">
          <cell r="E421">
            <v>0.15690495264132095</v>
          </cell>
        </row>
        <row r="422">
          <cell r="E422">
            <v>-1.6595498119666381</v>
          </cell>
        </row>
        <row r="423">
          <cell r="E423">
            <v>0</v>
          </cell>
        </row>
        <row r="424">
          <cell r="E424">
            <v>0.2745878148497114</v>
          </cell>
        </row>
        <row r="425">
          <cell r="E425">
            <v>-2.0868743029797789</v>
          </cell>
        </row>
        <row r="426">
          <cell r="E426">
            <v>0.37747431280016519</v>
          </cell>
        </row>
        <row r="427">
          <cell r="E427">
            <v>-0.20343406377716192</v>
          </cell>
        </row>
        <row r="428">
          <cell r="E428">
            <v>-2.2797491205650484</v>
          </cell>
        </row>
        <row r="429">
          <cell r="E429">
            <v>0.93560216615044656</v>
          </cell>
        </row>
        <row r="430">
          <cell r="E430">
            <v>0.16275080443243242</v>
          </cell>
        </row>
        <row r="431">
          <cell r="E431">
            <v>-2.0154708928296126</v>
          </cell>
        </row>
        <row r="432">
          <cell r="E432">
            <v>0.22114732457021613</v>
          </cell>
        </row>
        <row r="433">
          <cell r="E433">
            <v>-0.83971689670473904</v>
          </cell>
        </row>
        <row r="434">
          <cell r="E434">
            <v>-2.9488051270202056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0.1754838972903548</v>
          </cell>
        </row>
        <row r="463">
          <cell r="E463">
            <v>0.82907724163125396</v>
          </cell>
        </row>
        <row r="464">
          <cell r="E464">
            <v>0.26400157193792728</v>
          </cell>
        </row>
        <row r="465">
          <cell r="E465">
            <v>-4.0299387784848095</v>
          </cell>
        </row>
        <row r="466">
          <cell r="E466">
            <v>-1.5190980731061539</v>
          </cell>
        </row>
        <row r="467">
          <cell r="E467">
            <v>-0.21388281800038872</v>
          </cell>
        </row>
        <row r="468">
          <cell r="E468">
            <v>0.283474350895143</v>
          </cell>
        </row>
        <row r="469">
          <cell r="E469">
            <v>2.0627847043131</v>
          </cell>
        </row>
      </sheetData>
      <sheetData sheetId="6">
        <row r="408">
          <cell r="E408">
            <v>2.0941970500428457</v>
          </cell>
        </row>
        <row r="409">
          <cell r="E409">
            <v>3.2046749321462058</v>
          </cell>
        </row>
        <row r="410">
          <cell r="E410">
            <v>3.4232145405083902</v>
          </cell>
        </row>
        <row r="411">
          <cell r="E411">
            <v>0.54330964007859994</v>
          </cell>
        </row>
        <row r="412">
          <cell r="E412">
            <v>1.2537112794826661</v>
          </cell>
        </row>
        <row r="413">
          <cell r="E413">
            <v>0.13009144976290485</v>
          </cell>
        </row>
        <row r="414">
          <cell r="E414">
            <v>0.87283818671780877</v>
          </cell>
        </row>
        <row r="415">
          <cell r="E415">
            <v>0.13097645286901741</v>
          </cell>
        </row>
        <row r="416">
          <cell r="E416">
            <v>0.42073603291769945</v>
          </cell>
        </row>
        <row r="417">
          <cell r="E417">
            <v>0.15235960158769707</v>
          </cell>
        </row>
        <row r="418">
          <cell r="E418">
            <v>0.22047943233070705</v>
          </cell>
        </row>
        <row r="419">
          <cell r="E419">
            <v>0.21474387876082696</v>
          </cell>
        </row>
        <row r="420">
          <cell r="E420">
            <v>3.2903906695416016</v>
          </cell>
        </row>
        <row r="421">
          <cell r="E421">
            <v>0.77694663018161825</v>
          </cell>
        </row>
        <row r="422">
          <cell r="E422">
            <v>-0.79276472009081977</v>
          </cell>
        </row>
        <row r="423">
          <cell r="E423">
            <v>0</v>
          </cell>
        </row>
        <row r="424">
          <cell r="E424">
            <v>1.4588924416737816</v>
          </cell>
        </row>
        <row r="425">
          <cell r="E425">
            <v>-0.8580620532920985</v>
          </cell>
        </row>
        <row r="426">
          <cell r="E426">
            <v>1.6409408718006144</v>
          </cell>
        </row>
        <row r="427">
          <cell r="E427">
            <v>-2.2194071272060238</v>
          </cell>
        </row>
        <row r="428">
          <cell r="E428">
            <v>-2.7423561604218993</v>
          </cell>
        </row>
        <row r="429">
          <cell r="E429">
            <v>1.8210868785543322</v>
          </cell>
        </row>
        <row r="430">
          <cell r="E430">
            <v>-2.9737096505281095</v>
          </cell>
        </row>
        <row r="431">
          <cell r="E431">
            <v>-2.5751169986880673</v>
          </cell>
        </row>
        <row r="432">
          <cell r="E432">
            <v>0.57211264599078315</v>
          </cell>
        </row>
        <row r="433">
          <cell r="E433">
            <v>-3.5916873881677764</v>
          </cell>
        </row>
        <row r="434">
          <cell r="E434">
            <v>-3.56764728492029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7">
        <row r="408">
          <cell r="E408">
            <v>1.577325865687816</v>
          </cell>
        </row>
        <row r="409">
          <cell r="E409">
            <v>2.5500710615922282</v>
          </cell>
        </row>
        <row r="410">
          <cell r="E410">
            <v>1.9431761346474106</v>
          </cell>
        </row>
        <row r="411">
          <cell r="E411">
            <v>-1.7366540882323533E-2</v>
          </cell>
        </row>
        <row r="412">
          <cell r="E412">
            <v>6.2182802486794281E-2</v>
          </cell>
        </row>
        <row r="413">
          <cell r="E413">
            <v>-1.4839293365657247</v>
          </cell>
        </row>
        <row r="414">
          <cell r="E414">
            <v>-1.4319945727473127</v>
          </cell>
        </row>
        <row r="415">
          <cell r="E415">
            <v>0.88700714334679787</v>
          </cell>
        </row>
        <row r="416">
          <cell r="E416">
            <v>0.70599617144003857</v>
          </cell>
        </row>
        <row r="417">
          <cell r="E417">
            <v>-1.7958631667569529</v>
          </cell>
        </row>
        <row r="418">
          <cell r="E418">
            <v>1.0642861726414936</v>
          </cell>
        </row>
        <row r="419">
          <cell r="E419">
            <v>0.55909458214101626</v>
          </cell>
        </row>
        <row r="420">
          <cell r="E420">
            <v>3.6358887906785036</v>
          </cell>
        </row>
        <row r="421">
          <cell r="E421">
            <v>0.15690495264132095</v>
          </cell>
        </row>
        <row r="422">
          <cell r="E422">
            <v>-1.6595498119666381</v>
          </cell>
        </row>
        <row r="423">
          <cell r="E423">
            <v>0</v>
          </cell>
        </row>
        <row r="424">
          <cell r="E424">
            <v>0.2745878148497114</v>
          </cell>
        </row>
        <row r="425">
          <cell r="E425">
            <v>-2.0868743029797789</v>
          </cell>
        </row>
        <row r="426">
          <cell r="E426">
            <v>0.37747431280016519</v>
          </cell>
        </row>
        <row r="427">
          <cell r="E427">
            <v>-0.20343406377716192</v>
          </cell>
        </row>
        <row r="428">
          <cell r="E428">
            <v>-2.2797491205650484</v>
          </cell>
        </row>
        <row r="429">
          <cell r="E429">
            <v>0.93560216615044656</v>
          </cell>
        </row>
        <row r="430">
          <cell r="E430">
            <v>0.16275080443243242</v>
          </cell>
        </row>
        <row r="431">
          <cell r="E431">
            <v>-2.0154708928296126</v>
          </cell>
        </row>
        <row r="432">
          <cell r="E432">
            <v>0.22114732457021613</v>
          </cell>
        </row>
        <row r="433">
          <cell r="E433">
            <v>-0.83971689670473904</v>
          </cell>
        </row>
        <row r="434">
          <cell r="E434">
            <v>-2.9488051270202056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8">
        <row r="408">
          <cell r="E408">
            <v>2.0941970500428457</v>
          </cell>
        </row>
        <row r="409">
          <cell r="E409">
            <v>3.2046749321462058</v>
          </cell>
        </row>
        <row r="410">
          <cell r="E410">
            <v>3.4232145405083902</v>
          </cell>
        </row>
        <row r="411">
          <cell r="E411">
            <v>0.54330964007859994</v>
          </cell>
        </row>
        <row r="412">
          <cell r="E412">
            <v>1.2537112794826661</v>
          </cell>
        </row>
        <row r="413">
          <cell r="E413">
            <v>0.13009144976290485</v>
          </cell>
        </row>
        <row r="414">
          <cell r="E414">
            <v>0.87283818671780877</v>
          </cell>
        </row>
        <row r="415">
          <cell r="E415">
            <v>0.13097645286901741</v>
          </cell>
        </row>
        <row r="416">
          <cell r="E416">
            <v>0.42073603291769945</v>
          </cell>
        </row>
        <row r="417">
          <cell r="E417">
            <v>0.15235960158769707</v>
          </cell>
        </row>
        <row r="418">
          <cell r="E418">
            <v>0.22047943233070705</v>
          </cell>
        </row>
        <row r="419">
          <cell r="E419">
            <v>0.21474387876082696</v>
          </cell>
        </row>
        <row r="420">
          <cell r="E420">
            <v>3.2903906695416016</v>
          </cell>
        </row>
        <row r="421">
          <cell r="E421">
            <v>0.77694663018161825</v>
          </cell>
        </row>
        <row r="422">
          <cell r="E422">
            <v>-0.79276472009081977</v>
          </cell>
        </row>
        <row r="423">
          <cell r="E423">
            <v>0</v>
          </cell>
        </row>
        <row r="424">
          <cell r="E424">
            <v>1.4588924416737816</v>
          </cell>
        </row>
        <row r="425">
          <cell r="E425">
            <v>-0.8580620532920985</v>
          </cell>
        </row>
        <row r="426">
          <cell r="E426">
            <v>1.6409408718006144</v>
          </cell>
        </row>
        <row r="427">
          <cell r="E427">
            <v>-2.2194071272060238</v>
          </cell>
        </row>
        <row r="428">
          <cell r="E428">
            <v>-2.7423561604218993</v>
          </cell>
        </row>
        <row r="429">
          <cell r="E429">
            <v>1.8210868785543322</v>
          </cell>
        </row>
        <row r="430">
          <cell r="E430">
            <v>-2.9737096505281095</v>
          </cell>
        </row>
        <row r="431">
          <cell r="E431">
            <v>-2.5751169986880673</v>
          </cell>
        </row>
        <row r="432">
          <cell r="E432">
            <v>0.57211264599078315</v>
          </cell>
        </row>
        <row r="433">
          <cell r="E433">
            <v>-3.5916873881677764</v>
          </cell>
        </row>
        <row r="434">
          <cell r="E434">
            <v>-3.56764728492029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9">
        <row r="408">
          <cell r="E408">
            <v>2.0941970500428457</v>
          </cell>
        </row>
        <row r="409">
          <cell r="E409">
            <v>3.2046749321462058</v>
          </cell>
        </row>
        <row r="410">
          <cell r="E410">
            <v>3.4232145405083902</v>
          </cell>
        </row>
        <row r="411">
          <cell r="E411">
            <v>0.54330964007859994</v>
          </cell>
        </row>
        <row r="412">
          <cell r="E412">
            <v>1.2537112794826661</v>
          </cell>
        </row>
        <row r="413">
          <cell r="E413">
            <v>0.13009144976290485</v>
          </cell>
        </row>
        <row r="414">
          <cell r="E414">
            <v>0.87283818671780877</v>
          </cell>
        </row>
        <row r="415">
          <cell r="E415">
            <v>0.13097645286901741</v>
          </cell>
        </row>
        <row r="416">
          <cell r="E416">
            <v>0.42073603291769945</v>
          </cell>
        </row>
        <row r="417">
          <cell r="E417">
            <v>0.15235960158769707</v>
          </cell>
        </row>
        <row r="418">
          <cell r="E418">
            <v>0.22047943233070705</v>
          </cell>
        </row>
        <row r="419">
          <cell r="E419">
            <v>0.21474387876082696</v>
          </cell>
        </row>
        <row r="420">
          <cell r="E420">
            <v>3.2903906695416016</v>
          </cell>
        </row>
        <row r="421">
          <cell r="E421">
            <v>0.77694663018161825</v>
          </cell>
        </row>
        <row r="422">
          <cell r="E422">
            <v>-0.79276472009081977</v>
          </cell>
        </row>
        <row r="423">
          <cell r="E423">
            <v>0</v>
          </cell>
        </row>
        <row r="424">
          <cell r="E424">
            <v>1.4588924416737816</v>
          </cell>
        </row>
        <row r="425">
          <cell r="E425">
            <v>-0.8580620532920985</v>
          </cell>
        </row>
        <row r="426">
          <cell r="E426">
            <v>1.6409408718006144</v>
          </cell>
        </row>
        <row r="427">
          <cell r="E427">
            <v>-2.2194071272060238</v>
          </cell>
        </row>
        <row r="428">
          <cell r="E428">
            <v>-2.7423561604218993</v>
          </cell>
        </row>
        <row r="429">
          <cell r="E429">
            <v>1.8210868785543322</v>
          </cell>
        </row>
        <row r="430">
          <cell r="E430">
            <v>-2.9737096505281095</v>
          </cell>
        </row>
        <row r="431">
          <cell r="E431">
            <v>-2.5751169986880673</v>
          </cell>
        </row>
        <row r="432">
          <cell r="E432">
            <v>0.57211264599078315</v>
          </cell>
        </row>
        <row r="433">
          <cell r="E433">
            <v>-3.5916873881677764</v>
          </cell>
        </row>
        <row r="434">
          <cell r="E434">
            <v>-3.56764728492029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-7.5927750116185742</v>
          </cell>
        </row>
        <row r="441">
          <cell r="E441">
            <v>1.1279064343597331</v>
          </cell>
        </row>
        <row r="442">
          <cell r="E442">
            <v>1.7942435719105556</v>
          </cell>
        </row>
        <row r="443">
          <cell r="E443">
            <v>0.36718430827121318</v>
          </cell>
        </row>
        <row r="444">
          <cell r="E444">
            <v>1.376360157302887</v>
          </cell>
        </row>
        <row r="445">
          <cell r="E445">
            <v>-2.4868225477082002</v>
          </cell>
        </row>
        <row r="446">
          <cell r="E446">
            <v>-2.3150366951619445</v>
          </cell>
        </row>
        <row r="447">
          <cell r="E447">
            <v>-1.5252089464233847</v>
          </cell>
        </row>
        <row r="448">
          <cell r="E448">
            <v>-6.2606050432642473</v>
          </cell>
        </row>
        <row r="449">
          <cell r="E449">
            <v>-7.4530509448000402</v>
          </cell>
        </row>
        <row r="450">
          <cell r="E450">
            <v>0</v>
          </cell>
        </row>
        <row r="451">
          <cell r="E451">
            <v>-5.6369494640971141</v>
          </cell>
        </row>
        <row r="452">
          <cell r="E452">
            <v>-7.0277331325007699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-4.4134283216526349</v>
          </cell>
        </row>
        <row r="457">
          <cell r="E457">
            <v>-10.017201900303833</v>
          </cell>
        </row>
        <row r="458">
          <cell r="E458">
            <v>-14.037422335698274</v>
          </cell>
        </row>
        <row r="459">
          <cell r="E459">
            <v>-4.3461008202644162</v>
          </cell>
        </row>
        <row r="460">
          <cell r="E460">
            <v>-10.988457501519241</v>
          </cell>
        </row>
        <row r="461">
          <cell r="E461">
            <v>-13.169368735415667</v>
          </cell>
        </row>
        <row r="462">
          <cell r="E462">
            <v>-0.13747604903360419</v>
          </cell>
        </row>
        <row r="463">
          <cell r="E463">
            <v>0.5761520559021327</v>
          </cell>
        </row>
        <row r="464">
          <cell r="E464">
            <v>0.68869041257698382</v>
          </cell>
        </row>
        <row r="465">
          <cell r="E465">
            <v>1.693491042381204</v>
          </cell>
        </row>
        <row r="466">
          <cell r="E466">
            <v>2.1488913215577359</v>
          </cell>
        </row>
        <row r="467">
          <cell r="E467">
            <v>-1.0663498098146273</v>
          </cell>
        </row>
        <row r="468">
          <cell r="E468">
            <v>1.1354681101434496</v>
          </cell>
        </row>
        <row r="469">
          <cell r="E469">
            <v>2.3356516061314649</v>
          </cell>
        </row>
      </sheetData>
      <sheetData sheetId="10">
        <row r="411">
          <cell r="E411">
            <v>7.1197465639503301</v>
          </cell>
        </row>
        <row r="412">
          <cell r="E412">
            <v>1.2108371910098052</v>
          </cell>
        </row>
        <row r="413">
          <cell r="E413">
            <v>1.3612428862818113</v>
          </cell>
        </row>
        <row r="414">
          <cell r="E414">
            <v>8.5108103037999658</v>
          </cell>
        </row>
        <row r="415">
          <cell r="E415">
            <v>1.885270389286043</v>
          </cell>
        </row>
        <row r="416">
          <cell r="E416">
            <v>17.316655665906183</v>
          </cell>
        </row>
        <row r="417">
          <cell r="E417">
            <v>0</v>
          </cell>
        </row>
        <row r="418">
          <cell r="E418">
            <v>-2.3242709904101955</v>
          </cell>
        </row>
        <row r="419">
          <cell r="E419">
            <v>-1.6242634085662888</v>
          </cell>
        </row>
        <row r="420">
          <cell r="E420">
            <v>0.26168550270483126</v>
          </cell>
        </row>
        <row r="421">
          <cell r="E421">
            <v>-3.4990192286714681</v>
          </cell>
        </row>
        <row r="422">
          <cell r="E422">
            <v>-2.0734827762823427</v>
          </cell>
        </row>
        <row r="423">
          <cell r="E423">
            <v>3.1408594066222126</v>
          </cell>
        </row>
        <row r="424">
          <cell r="E424">
            <v>-3.5321898100168574</v>
          </cell>
        </row>
        <row r="425">
          <cell r="E425">
            <v>-4.3625261666867043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4.6411312891865695</v>
          </cell>
        </row>
        <row r="430">
          <cell r="E430">
            <v>-5.1074846180568114</v>
          </cell>
        </row>
        <row r="431">
          <cell r="E431">
            <v>-3.5706545786754171</v>
          </cell>
        </row>
        <row r="432">
          <cell r="E432">
            <v>4.6393651095492316</v>
          </cell>
        </row>
        <row r="433">
          <cell r="E433">
            <v>-4.1424580723264972</v>
          </cell>
        </row>
        <row r="434">
          <cell r="E434">
            <v>-3.4522188560187574</v>
          </cell>
        </row>
        <row r="435">
          <cell r="E435">
            <v>3.1086641020583787</v>
          </cell>
        </row>
        <row r="436">
          <cell r="E436">
            <v>-5.5017657165090315</v>
          </cell>
        </row>
        <row r="437">
          <cell r="E437">
            <v>-4.3546361938931639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-7.5927750116185742</v>
          </cell>
        </row>
        <row r="444">
          <cell r="E444">
            <v>1.1279064343597331</v>
          </cell>
        </row>
        <row r="445">
          <cell r="E445">
            <v>1.7942435719105556</v>
          </cell>
        </row>
        <row r="446">
          <cell r="E446">
            <v>0.36718430827121318</v>
          </cell>
        </row>
        <row r="447">
          <cell r="E447">
            <v>1.376360157302887</v>
          </cell>
        </row>
        <row r="448">
          <cell r="E448">
            <v>-2.4868225477082002</v>
          </cell>
        </row>
        <row r="449">
          <cell r="E449">
            <v>-2.3150366951619445</v>
          </cell>
        </row>
        <row r="450">
          <cell r="E450">
            <v>-1.5252089464233847</v>
          </cell>
        </row>
        <row r="451">
          <cell r="E451">
            <v>-6.2606050432642473</v>
          </cell>
        </row>
        <row r="452">
          <cell r="E452">
            <v>-7.4530509448000402</v>
          </cell>
        </row>
        <row r="453">
          <cell r="E453">
            <v>0</v>
          </cell>
        </row>
        <row r="454">
          <cell r="E454">
            <v>-5.6369494640971141</v>
          </cell>
        </row>
        <row r="455">
          <cell r="E455">
            <v>-7.0277331325007699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-4.4134283216526349</v>
          </cell>
        </row>
        <row r="460">
          <cell r="E460">
            <v>-10.017201900303833</v>
          </cell>
        </row>
        <row r="461">
          <cell r="E461">
            <v>-14.037422335698274</v>
          </cell>
        </row>
        <row r="462">
          <cell r="E462">
            <v>-4.3461008202644162</v>
          </cell>
        </row>
        <row r="463">
          <cell r="E463">
            <v>-10.988457501519241</v>
          </cell>
        </row>
        <row r="464">
          <cell r="E464">
            <v>-13.169368735415667</v>
          </cell>
        </row>
        <row r="465">
          <cell r="E465">
            <v>-0.16023123719399743</v>
          </cell>
        </row>
        <row r="466">
          <cell r="E466">
            <v>0.93613834521113026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-0.13229523472036753</v>
          </cell>
        </row>
        <row r="471">
          <cell r="E471">
            <v>1.0529229322448403</v>
          </cell>
        </row>
        <row r="472">
          <cell r="E472">
            <v>3.6414024799469975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52" t="s">
        <v>238</v>
      </c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2"/>
      <c r="V2" s="252"/>
      <c r="W2" s="252"/>
      <c r="X2" s="252"/>
      <c r="Y2" s="252"/>
      <c r="Z2" s="252"/>
      <c r="AA2" s="252"/>
      <c r="AB2" s="252"/>
      <c r="AC2" s="252"/>
      <c r="AD2" s="252"/>
      <c r="AE2" s="252"/>
      <c r="AF2" s="252"/>
      <c r="AG2" s="252"/>
      <c r="AH2" s="252"/>
      <c r="AI2" s="252"/>
      <c r="AJ2" s="252"/>
      <c r="AK2" s="252"/>
      <c r="AL2" s="252"/>
      <c r="AM2" s="252"/>
      <c r="AQ2" s="252" t="s">
        <v>238</v>
      </c>
      <c r="AR2" s="252"/>
      <c r="AS2" s="252"/>
      <c r="AT2" s="252"/>
      <c r="AU2" s="252"/>
      <c r="AV2" s="252"/>
      <c r="AW2" s="252"/>
      <c r="AX2" s="252"/>
      <c r="AY2" s="252"/>
      <c r="AZ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BW2" s="252"/>
      <c r="BX2" s="252"/>
      <c r="BY2" s="252"/>
      <c r="CC2" s="252" t="s">
        <v>238</v>
      </c>
      <c r="CD2" s="252"/>
      <c r="CE2" s="252"/>
      <c r="CF2" s="252"/>
      <c r="CG2" s="252"/>
      <c r="CH2" s="252"/>
      <c r="CI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  <c r="DB2" s="252"/>
      <c r="DC2" s="252"/>
      <c r="DD2" s="252"/>
      <c r="DE2" s="252"/>
      <c r="DF2" s="252"/>
      <c r="DG2" s="252"/>
      <c r="DH2" s="252"/>
      <c r="DI2" s="252"/>
      <c r="DJ2" s="252"/>
      <c r="DK2" s="252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53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54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54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53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54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54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53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54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54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53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54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54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53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54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54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53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54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54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53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54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54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53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54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54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53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54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54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53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54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54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53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54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54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53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54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54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53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54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54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53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54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54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53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54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54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53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54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54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53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54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54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53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54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54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53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54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54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53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54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54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53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54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54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53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54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54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53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54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54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53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54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54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53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54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54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53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54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54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53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54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54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53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54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54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53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54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54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53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54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54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53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54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54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53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54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54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53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54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54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53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54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54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53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54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54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52" t="s">
        <v>238</v>
      </c>
      <c r="F42" s="252"/>
      <c r="G42" s="252"/>
      <c r="H42" s="252"/>
      <c r="I42" s="252"/>
      <c r="J42" s="252"/>
      <c r="K42" s="252"/>
      <c r="L42" s="252"/>
      <c r="M42" s="252"/>
      <c r="N42" s="252"/>
      <c r="O42" s="252"/>
      <c r="P42" s="252"/>
      <c r="Q42" s="252"/>
      <c r="R42" s="252"/>
      <c r="S42" s="252"/>
      <c r="T42" s="252"/>
      <c r="U42" s="252"/>
      <c r="V42" s="252"/>
      <c r="W42" s="252"/>
      <c r="X42" s="252"/>
      <c r="Y42" s="252"/>
      <c r="Z42" s="252"/>
      <c r="AA42" s="252"/>
      <c r="AB42" s="252"/>
      <c r="AC42" s="252"/>
      <c r="AD42" s="252"/>
      <c r="AE42" s="252"/>
      <c r="AF42" s="252"/>
      <c r="AG42" s="252"/>
      <c r="AH42" s="252"/>
      <c r="AI42" s="252"/>
      <c r="AJ42" s="252"/>
      <c r="AK42" s="252"/>
      <c r="AL42" s="252"/>
      <c r="AM42" s="252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53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53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53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53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53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53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53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53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53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53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53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53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53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53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53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53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53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53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53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53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53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53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53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53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53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53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53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53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53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53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53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53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53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53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53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52" t="s">
        <v>238</v>
      </c>
      <c r="F82" s="252"/>
      <c r="G82" s="252"/>
      <c r="H82" s="252"/>
      <c r="I82" s="252"/>
      <c r="J82" s="252"/>
      <c r="K82" s="252"/>
      <c r="L82" s="252"/>
      <c r="M82" s="252"/>
      <c r="N82" s="252"/>
      <c r="O82" s="252"/>
      <c r="P82" s="252"/>
      <c r="Q82" s="252"/>
      <c r="R82" s="252"/>
      <c r="S82" s="252"/>
      <c r="T82" s="252"/>
      <c r="U82" s="252"/>
      <c r="V82" s="252"/>
      <c r="W82" s="252"/>
      <c r="X82" s="252"/>
      <c r="Y82" s="252"/>
      <c r="Z82" s="252"/>
      <c r="AA82" s="252"/>
      <c r="AB82" s="252"/>
      <c r="AC82" s="252"/>
      <c r="AD82" s="252"/>
      <c r="AE82" s="252"/>
      <c r="AF82" s="252"/>
      <c r="AG82" s="252"/>
      <c r="AH82" s="252"/>
      <c r="AI82" s="252"/>
      <c r="AJ82" s="252"/>
      <c r="AK82" s="252"/>
      <c r="AL82" s="252"/>
      <c r="AM82" s="252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53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53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53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53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53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53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53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53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53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53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53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53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53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53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53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53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53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53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53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53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53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53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53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53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53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53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53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53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53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53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53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53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53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53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53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52" t="s">
        <v>238</v>
      </c>
      <c r="F122" s="252"/>
      <c r="G122" s="252"/>
      <c r="H122" s="252"/>
      <c r="I122" s="252"/>
      <c r="J122" s="252"/>
      <c r="K122" s="252"/>
      <c r="L122" s="252"/>
      <c r="M122" s="252"/>
      <c r="N122" s="252"/>
      <c r="O122" s="252"/>
      <c r="P122" s="252"/>
      <c r="Q122" s="252"/>
      <c r="R122" s="252"/>
      <c r="S122" s="252"/>
      <c r="T122" s="252"/>
      <c r="U122" s="252"/>
      <c r="V122" s="252"/>
      <c r="W122" s="252"/>
      <c r="X122" s="252"/>
      <c r="Y122" s="252"/>
      <c r="Z122" s="252"/>
      <c r="AA122" s="252"/>
      <c r="AB122" s="252"/>
      <c r="AC122" s="252"/>
      <c r="AD122" s="252"/>
      <c r="AE122" s="252"/>
      <c r="AF122" s="252"/>
      <c r="AG122" s="252"/>
      <c r="AH122" s="252"/>
      <c r="AI122" s="252"/>
      <c r="AJ122" s="252"/>
      <c r="AK122" s="252"/>
      <c r="AL122" s="252"/>
      <c r="AM122" s="252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53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53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53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53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53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53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53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53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53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53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53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53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53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53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53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53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53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53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53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53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53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53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53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53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53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53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53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53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53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53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53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53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53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53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53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E60"/>
  <sheetViews>
    <sheetView tabSelected="1" topLeftCell="A37" workbookViewId="0">
      <selection activeCell="H48" sqref="H48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8" width="9.140625" style="1"/>
    <col min="19" max="19" width="22.28515625" style="1" bestFit="1" customWidth="1"/>
    <col min="20" max="16384" width="9.140625" style="1"/>
  </cols>
  <sheetData>
    <row r="1" spans="1:31" ht="35.25" customHeight="1" x14ac:dyDescent="0.25">
      <c r="C1" s="160" t="s">
        <v>271</v>
      </c>
      <c r="E1" s="161" t="s">
        <v>350</v>
      </c>
      <c r="G1" s="161" t="s">
        <v>351</v>
      </c>
      <c r="I1" s="161"/>
      <c r="L1" s="249" t="s">
        <v>287</v>
      </c>
      <c r="M1" s="249"/>
      <c r="N1" s="249"/>
      <c r="O1" s="249"/>
      <c r="P1" s="249"/>
      <c r="R1" s="250" t="s">
        <v>348</v>
      </c>
      <c r="S1" s="251"/>
      <c r="T1" s="251"/>
      <c r="U1" s="251"/>
      <c r="V1" s="251"/>
      <c r="W1" s="251"/>
      <c r="X1" s="251"/>
    </row>
    <row r="2" spans="1:31" s="162" customFormat="1" ht="28.5" customHeight="1" x14ac:dyDescent="0.2">
      <c r="E2" s="179" t="s">
        <v>272</v>
      </c>
      <c r="F2" s="43" t="s">
        <v>273</v>
      </c>
      <c r="G2" s="179" t="s">
        <v>112</v>
      </c>
      <c r="H2" s="180" t="s">
        <v>273</v>
      </c>
      <c r="I2" s="181" t="s">
        <v>117</v>
      </c>
      <c r="J2" s="180" t="s">
        <v>273</v>
      </c>
      <c r="L2" s="162" t="s">
        <v>339</v>
      </c>
      <c r="M2" s="162" t="s">
        <v>274</v>
      </c>
      <c r="N2" s="162" t="s">
        <v>275</v>
      </c>
      <c r="O2" s="162" t="s">
        <v>276</v>
      </c>
      <c r="P2" s="162" t="s">
        <v>277</v>
      </c>
      <c r="T2" s="162" t="s">
        <v>339</v>
      </c>
      <c r="U2" s="162" t="s">
        <v>274</v>
      </c>
      <c r="V2" s="162" t="s">
        <v>275</v>
      </c>
      <c r="W2" s="162" t="s">
        <v>276</v>
      </c>
      <c r="X2" s="162" t="s">
        <v>277</v>
      </c>
    </row>
    <row r="3" spans="1:31" x14ac:dyDescent="0.2">
      <c r="A3" s="163">
        <v>1</v>
      </c>
      <c r="B3" s="163" t="s">
        <v>249</v>
      </c>
      <c r="C3" s="19" t="s">
        <v>30</v>
      </c>
      <c r="D3" s="195" t="s">
        <v>281</v>
      </c>
      <c r="E3" s="164">
        <v>0.26800000000000002</v>
      </c>
      <c r="F3" s="165">
        <f>-1*E3/[0]!work_c_ivt</f>
        <v>20</v>
      </c>
      <c r="G3" s="164">
        <v>0</v>
      </c>
      <c r="H3" s="175">
        <f>-1*G3/[0]!work_c_ivt</f>
        <v>0</v>
      </c>
      <c r="I3" s="164">
        <f>J3*[0]!work_c_ivt*-1</f>
        <v>0</v>
      </c>
      <c r="J3" s="177">
        <f>H3</f>
        <v>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>O3/M3</f>
        <v>-1</v>
      </c>
      <c r="R3" s="19" t="s">
        <v>30</v>
      </c>
      <c r="S3" s="244" t="s">
        <v>343</v>
      </c>
      <c r="T3" s="7">
        <f>SUM(L3:L4)</f>
        <v>188896.58450730261</v>
      </c>
      <c r="U3" s="7">
        <f>SUM(M3:M4)</f>
        <v>77218.694077067776</v>
      </c>
      <c r="V3" s="7">
        <f>SUM(N3:N4)</f>
        <v>0</v>
      </c>
      <c r="W3" s="84">
        <f>V3-U3</f>
        <v>-77218.694077067776</v>
      </c>
      <c r="X3" s="34">
        <f t="shared" ref="X3" si="1">W3/U3</f>
        <v>-1</v>
      </c>
      <c r="Z3" s="250" t="s">
        <v>288</v>
      </c>
      <c r="AA3" s="250"/>
      <c r="AB3" s="250"/>
      <c r="AC3" s="250"/>
      <c r="AD3" s="250"/>
      <c r="AE3" s="250"/>
    </row>
    <row r="4" spans="1:31" x14ac:dyDescent="0.2">
      <c r="A4" s="163">
        <v>1</v>
      </c>
      <c r="B4" s="163" t="s">
        <v>249</v>
      </c>
      <c r="D4" s="196" t="s">
        <v>282</v>
      </c>
      <c r="E4" s="168">
        <v>0.60299999999999998</v>
      </c>
      <c r="F4" s="169">
        <f>-1*E4/[0]!work_c_ivt</f>
        <v>45</v>
      </c>
      <c r="G4" s="168">
        <v>0</v>
      </c>
      <c r="H4" s="176">
        <f>-1*G4/[0]!work_c_ivt</f>
        <v>0</v>
      </c>
      <c r="I4" s="168">
        <f>J4*[0]!work_c_ivt*-1</f>
        <v>0</v>
      </c>
      <c r="J4" s="178">
        <f t="shared" ref="J4:J43" si="2">H4</f>
        <v>0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ref="P4:P50" si="3">O4/M4</f>
        <v>#DIV/0!</v>
      </c>
      <c r="S4" s="245"/>
      <c r="X4" s="245"/>
      <c r="Z4" s="250"/>
      <c r="AA4" s="250"/>
      <c r="AB4" s="250"/>
      <c r="AC4" s="250"/>
      <c r="AD4" s="250"/>
      <c r="AE4" s="250"/>
    </row>
    <row r="5" spans="1:31" x14ac:dyDescent="0.2">
      <c r="A5" s="163">
        <v>1</v>
      </c>
      <c r="B5" s="163" t="s">
        <v>249</v>
      </c>
      <c r="D5" s="196" t="s">
        <v>283</v>
      </c>
      <c r="E5" s="168">
        <v>1.206</v>
      </c>
      <c r="F5" s="169">
        <f>-1*E5/[0]!work_c_ivt</f>
        <v>90</v>
      </c>
      <c r="G5" s="168">
        <v>0</v>
      </c>
      <c r="H5" s="176">
        <f>-1*G5/[0]!work_c_ivt</f>
        <v>0</v>
      </c>
      <c r="I5" s="168">
        <f>J5*[0]!work_c_ivt*-1</f>
        <v>0</v>
      </c>
      <c r="J5" s="178">
        <f t="shared" si="2"/>
        <v>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3"/>
        <v>-1</v>
      </c>
      <c r="S5" s="245" t="s">
        <v>344</v>
      </c>
      <c r="T5" s="5">
        <f>SUM(L5:L6)</f>
        <v>282067.56030519586</v>
      </c>
      <c r="U5" s="5">
        <f>SUM(M5:M6)</f>
        <v>213819.91197051585</v>
      </c>
      <c r="V5" s="5">
        <f>SUM(N5:N6)</f>
        <v>0</v>
      </c>
      <c r="W5" s="73">
        <f>V5-U5</f>
        <v>-213819.91197051585</v>
      </c>
      <c r="X5" s="36">
        <f t="shared" ref="X5" si="4">W5/U5</f>
        <v>-1</v>
      </c>
      <c r="Z5" s="250"/>
      <c r="AA5" s="250"/>
      <c r="AB5" s="250"/>
      <c r="AC5" s="250"/>
      <c r="AD5" s="250"/>
      <c r="AE5" s="250"/>
    </row>
    <row r="6" spans="1:31" x14ac:dyDescent="0.2">
      <c r="A6" s="163">
        <v>1</v>
      </c>
      <c r="B6" s="163" t="s">
        <v>249</v>
      </c>
      <c r="D6" s="196" t="s">
        <v>284</v>
      </c>
      <c r="E6" s="168">
        <v>1.206</v>
      </c>
      <c r="F6" s="169">
        <f>-1*E6/[0]!work_c_ivt</f>
        <v>90</v>
      </c>
      <c r="G6" s="168">
        <v>0</v>
      </c>
      <c r="H6" s="176">
        <f>-1*G6/[0]!work_c_ivt</f>
        <v>0</v>
      </c>
      <c r="I6" s="168">
        <f>J6*[0]!work_c_ivt*-1</f>
        <v>0</v>
      </c>
      <c r="J6" s="178">
        <f t="shared" si="2"/>
        <v>0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3"/>
        <v>#DIV/0!</v>
      </c>
      <c r="S6" s="245"/>
      <c r="X6" s="245"/>
    </row>
    <row r="7" spans="1:31" x14ac:dyDescent="0.2">
      <c r="A7" s="163">
        <v>1</v>
      </c>
      <c r="B7" s="163" t="s">
        <v>249</v>
      </c>
      <c r="D7" s="203" t="s">
        <v>279</v>
      </c>
      <c r="E7" s="198">
        <v>1.0050000000000001</v>
      </c>
      <c r="F7" s="199">
        <f>-1*E7/[0]!work_c_ivt</f>
        <v>75</v>
      </c>
      <c r="G7" s="198">
        <v>0</v>
      </c>
      <c r="H7" s="204">
        <f>-1*G7/[0]!work_c_ivt</f>
        <v>0</v>
      </c>
      <c r="I7" s="198">
        <f>J7*[0]!work_c_ivt*-1</f>
        <v>0</v>
      </c>
      <c r="J7" s="200">
        <f t="shared" ref="J7:J8" si="5">H7</f>
        <v>0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3"/>
        <v>-1</v>
      </c>
      <c r="S7" s="246" t="s">
        <v>345</v>
      </c>
      <c r="T7" s="243">
        <f>SUM(L7:L8)</f>
        <v>166703.18842911834</v>
      </c>
      <c r="U7" s="243">
        <f>SUM(M7:M8)</f>
        <v>168369.73475797503</v>
      </c>
      <c r="V7" s="243">
        <f>SUM(N7:N8)</f>
        <v>0</v>
      </c>
      <c r="W7" s="207">
        <f>V7-U7</f>
        <v>-168369.73475797503</v>
      </c>
      <c r="X7" s="202">
        <f t="shared" ref="X7" si="6">W7/U7</f>
        <v>-1</v>
      </c>
    </row>
    <row r="8" spans="1:31" x14ac:dyDescent="0.2">
      <c r="A8" s="163">
        <v>1</v>
      </c>
      <c r="B8" s="163" t="s">
        <v>249</v>
      </c>
      <c r="D8" s="203" t="s">
        <v>280</v>
      </c>
      <c r="E8" s="198">
        <v>1.206</v>
      </c>
      <c r="F8" s="199">
        <f>-1*E8/[0]!work_c_ivt</f>
        <v>90</v>
      </c>
      <c r="G8" s="198">
        <v>0</v>
      </c>
      <c r="H8" s="204">
        <f>-1*G8/[0]!work_c_ivt</f>
        <v>0</v>
      </c>
      <c r="I8" s="198">
        <f>J8*[0]!work_c_ivt*-1</f>
        <v>0</v>
      </c>
      <c r="J8" s="200">
        <f t="shared" si="5"/>
        <v>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3"/>
        <v>#DIV/0!</v>
      </c>
      <c r="S8" s="245"/>
      <c r="X8" s="245"/>
    </row>
    <row r="9" spans="1:31" x14ac:dyDescent="0.2">
      <c r="A9" s="163">
        <v>1</v>
      </c>
      <c r="B9" s="163" t="s">
        <v>249</v>
      </c>
      <c r="D9" s="196" t="s">
        <v>285</v>
      </c>
      <c r="E9" s="168">
        <v>0.20100000000000001</v>
      </c>
      <c r="F9" s="169">
        <f>-1*E9/[0]!work_c_ivt</f>
        <v>15</v>
      </c>
      <c r="G9" s="168">
        <v>0</v>
      </c>
      <c r="H9" s="176">
        <f>-1*G9/[0]!work_c_ivt</f>
        <v>0</v>
      </c>
      <c r="I9" s="168">
        <f>J9*[0]!work_c_ivt*-1</f>
        <v>0</v>
      </c>
      <c r="J9" s="178">
        <f t="shared" ref="J9:J10" si="7">H9</f>
        <v>0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3"/>
        <v>-1</v>
      </c>
      <c r="S9" s="245" t="s">
        <v>346</v>
      </c>
      <c r="T9" s="5">
        <f>SUM(L9:L10)</f>
        <v>186841.39797377004</v>
      </c>
      <c r="U9" s="5">
        <f>SUM(M9:M10)</f>
        <v>201752.68372860324</v>
      </c>
      <c r="V9" s="5">
        <f>SUM(N9:N10)</f>
        <v>0</v>
      </c>
      <c r="W9" s="73">
        <f>V9-U9</f>
        <v>-201752.68372860324</v>
      </c>
      <c r="X9" s="36">
        <f t="shared" ref="X9" si="8">W9/U9</f>
        <v>-1</v>
      </c>
    </row>
    <row r="10" spans="1:31" x14ac:dyDescent="0.2">
      <c r="A10" s="163">
        <v>1</v>
      </c>
      <c r="B10" s="163" t="s">
        <v>249</v>
      </c>
      <c r="D10" s="197" t="s">
        <v>286</v>
      </c>
      <c r="E10" s="168">
        <v>0.80400000000000005</v>
      </c>
      <c r="F10" s="169">
        <f>-1*E10/[0]!work_c_ivt</f>
        <v>60</v>
      </c>
      <c r="G10" s="168">
        <v>0</v>
      </c>
      <c r="H10" s="176">
        <f>-1*G10/[0]!work_c_ivt</f>
        <v>0</v>
      </c>
      <c r="I10" s="168">
        <f>J10*[0]!work_c_ivt*-1</f>
        <v>0</v>
      </c>
      <c r="J10" s="178">
        <f t="shared" si="7"/>
        <v>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3"/>
        <v>#DIV/0!</v>
      </c>
      <c r="R10" s="12"/>
      <c r="S10" s="12"/>
      <c r="T10" s="248"/>
      <c r="U10" s="18"/>
      <c r="V10" s="18"/>
      <c r="W10" s="18"/>
      <c r="X10" s="18"/>
      <c r="Y10" s="161"/>
    </row>
    <row r="11" spans="1:31" x14ac:dyDescent="0.2">
      <c r="A11" s="163">
        <v>2</v>
      </c>
      <c r="B11" s="163" t="s">
        <v>23</v>
      </c>
      <c r="C11" s="19" t="s">
        <v>39</v>
      </c>
      <c r="D11" s="195" t="s">
        <v>281</v>
      </c>
      <c r="E11" s="164">
        <v>1.5680000000000001</v>
      </c>
      <c r="F11" s="165">
        <f>-1*E11/[0]!university_c_ivt</f>
        <v>70</v>
      </c>
      <c r="G11" s="164">
        <v>0</v>
      </c>
      <c r="H11" s="175">
        <f>-1*G11/[0]!university_c_ivt</f>
        <v>0</v>
      </c>
      <c r="I11" s="164">
        <f>J11*[0]!university_c_ivt*-1</f>
        <v>0</v>
      </c>
      <c r="J11" s="177">
        <f t="shared" si="2"/>
        <v>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3"/>
        <v>#DIV/0!</v>
      </c>
      <c r="R11" s="19" t="s">
        <v>347</v>
      </c>
      <c r="S11" s="244" t="s">
        <v>343</v>
      </c>
      <c r="T11" s="7">
        <f>SUM(L11:L12)+SUM(L19:L20)</f>
        <v>11749.03023837026</v>
      </c>
      <c r="U11" s="7">
        <f>SUM(M11:M12)+SUM(M19:M20)</f>
        <v>12094.267920553306</v>
      </c>
      <c r="V11" s="7">
        <f>SUM(N11:N12)+SUM(N19:N20)</f>
        <v>0</v>
      </c>
      <c r="W11" s="84">
        <f>V11-U11</f>
        <v>-12094.267920553306</v>
      </c>
      <c r="X11" s="34">
        <f t="shared" ref="X11" si="9">W11/U11</f>
        <v>-1</v>
      </c>
    </row>
    <row r="12" spans="1:31" x14ac:dyDescent="0.2">
      <c r="A12" s="163">
        <v>2</v>
      </c>
      <c r="B12" s="163" t="s">
        <v>23</v>
      </c>
      <c r="D12" s="196" t="s">
        <v>282</v>
      </c>
      <c r="E12" s="168">
        <v>1.5680000000000001</v>
      </c>
      <c r="F12" s="169">
        <f>-1*E12/[0]!university_c_ivt</f>
        <v>70</v>
      </c>
      <c r="G12" s="168">
        <v>0</v>
      </c>
      <c r="H12" s="176">
        <f>-1*G12/[0]!university_c_ivt</f>
        <v>0</v>
      </c>
      <c r="I12" s="168">
        <f>J12*[0]!university_c_ivt*-1</f>
        <v>0</v>
      </c>
      <c r="J12" s="178">
        <f t="shared" ref="J12:J16" si="10">H12</f>
        <v>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3"/>
        <v>#DIV/0!</v>
      </c>
      <c r="S12" s="245"/>
      <c r="X12" s="245"/>
    </row>
    <row r="13" spans="1:31" x14ac:dyDescent="0.2">
      <c r="A13" s="163">
        <v>2</v>
      </c>
      <c r="B13" s="163" t="s">
        <v>23</v>
      </c>
      <c r="D13" s="196" t="s">
        <v>283</v>
      </c>
      <c r="E13" s="168">
        <v>2.2399999999999998</v>
      </c>
      <c r="F13" s="169">
        <f>-1*E13/[0]!university_c_ivt</f>
        <v>99.999999999999986</v>
      </c>
      <c r="G13" s="168">
        <v>0</v>
      </c>
      <c r="H13" s="176">
        <f>-1*G13/[0]!university_c_ivt</f>
        <v>0</v>
      </c>
      <c r="I13" s="168">
        <f>J13*[0]!university_c_ivt*-1</f>
        <v>0</v>
      </c>
      <c r="J13" s="178">
        <f t="shared" si="10"/>
        <v>0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3"/>
        <v>#DIV/0!</v>
      </c>
      <c r="S13" s="245" t="s">
        <v>344</v>
      </c>
      <c r="T13" s="5">
        <f>SUM(L13:L14)+SUM(L21:L22)</f>
        <v>37767.76402523974</v>
      </c>
      <c r="U13" s="5">
        <f t="shared" ref="U13:V13" si="11">SUM(M13:M14)+SUM(M21:M22)</f>
        <v>54836.843676471843</v>
      </c>
      <c r="V13" s="5">
        <f t="shared" si="11"/>
        <v>0</v>
      </c>
      <c r="W13" s="73">
        <f>V13-U13</f>
        <v>-54836.843676471843</v>
      </c>
      <c r="X13" s="36">
        <f t="shared" ref="X13" si="12">W13/U13</f>
        <v>-1</v>
      </c>
    </row>
    <row r="14" spans="1:31" x14ac:dyDescent="0.2">
      <c r="A14" s="163">
        <v>2</v>
      </c>
      <c r="B14" s="163" t="s">
        <v>23</v>
      </c>
      <c r="D14" s="196" t="s">
        <v>284</v>
      </c>
      <c r="E14" s="168">
        <v>2.2399999999999998</v>
      </c>
      <c r="F14" s="169">
        <f>-1*E14/[0]!university_c_ivt</f>
        <v>99.999999999999986</v>
      </c>
      <c r="G14" s="168">
        <v>0</v>
      </c>
      <c r="H14" s="176">
        <f>-1*G14/[0]!university_c_ivt</f>
        <v>0</v>
      </c>
      <c r="I14" s="168">
        <f>J14*[0]!university_c_ivt*-1</f>
        <v>0</v>
      </c>
      <c r="J14" s="178">
        <f t="shared" si="10"/>
        <v>0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3"/>
        <v>#DIV/0!</v>
      </c>
      <c r="S14" s="245"/>
      <c r="X14" s="245"/>
    </row>
    <row r="15" spans="1:31" x14ac:dyDescent="0.2">
      <c r="A15" s="163">
        <v>2</v>
      </c>
      <c r="B15" s="163" t="s">
        <v>23</v>
      </c>
      <c r="D15" s="203" t="s">
        <v>279</v>
      </c>
      <c r="E15" s="198">
        <v>0.55999999999999994</v>
      </c>
      <c r="F15" s="199">
        <f>-1*E15/[0]!university_c_ivt</f>
        <v>24.999999999999996</v>
      </c>
      <c r="G15" s="198">
        <v>0</v>
      </c>
      <c r="H15" s="204">
        <f>-1*G15/[0]!university_c_ivt</f>
        <v>0</v>
      </c>
      <c r="I15" s="198">
        <f>J15*[0]!university_c_ivt*-1</f>
        <v>0</v>
      </c>
      <c r="J15" s="200">
        <f t="shared" si="10"/>
        <v>0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3"/>
        <v>#DIV/0!</v>
      </c>
      <c r="S15" s="246" t="s">
        <v>345</v>
      </c>
      <c r="T15" s="243">
        <f>SUM(L15:L16)+SUM(L23:L24)</f>
        <v>27739.809860426707</v>
      </c>
      <c r="U15" s="243">
        <f>SUM(M15:M16)+SUM(M23:M24)</f>
        <v>47350.037093880361</v>
      </c>
      <c r="V15" s="243">
        <f>SUM(N15:N16)+SUM(N23:N24)</f>
        <v>0</v>
      </c>
      <c r="W15" s="207">
        <f>V15-U15</f>
        <v>-47350.037093880361</v>
      </c>
      <c r="X15" s="202">
        <f t="shared" ref="X15" si="13">W15/U15</f>
        <v>-1</v>
      </c>
    </row>
    <row r="16" spans="1:31" x14ac:dyDescent="0.2">
      <c r="A16" s="163">
        <v>2</v>
      </c>
      <c r="B16" s="163" t="s">
        <v>23</v>
      </c>
      <c r="D16" s="203" t="s">
        <v>280</v>
      </c>
      <c r="E16" s="198">
        <v>0.67200000000000004</v>
      </c>
      <c r="F16" s="199">
        <f>-1*E16/[0]!university_c_ivt</f>
        <v>30.000000000000004</v>
      </c>
      <c r="G16" s="198">
        <v>0</v>
      </c>
      <c r="H16" s="204">
        <f>-1*G16/[0]!university_c_ivt</f>
        <v>0</v>
      </c>
      <c r="I16" s="198">
        <f>J16*[0]!university_c_ivt*-1</f>
        <v>0</v>
      </c>
      <c r="J16" s="200">
        <f t="shared" si="10"/>
        <v>0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3"/>
        <v>#DIV/0!</v>
      </c>
      <c r="S16" s="245"/>
      <c r="X16" s="245"/>
    </row>
    <row r="17" spans="1:25" x14ac:dyDescent="0.2">
      <c r="A17" s="163">
        <v>2</v>
      </c>
      <c r="B17" s="163" t="s">
        <v>23</v>
      </c>
      <c r="D17" s="196" t="s">
        <v>285</v>
      </c>
      <c r="E17" s="168">
        <v>0.224</v>
      </c>
      <c r="F17" s="169">
        <f>-1*E17/[0]!university_c_ivt</f>
        <v>10</v>
      </c>
      <c r="G17" s="168">
        <v>0</v>
      </c>
      <c r="H17" s="176">
        <f>-1*G17/[0]!university_c_ivt</f>
        <v>0</v>
      </c>
      <c r="I17" s="168">
        <f>J17*[0]!university_c_ivt*-1</f>
        <v>0</v>
      </c>
      <c r="J17" s="178">
        <f t="shared" ref="J17:J18" si="14">H17</f>
        <v>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3"/>
        <v>#DIV/0!</v>
      </c>
      <c r="S17" s="245" t="s">
        <v>346</v>
      </c>
      <c r="T17" s="5">
        <f>SUM(L17:L18)+SUM(L25:L26)</f>
        <v>29872.204488490988</v>
      </c>
      <c r="U17" s="5">
        <f t="shared" ref="U17:V17" si="15">SUM(M17:M18)+SUM(M25:M26)</f>
        <v>52225.556866749648</v>
      </c>
      <c r="V17" s="5">
        <f t="shared" si="15"/>
        <v>0</v>
      </c>
      <c r="W17" s="73">
        <f>V17-U17</f>
        <v>-52225.556866749648</v>
      </c>
      <c r="X17" s="36">
        <f t="shared" ref="X17" si="16">W17/U17</f>
        <v>-1</v>
      </c>
    </row>
    <row r="18" spans="1:25" x14ac:dyDescent="0.2">
      <c r="A18" s="163">
        <v>2</v>
      </c>
      <c r="B18" s="163" t="s">
        <v>23</v>
      </c>
      <c r="D18" s="197" t="s">
        <v>286</v>
      </c>
      <c r="E18" s="168">
        <v>1.3440000000000001</v>
      </c>
      <c r="F18" s="169">
        <f>-1*E18/[0]!university_c_ivt</f>
        <v>60.000000000000007</v>
      </c>
      <c r="G18" s="168">
        <v>0</v>
      </c>
      <c r="H18" s="176">
        <f>-1*G18/[0]!university_c_ivt</f>
        <v>0</v>
      </c>
      <c r="I18" s="168">
        <f>J18*[0]!university_c_ivt*-1</f>
        <v>0</v>
      </c>
      <c r="J18" s="178">
        <f t="shared" si="14"/>
        <v>0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3"/>
        <v>#DIV/0!</v>
      </c>
      <c r="R18" s="12"/>
      <c r="S18" s="12"/>
      <c r="T18" s="248"/>
      <c r="U18" s="18"/>
      <c r="V18" s="18"/>
      <c r="W18" s="18"/>
      <c r="X18" s="18"/>
      <c r="Y18" s="161"/>
    </row>
    <row r="19" spans="1:25" x14ac:dyDescent="0.2">
      <c r="A19" s="163">
        <v>3</v>
      </c>
      <c r="B19" s="163" t="s">
        <v>248</v>
      </c>
      <c r="C19" s="19" t="s">
        <v>40</v>
      </c>
      <c r="D19" s="195" t="s">
        <v>281</v>
      </c>
      <c r="E19" s="164">
        <v>0</v>
      </c>
      <c r="F19" s="165">
        <f>-1*E19/[0]!school_c_ivt</f>
        <v>0</v>
      </c>
      <c r="G19" s="164"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3"/>
        <v>-1</v>
      </c>
      <c r="R19" s="19"/>
      <c r="S19" s="244"/>
      <c r="T19" s="7"/>
      <c r="U19" s="7"/>
      <c r="V19" s="7"/>
      <c r="W19" s="84"/>
      <c r="X19" s="34"/>
    </row>
    <row r="20" spans="1:25" x14ac:dyDescent="0.2">
      <c r="A20" s="163">
        <v>3</v>
      </c>
      <c r="B20" s="163" t="s">
        <v>248</v>
      </c>
      <c r="D20" s="196" t="s">
        <v>282</v>
      </c>
      <c r="E20" s="168">
        <v>0</v>
      </c>
      <c r="F20" s="169">
        <f>-1*E20/[0]!school_c_ivt</f>
        <v>0</v>
      </c>
      <c r="G20" s="168"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1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3"/>
        <v>#DIV/0!</v>
      </c>
      <c r="S20" s="245"/>
      <c r="X20" s="245"/>
    </row>
    <row r="21" spans="1:25" x14ac:dyDescent="0.2">
      <c r="A21" s="163">
        <v>3</v>
      </c>
      <c r="B21" s="163" t="s">
        <v>248</v>
      </c>
      <c r="D21" s="196" t="s">
        <v>283</v>
      </c>
      <c r="E21" s="168">
        <v>0.67200000000000004</v>
      </c>
      <c r="F21" s="169">
        <f>-1*E21/[0]!school_c_ivt</f>
        <v>30.000000000000004</v>
      </c>
      <c r="G21" s="168">
        <v>0</v>
      </c>
      <c r="H21" s="176">
        <f>-1*G21/[0]!school_c_ivt</f>
        <v>0</v>
      </c>
      <c r="I21" s="168">
        <f>J21*[0]!school_c_ivt*-1</f>
        <v>0</v>
      </c>
      <c r="J21" s="178">
        <f t="shared" si="17"/>
        <v>0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3"/>
        <v>-1</v>
      </c>
      <c r="S21" s="245"/>
      <c r="T21" s="5"/>
      <c r="U21" s="5"/>
      <c r="V21" s="5"/>
      <c r="W21" s="73"/>
      <c r="X21" s="36"/>
    </row>
    <row r="22" spans="1:25" x14ac:dyDescent="0.2">
      <c r="A22" s="163">
        <v>3</v>
      </c>
      <c r="B22" s="163" t="s">
        <v>248</v>
      </c>
      <c r="D22" s="196" t="s">
        <v>284</v>
      </c>
      <c r="E22" s="168">
        <v>0.33600000000000002</v>
      </c>
      <c r="F22" s="169">
        <f>-1*E22/[0]!school_c_ivt</f>
        <v>15.000000000000002</v>
      </c>
      <c r="G22" s="168">
        <v>0</v>
      </c>
      <c r="H22" s="176">
        <f>-1*G22/[0]!school_c_ivt</f>
        <v>0</v>
      </c>
      <c r="I22" s="168">
        <f>J22*[0]!school_c_ivt*-1</f>
        <v>0</v>
      </c>
      <c r="J22" s="178">
        <f t="shared" si="17"/>
        <v>0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3"/>
        <v>#DIV/0!</v>
      </c>
      <c r="S22" s="245"/>
      <c r="X22" s="245"/>
    </row>
    <row r="23" spans="1:25" x14ac:dyDescent="0.2">
      <c r="A23" s="163">
        <v>3</v>
      </c>
      <c r="B23" s="163" t="s">
        <v>248</v>
      </c>
      <c r="D23" s="203" t="s">
        <v>279</v>
      </c>
      <c r="E23" s="198">
        <v>0</v>
      </c>
      <c r="F23" s="199">
        <f>-1*E23/[0]!school_c_ivt</f>
        <v>0</v>
      </c>
      <c r="G23" s="198">
        <v>0</v>
      </c>
      <c r="H23" s="204">
        <f>-1*G23/[0]!school_c_ivt</f>
        <v>0</v>
      </c>
      <c r="I23" s="198">
        <f>J23*[0]!school_c_ivt*-1</f>
        <v>0</v>
      </c>
      <c r="J23" s="200">
        <f t="shared" si="1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3"/>
        <v>-1</v>
      </c>
      <c r="S23" s="246"/>
      <c r="T23" s="243"/>
      <c r="U23" s="243"/>
      <c r="V23" s="243"/>
      <c r="W23" s="207"/>
      <c r="X23" s="202"/>
    </row>
    <row r="24" spans="1:25" x14ac:dyDescent="0.2">
      <c r="A24" s="163">
        <v>3</v>
      </c>
      <c r="B24" s="163" t="s">
        <v>248</v>
      </c>
      <c r="D24" s="203" t="s">
        <v>280</v>
      </c>
      <c r="E24" s="198">
        <v>0</v>
      </c>
      <c r="F24" s="199">
        <f>-1*E24/[0]!school_c_ivt</f>
        <v>0</v>
      </c>
      <c r="G24" s="198">
        <v>0</v>
      </c>
      <c r="H24" s="204">
        <f>-1*G24/[0]!school_c_ivt</f>
        <v>0</v>
      </c>
      <c r="I24" s="198">
        <f>J24*[0]!school_c_ivt*-1</f>
        <v>0</v>
      </c>
      <c r="J24" s="200">
        <f t="shared" si="1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3"/>
        <v>#DIV/0!</v>
      </c>
      <c r="S24" s="245"/>
      <c r="X24" s="245"/>
    </row>
    <row r="25" spans="1:25" x14ac:dyDescent="0.2">
      <c r="A25" s="163">
        <v>3</v>
      </c>
      <c r="B25" s="163" t="s">
        <v>248</v>
      </c>
      <c r="D25" s="196" t="s">
        <v>285</v>
      </c>
      <c r="E25" s="168">
        <v>0</v>
      </c>
      <c r="F25" s="169">
        <f>-1*E25/[0]!school_c_ivt</f>
        <v>0</v>
      </c>
      <c r="G25" s="168"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1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3"/>
        <v>-1</v>
      </c>
      <c r="S25" s="245"/>
      <c r="T25" s="5"/>
      <c r="U25" s="5"/>
      <c r="V25" s="5"/>
      <c r="W25" s="73"/>
      <c r="X25" s="36"/>
    </row>
    <row r="26" spans="1:25" x14ac:dyDescent="0.2">
      <c r="A26" s="163">
        <v>3</v>
      </c>
      <c r="B26" s="163" t="s">
        <v>248</v>
      </c>
      <c r="D26" s="197" t="s">
        <v>286</v>
      </c>
      <c r="E26" s="168">
        <v>0</v>
      </c>
      <c r="F26" s="169">
        <f>-1*E26/[0]!school_c_ivt</f>
        <v>0</v>
      </c>
      <c r="G26" s="168">
        <v>0</v>
      </c>
      <c r="H26" s="176">
        <f>-1*G26/[0]!school_c_ivt</f>
        <v>0</v>
      </c>
      <c r="I26" s="168">
        <f>J26*[0]!school_c_ivt*-1</f>
        <v>0</v>
      </c>
      <c r="J26" s="178">
        <f t="shared" si="1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3"/>
        <v>#DIV/0!</v>
      </c>
      <c r="R26" s="12"/>
      <c r="S26" s="12"/>
      <c r="T26" s="248"/>
      <c r="U26" s="18"/>
      <c r="V26" s="18"/>
      <c r="W26" s="18"/>
      <c r="X26" s="18"/>
      <c r="Y26" s="161"/>
    </row>
    <row r="27" spans="1:25" x14ac:dyDescent="0.2">
      <c r="A27" s="163">
        <v>4</v>
      </c>
      <c r="B27" s="163" t="s">
        <v>247</v>
      </c>
      <c r="C27" s="19" t="s">
        <v>105</v>
      </c>
      <c r="D27" s="195" t="s">
        <v>281</v>
      </c>
      <c r="E27" s="164">
        <v>0</v>
      </c>
      <c r="F27" s="165">
        <f>-1*E27/[0]!escort_c_ivt</f>
        <v>0</v>
      </c>
      <c r="G27" s="164"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3"/>
        <v>-1</v>
      </c>
      <c r="R27" s="19" t="s">
        <v>105</v>
      </c>
      <c r="S27" s="244" t="s">
        <v>343</v>
      </c>
      <c r="T27" s="7">
        <f>SUM(L27:L28)</f>
        <v>32851.415365092311</v>
      </c>
      <c r="U27" s="7">
        <f>SUM(M27:M28)</f>
        <v>43937.79095845126</v>
      </c>
      <c r="V27" s="7">
        <f>SUM(N27:N28)</f>
        <v>0</v>
      </c>
      <c r="W27" s="84">
        <f>V27-U27</f>
        <v>-43937.79095845126</v>
      </c>
      <c r="X27" s="34">
        <f t="shared" ref="X27" si="19">W27/U27</f>
        <v>-1</v>
      </c>
    </row>
    <row r="28" spans="1:25" x14ac:dyDescent="0.2">
      <c r="A28" s="163">
        <v>4</v>
      </c>
      <c r="B28" s="163" t="s">
        <v>247</v>
      </c>
      <c r="C28" s="1" t="s">
        <v>106</v>
      </c>
      <c r="D28" s="196" t="s">
        <v>282</v>
      </c>
      <c r="E28" s="168">
        <v>0</v>
      </c>
      <c r="F28" s="169">
        <f>-1*E28/[0]!escort_c_ivt</f>
        <v>0</v>
      </c>
      <c r="G28" s="168"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20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3"/>
        <v>#DIV/0!</v>
      </c>
      <c r="R28" s="1" t="s">
        <v>106</v>
      </c>
      <c r="S28" s="245"/>
      <c r="X28" s="245"/>
    </row>
    <row r="29" spans="1:25" x14ac:dyDescent="0.2">
      <c r="A29" s="163">
        <v>4</v>
      </c>
      <c r="B29" s="163" t="s">
        <v>247</v>
      </c>
      <c r="C29" s="1" t="s">
        <v>108</v>
      </c>
      <c r="D29" s="196" t="s">
        <v>283</v>
      </c>
      <c r="E29" s="168">
        <v>1.2250000000000001</v>
      </c>
      <c r="F29" s="169">
        <f>-1*E29/[0]!escort_c_ivt</f>
        <v>70</v>
      </c>
      <c r="G29" s="168">
        <v>0</v>
      </c>
      <c r="H29" s="176">
        <f>-1*G29/[0]!escort_c_ivt</f>
        <v>0</v>
      </c>
      <c r="I29" s="168">
        <f>J29*[0]!escort_c_ivt*-1</f>
        <v>0</v>
      </c>
      <c r="J29" s="178">
        <f t="shared" si="20"/>
        <v>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3"/>
        <v>-1</v>
      </c>
      <c r="R29" s="1" t="s">
        <v>108</v>
      </c>
      <c r="S29" s="245" t="s">
        <v>344</v>
      </c>
      <c r="T29" s="5">
        <f>SUM(L29:L30)</f>
        <v>73006.615178738051</v>
      </c>
      <c r="U29" s="5">
        <f>SUM(M29:M30)</f>
        <v>119108.79263512872</v>
      </c>
      <c r="V29" s="5">
        <f>SUM(N29:N30)</f>
        <v>0</v>
      </c>
      <c r="W29" s="73">
        <f>V29-U29</f>
        <v>-119108.79263512872</v>
      </c>
      <c r="X29" s="36">
        <f t="shared" ref="X29" si="21">W29/U29</f>
        <v>-1</v>
      </c>
    </row>
    <row r="30" spans="1:25" x14ac:dyDescent="0.2">
      <c r="A30" s="163">
        <v>4</v>
      </c>
      <c r="B30" s="163" t="s">
        <v>247</v>
      </c>
      <c r="D30" s="196" t="s">
        <v>284</v>
      </c>
      <c r="E30" s="168">
        <v>1.05</v>
      </c>
      <c r="F30" s="169">
        <f>-1*E30/[0]!escort_c_ivt</f>
        <v>60</v>
      </c>
      <c r="G30" s="168">
        <v>0</v>
      </c>
      <c r="H30" s="176">
        <f>-1*G30/[0]!escort_c_ivt</f>
        <v>0</v>
      </c>
      <c r="I30" s="168">
        <f>J30*[0]!escort_c_ivt*-1</f>
        <v>0</v>
      </c>
      <c r="J30" s="178">
        <f t="shared" si="20"/>
        <v>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3"/>
        <v>#DIV/0!</v>
      </c>
      <c r="S30" s="245"/>
      <c r="X30" s="245"/>
    </row>
    <row r="31" spans="1:25" x14ac:dyDescent="0.2">
      <c r="A31" s="163">
        <v>4</v>
      </c>
      <c r="B31" s="163" t="s">
        <v>247</v>
      </c>
      <c r="D31" s="203" t="s">
        <v>279</v>
      </c>
      <c r="E31" s="198">
        <v>0.35000000000000003</v>
      </c>
      <c r="F31" s="199">
        <f>-1*E31/[0]!escort_c_ivt</f>
        <v>20</v>
      </c>
      <c r="G31" s="198">
        <v>0</v>
      </c>
      <c r="H31" s="204">
        <f>-1*G31/[0]!escort_c_ivt</f>
        <v>0</v>
      </c>
      <c r="I31" s="198">
        <f>J31*[0]!escort_c_ivt*-1</f>
        <v>0</v>
      </c>
      <c r="J31" s="200">
        <f t="shared" si="20"/>
        <v>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3"/>
        <v>-1</v>
      </c>
      <c r="S31" s="246" t="s">
        <v>345</v>
      </c>
      <c r="T31" s="243">
        <f>SUM(L31:L32)</f>
        <v>63118.404181997066</v>
      </c>
      <c r="U31" s="243">
        <f>SUM(M31:M32)</f>
        <v>108323.987793558</v>
      </c>
      <c r="V31" s="243">
        <f>SUM(N31:N32)</f>
        <v>0</v>
      </c>
      <c r="W31" s="207">
        <f>V31-U31</f>
        <v>-108323.987793558</v>
      </c>
      <c r="X31" s="202">
        <f t="shared" ref="X31" si="22">W31/U31</f>
        <v>-1</v>
      </c>
    </row>
    <row r="32" spans="1:25" x14ac:dyDescent="0.2">
      <c r="A32" s="163">
        <v>4</v>
      </c>
      <c r="B32" s="163" t="s">
        <v>247</v>
      </c>
      <c r="D32" s="203" t="s">
        <v>280</v>
      </c>
      <c r="E32" s="198">
        <v>0.35000000000000003</v>
      </c>
      <c r="F32" s="199">
        <f>-1*E32/[0]!escort_c_ivt</f>
        <v>20</v>
      </c>
      <c r="G32" s="198">
        <v>0</v>
      </c>
      <c r="H32" s="204">
        <f>-1*G32/[0]!escort_c_ivt</f>
        <v>0</v>
      </c>
      <c r="I32" s="198">
        <f>J32*[0]!escort_c_ivt*-1</f>
        <v>0</v>
      </c>
      <c r="J32" s="200">
        <f t="shared" si="20"/>
        <v>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3"/>
        <v>#DIV/0!</v>
      </c>
      <c r="S32" s="245"/>
      <c r="X32" s="245"/>
    </row>
    <row r="33" spans="1:25" x14ac:dyDescent="0.2">
      <c r="A33" s="163">
        <v>4</v>
      </c>
      <c r="B33" s="163" t="s">
        <v>247</v>
      </c>
      <c r="D33" s="196" t="s">
        <v>285</v>
      </c>
      <c r="E33" s="168">
        <v>8.7500000000000008E-2</v>
      </c>
      <c r="F33" s="169">
        <f>-1*E33/[0]!escort_c_ivt</f>
        <v>5</v>
      </c>
      <c r="G33" s="168">
        <v>0</v>
      </c>
      <c r="H33" s="176">
        <f>-1*G33/[0]!escort_c_ivt</f>
        <v>0</v>
      </c>
      <c r="I33" s="168">
        <f>J33*[0]!escort_c_ivt*-1</f>
        <v>0</v>
      </c>
      <c r="J33" s="178">
        <f t="shared" ref="J33:J34" si="23">H33</f>
        <v>0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3"/>
        <v>-1</v>
      </c>
      <c r="S33" s="245" t="s">
        <v>346</v>
      </c>
      <c r="T33" s="5">
        <f>SUM(L33:L34)</f>
        <v>67214.523495100148</v>
      </c>
      <c r="U33" s="5">
        <f>SUM(M33:M34)</f>
        <v>115866.19256586469</v>
      </c>
      <c r="V33" s="5">
        <f>SUM(N33:N34)</f>
        <v>0</v>
      </c>
      <c r="W33" s="73">
        <f>V33-U33</f>
        <v>-115866.19256586469</v>
      </c>
      <c r="X33" s="36">
        <f t="shared" ref="X33" si="24">W33/U33</f>
        <v>-1</v>
      </c>
    </row>
    <row r="34" spans="1:25" x14ac:dyDescent="0.2">
      <c r="A34" s="163">
        <v>4</v>
      </c>
      <c r="B34" s="163" t="s">
        <v>247</v>
      </c>
      <c r="D34" s="197" t="s">
        <v>286</v>
      </c>
      <c r="E34" s="168">
        <v>1.2250000000000001</v>
      </c>
      <c r="F34" s="169">
        <f>-1*E34/[0]!escort_c_ivt</f>
        <v>70</v>
      </c>
      <c r="G34" s="168">
        <v>0</v>
      </c>
      <c r="H34" s="176">
        <f>-1*G34/[0]!escort_c_ivt</f>
        <v>0</v>
      </c>
      <c r="I34" s="168">
        <f>J34*[0]!escort_c_ivt*-1</f>
        <v>0</v>
      </c>
      <c r="J34" s="178">
        <f t="shared" si="23"/>
        <v>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3"/>
        <v>#DIV/0!</v>
      </c>
      <c r="R34" s="12"/>
      <c r="S34" s="12"/>
      <c r="T34" s="248"/>
      <c r="U34" s="18"/>
      <c r="V34" s="18"/>
      <c r="W34" s="18"/>
      <c r="X34" s="247"/>
    </row>
    <row r="35" spans="1:25" x14ac:dyDescent="0.2">
      <c r="A35" s="163">
        <v>5</v>
      </c>
      <c r="B35" s="163" t="s">
        <v>246</v>
      </c>
      <c r="C35" s="19" t="s">
        <v>107</v>
      </c>
      <c r="D35" s="195" t="s">
        <v>281</v>
      </c>
      <c r="E35" s="164">
        <v>0</v>
      </c>
      <c r="F35" s="165">
        <f>-1*E35/[0]!eatout_c_ivt</f>
        <v>0</v>
      </c>
      <c r="G35" s="164"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3"/>
        <v>-1</v>
      </c>
      <c r="R35" s="19" t="s">
        <v>107</v>
      </c>
      <c r="S35" s="244" t="s">
        <v>343</v>
      </c>
      <c r="T35" s="7">
        <f>SUM(L35:L36)</f>
        <v>40628.123922215636</v>
      </c>
      <c r="U35" s="7">
        <f>SUM(M35:M36)</f>
        <v>71118.705991742667</v>
      </c>
      <c r="V35" s="7">
        <f>SUM(N35:N36)</f>
        <v>0</v>
      </c>
      <c r="W35" s="84">
        <f>V35-U35</f>
        <v>-71118.705991742667</v>
      </c>
      <c r="X35" s="34">
        <f t="shared" ref="X35" si="25">W35/U35</f>
        <v>-1</v>
      </c>
    </row>
    <row r="36" spans="1:25" x14ac:dyDescent="0.2">
      <c r="A36" s="163">
        <v>5</v>
      </c>
      <c r="B36" s="163" t="s">
        <v>246</v>
      </c>
      <c r="C36" s="1" t="s">
        <v>109</v>
      </c>
      <c r="D36" s="196" t="s">
        <v>282</v>
      </c>
      <c r="E36" s="168">
        <v>0</v>
      </c>
      <c r="F36" s="169">
        <f>-1*E36/[0]!eatout_c_ivt</f>
        <v>0</v>
      </c>
      <c r="G36" s="168"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26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3"/>
        <v>#DIV/0!</v>
      </c>
      <c r="R36" s="1" t="s">
        <v>109</v>
      </c>
      <c r="S36" s="245"/>
      <c r="X36" s="245"/>
    </row>
    <row r="37" spans="1:25" x14ac:dyDescent="0.2">
      <c r="A37" s="163">
        <v>5</v>
      </c>
      <c r="B37" s="163" t="s">
        <v>246</v>
      </c>
      <c r="C37" s="1" t="s">
        <v>110</v>
      </c>
      <c r="D37" s="196" t="s">
        <v>283</v>
      </c>
      <c r="E37" s="168">
        <v>1.05</v>
      </c>
      <c r="F37" s="169">
        <f>-1*E37/[0]!eatout_c_ivt</f>
        <v>60</v>
      </c>
      <c r="G37" s="168">
        <v>0</v>
      </c>
      <c r="H37" s="176">
        <f>-1*G37/[0]!eatout_c_ivt</f>
        <v>0</v>
      </c>
      <c r="I37" s="168">
        <f>J37*[0]!eatout_c_ivt*-1</f>
        <v>0</v>
      </c>
      <c r="J37" s="178">
        <f t="shared" si="26"/>
        <v>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3"/>
        <v>-1</v>
      </c>
      <c r="R37" s="1" t="s">
        <v>110</v>
      </c>
      <c r="S37" s="245" t="s">
        <v>344</v>
      </c>
      <c r="T37" s="5">
        <f>SUM(L37:L38)</f>
        <v>73066.808982096656</v>
      </c>
      <c r="U37" s="5">
        <f>SUM(M37:M38)</f>
        <v>179531.79888993356</v>
      </c>
      <c r="V37" s="5">
        <f>SUM(N37:N38)</f>
        <v>0</v>
      </c>
      <c r="W37" s="73">
        <f>V37-U37</f>
        <v>-179531.79888993356</v>
      </c>
      <c r="X37" s="36">
        <f t="shared" ref="X37" si="27">W37/U37</f>
        <v>-1</v>
      </c>
    </row>
    <row r="38" spans="1:25" x14ac:dyDescent="0.2">
      <c r="A38" s="163">
        <v>5</v>
      </c>
      <c r="B38" s="163" t="s">
        <v>246</v>
      </c>
      <c r="D38" s="196" t="s">
        <v>284</v>
      </c>
      <c r="E38" s="168">
        <v>0.35000000000000003</v>
      </c>
      <c r="F38" s="169">
        <f>-1*E38/[0]!eatout_c_ivt</f>
        <v>20</v>
      </c>
      <c r="G38" s="168">
        <v>0</v>
      </c>
      <c r="H38" s="176">
        <f>-1*G38/[0]!eatout_c_ivt</f>
        <v>0</v>
      </c>
      <c r="I38" s="168">
        <f>J38*[0]!eatout_c_ivt*-1</f>
        <v>0</v>
      </c>
      <c r="J38" s="178">
        <f t="shared" si="26"/>
        <v>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3"/>
        <v>#DIV/0!</v>
      </c>
      <c r="S38" s="245"/>
      <c r="X38" s="245"/>
    </row>
    <row r="39" spans="1:25" x14ac:dyDescent="0.2">
      <c r="A39" s="163">
        <v>5</v>
      </c>
      <c r="B39" s="163" t="s">
        <v>246</v>
      </c>
      <c r="D39" s="203" t="s">
        <v>279</v>
      </c>
      <c r="E39" s="198">
        <v>0.52500000000000002</v>
      </c>
      <c r="F39" s="199">
        <f>-1*E39/[0]!eatout_c_ivt</f>
        <v>30</v>
      </c>
      <c r="G39" s="198">
        <v>0</v>
      </c>
      <c r="H39" s="204">
        <f>-1*G39/[0]!eatout_c_ivt</f>
        <v>0</v>
      </c>
      <c r="I39" s="198">
        <f>J39*[0]!eatout_c_ivt*-1</f>
        <v>0</v>
      </c>
      <c r="J39" s="200">
        <f t="shared" si="26"/>
        <v>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3"/>
        <v>-1</v>
      </c>
      <c r="S39" s="246" t="s">
        <v>345</v>
      </c>
      <c r="T39" s="243">
        <f>SUM(L39:L40)</f>
        <v>58704.125598201099</v>
      </c>
      <c r="U39" s="243">
        <f>SUM(M39:M40)</f>
        <v>143380.44947151662</v>
      </c>
      <c r="V39" s="243">
        <f>SUM(N39:N40)</f>
        <v>0</v>
      </c>
      <c r="W39" s="207">
        <f>V39-U39</f>
        <v>-143380.44947151662</v>
      </c>
      <c r="X39" s="202">
        <f t="shared" ref="X39" si="28">W39/U39</f>
        <v>-1</v>
      </c>
    </row>
    <row r="40" spans="1:25" x14ac:dyDescent="0.2">
      <c r="A40" s="163">
        <v>5</v>
      </c>
      <c r="B40" s="163" t="s">
        <v>246</v>
      </c>
      <c r="D40" s="203" t="s">
        <v>280</v>
      </c>
      <c r="E40" s="198">
        <v>0.87500000000000011</v>
      </c>
      <c r="F40" s="199">
        <f>-1*E40/[0]!eatout_c_ivt</f>
        <v>50</v>
      </c>
      <c r="G40" s="198">
        <v>0</v>
      </c>
      <c r="H40" s="204">
        <f>-1*G40/[0]!eatout_c_ivt</f>
        <v>0</v>
      </c>
      <c r="I40" s="198">
        <f>J40*[0]!eatout_c_ivt*-1</f>
        <v>0</v>
      </c>
      <c r="J40" s="200">
        <f t="shared" si="26"/>
        <v>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3"/>
        <v>#DIV/0!</v>
      </c>
      <c r="S40" s="245"/>
      <c r="X40" s="245"/>
    </row>
    <row r="41" spans="1:25" x14ac:dyDescent="0.2">
      <c r="A41" s="163">
        <v>5</v>
      </c>
      <c r="B41" s="163" t="s">
        <v>246</v>
      </c>
      <c r="D41" s="196" t="s">
        <v>285</v>
      </c>
      <c r="E41" s="168">
        <v>0.35000000000000003</v>
      </c>
      <c r="F41" s="169">
        <f>-1*E41/[0]!eatout_c_ivt</f>
        <v>20</v>
      </c>
      <c r="G41" s="168">
        <v>0</v>
      </c>
      <c r="H41" s="176">
        <f>-1*G41/[0]!eatout_c_ivt</f>
        <v>0</v>
      </c>
      <c r="I41" s="168">
        <f>J41*[0]!eatout_c_ivt*-1</f>
        <v>0</v>
      </c>
      <c r="J41" s="178">
        <f t="shared" ref="J41:J42" si="29">H41</f>
        <v>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3"/>
        <v>-1</v>
      </c>
      <c r="S41" s="245" t="s">
        <v>346</v>
      </c>
      <c r="T41" s="5">
        <f>SUM(L41:L42)</f>
        <v>66665.540863678223</v>
      </c>
      <c r="U41" s="5">
        <f>SUM(M41:M42)</f>
        <v>155915.1626571372</v>
      </c>
      <c r="V41" s="5">
        <f>SUM(N41:N42)</f>
        <v>0</v>
      </c>
      <c r="W41" s="73">
        <f>V41-U41</f>
        <v>-155915.1626571372</v>
      </c>
      <c r="X41" s="36">
        <f t="shared" ref="X41" si="30">W41/U41</f>
        <v>-1</v>
      </c>
    </row>
    <row r="42" spans="1:25" x14ac:dyDescent="0.2">
      <c r="A42" s="163">
        <v>5</v>
      </c>
      <c r="B42" s="163" t="s">
        <v>246</v>
      </c>
      <c r="D42" s="197" t="s">
        <v>286</v>
      </c>
      <c r="E42" s="168">
        <v>1.3125000000000002</v>
      </c>
      <c r="F42" s="169">
        <f>-1*E42/[0]!eatout_c_ivt</f>
        <v>75</v>
      </c>
      <c r="G42" s="168">
        <v>0</v>
      </c>
      <c r="H42" s="176">
        <f>-1*G42/[0]!eatout_c_ivt</f>
        <v>0</v>
      </c>
      <c r="I42" s="168">
        <f>J42*[0]!eatout_c_ivt*-1</f>
        <v>0</v>
      </c>
      <c r="J42" s="178">
        <f t="shared" si="29"/>
        <v>0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3"/>
        <v>#DIV/0!</v>
      </c>
      <c r="R42" s="12"/>
      <c r="S42" s="12"/>
      <c r="T42" s="248"/>
      <c r="U42" s="18"/>
      <c r="V42" s="18"/>
      <c r="W42" s="18"/>
      <c r="X42" s="18"/>
      <c r="Y42" s="161"/>
    </row>
    <row r="43" spans="1:25" x14ac:dyDescent="0.2">
      <c r="A43" s="163">
        <v>6</v>
      </c>
      <c r="B43" s="163" t="s">
        <v>244</v>
      </c>
      <c r="C43" s="19" t="s">
        <v>111</v>
      </c>
      <c r="D43" s="195" t="s">
        <v>281</v>
      </c>
      <c r="E43" s="164">
        <v>0.28200000000000003</v>
      </c>
      <c r="F43" s="165">
        <f>-1*E43/[0]!workbased_c_ivt</f>
        <v>15.000000000000002</v>
      </c>
      <c r="G43" s="164">
        <v>0</v>
      </c>
      <c r="H43" s="175">
        <f>-1*G43/[0]!workbased_c_ivt</f>
        <v>0</v>
      </c>
      <c r="I43" s="164">
        <f>J43*[0]!workbased_c_ivt*-1</f>
        <v>0</v>
      </c>
      <c r="J43" s="177">
        <f t="shared" si="2"/>
        <v>0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3"/>
        <v>#DIV/0!</v>
      </c>
      <c r="R43" s="1" t="s">
        <v>111</v>
      </c>
      <c r="S43" s="244" t="s">
        <v>343</v>
      </c>
      <c r="X43" s="244"/>
    </row>
    <row r="44" spans="1:25" x14ac:dyDescent="0.2">
      <c r="A44" s="163">
        <v>6</v>
      </c>
      <c r="B44" s="163" t="s">
        <v>244</v>
      </c>
      <c r="D44" s="196" t="s">
        <v>282</v>
      </c>
      <c r="E44" s="168">
        <v>0</v>
      </c>
      <c r="F44" s="169">
        <f>-1*E44/[0]!workbased_c_ivt</f>
        <v>0</v>
      </c>
      <c r="G44" s="168"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31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3"/>
        <v>#DIV/0!</v>
      </c>
      <c r="S44" s="245"/>
      <c r="X44" s="245"/>
    </row>
    <row r="45" spans="1:25" x14ac:dyDescent="0.2">
      <c r="A45" s="163">
        <v>6</v>
      </c>
      <c r="B45" s="163" t="s">
        <v>244</v>
      </c>
      <c r="D45" s="196" t="s">
        <v>283</v>
      </c>
      <c r="E45" s="168">
        <v>1.4100000000000001</v>
      </c>
      <c r="F45" s="169">
        <f>-1*E45/[0]!workbased_c_ivt</f>
        <v>75</v>
      </c>
      <c r="G45" s="168">
        <v>0</v>
      </c>
      <c r="H45" s="176">
        <f>-1*G45/[0]!workbased_c_ivt</f>
        <v>0</v>
      </c>
      <c r="I45" s="168">
        <f>J45*[0]!workbased_c_ivt*-1</f>
        <v>0</v>
      </c>
      <c r="J45" s="178">
        <f t="shared" si="31"/>
        <v>0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3"/>
        <v>#DIV/0!</v>
      </c>
      <c r="S45" s="245" t="s">
        <v>344</v>
      </c>
      <c r="X45" s="245"/>
    </row>
    <row r="46" spans="1:25" x14ac:dyDescent="0.2">
      <c r="A46" s="163">
        <v>6</v>
      </c>
      <c r="B46" s="163" t="s">
        <v>244</v>
      </c>
      <c r="D46" s="196" t="s">
        <v>284</v>
      </c>
      <c r="E46" s="168">
        <v>0</v>
      </c>
      <c r="F46" s="169">
        <f>-1*E46/[0]!workbased_c_ivt</f>
        <v>0</v>
      </c>
      <c r="G46" s="168">
        <v>0</v>
      </c>
      <c r="H46" s="176">
        <f>-1*G46/[0]!workbased_c_ivt</f>
        <v>0</v>
      </c>
      <c r="I46" s="168">
        <f>J46*[0]!workbased_c_ivt*-1</f>
        <v>0</v>
      </c>
      <c r="J46" s="178">
        <f t="shared" si="31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3"/>
        <v>#DIV/0!</v>
      </c>
      <c r="S46" s="245"/>
      <c r="X46" s="245"/>
    </row>
    <row r="47" spans="1:25" x14ac:dyDescent="0.2">
      <c r="A47" s="163">
        <v>6</v>
      </c>
      <c r="B47" s="163" t="s">
        <v>244</v>
      </c>
      <c r="D47" s="203" t="s">
        <v>279</v>
      </c>
      <c r="E47" s="198">
        <v>0</v>
      </c>
      <c r="F47" s="199">
        <f>[1]WorkBased!$E474</f>
        <v>0</v>
      </c>
      <c r="G47" s="198">
        <v>0</v>
      </c>
      <c r="H47" s="204">
        <f>-1*G47/[0]!workbased_c_ivt</f>
        <v>0</v>
      </c>
      <c r="I47" s="198">
        <f>J47*[0]!workbased_c_ivt*-1</f>
        <v>0</v>
      </c>
      <c r="J47" s="200">
        <f t="shared" si="31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3"/>
        <v>#DIV/0!</v>
      </c>
      <c r="S47" s="246" t="s">
        <v>345</v>
      </c>
      <c r="X47" s="245"/>
    </row>
    <row r="48" spans="1:25" x14ac:dyDescent="0.2">
      <c r="A48" s="163">
        <v>6</v>
      </c>
      <c r="B48" s="163" t="s">
        <v>244</v>
      </c>
      <c r="D48" s="203" t="s">
        <v>280</v>
      </c>
      <c r="E48" s="198">
        <v>0</v>
      </c>
      <c r="F48" s="199">
        <f>[1]WorkBased!$E475</f>
        <v>0</v>
      </c>
      <c r="G48" s="198">
        <v>0</v>
      </c>
      <c r="H48" s="204">
        <f>-1*G48/[0]!workbased_c_ivt</f>
        <v>0</v>
      </c>
      <c r="I48" s="198">
        <f>J48*[0]!workbased_c_ivt*-1</f>
        <v>0</v>
      </c>
      <c r="J48" s="200">
        <f t="shared" si="31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3"/>
        <v>#DIV/0!</v>
      </c>
      <c r="S48" s="245"/>
      <c r="X48" s="245"/>
    </row>
    <row r="49" spans="1:25" x14ac:dyDescent="0.2">
      <c r="A49" s="163">
        <v>6</v>
      </c>
      <c r="B49" s="163" t="s">
        <v>244</v>
      </c>
      <c r="D49" s="196" t="s">
        <v>285</v>
      </c>
      <c r="E49" s="168">
        <v>0.188</v>
      </c>
      <c r="F49" s="169">
        <v>0</v>
      </c>
      <c r="G49" s="168">
        <v>0</v>
      </c>
      <c r="H49" s="176">
        <f>-1*G49/[0]!workbased_c_ivt</f>
        <v>0</v>
      </c>
      <c r="I49" s="168">
        <f>J49*[0]!workbased_c_ivt*-1</f>
        <v>0</v>
      </c>
      <c r="J49" s="178">
        <f t="shared" ref="J49:J50" si="32">H49</f>
        <v>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3"/>
        <v>#DIV/0!</v>
      </c>
      <c r="S49" s="245" t="s">
        <v>346</v>
      </c>
      <c r="X49" s="245"/>
    </row>
    <row r="50" spans="1:25" x14ac:dyDescent="0.2">
      <c r="A50" s="163">
        <v>6</v>
      </c>
      <c r="B50" s="163" t="s">
        <v>244</v>
      </c>
      <c r="C50" s="18"/>
      <c r="D50" s="197" t="s">
        <v>286</v>
      </c>
      <c r="E50" s="172">
        <v>0</v>
      </c>
      <c r="F50" s="208">
        <v>0</v>
      </c>
      <c r="G50" s="172">
        <v>0</v>
      </c>
      <c r="H50" s="209">
        <f>-1*G50/[0]!workbased_c_ivt</f>
        <v>0</v>
      </c>
      <c r="I50" s="172">
        <f>J50*[0]!workbased_c_ivt*-1</f>
        <v>0</v>
      </c>
      <c r="J50" s="210">
        <f t="shared" si="32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3"/>
        <v>#DIV/0!</v>
      </c>
      <c r="R50" s="18"/>
      <c r="S50" s="12"/>
      <c r="T50" s="248"/>
      <c r="U50" s="18"/>
      <c r="V50" s="18"/>
      <c r="W50" s="18"/>
      <c r="X50" s="247"/>
    </row>
    <row r="51" spans="1:25" x14ac:dyDescent="0.2">
      <c r="C51" s="182" t="s">
        <v>278</v>
      </c>
      <c r="D51" s="211" t="s">
        <v>281</v>
      </c>
    </row>
    <row r="52" spans="1:25" x14ac:dyDescent="0.2">
      <c r="D52" s="212" t="s">
        <v>282</v>
      </c>
      <c r="J52" s="5"/>
      <c r="L52" s="166">
        <f t="shared" ref="L52:N59" si="33">SUM(L3,L11,L19,L27,L35,L43)</f>
        <v>198045.21426971196</v>
      </c>
      <c r="M52" s="167">
        <f t="shared" ref="M52" si="34">SUM(M3,M11,M19,M27,M35,M43)</f>
        <v>204369.458947815</v>
      </c>
      <c r="N52" s="167">
        <f t="shared" si="33"/>
        <v>0</v>
      </c>
      <c r="O52" s="84">
        <f t="shared" ref="O52:O59" si="35">N52-M52</f>
        <v>-204369.458947815</v>
      </c>
      <c r="P52" s="34">
        <f t="shared" ref="P52:P59" si="36">O52/M52</f>
        <v>-1</v>
      </c>
      <c r="R52" s="19" t="s">
        <v>349</v>
      </c>
      <c r="S52" s="244" t="s">
        <v>343</v>
      </c>
      <c r="T52" s="7">
        <f>SUM(L52:L53)</f>
        <v>278496.53857468767</v>
      </c>
      <c r="U52" s="7">
        <f>SUM(M52:M53)</f>
        <v>204369.458947815</v>
      </c>
      <c r="V52" s="7">
        <f>SUM(N52:N53)</f>
        <v>0</v>
      </c>
      <c r="W52" s="84">
        <f>V52-U52</f>
        <v>-204369.458947815</v>
      </c>
      <c r="X52" s="34">
        <f t="shared" ref="X52" si="37">W52/U52</f>
        <v>-1</v>
      </c>
    </row>
    <row r="53" spans="1:25" x14ac:dyDescent="0.2">
      <c r="D53" s="212" t="s">
        <v>283</v>
      </c>
      <c r="L53" s="170">
        <f t="shared" si="33"/>
        <v>80451.324304975686</v>
      </c>
      <c r="M53" s="194">
        <f t="shared" ref="M53" si="38">SUM(M4,M12,M20,M28,M36,M44)</f>
        <v>0</v>
      </c>
      <c r="N53" s="171">
        <f t="shared" si="33"/>
        <v>0</v>
      </c>
      <c r="O53" s="73">
        <f t="shared" si="35"/>
        <v>0</v>
      </c>
      <c r="P53" s="36" t="e">
        <f t="shared" si="36"/>
        <v>#DIV/0!</v>
      </c>
      <c r="S53" s="245"/>
      <c r="X53" s="245"/>
    </row>
    <row r="54" spans="1:25" x14ac:dyDescent="0.2">
      <c r="D54" s="212" t="s">
        <v>284</v>
      </c>
      <c r="J54" s="5"/>
      <c r="L54" s="170">
        <f t="shared" si="33"/>
        <v>370078.12376747857</v>
      </c>
      <c r="M54" s="194">
        <f t="shared" ref="M54" si="39">SUM(M5,M13,M21,M29,M37,M45)</f>
        <v>567297.34717205004</v>
      </c>
      <c r="N54" s="171">
        <f t="shared" si="33"/>
        <v>0</v>
      </c>
      <c r="O54" s="73">
        <f t="shared" si="35"/>
        <v>-567297.34717205004</v>
      </c>
      <c r="P54" s="36">
        <f t="shared" si="36"/>
        <v>-1</v>
      </c>
      <c r="S54" s="245" t="s">
        <v>344</v>
      </c>
      <c r="T54" s="5">
        <f>SUM(L54:L55)</f>
        <v>472722.00465649745</v>
      </c>
      <c r="U54" s="5">
        <f>SUM(M54:M55)</f>
        <v>567297.34717205004</v>
      </c>
      <c r="V54" s="5">
        <f>SUM(N54:N55)</f>
        <v>0</v>
      </c>
      <c r="W54" s="73">
        <f>V54-U54</f>
        <v>-567297.34717205004</v>
      </c>
      <c r="X54" s="36">
        <f t="shared" ref="X54" si="40">W54/U54</f>
        <v>-1</v>
      </c>
    </row>
    <row r="55" spans="1:25" x14ac:dyDescent="0.2">
      <c r="D55" s="213" t="s">
        <v>279</v>
      </c>
      <c r="L55" s="170">
        <f t="shared" si="33"/>
        <v>102643.88088901887</v>
      </c>
      <c r="M55" s="194">
        <f t="shared" ref="M55" si="41">SUM(M6,M14,M22,M30,M38,M46)</f>
        <v>0</v>
      </c>
      <c r="N55" s="171">
        <f t="shared" si="33"/>
        <v>0</v>
      </c>
      <c r="O55" s="73">
        <f t="shared" si="35"/>
        <v>0</v>
      </c>
      <c r="P55" s="36" t="e">
        <f t="shared" si="36"/>
        <v>#DIV/0!</v>
      </c>
      <c r="S55" s="245"/>
      <c r="X55" s="245"/>
    </row>
    <row r="56" spans="1:25" x14ac:dyDescent="0.2">
      <c r="D56" s="213" t="s">
        <v>280</v>
      </c>
      <c r="J56" s="5"/>
      <c r="L56" s="201">
        <f t="shared" si="33"/>
        <v>310473.88703795488</v>
      </c>
      <c r="M56" s="206">
        <f t="shared" ref="M56" si="42">SUM(M7,M15,M23,M31,M39,M47)</f>
        <v>467424.20911693003</v>
      </c>
      <c r="N56" s="206">
        <f t="shared" si="33"/>
        <v>0</v>
      </c>
      <c r="O56" s="207">
        <f t="shared" si="35"/>
        <v>-467424.20911693003</v>
      </c>
      <c r="P56" s="202">
        <f t="shared" si="36"/>
        <v>-1</v>
      </c>
      <c r="S56" s="246" t="s">
        <v>345</v>
      </c>
      <c r="T56" s="243">
        <f>SUM(L56:L57)</f>
        <v>322495.36227141856</v>
      </c>
      <c r="U56" s="243">
        <f>SUM(M56:M57)</f>
        <v>467424.20911693003</v>
      </c>
      <c r="V56" s="243">
        <f>SUM(N56:N57)</f>
        <v>0</v>
      </c>
      <c r="W56" s="207">
        <f>V56-U56</f>
        <v>-467424.20911693003</v>
      </c>
      <c r="X56" s="202">
        <f t="shared" ref="X56" si="43">W56/U56</f>
        <v>-1</v>
      </c>
    </row>
    <row r="57" spans="1:25" x14ac:dyDescent="0.2">
      <c r="D57" s="212" t="s">
        <v>285</v>
      </c>
      <c r="L57" s="201">
        <f t="shared" si="33"/>
        <v>12021.47523346366</v>
      </c>
      <c r="M57" s="206">
        <f t="shared" ref="M57" si="44">SUM(M8,M16,M24,M32,M40,M48)</f>
        <v>0</v>
      </c>
      <c r="N57" s="206">
        <f t="shared" si="33"/>
        <v>0</v>
      </c>
      <c r="O57" s="207">
        <f t="shared" si="35"/>
        <v>0</v>
      </c>
      <c r="P57" s="202" t="e">
        <f t="shared" si="36"/>
        <v>#DIV/0!</v>
      </c>
      <c r="S57" s="245"/>
      <c r="X57" s="245"/>
    </row>
    <row r="58" spans="1:25" x14ac:dyDescent="0.2">
      <c r="C58" s="18"/>
      <c r="D58" s="214" t="s">
        <v>286</v>
      </c>
      <c r="J58" s="5"/>
      <c r="L58" s="170">
        <f t="shared" si="33"/>
        <v>333825.42898780148</v>
      </c>
      <c r="M58" s="194">
        <f t="shared" ref="M58" si="45">SUM(M9,M17,M25,M33,M41,M49)</f>
        <v>525759.59581835475</v>
      </c>
      <c r="N58" s="194">
        <f t="shared" si="33"/>
        <v>0</v>
      </c>
      <c r="O58" s="73">
        <f t="shared" si="35"/>
        <v>-525759.59581835475</v>
      </c>
      <c r="P58" s="36">
        <f t="shared" si="36"/>
        <v>-1</v>
      </c>
      <c r="S58" s="245" t="s">
        <v>346</v>
      </c>
      <c r="T58" s="5">
        <f>SUM(L58:L59)</f>
        <v>357344.80080180633</v>
      </c>
      <c r="U58" s="5">
        <f>SUM(M58:M59)</f>
        <v>525759.59581835475</v>
      </c>
      <c r="V58" s="5">
        <f>SUM(N58:N59)</f>
        <v>0</v>
      </c>
      <c r="W58" s="73">
        <f>V58-U58</f>
        <v>-525759.59581835475</v>
      </c>
      <c r="X58" s="36">
        <f t="shared" ref="X58" si="46">W58/U58</f>
        <v>-1</v>
      </c>
    </row>
    <row r="59" spans="1:25" x14ac:dyDescent="0.2">
      <c r="L59" s="173">
        <f t="shared" si="33"/>
        <v>23519.371814004859</v>
      </c>
      <c r="M59" s="174">
        <f t="shared" ref="M59" si="47">SUM(M10,M18,M26,M34,M42,M50)</f>
        <v>0</v>
      </c>
      <c r="N59" s="174">
        <f t="shared" si="33"/>
        <v>0</v>
      </c>
      <c r="O59" s="72">
        <f t="shared" si="35"/>
        <v>0</v>
      </c>
      <c r="P59" s="39" t="e">
        <f t="shared" si="36"/>
        <v>#DIV/0!</v>
      </c>
      <c r="R59" s="18"/>
      <c r="S59" s="12"/>
      <c r="T59" s="248"/>
      <c r="U59" s="18"/>
      <c r="V59" s="18"/>
      <c r="W59" s="18"/>
      <c r="X59" s="18"/>
      <c r="Y59" s="161"/>
    </row>
    <row r="60" spans="1:25" x14ac:dyDescent="0.2">
      <c r="L60" s="5">
        <f>SUM(L52:L59)</f>
        <v>1431058.70630441</v>
      </c>
      <c r="M60" s="5">
        <f>SUM(M52:M59)</f>
        <v>1764850.6110551497</v>
      </c>
    </row>
  </sheetData>
  <mergeCells count="3">
    <mergeCell ref="L1:P1"/>
    <mergeCell ref="Z3:AE5"/>
    <mergeCell ref="R1:X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106" activePane="bottomLeft" state="frozen"/>
      <selection activeCell="M1" sqref="M1"/>
      <selection pane="bottomLeft" activeCell="M126" sqref="M126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6.2729698193651062</v>
      </c>
      <c r="AT4" s="45">
        <f ca="1">OFFSET(work_existing,1,0)</f>
        <v>3.1379324414007987</v>
      </c>
      <c r="AU4" s="46">
        <f ca="1">OFFSET(work_existing,2,0)</f>
        <v>-0.21944485628197907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5.1189753954142372</v>
      </c>
      <c r="AT5" s="48">
        <f ca="1">OFFSET(work_existing,4,0)</f>
        <v>1.4248603561307907</v>
      </c>
      <c r="AU5" s="49">
        <f ca="1">OFFSET(work_existing,5,0)</f>
        <v>-0.93492327148725085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-1.9169923773565345</v>
      </c>
      <c r="AT7" s="48">
        <f ca="1">OFFSET(work_existing,7,0)</f>
        <v>-0.35115119493492275</v>
      </c>
      <c r="AU7" s="49">
        <f ca="1">OFFSET(work_existing,8,0)</f>
        <v>-1.0801923962836759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-1.2062951665560318</v>
      </c>
      <c r="AU8" s="49">
        <f ca="1">OFFSET(work_existing,11,0)</f>
        <v>-1.5592525215333548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SUM(targets!I11:O15,targets!O24)</f>
        <v>544275.06796519051</v>
      </c>
      <c r="C9" s="5">
        <f>SUM(targets!J11:P15,targets!P24)</f>
        <v>514662.28230154887</v>
      </c>
      <c r="D9" s="10">
        <f>SUM(targets!K11:Q15,targets!Q24)</f>
        <v>557152.27042903425</v>
      </c>
      <c r="E9" s="5">
        <f t="shared" si="7"/>
        <v>1616089.6206957735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7.249682573192147</v>
      </c>
      <c r="AT9" s="48">
        <f ca="1">OFFSET(work_existing,13,0)</f>
        <v>1.4252889738036167</v>
      </c>
      <c r="AU9" s="49">
        <f ca="1">OFFSET(work_existing,14,0)</f>
        <v>-2.0809227680456805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SUM(targets!I16:O20,targets!O25)</f>
        <v>142228.28921116234</v>
      </c>
      <c r="C10" s="5">
        <f>SUM(targets!J16:P20,targets!P25)</f>
        <v>158506.23003679162</v>
      </c>
      <c r="D10" s="10">
        <f>SUM(targets!K16:Q20,targets!Q25)</f>
        <v>193440.67852809193</v>
      </c>
      <c r="E10" s="5">
        <f t="shared" si="7"/>
        <v>494175.19777604588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0.53304116577437599</v>
      </c>
      <c r="AU10" s="49">
        <f ca="1">OFFSET(work_existing,17,0)</f>
        <v>-2.5162425804656534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targets!O21</f>
        <v>95.345009500938488</v>
      </c>
      <c r="C11" s="240">
        <f>targets!P21</f>
        <v>64.330406956205863</v>
      </c>
      <c r="D11" s="222">
        <f>targets!Q21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4.6700532849127212</v>
      </c>
      <c r="AT11" s="48">
        <f ca="1">OFFSET(work_existing,19,0)</f>
        <v>-2.1603565150567876</v>
      </c>
      <c r="AU11" s="49">
        <f ca="1">OFFSET(work_existing,20,0)</f>
        <v>-4.484995842895473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targets!O22</f>
        <v>4429.5332020937713</v>
      </c>
      <c r="C12" s="240">
        <f>targets!P22</f>
        <v>1518.6086245394881</v>
      </c>
      <c r="D12" s="222">
        <f>targets!Q22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5.1905887187831814</v>
      </c>
      <c r="AT12" s="48">
        <f ca="1">OFFSET(work_existing,22,0)</f>
        <v>-0.6226974736145634</v>
      </c>
      <c r="AU12" s="49">
        <f ca="1">OFFSET(work_existing,23,0)</f>
        <v>-3.9793976975368217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targets!O23</f>
        <v>955.70299401868158</v>
      </c>
      <c r="C13" s="224">
        <f>targets!P23</f>
        <v>201.44461835462724</v>
      </c>
      <c r="D13" s="225">
        <f>targets!Q23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2.6108715524196224</v>
      </c>
      <c r="AT13" s="51">
        <f ca="1">OFFSET(work_existing,25,0)</f>
        <v>-1.8664358326709918</v>
      </c>
      <c r="AU13" s="52">
        <f ca="1">OFFSET(work_existing,26,0)</f>
        <v>-5.0490648026127545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741678.62451102783</v>
      </c>
      <c r="C14" s="5">
        <f>SUM(C4:C13)</f>
        <v>845217.15567032609</v>
      </c>
      <c r="D14" s="5">
        <f>SUM(D4:D13)</f>
        <v>2276531.0962722613</v>
      </c>
      <c r="E14" s="5">
        <f>SUM(B14:D14)</f>
        <v>3863426.8764536153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1.2608880993596563</v>
      </c>
      <c r="AT19" s="45">
        <f ca="1">OFFSET(university_existing,1,0)</f>
        <v>2.5045276894900903</v>
      </c>
      <c r="AU19" s="46">
        <f ca="1">OFFSET(university_existing,2,0)</f>
        <v>0.78841341726425862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-31.405421868572375</v>
      </c>
      <c r="AT20" s="48">
        <f ca="1">OFFSET(university_existing,4,0)</f>
        <v>4.0590501661132876</v>
      </c>
      <c r="AU20" s="49">
        <f ca="1">OFFSET(university_existing,5,0)</f>
        <v>-0.10525880722592745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-43.740534506643428</v>
      </c>
      <c r="AT22" s="48">
        <f ca="1">OFFSET(university_existing,7,0)</f>
        <v>0.55702017699133688</v>
      </c>
      <c r="AU22" s="49">
        <f ca="1">OFFSET(university_existing,8,0)</f>
        <v>-0.48219869422336836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-42.624990489070008</v>
      </c>
      <c r="AT23" s="48">
        <f ca="1">OFFSET(university_existing,10,0)</f>
        <v>-0.61209018058181708</v>
      </c>
      <c r="AU23" s="49">
        <f ca="1">OFFSET(university_existing,11,0)</f>
        <v>-1.6288271462222002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SUM(targets!I35:O39,targets!O48)</f>
        <v>67371.18403892839</v>
      </c>
      <c r="C24" s="5">
        <f>SUM(targets!J35:P39,targets!P48)</f>
        <v>51575.197212792336</v>
      </c>
      <c r="D24" s="10">
        <f>SUM(targets!K35:Q39,targets!Q48)</f>
        <v>48722.688124042885</v>
      </c>
      <c r="E24" s="92">
        <f t="shared" si="61"/>
        <v>167669.06937576362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3.3247644965402174</v>
      </c>
      <c r="AT24" s="48">
        <f ca="1">OFFSET(university_existing,13,0)</f>
        <v>8.8464008547332238</v>
      </c>
      <c r="AU24" s="49">
        <f ca="1">OFFSET(university_existing,14,0)</f>
        <v>0.14407522629676245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SUM(targets!I40:O44, targets!O49)</f>
        <v>6098.6337220929863</v>
      </c>
      <c r="C25" s="5">
        <f>SUM(targets!J40:P44, targets!P49)</f>
        <v>4086.8931388427641</v>
      </c>
      <c r="D25" s="10">
        <f>SUM(targets!K40:Q44, targets!Q49)</f>
        <v>4118.5991250139241</v>
      </c>
      <c r="E25" s="92">
        <f t="shared" si="61"/>
        <v>14304.125985949675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8.349588663340672</v>
      </c>
      <c r="AU25" s="49">
        <f ca="1">OFFSET(university_existing,17,0)</f>
        <v>-0.98645780218556578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targets!O45</f>
        <v>0</v>
      </c>
      <c r="C26" s="240">
        <f>targets!P45</f>
        <v>0</v>
      </c>
      <c r="D26" s="222">
        <f>targets!Q45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6.4845220535912729</v>
      </c>
      <c r="AU26" s="49">
        <f ca="1">OFFSET(university_existing,20,0)</f>
        <v>0.43767598393300017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targets!O46</f>
        <v>0</v>
      </c>
      <c r="C27" s="240">
        <f>targets!P46</f>
        <v>0</v>
      </c>
      <c r="D27" s="222">
        <f>targets!Q46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-10.676137427221992</v>
      </c>
      <c r="AT27" s="48">
        <f ca="1">OFFSET(university_existing,22,0)</f>
        <v>6.6422253593276448</v>
      </c>
      <c r="AU27" s="49">
        <f ca="1">OFFSET(university_existing,23,0)</f>
        <v>0.77954807261903292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targets!O47</f>
        <v>0</v>
      </c>
      <c r="C28" s="224">
        <f>targets!P47</f>
        <v>0</v>
      </c>
      <c r="D28" s="225">
        <f>targets!Q47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-14.729836472719608</v>
      </c>
      <c r="AT28" s="51">
        <f ca="1">OFFSET(university_existing,25,0)</f>
        <v>4.8142594101410943</v>
      </c>
      <c r="AU28" s="52">
        <f ca="1">OFFSET(university_existing,26,0)</f>
        <v>-0.39805094433082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79634.661905456451</v>
      </c>
      <c r="C29" s="5">
        <f>SUM(C19:C28)</f>
        <v>55798.475227346476</v>
      </c>
      <c r="D29" s="5">
        <f>SUM(D19:D28)</f>
        <v>75909.282410013824</v>
      </c>
      <c r="E29" s="5">
        <f>SUM(B29:D29)</f>
        <v>211342.41954281676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6.3993796174715216</v>
      </c>
      <c r="AT34" s="45">
        <f ca="1">OFFSET(school_existing,1,0)</f>
        <v>2.1051643912402112</v>
      </c>
      <c r="AU34" s="46">
        <f ca="1">OFFSET(school_existing,2,0)</f>
        <v>0.44192395753720504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0.50129212432596892</v>
      </c>
      <c r="AU35" s="49">
        <f ca="1">OFFSET(school_existing,5,0)</f>
        <v>-1.2214003392579784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1.8134281227050912</v>
      </c>
      <c r="AT37" s="48">
        <f ca="1">OFFSET(school_existing,7,0)</f>
        <v>0.43366687392471565</v>
      </c>
      <c r="AU37" s="49">
        <f ca="1">OFFSET(school_existing,8,0)</f>
        <v>-1.1937681905496664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2.5421558481015238</v>
      </c>
      <c r="AT38" s="48">
        <f ca="1">OFFSET(school_existing,10,0)</f>
        <v>1.4115980067948612</v>
      </c>
      <c r="AU38" s="49">
        <f ca="1">OFFSET(school_existing,11,0)</f>
        <v>-0.54465321234502873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SUM(targets!I59:O63, targets!O72)</f>
        <v>26700.980641578215</v>
      </c>
      <c r="C39" s="5">
        <f>SUM(targets!J59:P63, targets!P72)</f>
        <v>31448.376704579015</v>
      </c>
      <c r="D39" s="10">
        <f>SUM(targets!K59:Q63, targets!Q72)</f>
        <v>33366.53199746953</v>
      </c>
      <c r="E39" s="92">
        <f t="shared" si="119"/>
        <v>91515.889343626768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6.3632595428081382</v>
      </c>
      <c r="AT39" s="48">
        <f ca="1">OFFSET(school_existing,13,0)</f>
        <v>2.7950200957900235</v>
      </c>
      <c r="AU39" s="49">
        <f ca="1">OFFSET(school_existing,14,0)</f>
        <v>-0.34266236588790688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SUM(targets!I64:O68, targets!O73)</f>
        <v>11413.74552637208</v>
      </c>
      <c r="C40" s="5">
        <f>SUM(targets!J64:P68, targets!P73)</f>
        <v>15074.160221262988</v>
      </c>
      <c r="D40" s="10">
        <f>SUM(targets!K64:Q68, targets!Q73)</f>
        <v>13460.203594667219</v>
      </c>
      <c r="E40" s="92">
        <f t="shared" si="119"/>
        <v>39948.109342302283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4.7508739098177042</v>
      </c>
      <c r="AU40" s="49">
        <f ca="1">OFFSET(school_existing,17,0)</f>
        <v>1.5014426870579298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targets!O69</f>
        <v>0</v>
      </c>
      <c r="C41" s="240">
        <f>targets!P69</f>
        <v>0</v>
      </c>
      <c r="D41" s="222">
        <f>targets!Q69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0.28184039999534261</v>
      </c>
      <c r="AU41" s="49">
        <f ca="1">OFFSET(school_existing,20,0)</f>
        <v>-2.5669593489578419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targets!O70</f>
        <v>749.02954311744952</v>
      </c>
      <c r="C42" s="240">
        <f>targets!P70</f>
        <v>0</v>
      </c>
      <c r="D42" s="222">
        <f>targets!Q70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-7.0235290838524334</v>
      </c>
      <c r="AT42" s="48">
        <f ca="1">OFFSET(school_existing,22,0)</f>
        <v>0.85736594660611809</v>
      </c>
      <c r="AU42" s="49">
        <f ca="1">OFFSET(school_existing,23,0)</f>
        <v>-2.1334433614703663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targets!O71</f>
        <v>0</v>
      </c>
      <c r="C43" s="224">
        <f>targets!P71</f>
        <v>0</v>
      </c>
      <c r="D43" s="225">
        <f>targets!Q71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-6.7983840493851302</v>
      </c>
      <c r="AT43" s="51">
        <f ca="1">OFFSET(school_existing,25,0)</f>
        <v>0.11808074494863624</v>
      </c>
      <c r="AU43" s="52">
        <f ca="1">OFFSET(school_existing,26,0)</f>
        <v>-2.8682956350451771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47613.809717366406</v>
      </c>
      <c r="C44" s="5">
        <f>SUM(C34:C43)</f>
        <v>75243.154557321192</v>
      </c>
      <c r="D44" s="5">
        <f>SUM(D34:D43)</f>
        <v>290985.19061806874</v>
      </c>
      <c r="E44" s="5">
        <f>SUM(B44:D44)</f>
        <v>413842.15489275637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1.577325865687816</v>
      </c>
      <c r="AT49" s="45">
        <f ca="1">OFFSET(shopping_existing,1,0)</f>
        <v>2.5500710615922282</v>
      </c>
      <c r="AU49" s="46">
        <f ca="1">OFFSET(shopping_existing,2,0)</f>
        <v>1.9431761346474106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-1.7366540882323533E-2</v>
      </c>
      <c r="AT50" s="48">
        <f ca="1">OFFSET(shopping_existing,4,0)</f>
        <v>6.2182802486794281E-2</v>
      </c>
      <c r="AU50" s="49">
        <f ca="1">OFFSET(shopping_existing,5,0)</f>
        <v>-1.4839293365657247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-1.4319945727473127</v>
      </c>
      <c r="AT52" s="48">
        <f ca="1">OFFSET(shopping_existing,7,0)</f>
        <v>0.88700714334679787</v>
      </c>
      <c r="AU52" s="49">
        <f ca="1">OFFSET(shopping_existing,8,0)</f>
        <v>0.70599617144003857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-1.7958631667569529</v>
      </c>
      <c r="AT53" s="48">
        <f ca="1">OFFSET(shopping_existing,10,0)</f>
        <v>1.0642861726414936</v>
      </c>
      <c r="AU53" s="49">
        <f ca="1">OFFSET(shopping_existing,11,0)</f>
        <v>0.55909458214101626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SUM(targets!I83:O87, targets!O96)</f>
        <v>251816.4215489387</v>
      </c>
      <c r="C54" s="5">
        <f>SUM(targets!J83:P87, targets!P96)</f>
        <v>217645.036715055</v>
      </c>
      <c r="D54" s="10">
        <f>SUM(targets!K83:Q87, targets!Q96)</f>
        <v>264481.61430153484</v>
      </c>
      <c r="E54" s="92">
        <f t="shared" si="184"/>
        <v>733943.07256552856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3.6358887906785036</v>
      </c>
      <c r="AT54" s="48">
        <f ca="1">OFFSET(shopping_existing,13,0)</f>
        <v>0.15690495264132095</v>
      </c>
      <c r="AU54" s="49">
        <f ca="1">OFFSET(shopping_existing,14,0)</f>
        <v>-1.6595498119666381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SUM(targets!I88:O92, targets!O97)</f>
        <v>16552.855104870378</v>
      </c>
      <c r="C55" s="5">
        <f>SUM(targets!J88:P92, targets!P97)</f>
        <v>13273.480317154856</v>
      </c>
      <c r="D55" s="10">
        <f>SUM(targets!K88:Q92, targets!Q97)</f>
        <v>14713.210924222809</v>
      </c>
      <c r="E55" s="92">
        <f t="shared" si="184"/>
        <v>44539.54634624804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0.2745878148497114</v>
      </c>
      <c r="AU55" s="49">
        <f ca="1">OFFSET(shopping_existing,17,0)</f>
        <v>-2.0868743029797789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targets!O93</f>
        <v>364.48025120884915</v>
      </c>
      <c r="C56" s="240">
        <f>targets!P93</f>
        <v>0</v>
      </c>
      <c r="D56" s="222">
        <f>targets!Q93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0.37747431280016519</v>
      </c>
      <c r="AT56" s="48">
        <f ca="1">OFFSET(shopping_existing,19,0)</f>
        <v>-0.20343406377716192</v>
      </c>
      <c r="AU56" s="49">
        <f ca="1">OFFSET(shopping_existing,20,0)</f>
        <v>-2.2797491205650484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targets!O94</f>
        <v>5859.8830893171798</v>
      </c>
      <c r="C57" s="240">
        <f>targets!P94</f>
        <v>6749.0997714719451</v>
      </c>
      <c r="D57" s="222">
        <f>targets!Q94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0.93560216615044656</v>
      </c>
      <c r="AT57" s="48">
        <f ca="1">OFFSET(shopping_existing,22,0)</f>
        <v>0.16275080443243242</v>
      </c>
      <c r="AU57" s="49">
        <f ca="1">OFFSET(shopping_existing,23,0)</f>
        <v>-2.0154708928296126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targets!O95</f>
        <v>19.460105202643724</v>
      </c>
      <c r="C58" s="224">
        <f>targets!P95</f>
        <v>0</v>
      </c>
      <c r="D58" s="225">
        <f>targets!Q95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0.22114732457021613</v>
      </c>
      <c r="AT58" s="51">
        <f ca="1">OFFSET(shopping_existing,25,0)</f>
        <v>-0.83971689670473904</v>
      </c>
      <c r="AU58" s="52">
        <f ca="1">OFFSET(shopping_existing,26,0)</f>
        <v>-2.9488051270202056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383359.43692360917</v>
      </c>
      <c r="C59" s="5">
        <f>SUM(C49:C58)</f>
        <v>449129.12486697943</v>
      </c>
      <c r="D59" s="5">
        <f>SUM(D49:D58)</f>
        <v>2869666.6771640792</v>
      </c>
      <c r="E59" s="5">
        <f>SUM(B59:D59)</f>
        <v>3702155.2389546679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2.0941970500428457</v>
      </c>
      <c r="AT64" s="45">
        <f ca="1">OFFSET(othdisc_existing,1,0)</f>
        <v>3.2046749321462058</v>
      </c>
      <c r="AU64" s="46">
        <f ca="1">OFFSET(othdisc_existing,2,0)</f>
        <v>3.4232145405083902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0.54330964007859994</v>
      </c>
      <c r="AT65" s="48">
        <f ca="1">OFFSET(othdisc_existing,4,0)</f>
        <v>1.2537112794826661</v>
      </c>
      <c r="AU65" s="49">
        <f ca="1">OFFSET(othdisc_existing,5,0)</f>
        <v>0.13009144976290485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0.87283818671780877</v>
      </c>
      <c r="AT67" s="48">
        <f ca="1">OFFSET(othdisc_existing,7,0)</f>
        <v>0.13097645286901741</v>
      </c>
      <c r="AU67" s="49">
        <f ca="1">OFFSET(othdisc_existing,8,0)</f>
        <v>0.42073603291769945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0.15235960158769707</v>
      </c>
      <c r="AT68" s="48">
        <f ca="1">OFFSET(othdisc_existing,10,0)</f>
        <v>0.22047943233070705</v>
      </c>
      <c r="AU68" s="49">
        <f ca="1">OFFSET(othdisc_existing,11,0)</f>
        <v>0.21474387876082696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SUM(targets!I107:O111,targets!O120)</f>
        <v>259535.95973483991</v>
      </c>
      <c r="C69" s="5">
        <f>SUM(targets!J107:P111,targets!P120)</f>
        <v>227710.97468285897</v>
      </c>
      <c r="D69" s="10">
        <f>SUM(targets!K107:Q111,targets!Q120)</f>
        <v>267616.98155587347</v>
      </c>
      <c r="E69" s="92">
        <f t="shared" si="249"/>
        <v>754863.91597357229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3.2903906695416016</v>
      </c>
      <c r="AT69" s="48">
        <f ca="1">OFFSET(othdisc_existing,13,0)</f>
        <v>0.77694663018161825</v>
      </c>
      <c r="AU69" s="49">
        <f ca="1">OFFSET(othdisc_existing,14,0)</f>
        <v>-0.79276472009081977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SUM(targets!I112:O116,targets!O121)</f>
        <v>51375.092347715734</v>
      </c>
      <c r="C70" s="5">
        <f>SUM(targets!J112:P116,targets!P121)</f>
        <v>39852.962834883685</v>
      </c>
      <c r="D70" s="10">
        <f>SUM(targets!K112:Q116,targets!Q121)</f>
        <v>46487.572247977056</v>
      </c>
      <c r="E70" s="92">
        <f t="shared" si="249"/>
        <v>137715.62743057648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1.4588924416737816</v>
      </c>
      <c r="AU70" s="49">
        <f ca="1">OFFSET(othdisc_existing,17,0)</f>
        <v>-0.8580620532920985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targets!O117</f>
        <v>0</v>
      </c>
      <c r="C71" s="240">
        <f>targets!P117</f>
        <v>823.85052294169554</v>
      </c>
      <c r="D71" s="222">
        <f>targets!Q117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1.6409408718006144</v>
      </c>
      <c r="AT71" s="48">
        <f ca="1">OFFSET(othdisc_existing,19,0)</f>
        <v>-2.2194071272060238</v>
      </c>
      <c r="AU71" s="49">
        <f ca="1">OFFSET(othdisc_existing,20,0)</f>
        <v>-2.7423561604218993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targets!O118</f>
        <v>2875.1855718271609</v>
      </c>
      <c r="C72" s="240">
        <f>targets!P118</f>
        <v>648.89823554201155</v>
      </c>
      <c r="D72" s="222">
        <f>targets!Q118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1.8210868785543322</v>
      </c>
      <c r="AT72" s="48">
        <f ca="1">OFFSET(othdisc_existing,22,0)</f>
        <v>-2.9737096505281095</v>
      </c>
      <c r="AU72" s="49">
        <f ca="1">OFFSET(othdisc_existing,23,0)</f>
        <v>-2.5751169986880673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targets!O119</f>
        <v>133.73836094489994</v>
      </c>
      <c r="C73" s="224">
        <f>targets!P119</f>
        <v>0</v>
      </c>
      <c r="D73" s="225">
        <f>targets!Q119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0.57211264599078315</v>
      </c>
      <c r="AT73" s="51">
        <f ca="1">OFFSET(othdisc_existing,25,0)</f>
        <v>-3.5916873881677764</v>
      </c>
      <c r="AU73" s="52">
        <f ca="1">OFFSET(othdisc_existing,26,0)</f>
        <v>-3.56764728492029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491855.3388514659</v>
      </c>
      <c r="C74" s="5">
        <f>SUM(C64:C73)</f>
        <v>447254.99785084021</v>
      </c>
      <c r="D74" s="5">
        <f>SUM(D64:D73)</f>
        <v>2442050.1848777412</v>
      </c>
      <c r="E74" s="5">
        <f>SUM(B74:D74)</f>
        <v>3381160.521580047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7.1197465639503301</v>
      </c>
      <c r="AT79" s="45">
        <f ca="1">OFFSET(workbased_existing,1,0)</f>
        <v>1.2108371910098052</v>
      </c>
      <c r="AU79" s="46">
        <f ca="1">OFFSET(workbased_existing,2,0)</f>
        <v>1.3612428862818113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8.5108103037999658</v>
      </c>
      <c r="AT80" s="48">
        <f ca="1">OFFSET(workbased_existing,4,0)</f>
        <v>1.885270389286043</v>
      </c>
      <c r="AU80" s="49">
        <f ca="1">OFFSET(workbased_existing,5,0)</f>
        <v>17.316655665906183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-2.3242709904101955</v>
      </c>
      <c r="AU82" s="49">
        <f ca="1">OFFSET(workbased_existing,8,0)</f>
        <v>-1.6242634085662888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0.26168550270483126</v>
      </c>
      <c r="AT83" s="48">
        <f ca="1">OFFSET(workbased_existing,10,0)</f>
        <v>-3.4990192286714681</v>
      </c>
      <c r="AU83" s="49">
        <f ca="1">OFFSET(workbased_existing,11,0)</f>
        <v>-2.0734827762823427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SUM(targets!I131:O135,targets!O144)</f>
        <v>11560.385139691192</v>
      </c>
      <c r="C84" s="5">
        <f>SUM(targets!J131:P135,targets!P144)</f>
        <v>13409.187887226777</v>
      </c>
      <c r="D84" s="10">
        <f>SUM(targets!K131:Q135,targets!Q144)</f>
        <v>14163.521582525715</v>
      </c>
      <c r="E84" s="92">
        <f t="shared" si="314"/>
        <v>39133.09460944368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3.1408594066222126</v>
      </c>
      <c r="AT84" s="48">
        <f ca="1">OFFSET(workbased_existing,13,0)</f>
        <v>-3.5321898100168574</v>
      </c>
      <c r="AU84" s="49">
        <f ca="1">OFFSET(workbased_existing,14,0)</f>
        <v>-4.3625261666867043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SUM(targets!I136:O140,targets!O145)</f>
        <v>3567.6878627384026</v>
      </c>
      <c r="C85" s="5">
        <f>SUM(targets!J136:P140,targets!P145)</f>
        <v>3567.6878627384026</v>
      </c>
      <c r="D85" s="10">
        <f>SUM(targets!K136:Q140,targets!Q145)</f>
        <v>5351.5317941076037</v>
      </c>
      <c r="E85" s="92">
        <f t="shared" si="314"/>
        <v>12486.907519584409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targets!O141</f>
        <v>0</v>
      </c>
      <c r="C86" s="240">
        <f>targets!P141</f>
        <v>0</v>
      </c>
      <c r="D86" s="222">
        <f>targets!Q141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4.6411312891865695</v>
      </c>
      <c r="AT86" s="48">
        <f ca="1">OFFSET(workbased_existing,19,0)</f>
        <v>-5.1074846180568114</v>
      </c>
      <c r="AU86" s="49">
        <f ca="1">OFFSET(workbased_existing,20,0)</f>
        <v>-3.5706545786754171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targets!O142</f>
        <v>0</v>
      </c>
      <c r="C87" s="240">
        <f>targets!P142</f>
        <v>1854.3809722822045</v>
      </c>
      <c r="D87" s="222">
        <f>targets!Q142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4.6393651095492316</v>
      </c>
      <c r="AT87" s="48">
        <f ca="1">OFFSET(workbased_existing,22,0)</f>
        <v>-4.1424580723264972</v>
      </c>
      <c r="AU87" s="49">
        <f ca="1">OFFSET(workbased_existing,23,0)</f>
        <v>-3.4522188560187574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targets!O143</f>
        <v>0</v>
      </c>
      <c r="C88" s="224">
        <f>targets!P143</f>
        <v>0</v>
      </c>
      <c r="D88" s="225">
        <f>targets!Q143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3.1086641020583787</v>
      </c>
      <c r="AT88" s="51">
        <f ca="1">OFFSET(workbased_existing,25,0)</f>
        <v>-5.5017657165090315</v>
      </c>
      <c r="AU88" s="52">
        <f ca="1">OFFSET(workbased_existing,26,0)</f>
        <v>-4.3546361938931639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41422.112206983969</v>
      </c>
      <c r="C89" s="5">
        <f>SUM(C79:C88)</f>
        <v>53695.762898258268</v>
      </c>
      <c r="D89" s="5">
        <f>SUM(D79:D88)</f>
        <v>303546.20137264725</v>
      </c>
      <c r="E89" s="5">
        <f>SUM(B89:D89)</f>
        <v>398664.0764778895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-7.5927750116185742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1.1279064343597331</v>
      </c>
      <c r="AT97" s="48">
        <f ca="1">OFFSET(joint_existing,7,0)</f>
        <v>1.7942435719105556</v>
      </c>
      <c r="AU97" s="49">
        <f ca="1">OFFSET(joint_existing,8,0)</f>
        <v>0.36718430827121318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1.376360157302887</v>
      </c>
      <c r="AT98" s="48">
        <f ca="1">OFFSET(joint_existing,10,0)</f>
        <v>-2.4868225477082002</v>
      </c>
      <c r="AU98" s="49">
        <f ca="1">OFFSET(joint_existing,11,0)</f>
        <v>-2.3150366951619445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SUM(targets!I155:O159,targets!O168)</f>
        <v>8466.7660131369339</v>
      </c>
      <c r="C99" s="92">
        <f>SUM(targets!J155:P159,targets!P168)</f>
        <v>7257.4971122740353</v>
      </c>
      <c r="D99" s="93">
        <f>SUM(targets!K155:Q159,targets!Q168)</f>
        <v>8819.7062135826018</v>
      </c>
      <c r="E99" s="92">
        <f t="shared" si="379"/>
        <v>24543.969338993571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-1.5252089464233847</v>
      </c>
      <c r="AT99" s="48">
        <f ca="1">OFFSET(joint_existing,13,0)</f>
        <v>-6.2606050432642473</v>
      </c>
      <c r="AU99" s="49">
        <f ca="1">OFFSET(joint_existing,14,0)</f>
        <v>-7.4530509448000402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SUM(targets!I160:O164,targets!O169)</f>
        <v>3409.2189871880601</v>
      </c>
      <c r="C100" s="92">
        <f>SUM(targets!J160:P164,targets!P169)</f>
        <v>3409.2189871880601</v>
      </c>
      <c r="D100" s="93">
        <f>SUM(targets!K160:Q164,targets!Q169)</f>
        <v>5113.8284807820901</v>
      </c>
      <c r="E100" s="92">
        <f t="shared" si="379"/>
        <v>11932.266455158209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-5.6369494640971141</v>
      </c>
      <c r="AU100" s="49">
        <f ca="1">OFFSET(joint_existing,17,0)</f>
        <v>-7.0277331325007699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targets!O165</f>
        <v>0</v>
      </c>
      <c r="C101" s="5">
        <f>targets!P165</f>
        <v>0</v>
      </c>
      <c r="D101" s="10">
        <f>targets!Q165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targets!O166</f>
        <v>1795.1151372029492</v>
      </c>
      <c r="C102" s="185">
        <f>targets!P166</f>
        <v>859.59790559907447</v>
      </c>
      <c r="D102" s="187">
        <f>targets!Q166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-4.4134283216526349</v>
      </c>
      <c r="AT102" s="48">
        <f ca="1">OFFSET(joint_existing,22,0)</f>
        <v>-10.017201900303833</v>
      </c>
      <c r="AU102" s="49">
        <f ca="1">OFFSET(joint_existing,23,0)</f>
        <v>-14.037422335698274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targets!O167</f>
        <v>0</v>
      </c>
      <c r="C103" s="189">
        <f>targets!P167</f>
        <v>0</v>
      </c>
      <c r="D103" s="190">
        <f>targets!Q167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-4.3461008202644162</v>
      </c>
      <c r="AT103" s="51">
        <f ca="1">OFFSET(joint_existing,25,0)</f>
        <v>-10.988457501519241</v>
      </c>
      <c r="AU103" s="52">
        <f ca="1">OFFSET(joint_existing,26,0)</f>
        <v>-13.169368735415667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66510.290525637261</v>
      </c>
      <c r="C104" s="5">
        <f>SUM(C94:C103)</f>
        <v>80901.970129655689</v>
      </c>
      <c r="D104" s="5">
        <f>SUM(D94:D103)</f>
        <v>867765.54490117822</v>
      </c>
      <c r="E104" s="5">
        <f>SUM(B104:D104)</f>
        <v>1015177.8055564712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0.12175003947685914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7.1197465639503301</v>
      </c>
      <c r="AT109" s="45">
        <f ca="1">OFFSET(workbased_existing,1,0)</f>
        <v>1.2108371910098052</v>
      </c>
      <c r="AU109" s="46">
        <f ca="1">OFFSET(workbased_existing,2,0)</f>
        <v>1.3612428862818113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1.9916169415382504E-2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8.5108103037999658</v>
      </c>
      <c r="AT110" s="48">
        <f ca="1">OFFSET(workbased_existing,4,0)</f>
        <v>1.885270389286043</v>
      </c>
      <c r="AU110" s="49">
        <f ca="1">OFFSET(workbased_existing,5,0)</f>
        <v>17.316655665906183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0.22515681297966519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0.17085780090010855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-2.3242709904101955</v>
      </c>
      <c r="AU112" s="49">
        <f ca="1">OFFSET(workbased_existing,8,0)</f>
        <v>-1.6242634085662888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0.13520603286060609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0.26168550270483126</v>
      </c>
      <c r="AT113" s="48">
        <f ca="1">OFFSET(workbased_existing,10,0)</f>
        <v>-3.4990192286714681</v>
      </c>
      <c r="AU113" s="49">
        <f ca="1">OFFSET(workbased_existing,11,0)</f>
        <v>-2.0734827762823427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1169726.7650823037</v>
      </c>
      <c r="C114" s="92">
        <f t="shared" si="470"/>
        <v>1063708.5526163348</v>
      </c>
      <c r="D114" s="93">
        <f t="shared" si="470"/>
        <v>1194323.3142040633</v>
      </c>
      <c r="E114" s="92">
        <f t="shared" si="446"/>
        <v>3427758.6319027017</v>
      </c>
      <c r="F114" s="184">
        <f>E114/E$119</f>
        <v>0.26396269695180979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3.1408594066222126</v>
      </c>
      <c r="AT114" s="48">
        <f ca="1">OFFSET(workbased_existing,13,0)</f>
        <v>-3.5321898100168574</v>
      </c>
      <c r="AU114" s="49">
        <f ca="1">OFFSET(workbased_existing,14,0)</f>
        <v>-4.3625261666867043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234645.52276214</v>
      </c>
      <c r="C115" s="92">
        <f t="shared" si="473"/>
        <v>237770.63339886238</v>
      </c>
      <c r="D115" s="93">
        <f t="shared" si="473"/>
        <v>282685.62469486264</v>
      </c>
      <c r="E115" s="92">
        <f t="shared" si="446"/>
        <v>755101.78085586498</v>
      </c>
      <c r="F115" s="184">
        <f t="shared" ref="F115:F118" si="474">E115/E$119</f>
        <v>5.8148406568869028E-2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2.7546601539953926E-4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4.6411312891865695</v>
      </c>
      <c r="AT116" s="48">
        <f ca="1">OFFSET(workbased_existing,19,0)</f>
        <v>-5.1074846180568114</v>
      </c>
      <c r="AU116" s="49">
        <f ca="1">OFFSET(workbased_existing,20,0)</f>
        <v>-3.5706545786754171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4.4960131878119137E-3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4.6393651095492316</v>
      </c>
      <c r="AT117" s="48">
        <f ca="1">OFFSET(workbased_existing,22,0)</f>
        <v>-4.1424580723264972</v>
      </c>
      <c r="AU117" s="49">
        <f ca="1">OFFSET(workbased_existing,23,0)</f>
        <v>-3.4522188560187574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2.3056164348817209E-4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3.1086641020583787</v>
      </c>
      <c r="AT118" s="51">
        <f ca="1">OFFSET(workbased_existing,25,0)</f>
        <v>-5.5017657165090315</v>
      </c>
      <c r="AU118" s="52">
        <f ca="1">OFFSET(workbased_existing,26,0)</f>
        <v>-4.3546361938931639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1852074.2746415469</v>
      </c>
      <c r="C119" s="5">
        <f>SUM(C109:C118)</f>
        <v>2007240.6412007269</v>
      </c>
      <c r="D119" s="5">
        <f>SUM(D109:D118)</f>
        <v>9126454.1776159909</v>
      </c>
      <c r="E119" s="5">
        <f>SUM(B119:D119)</f>
        <v>12985769.093458265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workbookViewId="0">
      <pane ySplit="1" topLeftCell="A13" activePane="bottomLeft" state="frozen"/>
      <selection activeCell="J1" sqref="J1"/>
      <selection pane="bottomLeft" activeCell="A33" sqref="A33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targets!I11+targets!I17</f>
        <v>52490.011453222069</v>
      </c>
      <c r="C4" s="92">
        <f>targets!J11+targets!J17</f>
        <v>22279.245225132956</v>
      </c>
      <c r="D4" s="92">
        <f>targets!K11+targets!K17</f>
        <v>46369.466613094861</v>
      </c>
      <c r="E4" s="92">
        <f>SUM(B4:D4)</f>
        <v>121138.72329144989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0.62423428742710219</v>
      </c>
      <c r="O4" s="26">
        <f>C4/C12</f>
        <v>0.31495611692811898</v>
      </c>
      <c r="P4" s="27">
        <f>D4/D12</f>
        <v>0.31098405761601683</v>
      </c>
      <c r="Q4" s="23">
        <f>E4/E12</f>
        <v>0.39857407754200941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-52490.011453222069</v>
      </c>
      <c r="AA4" s="84">
        <f t="shared" ref="AA4:AA12" si="0">I4-C4</f>
        <v>-22279.245225132956</v>
      </c>
      <c r="AB4" s="85">
        <f t="shared" ref="AB4:AB12" si="1">J4-D4</f>
        <v>-46369.466613094861</v>
      </c>
      <c r="AC4" s="73">
        <f t="shared" ref="AC4:AC12" si="2">K4-E4</f>
        <v>-121138.72329144989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-0.31815115275807759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0.62423428742710219</v>
      </c>
      <c r="AR4" s="58" t="e">
        <f>T4</f>
        <v>#DIV/0!</v>
      </c>
      <c r="AS4" s="57">
        <f>O4</f>
        <v>0.31495611692811898</v>
      </c>
      <c r="AT4" s="59" t="e">
        <f>U4</f>
        <v>#DIV/0!</v>
      </c>
      <c r="AU4" s="58">
        <f>P4</f>
        <v>0.31098405761601683</v>
      </c>
      <c r="AV4" s="58" t="e">
        <f>V4</f>
        <v>#DIV/0!</v>
      </c>
      <c r="AW4" s="57">
        <f>Q4</f>
        <v>0.39857407754200941</v>
      </c>
      <c r="AX4" s="59" t="e">
        <f>W4</f>
        <v>#DIV/0!</v>
      </c>
    </row>
    <row r="5" spans="1:50" x14ac:dyDescent="0.2">
      <c r="A5" s="1" t="s">
        <v>131</v>
      </c>
      <c r="B5" s="92">
        <f>targets!I12</f>
        <v>12940.161957477872</v>
      </c>
      <c r="C5" s="92">
        <f>targets!J12</f>
        <v>8403.0625911078969</v>
      </c>
      <c r="D5" s="92">
        <f>targets!K12</f>
        <v>7295.932738406419</v>
      </c>
      <c r="E5" s="92">
        <f t="shared" ref="E5:E12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0.15389009365936521</v>
      </c>
      <c r="O5" s="25">
        <f>C5/C12</f>
        <v>0.11879199395021189</v>
      </c>
      <c r="P5" s="28">
        <f>D5/D12</f>
        <v>4.8931310468048744E-2</v>
      </c>
      <c r="Q5" s="23">
        <f>E5/E12</f>
        <v>9.4229370981401953E-2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0.45186680543860891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0.15389009365936521</v>
      </c>
      <c r="AR5" s="60" t="e">
        <f t="shared" ref="AR5:AR11" si="13">T5</f>
        <v>#DIV/0!</v>
      </c>
      <c r="AS5" s="61">
        <f t="shared" ref="AS5:AS11" si="14">O5</f>
        <v>0.11879199395021189</v>
      </c>
      <c r="AT5" s="62" t="e">
        <f t="shared" ref="AT5:AT11" si="15">U5</f>
        <v>#DIV/0!</v>
      </c>
      <c r="AU5" s="60">
        <f t="shared" ref="AU5:AU11" si="16">P5</f>
        <v>4.8931310468048744E-2</v>
      </c>
      <c r="AV5" s="60" t="e">
        <f t="shared" ref="AV5:AV11" si="17">V5</f>
        <v>#DIV/0!</v>
      </c>
      <c r="AW5" s="61">
        <f t="shared" ref="AW5:AW11" si="18">Q5</f>
        <v>9.4229370981401953E-2</v>
      </c>
      <c r="AX5" s="62" t="e">
        <f t="shared" ref="AX5:AX11" si="19">W5</f>
        <v>#DIV/0!</v>
      </c>
    </row>
    <row r="6" spans="1:50" x14ac:dyDescent="0.2">
      <c r="A6" s="1" t="s">
        <v>320</v>
      </c>
      <c r="B6" s="92">
        <f>targets!I18</f>
        <v>0</v>
      </c>
      <c r="C6" s="92">
        <f>targets!J18</f>
        <v>0</v>
      </c>
      <c r="D6" s="92">
        <f>targets!K18</f>
        <v>1067.7793770498074</v>
      </c>
      <c r="E6" s="92">
        <f t="shared" si="6"/>
        <v>1067.7793770498074</v>
      </c>
      <c r="G6" s="1" t="s">
        <v>320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320</v>
      </c>
      <c r="N6" s="23">
        <f>B6/B12</f>
        <v>0</v>
      </c>
      <c r="O6" s="25">
        <f>C6/C12</f>
        <v>0</v>
      </c>
      <c r="P6" s="28">
        <f>D6/D12</f>
        <v>7.1612288768462254E-3</v>
      </c>
      <c r="Q6" s="23">
        <f>E6/E12</f>
        <v>3.5132381179391794E-3</v>
      </c>
      <c r="S6" s="1" t="s">
        <v>320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320</v>
      </c>
      <c r="Z6" s="86">
        <f t="shared" si="8"/>
        <v>0</v>
      </c>
      <c r="AA6" s="73">
        <f t="shared" si="0"/>
        <v>0</v>
      </c>
      <c r="AB6" s="87">
        <f t="shared" si="1"/>
        <v>-1067.7793770498074</v>
      </c>
      <c r="AC6" s="73">
        <f t="shared" si="2"/>
        <v>-1067.7793770498074</v>
      </c>
      <c r="AE6" s="1" t="s">
        <v>320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320</v>
      </c>
      <c r="AL6" s="47">
        <f>constants!C59</f>
        <v>1.4021026707285751</v>
      </c>
      <c r="AM6" s="48" t="e">
        <f t="shared" si="10"/>
        <v>#DIV/0!</v>
      </c>
      <c r="AN6" s="49" t="e">
        <f t="shared" si="11"/>
        <v>#DIV/0!</v>
      </c>
      <c r="AO6" s="32"/>
      <c r="AP6" s="1" t="s">
        <v>320</v>
      </c>
      <c r="AQ6" s="61">
        <f t="shared" si="12"/>
        <v>0</v>
      </c>
      <c r="AR6" s="60" t="e">
        <f t="shared" si="13"/>
        <v>#DIV/0!</v>
      </c>
      <c r="AS6" s="61">
        <f t="shared" si="14"/>
        <v>0</v>
      </c>
      <c r="AT6" s="62" t="e">
        <f t="shared" si="15"/>
        <v>#DIV/0!</v>
      </c>
      <c r="AU6" s="60">
        <f t="shared" si="16"/>
        <v>7.1612288768462254E-3</v>
      </c>
      <c r="AV6" s="60" t="e">
        <f t="shared" si="17"/>
        <v>#DIV/0!</v>
      </c>
      <c r="AW6" s="61">
        <f t="shared" si="18"/>
        <v>3.5132381179391794E-3</v>
      </c>
      <c r="AX6" s="62" t="e">
        <f t="shared" si="19"/>
        <v>#DIV/0!</v>
      </c>
    </row>
    <row r="7" spans="1:50" x14ac:dyDescent="0.2">
      <c r="A7" s="1" t="s">
        <v>321</v>
      </c>
      <c r="B7" s="92">
        <f>targets!I24</f>
        <v>27.264448434744551</v>
      </c>
      <c r="C7" s="92">
        <f>targets!J24</f>
        <v>0</v>
      </c>
      <c r="D7" s="92">
        <f>targets!K24</f>
        <v>1061.3765631008355</v>
      </c>
      <c r="E7" s="92">
        <f t="shared" si="6"/>
        <v>1088.64101153558</v>
      </c>
      <c r="G7" s="1" t="s">
        <v>321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321</v>
      </c>
      <c r="N7" s="23">
        <f t="shared" ref="N7:Q8" si="20">B7/B$12</f>
        <v>3.2424080447997331E-4</v>
      </c>
      <c r="O7" s="25">
        <f t="shared" si="20"/>
        <v>0</v>
      </c>
      <c r="P7" s="28">
        <f t="shared" si="20"/>
        <v>7.1182874067916742E-3</v>
      </c>
      <c r="Q7" s="23">
        <f t="shared" si="20"/>
        <v>3.5818776618873221E-3</v>
      </c>
      <c r="S7" s="1" t="s">
        <v>321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321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321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321</v>
      </c>
      <c r="AL7" s="47">
        <f>constants!C60</f>
        <v>0.31009481330628685</v>
      </c>
      <c r="AM7" s="48" t="e">
        <f t="shared" si="10"/>
        <v>#DIV/0!</v>
      </c>
      <c r="AN7" s="49" t="e">
        <f t="shared" si="11"/>
        <v>#DIV/0!</v>
      </c>
      <c r="AO7" s="32"/>
      <c r="AP7" s="1" t="s">
        <v>321</v>
      </c>
      <c r="AQ7" s="61">
        <f t="shared" ref="AQ7:AQ8" si="31">N7</f>
        <v>3.2424080447997331E-4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7.1182874067916742E-3</v>
      </c>
      <c r="AV7" s="60" t="e">
        <f t="shared" ref="AV7:AV8" si="36">V7</f>
        <v>#DIV/0!</v>
      </c>
      <c r="AW7" s="61">
        <f t="shared" ref="AW7:AW8" si="37">Q7</f>
        <v>3.5818776618873221E-3</v>
      </c>
      <c r="AX7" s="62" t="e">
        <f t="shared" ref="AX7:AX8" si="38">W7</f>
        <v>#DIV/0!</v>
      </c>
    </row>
    <row r="8" spans="1:50" x14ac:dyDescent="0.2">
      <c r="A8" s="1" t="s">
        <v>322</v>
      </c>
      <c r="B8" s="92">
        <f>targets!I25</f>
        <v>0</v>
      </c>
      <c r="C8" s="92">
        <f>targets!J25</f>
        <v>0</v>
      </c>
      <c r="D8" s="92">
        <f>targets!K25</f>
        <v>748.38024945909854</v>
      </c>
      <c r="E8" s="92">
        <f t="shared" si="6"/>
        <v>748.38024945909854</v>
      </c>
      <c r="G8" s="1" t="s">
        <v>322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322</v>
      </c>
      <c r="N8" s="23">
        <f t="shared" si="20"/>
        <v>0</v>
      </c>
      <c r="O8" s="25">
        <f t="shared" si="20"/>
        <v>0</v>
      </c>
      <c r="P8" s="28">
        <f t="shared" si="20"/>
        <v>5.0191288279937329E-3</v>
      </c>
      <c r="Q8" s="23">
        <f t="shared" si="20"/>
        <v>2.462342011490164E-3</v>
      </c>
      <c r="S8" s="1" t="s">
        <v>322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322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322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322</v>
      </c>
      <c r="AL8" s="47">
        <f>constants!C61</f>
        <v>0.82793179408351336</v>
      </c>
      <c r="AM8" s="48" t="e">
        <f t="shared" si="10"/>
        <v>#DIV/0!</v>
      </c>
      <c r="AN8" s="49" t="e">
        <f t="shared" si="11"/>
        <v>#DIV/0!</v>
      </c>
      <c r="AO8" s="32"/>
      <c r="AP8" s="1" t="s">
        <v>322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5.0191288279937329E-3</v>
      </c>
      <c r="AV8" s="60" t="e">
        <f t="shared" si="36"/>
        <v>#DIV/0!</v>
      </c>
      <c r="AW8" s="61">
        <f t="shared" si="37"/>
        <v>2.462342011490164E-3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targets!I13+targets!I18</f>
        <v>1119.9781562173118</v>
      </c>
      <c r="C9" s="92">
        <f>targets!J13+targets!J18</f>
        <v>203.41316389315205</v>
      </c>
      <c r="D9" s="92">
        <f>targets!K13+targets!K18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1.3319272503936896E-2</v>
      </c>
      <c r="O9" s="25">
        <f>C9/C12</f>
        <v>2.8756010172004336E-3</v>
      </c>
      <c r="P9" s="28">
        <f>D9/D12</f>
        <v>5.5388291425823875E-2</v>
      </c>
      <c r="Q9" s="23">
        <f>E9/E12</f>
        <v>3.1527285570452965E-2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-0.31169760262710067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1.3319272503936896E-2</v>
      </c>
      <c r="AR9" s="60" t="e">
        <f t="shared" si="13"/>
        <v>#DIV/0!</v>
      </c>
      <c r="AS9" s="61">
        <f t="shared" si="14"/>
        <v>2.8756010172004336E-3</v>
      </c>
      <c r="AT9" s="62" t="e">
        <f t="shared" si="15"/>
        <v>#DIV/0!</v>
      </c>
      <c r="AU9" s="60">
        <f t="shared" si="16"/>
        <v>5.5388291425823875E-2</v>
      </c>
      <c r="AV9" s="60" t="e">
        <f t="shared" si="17"/>
        <v>#DIV/0!</v>
      </c>
      <c r="AW9" s="61">
        <f t="shared" si="18"/>
        <v>3.1527285570452965E-2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targets!I14+targets!I19</f>
        <v>8975.4870809400836</v>
      </c>
      <c r="C10" s="92">
        <f>targets!J14+targets!J19</f>
        <v>33756.265754923355</v>
      </c>
      <c r="D10" s="92">
        <f>targets!K14+targets!K19</f>
        <v>54541.477416493974</v>
      </c>
      <c r="E10" s="92">
        <f t="shared" si="6"/>
        <v>97273.230252357404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0.10674043741207585</v>
      </c>
      <c r="O10" s="25">
        <f>C10/C12</f>
        <v>0.47720388535293623</v>
      </c>
      <c r="P10" s="28">
        <f>D10/D12</f>
        <v>0.36579092222216031</v>
      </c>
      <c r="Q10" s="23">
        <f>E10/E12</f>
        <v>0.32005115262842881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-8975.4870809400836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-97273.230252357404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0.98361669209841995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0.10674043741207585</v>
      </c>
      <c r="AR10" s="60" t="e">
        <f t="shared" si="13"/>
        <v>#DIV/0!</v>
      </c>
      <c r="AS10" s="61">
        <f t="shared" si="14"/>
        <v>0.47720388535293623</v>
      </c>
      <c r="AT10" s="62" t="e">
        <f t="shared" si="15"/>
        <v>#DIV/0!</v>
      </c>
      <c r="AU10" s="60">
        <f t="shared" si="16"/>
        <v>0.36579092222216031</v>
      </c>
      <c r="AV10" s="60" t="e">
        <f t="shared" si="17"/>
        <v>#DIV/0!</v>
      </c>
      <c r="AW10" s="61">
        <f t="shared" si="18"/>
        <v>0.32005115262842881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targets!I15+targets!I20</f>
        <v>8534.1336308467107</v>
      </c>
      <c r="C11" s="92">
        <f>targets!J15+targets!J20</f>
        <v>6095.6304365997512</v>
      </c>
      <c r="D11" s="92">
        <f>targets!K15+targets!K20</f>
        <v>29762.489031022327</v>
      </c>
      <c r="E11" s="92">
        <f t="shared" si="6"/>
        <v>44392.253098468791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0.10149166819303965</v>
      </c>
      <c r="O11" s="29">
        <f>C11/C12</f>
        <v>8.6172402751532401E-2</v>
      </c>
      <c r="P11" s="30">
        <f>D11/D12</f>
        <v>0.19960677315631864</v>
      </c>
      <c r="Q11" s="23">
        <f>E11/E12</f>
        <v>0.14606065548639013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-8534.1336308467107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-44392.253098468791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1.8909569500513621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0.10149166819303965</v>
      </c>
      <c r="AR11" s="64" t="e">
        <f t="shared" si="13"/>
        <v>#DIV/0!</v>
      </c>
      <c r="AS11" s="63">
        <f t="shared" si="14"/>
        <v>8.6172402751532401E-2</v>
      </c>
      <c r="AT11" s="65" t="e">
        <f t="shared" si="15"/>
        <v>#DIV/0!</v>
      </c>
      <c r="AU11" s="64">
        <f t="shared" si="16"/>
        <v>0.19960677315631864</v>
      </c>
      <c r="AV11" s="64" t="e">
        <f t="shared" si="17"/>
        <v>#DIV/0!</v>
      </c>
      <c r="AW11" s="63">
        <f t="shared" si="18"/>
        <v>0.14606065548639013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84087.03672713881</v>
      </c>
      <c r="C12" s="92">
        <f>SUM(C4:C11)</f>
        <v>70737.617171657112</v>
      </c>
      <c r="D12" s="92">
        <f>SUM(D4:D11)</f>
        <v>149105.6067907793</v>
      </c>
      <c r="E12" s="92">
        <f t="shared" si="6"/>
        <v>303930.26068957523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0.99999999999999989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-84087.03672713881</v>
      </c>
      <c r="AA12" s="73">
        <f t="shared" si="0"/>
        <v>-70737.617171657112</v>
      </c>
      <c r="AB12" s="73">
        <f t="shared" si="1"/>
        <v>-149105.6067907793</v>
      </c>
      <c r="AC12" s="73">
        <f t="shared" si="2"/>
        <v>-303930.26068957523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0.99999999999999989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targets!I35+targets!I40</f>
        <v>19563.412306794249</v>
      </c>
      <c r="C17" s="92">
        <f>targets!J35+targets!J40</f>
        <v>59.629490668732515</v>
      </c>
      <c r="D17" s="92">
        <f>targets!K35+targets!K40</f>
        <v>243.96357162541202</v>
      </c>
      <c r="E17" s="92">
        <f>SUM(B17:D17)</f>
        <v>19867.005369088394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0.91088040783323598</v>
      </c>
      <c r="O17" s="26">
        <f>C17/C25</f>
        <v>1.6248929721934119E-2</v>
      </c>
      <c r="P17" s="27">
        <f>D17/D25</f>
        <v>0.28737240403033709</v>
      </c>
      <c r="Q17" s="23">
        <f>E17/E25</f>
        <v>0.76422814528913063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-19563.412306794249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-19867.005369088394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-0.93096630503973687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0.91088040783323598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0.76422814528913063</v>
      </c>
      <c r="AX17" s="59" t="e">
        <f>W17</f>
        <v>#DIV/0!</v>
      </c>
    </row>
    <row r="18" spans="1:50" x14ac:dyDescent="0.2">
      <c r="A18" s="1" t="s">
        <v>131</v>
      </c>
      <c r="B18" s="92">
        <f>targets!I36</f>
        <v>1383.3553171096059</v>
      </c>
      <c r="C18" s="92">
        <f>targets!J36</f>
        <v>75.09714962493419</v>
      </c>
      <c r="D18" s="92">
        <f>targets!K36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6.4409584364250122E-2</v>
      </c>
      <c r="O18" s="25">
        <f>C18/C25</f>
        <v>2.0463839165625806E-2</v>
      </c>
      <c r="P18" s="28">
        <f>D18/D25</f>
        <v>0.35505385187291927</v>
      </c>
      <c r="Q18" s="23">
        <f>E18/E25</f>
        <v>6.769742857437086E-2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1.9040166958068052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6.4409584364250122E-2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6.769742857437086E-2</v>
      </c>
      <c r="AX18" s="62" t="e">
        <f t="shared" ref="AX18:AX24" si="59">W18</f>
        <v>#DIV/0!</v>
      </c>
    </row>
    <row r="19" spans="1:50" x14ac:dyDescent="0.2">
      <c r="A19" s="1" t="s">
        <v>320</v>
      </c>
      <c r="B19" s="92">
        <f>targets!I41</f>
        <v>0</v>
      </c>
      <c r="C19" s="92">
        <f>targets!J41</f>
        <v>0</v>
      </c>
      <c r="D19" s="92">
        <f>targets!K41</f>
        <v>0</v>
      </c>
      <c r="E19" s="92">
        <f t="shared" si="47"/>
        <v>0</v>
      </c>
      <c r="G19" s="1" t="s">
        <v>320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320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320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320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320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320</v>
      </c>
      <c r="AL19" s="47">
        <f>constants!G59</f>
        <v>1.2529149734960667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320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321</v>
      </c>
      <c r="B20" s="92">
        <f>targets!I48</f>
        <v>0</v>
      </c>
      <c r="C20" s="92">
        <f>targets!J48</f>
        <v>0</v>
      </c>
      <c r="D20" s="92">
        <f>targets!K48</f>
        <v>0</v>
      </c>
      <c r="E20" s="92">
        <f t="shared" si="47"/>
        <v>0</v>
      </c>
      <c r="G20" s="1" t="s">
        <v>321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321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321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321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321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321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321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322</v>
      </c>
      <c r="B21" s="92">
        <f>targets!I49</f>
        <v>0</v>
      </c>
      <c r="C21" s="92">
        <f>targets!J49</f>
        <v>0</v>
      </c>
      <c r="D21" s="92">
        <f>targets!K49</f>
        <v>0</v>
      </c>
      <c r="E21" s="92">
        <f t="shared" si="47"/>
        <v>0</v>
      </c>
      <c r="G21" s="1" t="s">
        <v>322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322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322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322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322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322</v>
      </c>
      <c r="AL21" s="47">
        <f>constants!G61</f>
        <v>1.1857263978332993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322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targets!I37+targets!I42</f>
        <v>0</v>
      </c>
      <c r="C22" s="92">
        <f>targets!J37+targets!J42</f>
        <v>0</v>
      </c>
      <c r="D22" s="92">
        <f>targets!K37+targets!K42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0.44771311043045986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targets!I38+targets!I43</f>
        <v>530.70860519944858</v>
      </c>
      <c r="C23" s="92">
        <f>targets!J38+targets!J43</f>
        <v>3128.7422552141898</v>
      </c>
      <c r="D23" s="92">
        <f>targets!K38+targets!K43</f>
        <v>218.19481742618106</v>
      </c>
      <c r="E23" s="92">
        <f t="shared" si="47"/>
        <v>3877.6456778398192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2.471000780251386E-2</v>
      </c>
      <c r="O23" s="25">
        <f>C23/C25</f>
        <v>0.85257667729298525</v>
      </c>
      <c r="P23" s="28">
        <f>D23/D25</f>
        <v>0.25701857376886666</v>
      </c>
      <c r="Q23" s="23">
        <f>E23/E25</f>
        <v>0.1491621867216476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-530.70860519944858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-3877.6456778398192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2.3853986682521611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2.471000780251386E-2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0.1491621867216476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targets!I39+targets!I44</f>
        <v>0</v>
      </c>
      <c r="C24" s="92">
        <f>targets!J39+targets!J44</f>
        <v>406.27992420916172</v>
      </c>
      <c r="D24" s="92">
        <f>targets!K39+targets!K44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1.8912239414850974E-2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3.8697597406003323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1.8912239414850974E-2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21477.476229103304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25996.170765959039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-21477.476229103304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-25996.170765959039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targets!I59+targets!I64</f>
        <v>446.01291695397242</v>
      </c>
      <c r="C30" s="92">
        <f>targets!J59+targets!J64</f>
        <v>8804.5699253762141</v>
      </c>
      <c r="D30" s="92">
        <f>targets!K59+targets!K64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-2.6564987197677463E-2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targets!I60</f>
        <v>0</v>
      </c>
      <c r="C31" s="92">
        <f>targets!J60</f>
        <v>156.82451877177766</v>
      </c>
      <c r="D31" s="92">
        <f>targets!K60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0.27748791127846173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320</v>
      </c>
      <c r="B32" s="92">
        <f>targets!I65</f>
        <v>0</v>
      </c>
      <c r="C32" s="92">
        <f>targets!J65</f>
        <v>0</v>
      </c>
      <c r="D32" s="92">
        <f>targets!K65</f>
        <v>134.1050040902484</v>
      </c>
      <c r="E32" s="92">
        <f>SUM(B32:D32)</f>
        <v>134.1050040902484</v>
      </c>
      <c r="G32" s="1" t="s">
        <v>320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320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320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320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320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320</v>
      </c>
      <c r="AL32" s="47">
        <f>constants!K59</f>
        <v>0.88235554522637227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320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321</v>
      </c>
      <c r="B33" s="92">
        <f>targets!I72</f>
        <v>0</v>
      </c>
      <c r="C33" s="92">
        <f>targets!J72</f>
        <v>0</v>
      </c>
      <c r="D33" s="92">
        <f>targets!K72</f>
        <v>0</v>
      </c>
      <c r="E33" s="92">
        <f>SUM(B33:D33)</f>
        <v>0</v>
      </c>
      <c r="G33" s="1" t="s">
        <v>321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321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321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321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321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321</v>
      </c>
      <c r="AL33" s="47">
        <f>constants!G73</f>
        <v>1.8511979838916939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321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322</v>
      </c>
      <c r="B34" s="92">
        <f>targets!I73</f>
        <v>0</v>
      </c>
      <c r="C34" s="92">
        <f>targets!J73</f>
        <v>0</v>
      </c>
      <c r="D34" s="92">
        <f>targets!K73</f>
        <v>0</v>
      </c>
      <c r="E34" s="92">
        <f>SUM(B34:D34)</f>
        <v>0</v>
      </c>
      <c r="G34" s="1" t="s">
        <v>322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322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322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322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322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322</v>
      </c>
      <c r="AL34" s="47">
        <f>constants!G74</f>
        <v>2.1166927028730362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322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targets!I66+targets!I61</f>
        <v>0</v>
      </c>
      <c r="C35" s="92">
        <f>targets!J66+targets!J61</f>
        <v>0</v>
      </c>
      <c r="D35" s="92">
        <f>targets!K66+targets!K61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0.70532550276961969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targets!I62+targets!I67</f>
        <v>107.57076930231574</v>
      </c>
      <c r="C36" s="92">
        <f>targets!J62+targets!J67</f>
        <v>0</v>
      </c>
      <c r="D36" s="92">
        <f>targets!K62+targets!K67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0.94979703280177841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targets!I63+targets!I68</f>
        <v>0</v>
      </c>
      <c r="C37" s="92">
        <f>targets!J63+targets!J68</f>
        <v>0</v>
      </c>
      <c r="D37" s="92">
        <f>targets!K63+targets!K68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2.3346610789723181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targets!I83+targets!I88</f>
        <v>31575.77040388398</v>
      </c>
      <c r="C43" s="92">
        <f>targets!J83+targets!J88</f>
        <v>4969.6986588953969</v>
      </c>
      <c r="D43" s="92">
        <f>targets!K83+targets!K88</f>
        <v>40584.645104503586</v>
      </c>
      <c r="E43" s="92">
        <f>targets!L83+targets!L88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0.68667380417986801</v>
      </c>
      <c r="O43" s="26">
        <f>C43/C51</f>
        <v>0.58241654282096544</v>
      </c>
      <c r="P43" s="27">
        <f>D43/D51</f>
        <v>0.71440265827194038</v>
      </c>
      <c r="Q43" s="23">
        <f>E43/E51</f>
        <v>0.69283264806108691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0.1754838972903548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0.68667380417986801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0.69283264806108691</v>
      </c>
      <c r="AX43" s="59" t="e">
        <f>W43</f>
        <v>#DIV/0!</v>
      </c>
    </row>
    <row r="44" spans="1:50" x14ac:dyDescent="0.2">
      <c r="A44" s="1" t="s">
        <v>131</v>
      </c>
      <c r="B44" s="92">
        <f>targets!I84</f>
        <v>8114.7764690394615</v>
      </c>
      <c r="C44" s="92">
        <f>targets!J84</f>
        <v>1442.721424370015</v>
      </c>
      <c r="D44" s="92">
        <f>targets!K84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0.17647089387814888</v>
      </c>
      <c r="O44" s="25">
        <f>C44/C51</f>
        <v>0.16907762057792189</v>
      </c>
      <c r="P44" s="28">
        <f>D44/D51</f>
        <v>3.5051062904564986E-2</v>
      </c>
      <c r="Q44" s="23">
        <f>E44/E51</f>
        <v>0.10373809128219988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0.82907724163125396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0.17647089387814888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0.10373809128219988</v>
      </c>
      <c r="AX44" s="62" t="e">
        <f t="shared" ref="AX44:AX50" si="101">W44</f>
        <v>#DIV/0!</v>
      </c>
    </row>
    <row r="45" spans="1:50" x14ac:dyDescent="0.2">
      <c r="A45" s="1" t="s">
        <v>320</v>
      </c>
      <c r="B45" s="92">
        <f>targets!I89</f>
        <v>0</v>
      </c>
      <c r="C45" s="92">
        <f>targets!J89</f>
        <v>150.19429924986838</v>
      </c>
      <c r="D45" s="92">
        <f>targets!K89</f>
        <v>106.42834773318508</v>
      </c>
      <c r="E45" s="92">
        <f>targets!L89</f>
        <v>256.62264698305347</v>
      </c>
      <c r="G45" s="1" t="s">
        <v>320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320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2.3051508477752538E-3</v>
      </c>
      <c r="S45" s="1" t="s">
        <v>320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320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320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320</v>
      </c>
      <c r="AL45" s="47">
        <f>constants!O59</f>
        <v>0.26400157193792728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320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2.3051508477752538E-3</v>
      </c>
      <c r="AX45" s="62" t="e">
        <f t="shared" si="101"/>
        <v>#DIV/0!</v>
      </c>
    </row>
    <row r="46" spans="1:50" x14ac:dyDescent="0.2">
      <c r="A46" s="1" t="s">
        <v>321</v>
      </c>
      <c r="B46" s="92">
        <f>targets!I96</f>
        <v>102.91349200709024</v>
      </c>
      <c r="C46" s="92">
        <f>targets!J96</f>
        <v>0</v>
      </c>
      <c r="D46" s="92">
        <f>targets!K96</f>
        <v>0</v>
      </c>
      <c r="E46" s="92">
        <f>targets!L96</f>
        <v>102.91349200709024</v>
      </c>
      <c r="G46" s="1" t="s">
        <v>321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321</v>
      </c>
      <c r="N46" s="23">
        <f>B46/B51</f>
        <v>2.2380451261848093E-3</v>
      </c>
      <c r="O46" s="25">
        <f>C46/C51</f>
        <v>0</v>
      </c>
      <c r="P46" s="28">
        <f>D46/D51</f>
        <v>0</v>
      </c>
      <c r="Q46" s="23">
        <f>E46/E51</f>
        <v>9.244356495290997E-4</v>
      </c>
      <c r="S46" s="1" t="s">
        <v>321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321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321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321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321</v>
      </c>
      <c r="AQ46" s="61">
        <f t="shared" si="94"/>
        <v>2.2380451261848093E-3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9.244356495290997E-4</v>
      </c>
      <c r="AX46" s="62" t="e">
        <f t="shared" si="101"/>
        <v>#DIV/0!</v>
      </c>
    </row>
    <row r="47" spans="1:50" x14ac:dyDescent="0.2">
      <c r="A47" s="1" t="s">
        <v>322</v>
      </c>
      <c r="B47" s="92">
        <f>targets!I97</f>
        <v>0</v>
      </c>
      <c r="C47" s="92">
        <f>targets!J97</f>
        <v>0</v>
      </c>
      <c r="D47" s="92">
        <f>targets!K97</f>
        <v>30.025018312656147</v>
      </c>
      <c r="E47" s="92">
        <f>targets!L97</f>
        <v>30.025018312656147</v>
      </c>
      <c r="G47" s="1" t="s">
        <v>322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322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2.6970416380459744E-4</v>
      </c>
      <c r="S47" s="1" t="s">
        <v>322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322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322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322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322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2.6970416380459744E-4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targets!I85+targets!I90</f>
        <v>460.21416157762394</v>
      </c>
      <c r="C48" s="92">
        <f>targets!J85+targets!J90</f>
        <v>126.66598943205842</v>
      </c>
      <c r="D48" s="92">
        <f>targets!K85+targets!K90</f>
        <v>795.99853212067876</v>
      </c>
      <c r="E48" s="92">
        <f>targets!L85+targets!L90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1.0008212152096336E-2</v>
      </c>
      <c r="O48" s="25">
        <f>C48/C51</f>
        <v>1.4844434788006568E-2</v>
      </c>
      <c r="P48" s="28">
        <f>D48/D51</f>
        <v>1.4011788593032988E-2</v>
      </c>
      <c r="Q48" s="23">
        <f>E48/E51</f>
        <v>1.2421912119855841E-2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-0.21388281800038872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1.0008212152096336E-2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1.2421912119855841E-2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targets!I86+targets!I91</f>
        <v>5521.6738042701309</v>
      </c>
      <c r="C49" s="92">
        <f>targets!J86+targets!J91</f>
        <v>1802.9559676505767</v>
      </c>
      <c r="D49" s="92">
        <f>targets!K86+targets!K91</f>
        <v>11649.757110050788</v>
      </c>
      <c r="E49" s="92">
        <f>targets!L86+targets!L91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0.12007905771167217</v>
      </c>
      <c r="O49" s="25">
        <f>C49/C51</f>
        <v>0.21129477934400034</v>
      </c>
      <c r="P49" s="28">
        <f>D49/D51</f>
        <v>0.20506813417272385</v>
      </c>
      <c r="Q49" s="23">
        <f>E49/E51</f>
        <v>0.17044023402143704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-5521.6738042701309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0.283474350895143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0.12007905771167217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0.17044023402143704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targets!I87+targets!I92</f>
        <v>208.30535118594986</v>
      </c>
      <c r="C50" s="92">
        <f>targets!J87+targets!J92</f>
        <v>40.657720767193553</v>
      </c>
      <c r="D50" s="92">
        <f>targets!K87+targets!K92</f>
        <v>1651.1252194318213</v>
      </c>
      <c r="E50" s="92">
        <f>targets!L87+targets!L92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4.5299869520296866E-3</v>
      </c>
      <c r="O50" s="29">
        <f>C50/C51</f>
        <v>4.7648219325781569E-3</v>
      </c>
      <c r="P50" s="30">
        <f>D50/D51</f>
        <v>2.9064397208959206E-2</v>
      </c>
      <c r="Q50" s="23">
        <f>E50/E51</f>
        <v>1.7067823854311371E-2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2.0627847043131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4.5299869520296866E-3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1.7067823854311371E-2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45983.653681964242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111325.74999624211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0.99999999999999989</v>
      </c>
      <c r="O51" s="25">
        <f>SUM(O43:O50)</f>
        <v>1</v>
      </c>
      <c r="P51" s="25">
        <f>SUM(P43:P50)</f>
        <v>1</v>
      </c>
      <c r="Q51" s="25">
        <f>SUM(Q43:Q50)</f>
        <v>1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-45983.653681964242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-111325.74999624211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0.99999999999999989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targets!I107+targets!I112</f>
        <v>42586.24175187113</v>
      </c>
      <c r="C56" s="92">
        <f>targets!J107+targets!J112</f>
        <v>8479.8851178828227</v>
      </c>
      <c r="D56" s="92">
        <f>targets!K107+targets!K112</f>
        <v>33226.92112642563</v>
      </c>
      <c r="E56" s="92">
        <f>SUM(B56:D56)</f>
        <v>84293.047996179579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0.76111247964558915</v>
      </c>
      <c r="O56" s="26">
        <f>C56/C64</f>
        <v>0.67271251213506689</v>
      </c>
      <c r="P56" s="27">
        <f>D56/D64</f>
        <v>0.56177678114918161</v>
      </c>
      <c r="Q56" s="23">
        <f>E56/E64</f>
        <v>0.66006447258374323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-42586.24175187113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-84293.047996179579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-0.13747604903360419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0.76111247964558915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0.66006447258374323</v>
      </c>
      <c r="AX56" s="59" t="e">
        <f>W56</f>
        <v>#DIV/0!</v>
      </c>
    </row>
    <row r="57" spans="1:50" x14ac:dyDescent="0.2">
      <c r="A57" s="1" t="s">
        <v>131</v>
      </c>
      <c r="B57" s="92">
        <f>targets!I108</f>
        <v>5766.2773637606815</v>
      </c>
      <c r="C57" s="92">
        <f>targets!J108</f>
        <v>1323.0409622360712</v>
      </c>
      <c r="D57" s="92">
        <f>targets!K108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0.10305642109081606</v>
      </c>
      <c r="O57" s="25">
        <f>C57/C64</f>
        <v>0.10495734281664855</v>
      </c>
      <c r="P57" s="28">
        <f>D57/D64</f>
        <v>0.15464276365006102</v>
      </c>
      <c r="Q57" s="23">
        <f>E57/E64</f>
        <v>0.12713623155407408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0.5761520559021327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0.10305642109081606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0.12713623155407408</v>
      </c>
      <c r="AX57" s="62" t="e">
        <f t="shared" ref="AX57:AX63" si="125">W57</f>
        <v>#DIV/0!</v>
      </c>
    </row>
    <row r="58" spans="1:50" x14ac:dyDescent="0.2">
      <c r="A58" s="1" t="s">
        <v>320</v>
      </c>
      <c r="B58" s="92">
        <f>targets!I113</f>
        <v>0</v>
      </c>
      <c r="C58" s="92">
        <f>targets!J113</f>
        <v>75.09714962493419</v>
      </c>
      <c r="D58" s="92">
        <f>targets!K113</f>
        <v>255.73484235730268</v>
      </c>
      <c r="E58" s="92">
        <f t="shared" si="113"/>
        <v>330.8319919822369</v>
      </c>
      <c r="G58" s="1" t="s">
        <v>320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320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2.5906103705193055E-3</v>
      </c>
      <c r="S58" s="1" t="s">
        <v>320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320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320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320</v>
      </c>
      <c r="AL58" s="47">
        <f>constants!W59</f>
        <v>0.68869041257698382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320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2.5906103705193055E-3</v>
      </c>
      <c r="AX58" s="62" t="e">
        <f t="shared" si="125"/>
        <v>#DIV/0!</v>
      </c>
    </row>
    <row r="59" spans="1:50" x14ac:dyDescent="0.2">
      <c r="A59" s="1" t="s">
        <v>321</v>
      </c>
      <c r="B59" s="92">
        <f>targets!I120</f>
        <v>91.467385450446614</v>
      </c>
      <c r="C59" s="92">
        <f>targets!J120</f>
        <v>0</v>
      </c>
      <c r="D59" s="92">
        <f>targets!K120</f>
        <v>42.042793364129501</v>
      </c>
      <c r="E59" s="92"/>
      <c r="G59" s="1" t="s">
        <v>321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321</v>
      </c>
      <c r="N59" s="23">
        <f>B59/B64</f>
        <v>1.6347290975454419E-3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321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321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321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321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321</v>
      </c>
      <c r="AQ59" s="61">
        <f t="shared" si="118"/>
        <v>1.6347290975454419E-3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322</v>
      </c>
      <c r="B60" s="92">
        <f>targets!I121</f>
        <v>27.875554072699522</v>
      </c>
      <c r="C60" s="92">
        <f>targets!J121</f>
        <v>0</v>
      </c>
      <c r="D60" s="92">
        <f>targets!K121</f>
        <v>63.66562047281576</v>
      </c>
      <c r="E60" s="92"/>
      <c r="G60" s="1" t="s">
        <v>322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322</v>
      </c>
      <c r="N60" s="23">
        <f>B60/B64</f>
        <v>4.9819921197518779E-4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322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322</v>
      </c>
      <c r="Z60" s="86">
        <f t="shared" si="115"/>
        <v>-27.875554072699522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322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322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322</v>
      </c>
      <c r="AQ60" s="61">
        <f t="shared" si="118"/>
        <v>4.9819921197518779E-4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targets!I109+targets!I114</f>
        <v>289.59253955314261</v>
      </c>
      <c r="C61" s="92">
        <f>targets!J109+targets!J114</f>
        <v>278.53449637941856</v>
      </c>
      <c r="D61" s="92">
        <f>targets!K109+targets!K114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5.1756738044739852E-3</v>
      </c>
      <c r="O61" s="25">
        <f>C61/C64</f>
        <v>2.2096247551813063E-2</v>
      </c>
      <c r="P61" s="28">
        <f>D61/D64</f>
        <v>1.7037137539249472E-2</v>
      </c>
      <c r="Q61" s="23">
        <f>E61/E64</f>
        <v>1.2339507621399419E-2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-1.0663498098146273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5.1756738044739852E-3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1.2339507621399419E-2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targets!I110+targets!I115</f>
        <v>4260.8673972005508</v>
      </c>
      <c r="C62" s="92">
        <f>targets!J110+targets!J115</f>
        <v>1756.1404396847079</v>
      </c>
      <c r="D62" s="92">
        <f>targets!K110+targets!K115</f>
        <v>15030.645415739706</v>
      </c>
      <c r="E62" s="92">
        <f t="shared" si="113"/>
        <v>21047.653252624965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7.6151339416605596E-2</v>
      </c>
      <c r="O62" s="25">
        <f>C62/C64</f>
        <v>0.13931528911293034</v>
      </c>
      <c r="P62" s="28">
        <f>D62/D64</f>
        <v>0.25412729539763107</v>
      </c>
      <c r="Q62" s="23">
        <f>E62/E64</f>
        <v>0.16481558649948297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-4260.8673972005508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-21047.653252624965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1.1354681101434496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7.6151339416605596E-2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0.16481558649948297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targets!I111+targets!I116</f>
        <v>2930.3037904216421</v>
      </c>
      <c r="C63" s="92">
        <f>targets!J111+targets!J116</f>
        <v>692.8130517093357</v>
      </c>
      <c r="D63" s="92">
        <f>targets!K111+targets!K116</f>
        <v>372.91637971285309</v>
      </c>
      <c r="E63" s="92">
        <f t="shared" si="113"/>
        <v>3996.0332218438307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5.2371157732994639E-2</v>
      </c>
      <c r="O63" s="29">
        <f>C63/C64</f>
        <v>5.4961122936971071E-2</v>
      </c>
      <c r="P63" s="30">
        <f>D63/D64</f>
        <v>6.3050007743955232E-3</v>
      </c>
      <c r="Q63" s="23">
        <f>E63/E64</f>
        <v>3.1291306029448719E-2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-2930.3037904216421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-3996.0332218438307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2.3356516061314649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5.2371157732994639E-2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3.1291306029448719E-2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55952.625782330288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127704.26450347275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0.99823771465866773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-55952.625782330288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-127704.26450347275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0.99823771465866773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targets!I131+targets!I136</f>
        <v>175.23263096928633</v>
      </c>
      <c r="C69" s="92">
        <f>targets!J131+targets!J136</f>
        <v>1581.2441975566749</v>
      </c>
      <c r="D69" s="92">
        <f>targets!K131+targets!K136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-0.16023123719399743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targets!I132</f>
        <v>171.31969519622086</v>
      </c>
      <c r="C70" s="92">
        <f>targets!J132</f>
        <v>158.54295600679615</v>
      </c>
      <c r="D70" s="92">
        <f>targets!K132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0.93613834521113026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320</v>
      </c>
      <c r="B71" s="92">
        <f>targets!I137</f>
        <v>0</v>
      </c>
      <c r="C71" s="92">
        <f>targets!J137</f>
        <v>0</v>
      </c>
      <c r="D71" s="92">
        <f>targets!K137</f>
        <v>0</v>
      </c>
      <c r="E71" s="92">
        <f t="shared" si="136"/>
        <v>0</v>
      </c>
      <c r="G71" s="1" t="s">
        <v>320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320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320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320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320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320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320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321</v>
      </c>
      <c r="B72" s="92">
        <f>targets!I144</f>
        <v>0</v>
      </c>
      <c r="C72" s="92">
        <f>targets!J144</f>
        <v>0</v>
      </c>
      <c r="D72" s="92">
        <f>targets!K144</f>
        <v>0</v>
      </c>
      <c r="E72" s="92"/>
      <c r="G72" s="1" t="s">
        <v>321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321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321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321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321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321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321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322</v>
      </c>
      <c r="B73" s="92">
        <f>targets!I145</f>
        <v>0</v>
      </c>
      <c r="C73" s="92">
        <f>targets!J145</f>
        <v>0</v>
      </c>
      <c r="D73" s="92">
        <f>targets!K145</f>
        <v>0</v>
      </c>
      <c r="E73" s="92"/>
      <c r="G73" s="1" t="s">
        <v>322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322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322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322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322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322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322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targets!I133+targets!I138</f>
        <v>32.948639398918985</v>
      </c>
      <c r="C74" s="92">
        <f>targets!J133+targets!J138</f>
        <v>488.51655953653841</v>
      </c>
      <c r="D74" s="92">
        <f>targets!K133+targets!K138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-0.13229523472036753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targets!I134+targets!I139</f>
        <v>0</v>
      </c>
      <c r="C75" s="92">
        <f>targets!J134+targets!J139</f>
        <v>0</v>
      </c>
      <c r="D75" s="92">
        <f>targets!K134+targets!K139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1.0529229322448403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targets!I135+targets!I140</f>
        <v>0</v>
      </c>
      <c r="C76" s="92">
        <f>targets!J135+targets!J140</f>
        <v>0</v>
      </c>
      <c r="D76" s="92">
        <f>targets!K135+targets!K140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3.6414024799469975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146836.68146369469</v>
      </c>
      <c r="C82" s="92">
        <f t="shared" si="152"/>
        <v>46174.272615512804</v>
      </c>
      <c r="D82" s="92">
        <f t="shared" si="152"/>
        <v>129856.93178129135</v>
      </c>
      <c r="E82" s="92">
        <f t="shared" si="152"/>
        <v>322867.88586049882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0.70447608386001803</v>
      </c>
      <c r="O82" s="26">
        <f>C82/C90</f>
        <v>0.43260476450433644</v>
      </c>
      <c r="P82" s="27">
        <f>D82/D90</f>
        <v>0.46387091561693</v>
      </c>
      <c r="Q82" s="23">
        <f>E82/E90</f>
        <v>0.54253361365598152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-146836.68146369469</v>
      </c>
      <c r="AA82" s="84">
        <f t="shared" ref="AA82:AA90" si="154">I82-C82</f>
        <v>-46174.272615512804</v>
      </c>
      <c r="AB82" s="85">
        <f t="shared" ref="AB82:AB90" si="155">J82-D82</f>
        <v>-129856.93178129135</v>
      </c>
      <c r="AC82" s="73">
        <f t="shared" ref="AC82:AC90" si="156">K82-E82</f>
        <v>-322867.88586049882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0.70447608386001803</v>
      </c>
      <c r="AR82" s="58" t="e">
        <f>T82</f>
        <v>#DIV/0!</v>
      </c>
      <c r="AS82" s="57">
        <f>O82</f>
        <v>0.43260476450433644</v>
      </c>
      <c r="AT82" s="59" t="e">
        <f>U82</f>
        <v>#DIV/0!</v>
      </c>
      <c r="AU82" s="58">
        <f>P82</f>
        <v>0.46387091561693</v>
      </c>
      <c r="AV82" s="58" t="e">
        <f>V82</f>
        <v>#DIV/0!</v>
      </c>
      <c r="AW82" s="57">
        <f>Q82</f>
        <v>0.54253361365598152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0.13613857402236593</v>
      </c>
      <c r="O83" s="25">
        <f>C83/C90</f>
        <v>0.10829848469516441</v>
      </c>
      <c r="P83" s="28">
        <f>D83/D90</f>
        <v>6.8320532240123688E-2</v>
      </c>
      <c r="Q83" s="23">
        <f>E83/E90</f>
        <v>9.9243559254942881E-2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0.13613857402236593</v>
      </c>
      <c r="AR83" s="60" t="e">
        <f t="shared" ref="AR83:AR89" si="163">T83</f>
        <v>#DIV/0!</v>
      </c>
      <c r="AS83" s="61">
        <f t="shared" ref="AS83:AS89" si="164">O83</f>
        <v>0.10829848469516441</v>
      </c>
      <c r="AT83" s="62" t="e">
        <f t="shared" ref="AT83:AT89" si="165">U83</f>
        <v>#DIV/0!</v>
      </c>
      <c r="AU83" s="60">
        <f t="shared" ref="AU83:AU89" si="166">P83</f>
        <v>6.8320532240123688E-2</v>
      </c>
      <c r="AV83" s="60" t="e">
        <f t="shared" ref="AV83:AV89" si="167">V83</f>
        <v>#DIV/0!</v>
      </c>
      <c r="AW83" s="61">
        <f t="shared" ref="AW83:AW89" si="168">Q83</f>
        <v>9.9243559254942881E-2</v>
      </c>
      <c r="AX83" s="62" t="e">
        <f t="shared" ref="AX83:AX89" si="169">W83</f>
        <v>#DIV/0!</v>
      </c>
    </row>
    <row r="84" spans="1:50" x14ac:dyDescent="0.2">
      <c r="A84" s="1" t="s">
        <v>320</v>
      </c>
      <c r="B84" s="92">
        <f t="shared" si="152"/>
        <v>0</v>
      </c>
      <c r="C84" s="92">
        <f t="shared" si="152"/>
        <v>225.29144887480257</v>
      </c>
      <c r="D84" s="92">
        <f t="shared" si="152"/>
        <v>1564.0475712305438</v>
      </c>
      <c r="E84" s="92">
        <f t="shared" si="152"/>
        <v>1789.3390201053462</v>
      </c>
      <c r="G84" s="1" t="s">
        <v>320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320</v>
      </c>
      <c r="N84" s="23">
        <f>B84/B90</f>
        <v>0</v>
      </c>
      <c r="O84" s="25">
        <f>C84/C90</f>
        <v>2.1107458475172845E-3</v>
      </c>
      <c r="P84" s="28">
        <f>D84/D90</f>
        <v>5.5870423625677713E-3</v>
      </c>
      <c r="Q84" s="23">
        <f>E84/E90</f>
        <v>3.0067300191411695E-3</v>
      </c>
      <c r="S84" s="1" t="s">
        <v>320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320</v>
      </c>
      <c r="Z84" s="86">
        <f t="shared" si="160"/>
        <v>0</v>
      </c>
      <c r="AA84" s="73">
        <f t="shared" si="154"/>
        <v>-225.29144887480257</v>
      </c>
      <c r="AB84" s="87">
        <f t="shared" si="155"/>
        <v>-1564.0475712305438</v>
      </c>
      <c r="AC84" s="73">
        <f t="shared" si="156"/>
        <v>-1789.3390201053462</v>
      </c>
      <c r="AE84" s="1" t="s">
        <v>320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320</v>
      </c>
      <c r="AL84" s="48"/>
      <c r="AM84" s="48"/>
      <c r="AN84" s="48"/>
      <c r="AO84" s="32"/>
      <c r="AP84" s="1" t="s">
        <v>320</v>
      </c>
      <c r="AQ84" s="61">
        <f t="shared" si="162"/>
        <v>0</v>
      </c>
      <c r="AR84" s="60" t="e">
        <f t="shared" si="163"/>
        <v>#DIV/0!</v>
      </c>
      <c r="AS84" s="61">
        <f t="shared" si="164"/>
        <v>2.1107458475172845E-3</v>
      </c>
      <c r="AT84" s="62" t="e">
        <f t="shared" si="165"/>
        <v>#DIV/0!</v>
      </c>
      <c r="AU84" s="60">
        <f t="shared" si="166"/>
        <v>5.5870423625677713E-3</v>
      </c>
      <c r="AV84" s="60" t="e">
        <f t="shared" si="167"/>
        <v>#DIV/0!</v>
      </c>
      <c r="AW84" s="61">
        <f t="shared" si="168"/>
        <v>3.0067300191411695E-3</v>
      </c>
      <c r="AX84" s="62" t="e">
        <f t="shared" si="169"/>
        <v>#DIV/0!</v>
      </c>
    </row>
    <row r="85" spans="1:50" x14ac:dyDescent="0.2">
      <c r="A85" s="1" t="s">
        <v>321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321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321</v>
      </c>
      <c r="N85" s="23">
        <f>B85/B90</f>
        <v>1.0633843644108666E-3</v>
      </c>
      <c r="O85" s="25">
        <f>C85/C90</f>
        <v>0</v>
      </c>
      <c r="P85" s="28">
        <f>D85/D90</f>
        <v>3.941600499655337E-3</v>
      </c>
      <c r="Q85" s="23">
        <f>E85/E90</f>
        <v>2.0022380638821989E-3</v>
      </c>
      <c r="S85" s="1" t="s">
        <v>321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321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321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321</v>
      </c>
      <c r="AL85" s="48"/>
      <c r="AM85" s="48"/>
      <c r="AN85" s="48"/>
      <c r="AO85" s="32"/>
      <c r="AP85" s="1" t="s">
        <v>321</v>
      </c>
      <c r="AQ85" s="61">
        <f t="shared" si="162"/>
        <v>1.0633843644108666E-3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3.941600499655337E-3</v>
      </c>
      <c r="AV85" s="60" t="e">
        <f t="shared" si="167"/>
        <v>#DIV/0!</v>
      </c>
      <c r="AW85" s="61">
        <f t="shared" si="168"/>
        <v>2.0022380638821989E-3</v>
      </c>
      <c r="AX85" s="62" t="e">
        <f t="shared" si="169"/>
        <v>#DIV/0!</v>
      </c>
    </row>
    <row r="86" spans="1:50" x14ac:dyDescent="0.2">
      <c r="A86" s="1" t="s">
        <v>322</v>
      </c>
      <c r="B86" s="92">
        <f t="shared" si="152"/>
        <v>27.875554072699522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322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322</v>
      </c>
      <c r="N86" s="23">
        <f>B86/B90</f>
        <v>1.3373811620374259E-4</v>
      </c>
      <c r="O86" s="25">
        <f>C86/C90</f>
        <v>0</v>
      </c>
      <c r="P86" s="28">
        <f>D86/D90</f>
        <v>3.0080195842163461E-3</v>
      </c>
      <c r="Q86" s="23">
        <f>E86/E90</f>
        <v>1.3079994676074085E-3</v>
      </c>
      <c r="S86" s="1" t="s">
        <v>322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322</v>
      </c>
      <c r="Z86" s="86">
        <f t="shared" si="160"/>
        <v>-27.875554072699522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322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322</v>
      </c>
      <c r="AL86" s="48"/>
      <c r="AM86" s="48"/>
      <c r="AN86" s="48"/>
      <c r="AO86" s="32"/>
      <c r="AP86" s="1" t="s">
        <v>322</v>
      </c>
      <c r="AQ86" s="61">
        <f t="shared" si="162"/>
        <v>1.3373811620374259E-4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3.0080195842163461E-3</v>
      </c>
      <c r="AV86" s="60" t="e">
        <f t="shared" si="167"/>
        <v>#DIV/0!</v>
      </c>
      <c r="AW86" s="61">
        <f t="shared" si="168"/>
        <v>1.3079994676074085E-3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9.1287151756356179E-3</v>
      </c>
      <c r="O87" s="25">
        <f>C87/C90</f>
        <v>1.0278965512927497E-2</v>
      </c>
      <c r="P87" s="28">
        <f>D87/D90</f>
        <v>3.5944537080185301E-2</v>
      </c>
      <c r="Q87" s="23">
        <f>E87/E90</f>
        <v>2.1949251642335774E-2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9.1287151756356179E-3</v>
      </c>
      <c r="AR87" s="60" t="e">
        <f t="shared" si="163"/>
        <v>#DIV/0!</v>
      </c>
      <c r="AS87" s="61">
        <f t="shared" si="164"/>
        <v>1.0278965512927497E-2</v>
      </c>
      <c r="AT87" s="62" t="e">
        <f t="shared" si="165"/>
        <v>#DIV/0!</v>
      </c>
      <c r="AU87" s="60">
        <f t="shared" si="166"/>
        <v>3.5944537080185301E-2</v>
      </c>
      <c r="AV87" s="60" t="e">
        <f t="shared" si="167"/>
        <v>#DIV/0!</v>
      </c>
      <c r="AW87" s="61">
        <f t="shared" si="168"/>
        <v>2.1949251642335774E-2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19396.30765691253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145097.10670276193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9.3057366342512285E-2</v>
      </c>
      <c r="O88" s="25">
        <f>C88/C90</f>
        <v>0.37891906631208144</v>
      </c>
      <c r="P88" s="28">
        <f>D88/D90</f>
        <v>0.30455132781318184</v>
      </c>
      <c r="Q88" s="23">
        <f>E88/E90</f>
        <v>0.24381507445583939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-19396.30765691253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-145097.10670276193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9.3057366342512285E-2</v>
      </c>
      <c r="AR88" s="60" t="e">
        <f t="shared" si="163"/>
        <v>#DIV/0!</v>
      </c>
      <c r="AS88" s="61">
        <f t="shared" si="164"/>
        <v>0.37891906631208144</v>
      </c>
      <c r="AT88" s="62" t="e">
        <f t="shared" si="165"/>
        <v>#DIV/0!</v>
      </c>
      <c r="AU88" s="60">
        <f t="shared" si="166"/>
        <v>0.30455132781318184</v>
      </c>
      <c r="AV88" s="60" t="e">
        <f t="shared" si="167"/>
        <v>#DIV/0!</v>
      </c>
      <c r="AW88" s="61">
        <f t="shared" si="168"/>
        <v>0.24381507445583939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11672.742772454303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51038.748873176628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5.6002138118853573E-2</v>
      </c>
      <c r="O89" s="29">
        <f>C89/C90</f>
        <v>6.7787973127972703E-2</v>
      </c>
      <c r="P89" s="30">
        <f>D89/D90</f>
        <v>0.11477602480313989</v>
      </c>
      <c r="Q89" s="23">
        <f>E89/E90</f>
        <v>8.5763366613081995E-2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-11672.742772454303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-51038.748873176628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5.6002138118853573E-2</v>
      </c>
      <c r="AR89" s="64" t="e">
        <f t="shared" si="163"/>
        <v>#DIV/0!</v>
      </c>
      <c r="AS89" s="63">
        <f t="shared" si="164"/>
        <v>6.7787973127972703E-2</v>
      </c>
      <c r="AT89" s="65" t="e">
        <f t="shared" si="165"/>
        <v>#DIV/0!</v>
      </c>
      <c r="AU89" s="64">
        <f t="shared" si="166"/>
        <v>0.11477602480313989</v>
      </c>
      <c r="AV89" s="64" t="e">
        <f t="shared" si="167"/>
        <v>#DIV/0!</v>
      </c>
      <c r="AW89" s="63">
        <f t="shared" si="168"/>
        <v>8.5763366613081995E-2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208433.87707235734</v>
      </c>
      <c r="C90" s="92">
        <f t="shared" si="152"/>
        <v>106735.46942650455</v>
      </c>
      <c r="D90" s="92">
        <f t="shared" si="152"/>
        <v>279941.95671566681</v>
      </c>
      <c r="E90" s="92">
        <f t="shared" si="152"/>
        <v>595111.30321452871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1</v>
      </c>
      <c r="O90" s="25">
        <f>SUM(O82:O89)</f>
        <v>0.99999999999999978</v>
      </c>
      <c r="P90" s="25">
        <f>SUM(P82:P89)</f>
        <v>1.0000000000000002</v>
      </c>
      <c r="Q90" s="25">
        <f>SUM(Q82:Q89)</f>
        <v>0.99962183317281239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-208433.87707235734</v>
      </c>
      <c r="AA90" s="73">
        <f t="shared" si="154"/>
        <v>-106735.46942650455</v>
      </c>
      <c r="AB90" s="73">
        <f t="shared" si="155"/>
        <v>-279941.95671566681</v>
      </c>
      <c r="AC90" s="73">
        <f t="shared" si="156"/>
        <v>-595111.30321452871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1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1.0000000000000002</v>
      </c>
      <c r="AV90" s="60" t="e">
        <f t="shared" si="170"/>
        <v>#DIV/0!</v>
      </c>
      <c r="AW90" s="60">
        <f t="shared" si="170"/>
        <v>0.99962183317281239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topLeftCell="B1" zoomScaleNormal="100" workbookViewId="0">
      <pane ySplit="2" topLeftCell="A60" activePane="bottomLeft" state="frozen"/>
      <selection pane="bottomLeft" activeCell="AO61" sqref="AO6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6.2729698193651062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1.2608880993596563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6.3993796174715216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1.577325865687816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1.577325865687816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2.0941970500428457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1.577325865687816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2.0941970500428457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2.0941970500428457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7.1197465639503301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3.1379324414007987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2.5045276894900903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2.1051643912402112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2.5500710615922282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2.5500710615922282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3.2046749321462058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2.5500710615922282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3.2046749321462058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3.2046749321462058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1.2108371910098052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-0.21944485628197907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0.78841341726425862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0.44192395753720504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1.9431761346474106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1.9431761346474106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3.4232145405083902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1.9431761346474106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3.4232145405083902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3.4232145405083902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1.3612428862818113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5.1189753954142372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-31.405421868572375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-1.7366540882323533E-2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-1.7366540882323533E-2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0.54330964007859994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-1.7366540882323533E-2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0.54330964007859994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0.54330964007859994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8.5108103037999658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1.4248603561307907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4.0590501661132876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0.50129212432596892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6.2182802486794281E-2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6.2182802486794281E-2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1.2537112794826661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6.2182802486794281E-2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1.2537112794826661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1.2537112794826661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1.885270389286043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-0.93492327148725085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-0.10525880722592745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-1.2214003392579784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-1.4839293365657247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-1.4839293365657247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0.13009144976290485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-1.4839293365657247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0.13009144976290485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0.13009144976290485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17.316655665906183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-1.9169923773565345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-43.740534506643428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1.8134281227050912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-1.4319945727473127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-1.4319945727473127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0.87283818671780877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-1.4319945727473127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0.87283818671780877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0.87283818671780877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-0.35115119493492275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0.55702017699133688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0.43366687392471565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0.88700714334679787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0.88700714334679787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0.13097645286901741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0.88700714334679787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0.13097645286901741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0.13097645286901741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-2.3242709904101955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-1.0801923962836759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-0.48219869422336836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-1.1937681905496664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0.70599617144003857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0.70599617144003857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0.42073603291769945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0.70599617144003857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0.42073603291769945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0.42073603291769945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-1.6242634085662888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-42.624990489070008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2.5421558481015238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-1.7958631667569529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-1.7958631667569529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0.15235960158769707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-1.7958631667569529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0.15235960158769707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0.15235960158769707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0.26168550270483126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-1.2062951665560318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-0.61209018058181708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1.4115980067948612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1.0642861726414936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1.0642861726414936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0.22047943233070705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1.0642861726414936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0.22047943233070705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0.22047943233070705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-3.4990192286714681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-1.5592525215333548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-1.6288271462222002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-0.54465321234502873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0.55909458214101626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0.55909458214101626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0.21474387876082696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0.55909458214101626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0.21474387876082696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0.21474387876082696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-2.0734827762823427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7.249682573192147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3.3247644965402174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6.3632595428081382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3.6358887906785036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3.6358887906785036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3.2903906695416016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3.6358887906785036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3.2903906695416016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3.2903906695416016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3.1408594066222126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1.4252889738036167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8.8464008547332238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2.7950200957900235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0.15690495264132095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0.15690495264132095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0.77694663018161825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0.15690495264132095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0.77694663018161825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0.77694663018161825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-3.5321898100168574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-2.0809227680456805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0.14407522629676245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-0.34266236588790688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-1.6595498119666381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-1.6595498119666381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-0.79276472009081977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-1.6595498119666381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-0.79276472009081977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-0.79276472009081977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-4.3625261666867043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0.53304116577437599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8.349588663340672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4.7508739098177042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0.2745878148497114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0.2745878148497114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1.4588924416737816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0.2745878148497114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1.4588924416737816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1.4588924416737816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-2.5162425804656534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-0.98645780218556578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1.5014426870579298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-2.0868743029797789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-2.0868743029797789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-0.8580620532920985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-2.0868743029797789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-0.8580620532920985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-0.8580620532920985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4.6700532849127212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0.37747431280016519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0.37747431280016519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1.6409408718006144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0.37747431280016519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1.6409408718006144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1.6409408718006144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4.6411312891865695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-2.1603565150567876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6.4845220535912729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0.28184039999534261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-0.20343406377716192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-0.20343406377716192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-2.2194071272060238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-0.20343406377716192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-2.2194071272060238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-2.2194071272060238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-5.1074846180568114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-4.484995842895473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0.43767598393300017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-2.5669593489578419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-2.2797491205650484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-2.2797491205650484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-2.7423561604218993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-2.2797491205650484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-2.7423561604218993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-2.7423561604218993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-3.5706545786754171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5.1905887187831814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-10.676137427221992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-7.0235290838524334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0.93560216615044656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0.93560216615044656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1.8210868785543322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0.93560216615044656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1.8210868785543322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1.8210868785543322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4.6393651095492316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-0.6226974736145634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6.6422253593276448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0.85736594660611809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0.16275080443243242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0.16275080443243242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-2.9737096505281095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0.16275080443243242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-2.9737096505281095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-2.9737096505281095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-4.1424580723264972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-3.9793976975368217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0.77954807261903292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-2.1334433614703663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-2.0154708928296126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-2.0154708928296126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-2.5751169986880673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-2.0154708928296126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-2.5751169986880673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-2.5751169986880673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-3.4522188560187574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2.6108715524196224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-14.729836472719608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-6.7983840493851302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0.22114732457021613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0.22114732457021613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0.57211264599078315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0.22114732457021613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0.57211264599078315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0.57211264599078315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3.1086641020583787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-1.8664358326709918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4.8142594101410943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0.11808074494863624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-0.83971689670473904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-0.83971689670473904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-3.5916873881677764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-0.83971689670473904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-3.5916873881677764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-3.5916873881677764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-5.5017657165090315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-5.0490648026127545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-0.39805094433082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-2.8682956350451771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-2.9488051270202056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-2.9488051270202056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-3.56764728492029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-2.9488051270202056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-3.56764728492029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-3.56764728492029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-4.3546361938931639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-7.5927750116185742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-7.5927750116185742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-7.5927750116185742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-7.5927750116185742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-7.5927750116185742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-7.5927750116185742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-7.5927750116185742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-7.5927750116185742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-7.5927750116185742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-7.5927750116185742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1.1279064343597331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1.1279064343597331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1.1279064343597331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1.1279064343597331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1.1279064343597331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1.1279064343597331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1.1279064343597331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1.1279064343597331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1.1279064343597331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1.1279064343597331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1.7942435719105556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1.7942435719105556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1.7942435719105556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1.7942435719105556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1.7942435719105556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1.7942435719105556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1.7942435719105556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1.7942435719105556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1.7942435719105556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1.7942435719105556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0.36718430827121318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0.36718430827121318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0.36718430827121318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0.36718430827121318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0.36718430827121318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0.36718430827121318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0.36718430827121318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0.36718430827121318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0.36718430827121318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0.36718430827121318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1.376360157302887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1.376360157302887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1.376360157302887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1.376360157302887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1.376360157302887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1.376360157302887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1.376360157302887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1.376360157302887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1.376360157302887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1.376360157302887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-2.4868225477082002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-2.4868225477082002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-2.4868225477082002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-2.4868225477082002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-2.4868225477082002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-2.4868225477082002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-2.4868225477082002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-2.4868225477082002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-2.4868225477082002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-2.4868225477082002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-2.3150366951619445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-2.3150366951619445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-2.3150366951619445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-2.3150366951619445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-2.3150366951619445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-2.3150366951619445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-2.3150366951619445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-2.3150366951619445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-2.3150366951619445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-1.5252089464233847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-1.5252089464233847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-1.5252089464233847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-1.5252089464233847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-1.5252089464233847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-1.5252089464233847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-1.5252089464233847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-1.5252089464233847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-1.5252089464233847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-1.5252089464233847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-6.2606050432642473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-6.2606050432642473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-6.2606050432642473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-6.2606050432642473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-6.2606050432642473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-6.2606050432642473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-6.2606050432642473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-6.2606050432642473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-6.2606050432642473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-6.2606050432642473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-7.4530509448000402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-7.4530509448000402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-7.4530509448000402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-7.4530509448000402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-7.4530509448000402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-7.4530509448000402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-7.4530509448000402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-7.4530509448000402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-7.4530509448000402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-7.4530509448000402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-5.6369494640971141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-5.6369494640971141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-5.6369494640971141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-5.6369494640971141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-5.6369494640971141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-5.6369494640971141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-5.6369494640971141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-5.6369494640971141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-5.6369494640971141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-5.6369494640971141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-7.0277331325007699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-7.0277331325007699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-7.0277331325007699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-7.0277331325007699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-7.0277331325007699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-7.0277331325007699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-7.0277331325007699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-7.0277331325007699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-7.0277331325007699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-7.0277331325007699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-4.4134283216526349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-4.4134283216526349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-4.4134283216526349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-4.4134283216526349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-4.4134283216526349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-4.4134283216526349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-4.4134283216526349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-4.4134283216526349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-4.4134283216526349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-4.4134283216526349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-10.017201900303833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-10.017201900303833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-10.017201900303833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-10.017201900303833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-10.017201900303833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-10.017201900303833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-10.017201900303833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-10.017201900303833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-10.017201900303833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-10.017201900303833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-14.037422335698274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-14.037422335698274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-14.037422335698274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-14.037422335698274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-14.037422335698274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-14.037422335698274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-14.037422335698274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-14.037422335698274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-14.037422335698274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-14.037422335698274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-4.3461008202644162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-4.3461008202644162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-4.3461008202644162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-4.3461008202644162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-4.3461008202644162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-4.3461008202644162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-4.3461008202644162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-4.3461008202644162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-4.3461008202644162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-4.3461008202644162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-10.988457501519241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-10.988457501519241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-10.988457501519241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-10.988457501519241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-10.988457501519241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-10.988457501519241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-10.988457501519241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-10.988457501519241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-10.988457501519241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-10.988457501519241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-13.169368735415667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-13.169368735415667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-13.169368735415667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-13.169368735415667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-13.169368735415667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-13.169368735415667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-13.169368735415667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-13.169368735415667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-13.169368735415667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-13.169368735415667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-0.31815115275807759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-0.93096630503973687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-2.6564987197677463E-2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0.1754838972903548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0.1754838972903548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-0.13747604903360419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-0.13747604903360419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-0.13747604903360419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-0.13747604903360419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-0.16023123719399743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0.45186680543860891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1.9040166958068052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0.27748791127846173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0.82907724163125396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0.82907724163125396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0.5761520559021327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0.5761520559021327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0.5761520559021327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0.5761520559021327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0.93613834521113026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1.4021026707285751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1.2529149734960667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0.88235554522637227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0.26400157193792728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0.26400157193792728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0.68869041257698382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0.68869041257698382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0.68869041257698382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0.68869041257698382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0.31009481330628685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-4.0299387784848095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-4.0299387784848095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1.693491042381204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1.693491042381204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1.693491042381204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1.693491042381204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0.82793179408351336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1.1857263978332993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2.1488913215577359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2.1488913215577359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2.1488913215577359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2.1488913215577359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-0.31169760262710067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0.44771311043045986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0.70532550276961969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-0.21388281800038872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-0.21388281800038872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-1.0663498098146273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-1.0663498098146273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-1.0663498098146273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-1.0663498098146273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-0.13229523472036753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0.98361669209841995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2.3853986682521611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0.94979703280177841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0.283474350895143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0.283474350895143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1.1354681101434496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1.1354681101434496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1.1354681101434496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1.1354681101434496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1.0529229322448403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1.8909569500513621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3.8697597406003323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2.3346610789723181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2.0627847043131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2.0627847043131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2.3356516061314649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2.3356516061314649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2.3356516061314649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2.3356516061314649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3.6414024799469975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0.7700179581966865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2.8349830008465422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0.3040528984761392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0.65359334434089922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0.65359334434089922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0.71362810493573692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0.71362810493573692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0.71362810493573692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0.71362810493573692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1.0963695824051276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1.7202538234866527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2.1838812785358037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0.90892053242404969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8.8517674647572486E-2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8.8517674647572486E-2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0.82616646161058804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0.82616646161058804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0.82616646161058804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0.82616646161058804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0.92918596685117028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0.62824596606436445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1.8511979838916939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0.94679666604963453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-4.2054226757751643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-4.2054226757751643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1.8309670914148082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1.8309670914148082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1.8309670914148082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1.8309670914148082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1.1003550475021606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1.146082946841591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2.1166927028730362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0.94679666604963453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-1.6945819703965086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-1.6945819703965086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2.2863673705913401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2.2863673705913401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2.2863673705913401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2.2863673705913401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1.1003550475021606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6.4535501309769261E-3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1.3786794154701967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0.73189048996729711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-0.38936671529074351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-0.38936671529074351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-0.92887376078102313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-0.92887376078102313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-0.92887376078102313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-0.92887376078102313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2.7936002473629901E-2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1.3017678448564975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3.3163649732918978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0.97636201999945582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0.10799045360478821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0.10799045360478821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1.2729441591770538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1.2729441591770538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1.2729441591770538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1.2729441591770538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1.2131541694388377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2.2091081028094397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4.8007260456400696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2.3612260661699955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1.8873008070227453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1.8873008070227453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2.4731276551650692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2.4731276551650692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2.4731276551650692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2.4731276551650692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3.8016337171409949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opLeftCell="O1" workbookViewId="0">
      <pane ySplit="1" topLeftCell="A2" activePane="bottomLeft" state="frozen"/>
      <selection pane="bottomLeft" activeCell="S7" sqref="S7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323</v>
      </c>
      <c r="C1" t="s">
        <v>333</v>
      </c>
      <c r="D1" t="s">
        <v>324</v>
      </c>
      <c r="E1" t="s">
        <v>340</v>
      </c>
      <c r="F1" t="s">
        <v>325</v>
      </c>
      <c r="G1" t="s">
        <v>337</v>
      </c>
      <c r="H1" t="s">
        <v>326</v>
      </c>
      <c r="I1" t="s">
        <v>327</v>
      </c>
      <c r="K1" s="100" t="s">
        <v>341</v>
      </c>
      <c r="P1" s="1" t="s">
        <v>175</v>
      </c>
      <c r="Q1" s="1" t="s">
        <v>176</v>
      </c>
      <c r="S1" s="1" t="s">
        <v>334</v>
      </c>
      <c r="T1" s="1" t="s">
        <v>177</v>
      </c>
      <c r="U1" s="1" t="s">
        <v>174</v>
      </c>
    </row>
    <row r="2" spans="1:23" ht="15" x14ac:dyDescent="0.25">
      <c r="A2" s="159" t="str">
        <f t="shared" ref="A2:A65" si="0"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330</v>
      </c>
      <c r="G2">
        <v>3</v>
      </c>
      <c r="H2">
        <v>11</v>
      </c>
      <c r="I2">
        <v>2957.10564670539</v>
      </c>
      <c r="K2" s="1" t="s">
        <v>342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330</v>
      </c>
    </row>
    <row r="3" spans="1:23" ht="15" x14ac:dyDescent="0.25">
      <c r="A3" s="159" t="str">
        <f t="shared" si="0"/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330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331</v>
      </c>
    </row>
    <row r="4" spans="1:23" ht="15" x14ac:dyDescent="0.25">
      <c r="A4" s="159" t="str">
        <f t="shared" si="0"/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330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338</v>
      </c>
      <c r="T4" s="1" t="s">
        <v>187</v>
      </c>
      <c r="U4" s="1">
        <v>3</v>
      </c>
      <c r="W4" t="s">
        <v>332</v>
      </c>
    </row>
    <row r="5" spans="1:23" ht="15" x14ac:dyDescent="0.25">
      <c r="A5" s="159" t="str">
        <f t="shared" si="0"/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330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329</v>
      </c>
    </row>
    <row r="6" spans="1:23" ht="15" x14ac:dyDescent="0.25">
      <c r="A6" s="159" t="str">
        <f t="shared" si="0"/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330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336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t="shared" si="0"/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330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335</v>
      </c>
      <c r="T7" s="1" t="s">
        <v>193</v>
      </c>
      <c r="U7" s="1">
        <v>5</v>
      </c>
      <c r="W7" t="s">
        <v>328</v>
      </c>
    </row>
    <row r="8" spans="1:23" ht="15" x14ac:dyDescent="0.25">
      <c r="A8" s="159" t="str">
        <f t="shared" si="0"/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330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t="shared" si="0"/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330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t="shared" si="0"/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330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t="shared" si="0"/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330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t="shared" si="0"/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330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t="shared" si="0"/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330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t="shared" si="0"/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331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t="shared" si="0"/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331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t="shared" si="0"/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331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t="shared" si="0"/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331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t="shared" si="0"/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331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t="shared" si="0"/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331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t="shared" si="0"/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331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t="shared" si="0"/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331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t="shared" si="0"/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331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t="shared" si="0"/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331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t="shared" si="0"/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331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t="shared" si="0"/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331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t="shared" si="0"/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331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t="shared" si="0"/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329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t="shared" si="0"/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329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t="shared" si="0"/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329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t="shared" si="0"/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329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t="shared" si="0"/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329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t="shared" si="0"/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329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t="shared" si="0"/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329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t="shared" si="0"/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329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t="shared" si="0"/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329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t="shared" si="0"/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329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t="shared" si="0"/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329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t="shared" si="0"/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329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t="shared" si="0"/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329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t="shared" si="0"/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t="shared" si="0"/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t="shared" si="0"/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t="shared" si="0"/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t="shared" si="0"/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t="shared" si="0"/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t="shared" si="0"/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t="shared" si="0"/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t="shared" si="0"/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328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t="shared" si="0"/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328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t="shared" si="0"/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328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t="shared" si="0"/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328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t="shared" si="0"/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328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t="shared" si="0"/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328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t="shared" si="0"/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328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t="shared" si="0"/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328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t="shared" si="0"/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328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t="shared" si="0"/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328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t="shared" si="0"/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328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t="shared" si="0"/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328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t="shared" si="0"/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328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t="shared" si="0"/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328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t="shared" si="0"/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328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t="shared" si="0"/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328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t="shared" si="0"/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328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t="shared" si="0"/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328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t="shared" ref="A66:A129" si="1"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328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t="shared" si="1"/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328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t="shared" si="1"/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328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t="shared" si="1"/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328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t="shared" si="1"/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328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t="shared" si="1"/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328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t="shared" si="1"/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328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t="shared" si="1"/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328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t="shared" si="1"/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328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t="shared" si="1"/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t="shared" si="1"/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t="shared" si="1"/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t="shared" si="1"/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t="shared" si="1"/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t="shared" si="1"/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t="shared" si="1"/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t="shared" si="1"/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t="shared" si="1"/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t="shared" si="1"/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t="shared" si="1"/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t="shared" si="1"/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t="shared" si="1"/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t="shared" si="1"/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t="shared" si="1"/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t="shared" si="1"/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t="shared" si="1"/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t="shared" si="1"/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t="shared" si="1"/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t="shared" si="1"/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t="shared" si="1"/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t="shared" si="1"/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t="shared" si="1"/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t="shared" si="1"/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t="shared" si="1"/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t="shared" si="1"/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t="shared" si="1"/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t="shared" si="1"/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t="shared" si="1"/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330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t="shared" si="1"/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330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t="shared" si="1"/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330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t="shared" si="1"/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330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t="shared" si="1"/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330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t="shared" si="1"/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330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t="shared" si="1"/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330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t="shared" si="1"/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330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t="shared" si="1"/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330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t="shared" si="1"/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330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t="shared" si="1"/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330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t="shared" si="1"/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330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t="shared" si="1"/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331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t="shared" si="1"/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331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t="shared" si="1"/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331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t="shared" si="1"/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331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t="shared" si="1"/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331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t="shared" si="1"/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331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t="shared" si="1"/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331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t="shared" si="1"/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331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t="shared" si="1"/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331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t="shared" si="1"/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331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t="shared" si="1"/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331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t="shared" si="1"/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331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t="shared" si="1"/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331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t="shared" si="1"/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329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t="shared" si="1"/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329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t="shared" ref="A130:A193" si="2"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329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t="shared" si="2"/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329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t="shared" si="2"/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329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t="shared" si="2"/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329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t="shared" si="2"/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329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t="shared" si="2"/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329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t="shared" si="2"/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329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t="shared" si="2"/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329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t="shared" si="2"/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329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t="shared" si="2"/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329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t="shared" si="2"/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329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t="shared" si="2"/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329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t="shared" si="2"/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329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t="shared" si="2"/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329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t="shared" si="2"/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329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t="shared" si="2"/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329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t="shared" si="2"/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t="shared" si="2"/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t="shared" si="2"/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t="shared" si="2"/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t="shared" si="2"/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t="shared" si="2"/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t="shared" si="2"/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328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t="shared" si="2"/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328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t="shared" si="2"/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328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t="shared" si="2"/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328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t="shared" si="2"/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328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t="shared" si="2"/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328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t="shared" si="2"/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328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t="shared" si="2"/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328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t="shared" si="2"/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328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t="shared" si="2"/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328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t="shared" si="2"/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328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t="shared" si="2"/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328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t="shared" si="2"/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328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t="shared" si="2"/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328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t="shared" si="2"/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328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t="shared" si="2"/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328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t="shared" si="2"/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328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t="shared" si="2"/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328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t="shared" si="2"/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328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t="shared" si="2"/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328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t="shared" si="2"/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328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t="shared" si="2"/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328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t="shared" si="2"/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328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t="shared" si="2"/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328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t="shared" si="2"/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328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t="shared" si="2"/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t="shared" si="2"/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t="shared" si="2"/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t="shared" si="2"/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t="shared" si="2"/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t="shared" si="2"/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t="shared" si="2"/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t="shared" si="2"/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t="shared" si="2"/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t="shared" si="2"/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t="shared" si="2"/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t="shared" si="2"/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t="shared" si="2"/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t="shared" si="2"/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t="shared" si="2"/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t="shared" si="2"/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t="shared" si="2"/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t="shared" ref="A194:A257" si="3"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t="shared" si="3"/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t="shared" si="3"/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t="shared" si="3"/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t="shared" si="3"/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t="shared" si="3"/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t="shared" si="3"/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t="shared" si="3"/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330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t="shared" si="3"/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330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t="shared" si="3"/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330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t="shared" si="3"/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330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t="shared" si="3"/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330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t="shared" si="3"/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330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t="shared" si="3"/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330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t="shared" si="3"/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330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t="shared" si="3"/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330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t="shared" si="3"/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330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t="shared" si="3"/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330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t="shared" si="3"/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330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t="shared" si="3"/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330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t="shared" si="3"/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330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t="shared" si="3"/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330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t="shared" si="3"/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330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t="shared" si="3"/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330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t="shared" si="3"/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331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t="shared" si="3"/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331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t="shared" si="3"/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331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t="shared" si="3"/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331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t="shared" si="3"/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331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t="shared" si="3"/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331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t="shared" si="3"/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331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t="shared" si="3"/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331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t="shared" si="3"/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331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t="shared" si="3"/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331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t="shared" si="3"/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331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t="shared" si="3"/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332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t="shared" si="3"/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329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t="shared" si="3"/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329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t="shared" si="3"/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329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t="shared" si="3"/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329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t="shared" si="3"/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329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t="shared" si="3"/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329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t="shared" si="3"/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329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t="shared" si="3"/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329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t="shared" si="3"/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329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t="shared" si="3"/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329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t="shared" si="3"/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329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t="shared" si="3"/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329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t="shared" si="3"/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329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t="shared" si="3"/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329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t="shared" si="3"/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329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t="shared" si="3"/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329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t="shared" si="3"/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t="shared" si="3"/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t="shared" si="3"/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t="shared" si="3"/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t="shared" si="3"/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t="shared" si="3"/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t="shared" si="3"/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t="shared" si="3"/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t="shared" si="3"/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t="shared" si="3"/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328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t="shared" si="3"/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328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t="shared" si="3"/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328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t="shared" ref="A258:A321" si="4"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328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t="shared" si="4"/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328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t="shared" si="4"/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328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t="shared" si="4"/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328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t="shared" si="4"/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328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t="shared" si="4"/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328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t="shared" si="4"/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328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t="shared" si="4"/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328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t="shared" si="4"/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328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t="shared" si="4"/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328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t="shared" si="4"/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328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t="shared" si="4"/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328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t="shared" si="4"/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328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t="shared" si="4"/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328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t="shared" si="4"/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328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t="shared" si="4"/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328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t="shared" si="4"/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328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t="shared" si="4"/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328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t="shared" si="4"/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t="shared" si="4"/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t="shared" si="4"/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t="shared" si="4"/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t="shared" si="4"/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t="shared" si="4"/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t="shared" si="4"/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t="shared" si="4"/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t="shared" si="4"/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t="shared" si="4"/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t="shared" si="4"/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t="shared" si="4"/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t="shared" si="4"/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t="shared" si="4"/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t="shared" si="4"/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t="shared" si="4"/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t="shared" si="4"/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t="shared" si="4"/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t="shared" si="4"/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t="shared" si="4"/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t="shared" si="4"/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t="shared" si="4"/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t="shared" si="4"/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t="shared" si="4"/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330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t="shared" si="4"/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330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t="shared" si="4"/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330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t="shared" si="4"/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330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t="shared" si="4"/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330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t="shared" si="4"/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330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t="shared" si="4"/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330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t="shared" si="4"/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330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t="shared" si="4"/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330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t="shared" si="4"/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330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t="shared" si="4"/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330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t="shared" si="4"/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330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t="shared" si="4"/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330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t="shared" si="4"/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331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t="shared" si="4"/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331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t="shared" si="4"/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331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t="shared" si="4"/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331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t="shared" si="4"/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331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t="shared" si="4"/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331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t="shared" si="4"/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331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t="shared" si="4"/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331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t="shared" si="4"/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329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t="shared" si="4"/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329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t="shared" ref="A322:A385" si="5"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329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t="shared" si="5"/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329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t="shared" si="5"/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329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t="shared" si="5"/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329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t="shared" si="5"/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t="shared" si="5"/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t="shared" si="5"/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t="shared" si="5"/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t="shared" si="5"/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328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t="shared" si="5"/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328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t="shared" si="5"/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328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t="shared" si="5"/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328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t="shared" si="5"/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328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t="shared" si="5"/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328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t="shared" si="5"/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328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t="shared" si="5"/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328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t="shared" si="5"/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328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t="shared" si="5"/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328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t="shared" si="5"/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t="shared" si="5"/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t="shared" si="5"/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t="shared" si="5"/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t="shared" si="5"/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t="shared" si="5"/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t="shared" si="5"/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t="shared" si="5"/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t="shared" si="5"/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t="shared" si="5"/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t="shared" si="5"/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t="shared" si="5"/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t="shared" si="5"/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t="shared" si="5"/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330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t="shared" si="5"/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330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t="shared" si="5"/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330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t="shared" si="5"/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330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t="shared" si="5"/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330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t="shared" si="5"/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330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t="shared" si="5"/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330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t="shared" si="5"/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330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t="shared" si="5"/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330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t="shared" si="5"/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330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t="shared" si="5"/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330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t="shared" si="5"/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330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t="shared" si="5"/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330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t="shared" si="5"/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330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t="shared" si="5"/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330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t="shared" si="5"/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330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t="shared" si="5"/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331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t="shared" si="5"/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331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t="shared" si="5"/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331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t="shared" si="5"/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331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t="shared" si="5"/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331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t="shared" si="5"/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331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t="shared" si="5"/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331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t="shared" si="5"/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331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t="shared" si="5"/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331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t="shared" si="5"/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331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t="shared" si="5"/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331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t="shared" si="5"/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331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t="shared" si="5"/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332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t="shared" si="5"/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329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t="shared" si="5"/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329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t="shared" si="5"/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329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t="shared" si="5"/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329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t="shared" ref="A386:A449" si="6"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329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t="shared" si="6"/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329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t="shared" si="6"/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329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t="shared" si="6"/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329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t="shared" si="6"/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329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t="shared" si="6"/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329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t="shared" si="6"/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329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t="shared" si="6"/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329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t="shared" si="6"/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329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t="shared" si="6"/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329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t="shared" si="6"/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t="shared" si="6"/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t="shared" si="6"/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t="shared" si="6"/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t="shared" si="6"/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t="shared" si="6"/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t="shared" si="6"/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328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t="shared" si="6"/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328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t="shared" si="6"/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328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t="shared" si="6"/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328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t="shared" si="6"/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328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t="shared" si="6"/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328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t="shared" si="6"/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328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t="shared" si="6"/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328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t="shared" si="6"/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328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t="shared" si="6"/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328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t="shared" si="6"/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328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t="shared" si="6"/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328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t="shared" si="6"/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328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t="shared" si="6"/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328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t="shared" si="6"/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328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t="shared" si="6"/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328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t="shared" si="6"/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328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t="shared" si="6"/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328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t="shared" si="6"/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328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t="shared" si="6"/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328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t="shared" si="6"/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t="shared" si="6"/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t="shared" si="6"/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t="shared" si="6"/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t="shared" si="6"/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t="shared" si="6"/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t="shared" si="6"/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t="shared" si="6"/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t="shared" si="6"/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t="shared" si="6"/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t="shared" si="6"/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t="shared" si="6"/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t="shared" si="6"/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t="shared" si="6"/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t="shared" si="6"/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t="shared" si="6"/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t="shared" si="6"/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t="shared" si="6"/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t="shared" si="6"/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t="shared" si="6"/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t="shared" si="6"/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t="shared" si="6"/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t="shared" si="6"/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t="shared" si="6"/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330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t="shared" si="6"/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330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t="shared" si="6"/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330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t="shared" si="6"/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330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t="shared" si="6"/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330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t="shared" ref="A450:A513" si="7"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330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t="shared" si="7"/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330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t="shared" si="7"/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330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t="shared" si="7"/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331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t="shared" si="7"/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331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t="shared" si="7"/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331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t="shared" si="7"/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331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t="shared" si="7"/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331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t="shared" si="7"/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331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t="shared" si="7"/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331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t="shared" si="7"/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331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t="shared" si="7"/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329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t="shared" si="7"/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329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t="shared" si="7"/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329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t="shared" si="7"/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329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t="shared" si="7"/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329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t="shared" si="7"/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329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t="shared" si="7"/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t="shared" si="7"/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t="shared" si="7"/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t="shared" si="7"/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328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t="shared" si="7"/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328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t="shared" si="7"/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328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t="shared" si="7"/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328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t="shared" si="7"/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328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t="shared" si="7"/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328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t="shared" si="7"/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328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t="shared" si="7"/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328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t="shared" si="7"/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328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t="shared" si="7"/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t="shared" si="7"/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t="shared" si="7"/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t="shared" si="7"/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t="shared" si="7"/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t="shared" si="7"/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t="shared" si="7"/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t="shared" si="7"/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t="shared" si="7"/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t="shared" si="7"/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t="shared" si="7"/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t="shared" si="7"/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t="shared" si="7"/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t="shared" si="7"/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t="shared" si="7"/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t="shared" si="7"/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t="shared" si="7"/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t="shared" si="7"/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330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t="shared" si="7"/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330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t="shared" si="7"/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330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t="shared" si="7"/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330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t="shared" si="7"/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330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t="shared" si="7"/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330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t="shared" si="7"/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330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t="shared" si="7"/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331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t="shared" si="7"/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331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t="shared" si="7"/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331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t="shared" si="7"/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331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t="shared" si="7"/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331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t="shared" si="7"/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331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t="shared" si="7"/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331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t="shared" si="7"/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331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t="shared" si="7"/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329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t="shared" si="7"/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329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t="shared" si="7"/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329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t="shared" ref="A514:A577" si="8"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329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t="shared" si="8"/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329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t="shared" si="8"/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329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t="shared" si="8"/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t="shared" si="8"/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t="shared" si="8"/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t="shared" si="8"/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328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t="shared" si="8"/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328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t="shared" si="8"/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328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t="shared" si="8"/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328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t="shared" si="8"/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328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t="shared" si="8"/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328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t="shared" si="8"/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328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t="shared" si="8"/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328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t="shared" si="8"/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328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t="shared" si="8"/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328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t="shared" si="8"/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t="shared" si="8"/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t="shared" si="8"/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t="shared" si="8"/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t="shared" si="8"/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t="shared" si="8"/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t="shared" si="8"/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t="shared" si="8"/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t="shared" si="8"/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t="shared" si="8"/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t="shared" si="8"/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t="shared" si="8"/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t="shared" si="8"/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t="shared" si="8"/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t="shared" si="8"/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t="shared" si="8"/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t="shared" si="8"/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330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t="shared" si="8"/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330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t="shared" si="8"/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330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t="shared" si="8"/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330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t="shared" si="8"/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330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t="shared" si="8"/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330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t="shared" si="8"/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330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t="shared" si="8"/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330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t="shared" si="8"/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330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t="shared" si="8"/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330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t="shared" si="8"/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330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t="shared" si="8"/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330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t="shared" si="8"/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330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t="shared" si="8"/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330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t="shared" si="8"/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331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t="shared" si="8"/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331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t="shared" si="8"/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331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t="shared" si="8"/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331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t="shared" si="8"/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331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t="shared" si="8"/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331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t="shared" si="8"/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331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t="shared" si="8"/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331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t="shared" si="8"/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331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t="shared" si="8"/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329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t="shared" si="8"/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329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t="shared" si="8"/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329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t="shared" si="8"/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329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t="shared" si="8"/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329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t="shared" si="8"/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329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t="shared" si="8"/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329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t="shared" si="8"/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329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t="shared" si="8"/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329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t="shared" ref="A578:A641" si="9"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329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t="shared" si="9"/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329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t="shared" si="9"/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329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t="shared" si="9"/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329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t="shared" si="9"/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329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t="shared" si="9"/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t="shared" si="9"/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t="shared" si="9"/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t="shared" si="9"/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t="shared" si="9"/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328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t="shared" si="9"/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328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t="shared" si="9"/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328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t="shared" si="9"/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328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t="shared" si="9"/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328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t="shared" si="9"/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328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t="shared" si="9"/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328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t="shared" si="9"/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328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t="shared" si="9"/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328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t="shared" si="9"/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328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t="shared" si="9"/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328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t="shared" si="9"/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328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t="shared" si="9"/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328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t="shared" si="9"/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t="shared" si="9"/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t="shared" si="9"/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t="shared" si="9"/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t="shared" si="9"/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t="shared" si="9"/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t="shared" si="9"/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t="shared" si="9"/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t="shared" si="9"/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t="shared" si="9"/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t="shared" si="9"/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t="shared" si="9"/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t="shared" si="9"/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t="shared" si="9"/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t="shared" si="9"/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t="shared" si="9"/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t="shared" si="9"/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t="shared" si="9"/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t="shared" si="9"/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t="shared" si="9"/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t="shared" si="9"/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t="shared" si="9"/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t="shared" si="9"/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t="shared" si="9"/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t="shared" si="9"/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330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t="shared" si="9"/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330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t="shared" si="9"/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330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t="shared" si="9"/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330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t="shared" si="9"/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330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t="shared" si="9"/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330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t="shared" si="9"/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330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t="shared" si="9"/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330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t="shared" si="9"/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331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t="shared" si="9"/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331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t="shared" si="9"/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331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t="shared" si="9"/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331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t="shared" si="9"/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331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t="shared" si="9"/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331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t="shared" si="9"/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331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t="shared" si="9"/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331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t="shared" si="9"/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331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t="shared" si="9"/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331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t="shared" ref="A642:A705" si="10"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329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t="shared" si="10"/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329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t="shared" si="10"/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329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t="shared" si="10"/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329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t="shared" si="10"/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329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t="shared" si="10"/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329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t="shared" si="10"/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329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t="shared" si="10"/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329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t="shared" si="10"/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329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t="shared" si="10"/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t="shared" si="10"/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t="shared" si="10"/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t="shared" si="10"/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328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t="shared" si="10"/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328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t="shared" si="10"/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328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t="shared" si="10"/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328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t="shared" si="10"/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328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t="shared" si="10"/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328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t="shared" si="10"/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328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t="shared" si="10"/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328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t="shared" si="10"/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328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t="shared" si="10"/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328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t="shared" si="10"/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328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t="shared" si="10"/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328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t="shared" si="10"/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t="shared" si="10"/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t="shared" si="10"/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t="shared" si="10"/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t="shared" si="10"/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t="shared" si="10"/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t="shared" si="10"/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t="shared" si="10"/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t="shared" si="10"/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t="shared" si="10"/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t="shared" si="10"/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t="shared" si="10"/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t="shared" si="10"/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t="shared" si="10"/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t="shared" si="10"/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t="shared" si="10"/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t="shared" si="10"/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t="shared" si="10"/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t="shared" si="10"/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t="shared" si="10"/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t="shared" si="10"/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t="shared" si="10"/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t="shared" si="10"/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t="shared" si="10"/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330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t="shared" si="10"/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330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t="shared" si="10"/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330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t="shared" si="10"/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330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t="shared" si="10"/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330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t="shared" si="10"/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330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t="shared" si="10"/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330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t="shared" si="10"/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330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t="shared" si="10"/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331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t="shared" si="10"/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331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t="shared" si="10"/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331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t="shared" si="10"/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331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t="shared" si="10"/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331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t="shared" si="10"/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331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t="shared" si="10"/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329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t="shared" si="10"/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329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t="shared" si="10"/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329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t="shared" ref="A706:A769" si="11"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329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t="shared" si="11"/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t="shared" si="11"/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t="shared" si="11"/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t="shared" si="11"/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t="shared" si="11"/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t="shared" si="11"/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328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t="shared" si="11"/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328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t="shared" si="11"/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328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t="shared" si="11"/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t="shared" si="11"/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t="shared" si="11"/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t="shared" si="11"/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t="shared" si="11"/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t="shared" si="11"/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t="shared" si="11"/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t="shared" si="11"/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t="shared" si="11"/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t="shared" si="11"/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t="shared" si="11"/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t="shared" si="11"/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t="shared" si="11"/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t="shared" si="11"/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t="shared" si="11"/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330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t="shared" si="11"/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330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t="shared" si="11"/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330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t="shared" si="11"/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330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t="shared" si="11"/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330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t="shared" si="11"/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330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t="shared" si="11"/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330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t="shared" si="11"/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330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t="shared" si="11"/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330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t="shared" si="11"/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330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t="shared" si="11"/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330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t="shared" si="11"/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330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t="shared" si="11"/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330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t="shared" si="11"/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330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t="shared" si="11"/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330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t="shared" si="11"/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330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t="shared" si="11"/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330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t="shared" si="11"/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330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t="shared" si="11"/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330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t="shared" si="11"/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331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t="shared" si="11"/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331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t="shared" si="11"/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331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t="shared" si="11"/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331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t="shared" si="11"/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331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t="shared" si="11"/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331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t="shared" si="11"/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331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t="shared" si="11"/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331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t="shared" si="11"/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331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t="shared" si="11"/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331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t="shared" si="11"/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331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t="shared" si="11"/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331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t="shared" si="11"/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331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t="shared" si="11"/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331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t="shared" si="11"/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329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t="shared" si="11"/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329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t="shared" si="11"/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329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t="shared" si="11"/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329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t="shared" si="11"/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329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t="shared" si="11"/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329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t="shared" si="11"/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329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t="shared" si="11"/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329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t="shared" ref="A770:A833" si="12"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329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t="shared" si="12"/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329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t="shared" si="12"/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329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t="shared" si="12"/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329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t="shared" si="12"/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329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t="shared" si="12"/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t="shared" si="12"/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t="shared" si="12"/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t="shared" si="12"/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t="shared" si="12"/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t="shared" si="12"/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t="shared" si="12"/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t="shared" si="12"/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t="shared" si="12"/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328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t="shared" si="12"/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328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t="shared" si="12"/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328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t="shared" si="12"/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328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t="shared" si="12"/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328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t="shared" si="12"/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328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t="shared" si="12"/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328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t="shared" si="12"/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328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t="shared" si="12"/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328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t="shared" si="12"/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328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t="shared" si="12"/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328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t="shared" si="12"/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328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t="shared" si="12"/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328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t="shared" si="12"/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328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t="shared" si="12"/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t="shared" si="12"/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t="shared" si="12"/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t="shared" si="12"/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t="shared" si="12"/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t="shared" si="12"/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t="shared" si="12"/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t="shared" si="12"/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t="shared" si="12"/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t="shared" si="12"/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t="shared" si="12"/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t="shared" si="12"/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t="shared" si="12"/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t="shared" si="12"/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t="shared" si="12"/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t="shared" si="12"/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t="shared" si="12"/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t="shared" si="12"/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t="shared" si="12"/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t="shared" si="12"/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t="shared" si="12"/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330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t="shared" si="12"/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330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t="shared" si="12"/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330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t="shared" si="12"/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330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t="shared" si="12"/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330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t="shared" si="12"/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331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t="shared" si="12"/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331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t="shared" si="12"/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331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t="shared" si="12"/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331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t="shared" si="12"/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331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t="shared" si="12"/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331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t="shared" si="12"/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331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t="shared" si="12"/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329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t="shared" si="12"/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329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t="shared" si="12"/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329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t="shared" si="12"/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329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t="shared" si="12"/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329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t="shared" ref="A834:A897" si="13"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329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t="shared" si="13"/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329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t="shared" si="13"/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329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t="shared" si="13"/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t="shared" si="13"/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t="shared" si="13"/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t="shared" si="13"/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t="shared" si="13"/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t="shared" si="13"/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328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t="shared" si="13"/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328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t="shared" si="13"/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328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t="shared" si="13"/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328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t="shared" si="13"/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328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t="shared" si="13"/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328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t="shared" si="13"/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328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t="shared" si="13"/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t="shared" si="13"/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t="shared" si="13"/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t="shared" si="13"/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t="shared" si="13"/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t="shared" si="13"/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t="shared" si="13"/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t="shared" si="13"/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t="shared" si="13"/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t="shared" si="13"/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t="shared" si="13"/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t="shared" si="13"/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t="shared" si="13"/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t="shared" si="13"/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t="shared" si="13"/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t="shared" si="13"/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t="shared" si="13"/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330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t="shared" si="13"/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330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t="shared" si="13"/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330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t="shared" si="13"/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330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t="shared" si="13"/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330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t="shared" si="13"/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331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t="shared" si="13"/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331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t="shared" si="13"/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331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t="shared" si="13"/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331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t="shared" si="13"/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329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t="shared" si="13"/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329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t="shared" si="13"/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329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t="shared" si="13"/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t="shared" si="13"/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328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t="shared" si="13"/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328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t="shared" si="13"/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328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t="shared" si="13"/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t="shared" si="13"/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t="shared" si="13"/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t="shared" si="13"/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t="shared" si="13"/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t="shared" si="13"/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t="shared" si="13"/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t="shared" si="13"/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t="shared" si="13"/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330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t="shared" si="13"/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330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t="shared" si="13"/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330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t="shared" si="13"/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330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t="shared" si="13"/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331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t="shared" si="13"/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331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t="shared" si="13"/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331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t="shared" si="13"/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329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t="shared" si="13"/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329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t="shared" ref="A898:A961" si="14"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329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t="shared" si="14"/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t="shared" si="14"/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t="shared" si="14"/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328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t="shared" si="14"/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328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t="shared" si="14"/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328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t="shared" si="14"/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328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t="shared" si="14"/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t="shared" si="14"/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t="shared" si="14"/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t="shared" si="14"/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t="shared" si="14"/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t="shared" si="14"/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t="shared" si="14"/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330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t="shared" si="14"/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330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t="shared" si="14"/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330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t="shared" si="14"/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330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t="shared" si="14"/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330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t="shared" si="14"/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330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t="shared" si="14"/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331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t="shared" si="14"/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331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t="shared" si="14"/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331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t="shared" si="14"/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331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t="shared" si="14"/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331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t="shared" si="14"/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331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t="shared" si="14"/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331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t="shared" si="14"/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329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t="shared" si="14"/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329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t="shared" si="14"/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329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t="shared" si="14"/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329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t="shared" si="14"/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329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t="shared" si="14"/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329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t="shared" si="14"/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329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t="shared" si="14"/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t="shared" si="14"/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t="shared" si="14"/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t="shared" si="14"/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t="shared" si="14"/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t="shared" si="14"/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328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t="shared" si="14"/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328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t="shared" si="14"/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328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t="shared" si="14"/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328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t="shared" si="14"/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328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t="shared" si="14"/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328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t="shared" si="14"/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328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t="shared" si="14"/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328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t="shared" si="14"/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328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t="shared" si="14"/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t="shared" si="14"/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t="shared" si="14"/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t="shared" si="14"/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t="shared" si="14"/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t="shared" si="14"/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t="shared" si="14"/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t="shared" si="14"/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t="shared" si="14"/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t="shared" si="14"/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t="shared" si="14"/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t="shared" si="14"/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t="shared" si="14"/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t="shared" si="14"/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t="shared" si="14"/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t="shared" si="14"/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t="shared" si="14"/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330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t="shared" ref="A962:A1025" si="15"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330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t="shared" si="15"/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330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t="shared" si="15"/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330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t="shared" si="15"/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330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t="shared" si="15"/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330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t="shared" si="15"/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330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t="shared" si="15"/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330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t="shared" si="15"/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330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t="shared" si="15"/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330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t="shared" si="15"/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330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t="shared" si="15"/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330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t="shared" si="15"/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330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t="shared" si="15"/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331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t="shared" si="15"/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331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t="shared" si="15"/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331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t="shared" si="15"/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331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t="shared" si="15"/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331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t="shared" si="15"/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331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t="shared" si="15"/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331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t="shared" si="15"/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331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t="shared" si="15"/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329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t="shared" si="15"/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329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t="shared" si="15"/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329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t="shared" si="15"/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329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t="shared" si="15"/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329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t="shared" si="15"/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329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t="shared" si="15"/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t="shared" si="15"/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t="shared" si="15"/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t="shared" si="15"/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328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t="shared" si="15"/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328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t="shared" si="15"/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328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t="shared" si="15"/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328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t="shared" si="15"/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328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t="shared" si="15"/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328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t="shared" si="15"/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328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t="shared" si="15"/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328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t="shared" si="15"/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328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t="shared" si="15"/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t="shared" si="15"/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t="shared" si="15"/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t="shared" si="15"/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t="shared" si="15"/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t="shared" si="15"/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t="shared" si="15"/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t="shared" si="15"/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t="shared" si="15"/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t="shared" si="15"/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t="shared" si="15"/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t="shared" si="15"/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t="shared" si="15"/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t="shared" si="15"/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t="shared" si="15"/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t="shared" si="15"/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t="shared" si="15"/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t="shared" si="15"/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t="shared" si="15"/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t="shared" si="15"/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t="shared" si="15"/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t="shared" si="15"/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330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t="shared" si="15"/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330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t="shared" si="15"/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330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t="shared" si="15"/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330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t="shared" si="15"/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330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t="shared" ref="A1026:A1089" si="16"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330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t="shared" si="16"/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330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t="shared" si="16"/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330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t="shared" si="16"/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330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t="shared" si="16"/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330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t="shared" si="16"/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330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t="shared" si="16"/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331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t="shared" si="16"/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331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t="shared" si="16"/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331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t="shared" si="16"/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331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t="shared" si="16"/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331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t="shared" si="16"/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331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t="shared" si="16"/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331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t="shared" si="16"/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331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t="shared" si="16"/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331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t="shared" si="16"/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332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t="shared" si="16"/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329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t="shared" si="16"/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329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t="shared" si="16"/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329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t="shared" si="16"/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329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t="shared" si="16"/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329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t="shared" si="16"/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329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t="shared" si="16"/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329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t="shared" si="16"/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329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t="shared" si="16"/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329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t="shared" si="16"/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329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t="shared" si="16"/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329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t="shared" si="16"/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t="shared" si="16"/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t="shared" si="16"/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t="shared" si="16"/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t="shared" si="16"/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t="shared" si="16"/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t="shared" si="16"/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328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t="shared" si="16"/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328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t="shared" si="16"/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328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t="shared" si="16"/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328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t="shared" si="16"/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328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t="shared" si="16"/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328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t="shared" si="16"/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328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t="shared" si="16"/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328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t="shared" si="16"/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328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t="shared" si="16"/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328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t="shared" si="16"/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t="shared" si="16"/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t="shared" si="16"/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t="shared" si="16"/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t="shared" si="16"/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t="shared" si="16"/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t="shared" si="16"/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t="shared" si="16"/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t="shared" si="16"/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t="shared" si="16"/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t="shared" si="16"/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t="shared" si="16"/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t="shared" si="16"/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t="shared" si="16"/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t="shared" si="16"/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t="shared" si="16"/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t="shared" si="16"/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t="shared" si="16"/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t="shared" si="16"/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t="shared" si="16"/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330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t="shared" si="16"/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330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t="shared" ref="A1090:A1153" si="17"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330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t="shared" si="17"/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330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t="shared" si="17"/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330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t="shared" si="17"/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330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t="shared" si="17"/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330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t="shared" si="17"/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330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t="shared" si="17"/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330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t="shared" si="17"/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330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t="shared" si="17"/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330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t="shared" si="17"/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330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t="shared" si="17"/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330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t="shared" si="17"/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331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t="shared" si="17"/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331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t="shared" si="17"/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331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t="shared" si="17"/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331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t="shared" si="17"/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331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t="shared" si="17"/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331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t="shared" si="17"/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331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t="shared" si="17"/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331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t="shared" si="17"/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331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t="shared" si="17"/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331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t="shared" si="17"/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331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t="shared" si="17"/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331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t="shared" si="17"/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331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t="shared" si="17"/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331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t="shared" si="17"/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331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t="shared" si="17"/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331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t="shared" si="17"/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332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t="shared" si="17"/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329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t="shared" si="17"/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329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t="shared" si="17"/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329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t="shared" si="17"/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329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t="shared" si="17"/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329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t="shared" si="17"/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329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t="shared" si="17"/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329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t="shared" si="17"/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329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t="shared" si="17"/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329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t="shared" si="17"/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329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t="shared" si="17"/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329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t="shared" si="17"/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329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t="shared" si="17"/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329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t="shared" si="17"/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329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t="shared" si="17"/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329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t="shared" si="17"/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329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t="shared" si="17"/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329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t="shared" si="17"/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329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t="shared" si="17"/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t="shared" si="17"/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t="shared" si="17"/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t="shared" si="17"/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t="shared" si="17"/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t="shared" si="17"/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t="shared" si="17"/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t="shared" si="17"/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328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t="shared" si="17"/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328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t="shared" si="17"/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328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t="shared" si="17"/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328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t="shared" si="17"/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328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t="shared" si="17"/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328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t="shared" si="17"/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328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t="shared" si="17"/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328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t="shared" si="17"/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328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t="shared" si="17"/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328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t="shared" si="17"/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328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t="shared" ref="A1154:A1217" si="18"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328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t="shared" si="18"/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328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t="shared" si="18"/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328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t="shared" si="18"/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328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t="shared" si="18"/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328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t="shared" si="18"/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328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t="shared" si="18"/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328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t="shared" si="18"/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328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t="shared" si="18"/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328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t="shared" si="18"/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t="shared" si="18"/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t="shared" si="18"/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t="shared" si="18"/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t="shared" si="18"/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t="shared" si="18"/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t="shared" si="18"/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t="shared" si="18"/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t="shared" si="18"/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t="shared" si="18"/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t="shared" si="18"/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t="shared" si="18"/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t="shared" si="18"/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t="shared" si="18"/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t="shared" si="18"/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t="shared" si="18"/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t="shared" si="18"/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t="shared" si="18"/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t="shared" si="18"/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t="shared" si="18"/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t="shared" si="18"/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t="shared" si="18"/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t="shared" si="18"/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t="shared" si="18"/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t="shared" si="18"/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330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t="shared" si="18"/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330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t="shared" si="18"/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330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t="shared" si="18"/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330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t="shared" si="18"/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330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t="shared" si="18"/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330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t="shared" si="18"/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330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t="shared" si="18"/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330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t="shared" si="18"/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330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t="shared" si="18"/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330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t="shared" si="18"/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330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t="shared" si="18"/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330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t="shared" si="18"/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330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t="shared" si="18"/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330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t="shared" si="18"/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330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t="shared" si="18"/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330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t="shared" si="18"/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330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t="shared" si="18"/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331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t="shared" si="18"/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331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t="shared" si="18"/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331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t="shared" si="18"/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331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t="shared" si="18"/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331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t="shared" si="18"/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331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t="shared" si="18"/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331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t="shared" si="18"/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331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t="shared" si="18"/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331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t="shared" si="18"/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331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t="shared" si="18"/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332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t="shared" si="18"/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329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t="shared" si="18"/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329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t="shared" si="18"/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329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t="shared" ref="A1218:A1281" si="19"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329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t="shared" si="19"/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329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t="shared" si="19"/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329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t="shared" si="19"/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329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t="shared" si="19"/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329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t="shared" si="19"/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329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t="shared" si="19"/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t="shared" si="19"/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t="shared" si="19"/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t="shared" si="19"/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t="shared" si="19"/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328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t="shared" si="19"/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328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t="shared" si="19"/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328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t="shared" si="19"/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328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t="shared" si="19"/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328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t="shared" si="19"/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328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t="shared" si="19"/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328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t="shared" si="19"/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328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t="shared" si="19"/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328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t="shared" si="19"/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328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t="shared" si="19"/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328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t="shared" si="19"/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328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t="shared" si="19"/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328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t="shared" si="19"/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328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t="shared" si="19"/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328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t="shared" si="19"/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328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t="shared" si="19"/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328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t="shared" si="19"/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t="shared" si="19"/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t="shared" si="19"/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t="shared" si="19"/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t="shared" si="19"/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t="shared" si="19"/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t="shared" si="19"/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t="shared" si="19"/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t="shared" si="19"/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t="shared" si="19"/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t="shared" si="19"/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t="shared" si="19"/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t="shared" si="19"/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t="shared" si="19"/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t="shared" si="19"/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t="shared" si="19"/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t="shared" si="19"/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t="shared" si="19"/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t="shared" si="19"/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t="shared" si="19"/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t="shared" si="19"/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330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t="shared" si="19"/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330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t="shared" si="19"/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330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t="shared" si="19"/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330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t="shared" si="19"/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330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t="shared" si="19"/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330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t="shared" si="19"/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330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t="shared" si="19"/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330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t="shared" si="19"/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330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t="shared" si="19"/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330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t="shared" si="19"/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330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t="shared" si="19"/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330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t="shared" si="19"/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330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t="shared" si="19"/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330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t="shared" si="19"/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331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t="shared" si="19"/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331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t="shared" si="19"/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331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t="shared" ref="A1282:A1345" si="20"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331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t="shared" si="20"/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331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t="shared" si="20"/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331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t="shared" si="20"/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331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t="shared" si="20"/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331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t="shared" si="20"/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331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t="shared" si="20"/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331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t="shared" si="20"/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331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t="shared" si="20"/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331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t="shared" si="20"/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332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t="shared" si="20"/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332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t="shared" si="20"/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329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t="shared" si="20"/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329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t="shared" si="20"/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329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t="shared" si="20"/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329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t="shared" si="20"/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329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t="shared" si="20"/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329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t="shared" si="20"/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329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t="shared" si="20"/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329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t="shared" si="20"/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329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t="shared" si="20"/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329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t="shared" si="20"/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329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t="shared" si="20"/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329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t="shared" si="20"/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329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t="shared" si="20"/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329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t="shared" si="20"/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t="shared" si="20"/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t="shared" si="20"/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t="shared" si="20"/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t="shared" si="20"/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328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t="shared" si="20"/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328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t="shared" si="20"/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328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t="shared" si="20"/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328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t="shared" si="20"/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328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t="shared" si="20"/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328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t="shared" si="20"/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328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t="shared" si="20"/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328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t="shared" si="20"/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328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t="shared" si="20"/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328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t="shared" si="20"/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328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t="shared" si="20"/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328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t="shared" si="20"/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328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t="shared" si="20"/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t="shared" si="20"/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t="shared" si="20"/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t="shared" si="20"/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t="shared" si="20"/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t="shared" si="20"/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t="shared" si="20"/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t="shared" si="20"/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t="shared" si="20"/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t="shared" si="20"/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t="shared" si="20"/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t="shared" si="20"/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t="shared" si="20"/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t="shared" si="20"/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t="shared" si="20"/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t="shared" si="20"/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t="shared" si="20"/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t="shared" si="20"/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t="shared" si="20"/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t="shared" si="20"/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t="shared" si="20"/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330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t="shared" si="20"/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330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t="shared" ref="A1346:A1409" si="21"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330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t="shared" si="21"/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330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t="shared" si="21"/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330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t="shared" si="21"/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330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t="shared" si="21"/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330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t="shared" si="21"/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330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t="shared" si="21"/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330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t="shared" si="21"/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330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t="shared" si="21"/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331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t="shared" si="21"/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331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t="shared" si="21"/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331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t="shared" si="21"/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331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t="shared" si="21"/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331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t="shared" si="21"/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331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t="shared" si="21"/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331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t="shared" si="21"/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331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t="shared" si="21"/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329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t="shared" si="21"/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329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t="shared" si="21"/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329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t="shared" si="21"/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329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t="shared" si="21"/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329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t="shared" si="21"/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329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t="shared" si="21"/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329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t="shared" si="21"/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329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t="shared" si="21"/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329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t="shared" si="21"/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329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t="shared" si="21"/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329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t="shared" si="21"/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t="shared" si="21"/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t="shared" si="21"/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t="shared" si="21"/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t="shared" si="21"/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328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t="shared" si="21"/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328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t="shared" si="21"/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328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t="shared" si="21"/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328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t="shared" si="21"/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328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t="shared" si="21"/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328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t="shared" si="21"/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328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t="shared" si="21"/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328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t="shared" si="21"/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328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t="shared" si="21"/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t="shared" si="21"/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t="shared" si="21"/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t="shared" si="21"/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t="shared" si="21"/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t="shared" si="21"/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t="shared" si="21"/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t="shared" si="21"/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t="shared" si="21"/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t="shared" si="21"/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t="shared" si="21"/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t="shared" si="21"/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t="shared" si="21"/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t="shared" si="21"/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t="shared" si="21"/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t="shared" si="21"/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t="shared" si="21"/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330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t="shared" si="21"/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330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t="shared" si="21"/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330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t="shared" si="21"/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330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t="shared" si="21"/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330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t="shared" si="21"/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330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t="shared" si="21"/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330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t="shared" si="21"/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330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t="shared" ref="A1410:A1473" si="22"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330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t="shared" si="22"/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331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t="shared" si="22"/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331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t="shared" si="22"/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331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t="shared" si="22"/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331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t="shared" si="22"/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331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t="shared" si="22"/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331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t="shared" si="22"/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329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t="shared" si="22"/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329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t="shared" si="22"/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329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t="shared" si="22"/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329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t="shared" si="22"/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329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t="shared" si="22"/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329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t="shared" si="22"/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329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t="shared" si="22"/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329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t="shared" si="22"/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t="shared" si="22"/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t="shared" si="22"/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t="shared" si="22"/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328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t="shared" si="22"/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328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t="shared" si="22"/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328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t="shared" si="22"/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328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t="shared" si="22"/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328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t="shared" si="22"/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328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t="shared" si="22"/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328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t="shared" si="22"/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328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t="shared" si="22"/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328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t="shared" si="22"/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328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t="shared" si="22"/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328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t="shared" si="22"/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t="shared" si="22"/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t="shared" si="22"/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t="shared" si="22"/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t="shared" si="22"/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t="shared" si="22"/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t="shared" si="22"/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t="shared" si="22"/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t="shared" si="22"/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t="shared" si="22"/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t="shared" si="22"/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t="shared" si="22"/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t="shared" si="22"/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t="shared" si="22"/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t="shared" si="22"/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t="shared" si="22"/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330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t="shared" si="22"/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330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t="shared" si="22"/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330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t="shared" si="22"/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330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t="shared" si="22"/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331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t="shared" si="22"/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331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t="shared" si="22"/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331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t="shared" si="22"/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331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t="shared" si="22"/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331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t="shared" si="22"/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329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t="shared" si="22"/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t="shared" si="22"/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t="shared" si="22"/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328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t="shared" si="22"/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328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t="shared" si="22"/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328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t="shared" si="22"/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328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t="shared" si="22"/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t="shared" si="22"/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t="shared" si="22"/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t="shared" si="22"/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t="shared" ref="A1474:A1537" si="23"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t="shared" si="23"/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t="shared" si="23"/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t="shared" si="23"/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t="shared" si="23"/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t="shared" si="23"/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t="shared" si="23"/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t="shared" si="23"/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t="shared" si="23"/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t="shared" si="23"/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330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t="shared" si="23"/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330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t="shared" si="23"/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330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t="shared" si="23"/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330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t="shared" si="23"/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330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t="shared" si="23"/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330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t="shared" si="23"/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330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t="shared" si="23"/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330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t="shared" si="23"/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330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t="shared" si="23"/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330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t="shared" si="23"/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331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t="shared" si="23"/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331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t="shared" si="23"/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331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t="shared" si="23"/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331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t="shared" si="23"/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331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t="shared" si="23"/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329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t="shared" si="23"/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329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t="shared" si="23"/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329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t="shared" si="23"/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329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t="shared" si="23"/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329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t="shared" si="23"/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t="shared" si="23"/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328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t="shared" si="23"/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328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t="shared" si="23"/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328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t="shared" si="23"/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328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t="shared" si="23"/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328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t="shared" si="23"/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328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t="shared" si="23"/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328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t="shared" si="23"/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t="shared" si="23"/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t="shared" si="23"/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t="shared" si="23"/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t="shared" si="23"/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t="shared" si="23"/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t="shared" si="23"/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t="shared" si="23"/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t="shared" si="23"/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t="shared" si="23"/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t="shared" si="23"/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t="shared" si="23"/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t="shared" si="23"/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t="shared" si="23"/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t="shared" si="23"/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t="shared" si="23"/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t="shared" si="23"/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t="shared" si="23"/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330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t="shared" si="23"/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330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t="shared" si="23"/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330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t="shared" si="23"/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330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t="shared" si="23"/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330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t="shared" si="23"/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330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t="shared" si="23"/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330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t="shared" si="23"/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331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t="shared" si="23"/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331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t="shared" si="23"/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331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t="shared" ref="A1538:A1601" si="24"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331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t="shared" si="24"/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331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t="shared" si="24"/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331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t="shared" si="24"/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331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t="shared" si="24"/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331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t="shared" si="24"/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331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t="shared" si="24"/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332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t="shared" si="24"/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329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t="shared" si="24"/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329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t="shared" si="24"/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329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t="shared" si="24"/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329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t="shared" si="24"/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t="shared" si="24"/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t="shared" si="24"/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t="shared" si="24"/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t="shared" si="24"/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328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t="shared" si="24"/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328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t="shared" si="24"/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328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t="shared" si="24"/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328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t="shared" si="24"/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328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t="shared" si="24"/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328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t="shared" si="24"/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328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t="shared" si="24"/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328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t="shared" si="24"/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328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t="shared" si="24"/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t="shared" si="24"/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t="shared" si="24"/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t="shared" si="24"/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t="shared" si="24"/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t="shared" si="24"/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t="shared" si="24"/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t="shared" si="24"/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t="shared" si="24"/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t="shared" si="24"/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t="shared" si="24"/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t="shared" si="24"/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t="shared" si="24"/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t="shared" si="24"/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330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t="shared" si="24"/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330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t="shared" si="24"/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330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t="shared" si="24"/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330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t="shared" si="24"/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330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t="shared" si="24"/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330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t="shared" si="24"/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331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t="shared" si="24"/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331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t="shared" si="24"/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331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t="shared" si="24"/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331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t="shared" si="24"/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331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t="shared" si="24"/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329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t="shared" si="24"/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329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t="shared" si="24"/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329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t="shared" si="24"/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329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t="shared" si="24"/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329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t="shared" si="24"/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t="shared" si="24"/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328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t="shared" si="24"/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328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t="shared" si="24"/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328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t="shared" si="24"/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328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t="shared" si="24"/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328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t="shared" si="24"/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328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t="shared" si="24"/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t="shared" si="24"/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t="shared" si="24"/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t="shared" si="24"/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t="shared" ref="A1602:A1665" si="25"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t="shared" si="25"/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t="shared" si="25"/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t="shared" si="25"/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t="shared" si="25"/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t="shared" si="25"/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t="shared" si="25"/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t="shared" si="25"/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330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t="shared" si="25"/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330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t="shared" si="25"/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330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t="shared" si="25"/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331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t="shared" si="25"/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331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t="shared" si="25"/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331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t="shared" si="25"/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331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t="shared" si="25"/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331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t="shared" si="25"/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329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t="shared" si="25"/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329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t="shared" si="25"/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329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t="shared" si="25"/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329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t="shared" si="25"/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329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t="shared" si="25"/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329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t="shared" si="25"/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t="shared" si="25"/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t="shared" si="25"/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t="shared" si="25"/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328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t="shared" si="25"/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328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t="shared" si="25"/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328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t="shared" si="25"/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328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t="shared" si="25"/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328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t="shared" si="25"/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328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t="shared" si="25"/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t="shared" si="25"/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t="shared" si="25"/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t="shared" si="25"/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t="shared" si="25"/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t="shared" si="25"/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t="shared" si="25"/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t="shared" si="25"/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t="shared" si="25"/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330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t="shared" si="25"/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331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t="shared" si="25"/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331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t="shared" si="25"/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329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t="shared" si="25"/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329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t="shared" si="25"/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t="shared" si="25"/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328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t="shared" si="25"/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328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t="shared" si="25"/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t="shared" si="25"/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t="shared" si="25"/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t="shared" si="25"/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t="shared" si="25"/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330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t="shared" si="25"/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330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t="shared" si="25"/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330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t="shared" si="25"/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330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t="shared" si="25"/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330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t="shared" si="25"/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330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t="shared" si="25"/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330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t="shared" si="25"/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331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t="shared" si="25"/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331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t="shared" si="25"/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331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t="shared" si="25"/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331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t="shared" si="25"/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331</v>
      </c>
      <c r="G1663"/>
      <c r="H1663">
        <v>1</v>
      </c>
      <c r="I1663">
        <v>12.22</v>
      </c>
      <c r="W1663"/>
    </row>
    <row r="1664" spans="1:23" ht="15" x14ac:dyDescent="0.25">
      <c r="A1664" s="159" t="str">
        <f t="shared" si="25"/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332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t="shared" si="25"/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329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t="shared" ref="A1666:A1729" si="26"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329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t="shared" si="26"/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329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t="shared" si="26"/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329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t="shared" si="26"/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t="shared" si="26"/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t="shared" si="26"/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t="shared" si="26"/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328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t="shared" si="26"/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328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t="shared" si="26"/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328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t="shared" si="26"/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328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t="shared" si="26"/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328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t="shared" si="26"/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328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t="shared" si="26"/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t="shared" si="26"/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t="shared" si="26"/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t="shared" si="26"/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t="shared" si="26"/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t="shared" si="26"/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t="shared" si="26"/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t="shared" si="26"/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t="shared" si="26"/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t="shared" si="26"/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330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t="shared" si="26"/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330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t="shared" si="26"/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330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t="shared" si="26"/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330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t="shared" si="26"/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330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t="shared" si="26"/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330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t="shared" si="26"/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331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t="shared" si="26"/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331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t="shared" si="26"/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331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t="shared" si="26"/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331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t="shared" si="26"/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331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t="shared" si="26"/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329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t="shared" si="26"/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329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t="shared" si="26"/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329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t="shared" si="26"/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329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t="shared" si="26"/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329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t="shared" si="26"/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t="shared" si="26"/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t="shared" si="26"/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t="shared" si="26"/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t="shared" si="26"/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t="shared" si="26"/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328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t="shared" si="26"/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328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t="shared" si="26"/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328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t="shared" si="26"/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328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t="shared" si="26"/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328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t="shared" si="26"/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328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t="shared" si="26"/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328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t="shared" si="26"/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328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t="shared" si="26"/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328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t="shared" si="26"/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328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t="shared" si="26"/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328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t="shared" si="26"/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t="shared" si="26"/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t="shared" si="26"/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t="shared" si="26"/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t="shared" si="26"/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t="shared" si="26"/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t="shared" si="26"/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t="shared" si="26"/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330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t="shared" si="26"/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330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t="shared" si="26"/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330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t="shared" si="26"/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330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t="shared" ref="A1730:A1793" si="27"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331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t="shared" si="27"/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331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t="shared" si="27"/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331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t="shared" si="27"/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331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t="shared" si="27"/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329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t="shared" si="27"/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329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t="shared" si="27"/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329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t="shared" si="27"/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t="shared" si="27"/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t="shared" si="27"/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328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t="shared" si="27"/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328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t="shared" si="27"/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328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t="shared" si="27"/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328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t="shared" si="27"/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328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t="shared" si="27"/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328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t="shared" si="27"/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t="shared" si="27"/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t="shared" si="27"/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t="shared" si="27"/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t="shared" si="27"/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330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t="shared" si="27"/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330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t="shared" si="27"/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330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t="shared" si="27"/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330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t="shared" si="27"/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330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t="shared" si="27"/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331</v>
      </c>
      <c r="G1754"/>
      <c r="H1754">
        <v>1</v>
      </c>
      <c r="I1754">
        <v>73.75</v>
      </c>
      <c r="W1754"/>
    </row>
    <row r="1755" spans="1:23" ht="15" x14ac:dyDescent="0.25">
      <c r="A1755" s="159" t="str">
        <f t="shared" si="27"/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331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t="shared" si="27"/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331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t="shared" si="27"/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331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t="shared" si="27"/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331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t="shared" si="27"/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331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t="shared" si="27"/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329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t="shared" si="27"/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329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t="shared" si="27"/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329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t="shared" si="27"/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329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t="shared" si="27"/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329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t="shared" si="27"/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329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t="shared" si="27"/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t="shared" si="27"/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328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t="shared" si="27"/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328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t="shared" si="27"/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328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t="shared" si="27"/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328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t="shared" si="27"/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328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t="shared" si="27"/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t="shared" si="27"/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t="shared" si="27"/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t="shared" si="27"/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t="shared" si="27"/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t="shared" si="27"/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t="shared" si="27"/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330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t="shared" si="27"/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330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t="shared" si="27"/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330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t="shared" si="27"/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330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t="shared" si="27"/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330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t="shared" si="27"/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331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t="shared" si="27"/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331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t="shared" si="27"/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331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t="shared" si="27"/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331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t="shared" si="27"/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329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t="shared" si="27"/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329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t="shared" si="27"/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329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t="shared" si="27"/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329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t="shared" si="27"/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t="shared" si="27"/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t="shared" si="27"/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t="shared" ref="A1794:A1844" si="28"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t="shared" si="28"/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t="shared" si="28"/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328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t="shared" si="28"/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328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t="shared" si="28"/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328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t="shared" si="28"/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328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t="shared" si="28"/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328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t="shared" si="28"/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328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t="shared" si="28"/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328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t="shared" si="28"/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328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t="shared" si="28"/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t="shared" si="28"/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t="shared" si="28"/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t="shared" si="28"/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t="shared" si="28"/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t="shared" si="28"/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t="shared" si="28"/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t="shared" si="28"/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t="shared" si="28"/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t="shared" si="28"/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330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t="shared" si="28"/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330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t="shared" si="28"/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330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t="shared" si="28"/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330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t="shared" si="28"/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330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t="shared" si="28"/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331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t="shared" si="28"/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331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t="shared" si="28"/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331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t="shared" si="28"/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331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t="shared" si="28"/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331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t="shared" si="28"/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329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t="shared" si="28"/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329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t="shared" si="28"/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329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t="shared" si="28"/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329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t="shared" si="28"/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329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t="shared" si="28"/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t="shared" si="28"/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t="shared" si="28"/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t="shared" si="28"/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328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t="shared" si="28"/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328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t="shared" si="28"/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328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t="shared" si="28"/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328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t="shared" si="28"/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328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t="shared" si="28"/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328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t="shared" si="28"/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328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t="shared" si="28"/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t="shared" si="28"/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t="shared" si="28"/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t="shared" si="28"/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t="shared" si="28"/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t="shared" si="28"/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t="shared" si="28"/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zoomScale="90" zoomScaleNormal="90" workbookViewId="0">
      <selection activeCell="N3" sqref="N3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309</v>
      </c>
      <c r="H1" s="226" t="s">
        <v>312</v>
      </c>
      <c r="V1" s="226" t="s">
        <v>313</v>
      </c>
      <c r="AB1" s="226" t="s">
        <v>314</v>
      </c>
      <c r="AJ1" s="226" t="s">
        <v>315</v>
      </c>
      <c r="AP1" s="226" t="s">
        <v>316</v>
      </c>
    </row>
    <row r="3" spans="2:46" x14ac:dyDescent="0.25">
      <c r="B3" t="s">
        <v>289</v>
      </c>
      <c r="H3" t="s">
        <v>304</v>
      </c>
      <c r="N3" s="241" t="s">
        <v>319</v>
      </c>
      <c r="V3" t="s">
        <v>305</v>
      </c>
      <c r="AB3" t="s">
        <v>306</v>
      </c>
      <c r="AJ3" t="s">
        <v>307</v>
      </c>
      <c r="AP3" t="s">
        <v>308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290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290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290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290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290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290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290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291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291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291</v>
      </c>
      <c r="O6" s="242">
        <v>0</v>
      </c>
      <c r="P6" s="230">
        <v>72457.185875433643</v>
      </c>
      <c r="Q6" s="230">
        <v>1049945.8093882001</v>
      </c>
      <c r="R6" s="234">
        <v>1125770.7547990712</v>
      </c>
      <c r="V6" s="233" t="s">
        <v>291</v>
      </c>
      <c r="W6" s="228">
        <v>0</v>
      </c>
      <c r="X6" s="230">
        <v>2</v>
      </c>
      <c r="Y6" s="230">
        <v>414</v>
      </c>
      <c r="Z6" s="234">
        <v>416</v>
      </c>
      <c r="AB6" s="233" t="s">
        <v>291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291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291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292</v>
      </c>
      <c r="C7" s="228">
        <v>23</v>
      </c>
      <c r="D7" s="230">
        <v>172</v>
      </c>
      <c r="E7" s="230">
        <v>587</v>
      </c>
      <c r="F7" s="234">
        <v>782</v>
      </c>
      <c r="H7" s="233" t="s">
        <v>292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292</v>
      </c>
      <c r="O7" s="228">
        <v>5259.0990964169914</v>
      </c>
      <c r="P7" s="230">
        <v>55985.316365278515</v>
      </c>
      <c r="Q7" s="230">
        <v>251536.52216623956</v>
      </c>
      <c r="R7" s="234">
        <v>312780.93762793508</v>
      </c>
      <c r="V7" s="233" t="s">
        <v>292</v>
      </c>
      <c r="W7" s="228">
        <v>0</v>
      </c>
      <c r="X7" s="230">
        <v>4</v>
      </c>
      <c r="Y7" s="230">
        <v>66</v>
      </c>
      <c r="Z7" s="234">
        <v>70</v>
      </c>
      <c r="AB7" s="233" t="s">
        <v>292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292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292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293</v>
      </c>
      <c r="C8">
        <v>6</v>
      </c>
      <c r="D8">
        <v>62</v>
      </c>
      <c r="E8">
        <v>181</v>
      </c>
      <c r="F8" s="233">
        <v>249</v>
      </c>
      <c r="H8" s="233" t="s">
        <v>293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293</v>
      </c>
      <c r="O8">
        <v>4444.2867184301622</v>
      </c>
      <c r="P8">
        <v>21933.31146225394</v>
      </c>
      <c r="Q8">
        <v>132407.19001567585</v>
      </c>
      <c r="R8" s="233">
        <v>158784.78819635994</v>
      </c>
      <c r="V8" s="233" t="s">
        <v>293</v>
      </c>
      <c r="W8">
        <v>0</v>
      </c>
      <c r="X8">
        <v>0</v>
      </c>
      <c r="Y8">
        <v>24</v>
      </c>
      <c r="Z8" s="233">
        <v>24</v>
      </c>
      <c r="AB8" s="233" t="s">
        <v>293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293</v>
      </c>
      <c r="AK8">
        <v>0</v>
      </c>
      <c r="AL8">
        <v>0</v>
      </c>
      <c r="AM8">
        <v>38</v>
      </c>
      <c r="AN8" s="233">
        <v>38</v>
      </c>
      <c r="AP8" s="233" t="s">
        <v>293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294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294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294</v>
      </c>
      <c r="O11" s="232">
        <v>51708.969352784508</v>
      </c>
      <c r="P11" s="231">
        <v>21963.50877043236</v>
      </c>
      <c r="Q11" s="231">
        <v>45628.285042083051</v>
      </c>
      <c r="R11" s="235">
        <v>119300.76316529991</v>
      </c>
      <c r="V11" s="233" t="s">
        <v>294</v>
      </c>
      <c r="W11" s="232">
        <v>0</v>
      </c>
      <c r="X11" s="231">
        <v>2</v>
      </c>
      <c r="Y11" s="231">
        <v>4</v>
      </c>
      <c r="Z11" s="235">
        <v>6</v>
      </c>
      <c r="AB11" s="233" t="s">
        <v>294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294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294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317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317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317</v>
      </c>
      <c r="O12" s="228">
        <v>12940.161957477872</v>
      </c>
      <c r="P12" s="230">
        <v>8403.0625911078969</v>
      </c>
      <c r="Q12" s="230">
        <v>7295.932738406419</v>
      </c>
      <c r="R12" s="234">
        <v>28639.157286992191</v>
      </c>
      <c r="V12" s="233" t="s">
        <v>317</v>
      </c>
      <c r="W12" s="228">
        <v>0</v>
      </c>
      <c r="X12" s="230">
        <v>0</v>
      </c>
      <c r="Y12" s="230">
        <v>0</v>
      </c>
      <c r="Z12" s="234">
        <v>0</v>
      </c>
      <c r="AB12" s="233" t="s">
        <v>317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317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317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295</v>
      </c>
      <c r="C13" s="228">
        <v>18</v>
      </c>
      <c r="D13" s="230">
        <v>8</v>
      </c>
      <c r="E13" s="230">
        <v>36</v>
      </c>
      <c r="F13" s="234">
        <v>62</v>
      </c>
      <c r="H13" s="233" t="s">
        <v>295</v>
      </c>
      <c r="I13" s="228">
        <v>1119.9781562173118</v>
      </c>
      <c r="J13" s="230">
        <v>203.41316389315205</v>
      </c>
      <c r="K13" s="230">
        <v>7190.9254251021812</v>
      </c>
      <c r="L13" s="234">
        <v>8514.3167452126454</v>
      </c>
      <c r="M13" s="230"/>
      <c r="N13" s="233" t="s">
        <v>295</v>
      </c>
      <c r="O13" s="228">
        <v>1119.9781562173118</v>
      </c>
      <c r="P13" s="230">
        <v>203.41316389315205</v>
      </c>
      <c r="Q13" s="230">
        <v>7190.9254251021812</v>
      </c>
      <c r="R13" s="234">
        <v>8514.3167452126454</v>
      </c>
      <c r="V13" s="233" t="s">
        <v>295</v>
      </c>
      <c r="W13" s="228">
        <v>0</v>
      </c>
      <c r="X13" s="230">
        <v>0</v>
      </c>
      <c r="Y13" s="230">
        <v>0</v>
      </c>
      <c r="Z13" s="234">
        <v>0</v>
      </c>
      <c r="AB13" s="233" t="s">
        <v>295</v>
      </c>
      <c r="AC13" s="228">
        <v>0</v>
      </c>
      <c r="AD13" s="230">
        <v>0</v>
      </c>
      <c r="AE13" s="230">
        <v>0</v>
      </c>
      <c r="AF13" s="234">
        <v>0</v>
      </c>
      <c r="AJ13" s="233" t="s">
        <v>295</v>
      </c>
      <c r="AK13" s="228">
        <v>0</v>
      </c>
      <c r="AL13" s="230">
        <v>0</v>
      </c>
      <c r="AM13" s="230">
        <v>0</v>
      </c>
      <c r="AN13" s="234">
        <v>0</v>
      </c>
      <c r="AP13" s="233" t="s">
        <v>295</v>
      </c>
      <c r="AQ13" s="228">
        <v>0</v>
      </c>
      <c r="AR13" s="230">
        <v>0</v>
      </c>
      <c r="AS13" s="230">
        <v>0</v>
      </c>
      <c r="AT13" s="234">
        <v>0</v>
      </c>
    </row>
    <row r="14" spans="2:46" x14ac:dyDescent="0.25">
      <c r="B14" s="233" t="s">
        <v>296</v>
      </c>
      <c r="C14" s="228">
        <v>105</v>
      </c>
      <c r="D14" s="230">
        <v>93</v>
      </c>
      <c r="E14" s="230">
        <v>169</v>
      </c>
      <c r="F14" s="234">
        <v>367</v>
      </c>
      <c r="H14" s="233" t="s">
        <v>296</v>
      </c>
      <c r="I14" s="228">
        <v>8653.375982139838</v>
      </c>
      <c r="J14" s="230">
        <v>18221.399098018963</v>
      </c>
      <c r="K14" s="230">
        <v>20737.197141332726</v>
      </c>
      <c r="L14" s="234">
        <v>47611.972221491524</v>
      </c>
      <c r="M14" s="230"/>
      <c r="N14" s="233" t="s">
        <v>296</v>
      </c>
      <c r="O14" s="228">
        <v>8653.375982139838</v>
      </c>
      <c r="P14" s="230">
        <v>18221.399098018963</v>
      </c>
      <c r="Q14" s="230">
        <v>20737.197141332726</v>
      </c>
      <c r="R14" s="234">
        <v>47611.972221491524</v>
      </c>
      <c r="V14" s="233" t="s">
        <v>296</v>
      </c>
      <c r="W14" s="228">
        <v>0</v>
      </c>
      <c r="X14" s="230">
        <v>1</v>
      </c>
      <c r="Y14" s="230">
        <v>2</v>
      </c>
      <c r="Z14" s="234">
        <v>3</v>
      </c>
      <c r="AB14" s="233" t="s">
        <v>296</v>
      </c>
      <c r="AC14" s="228">
        <v>0</v>
      </c>
      <c r="AD14" s="230">
        <v>22.950809930586619</v>
      </c>
      <c r="AE14" s="230">
        <v>3970.2584636357815</v>
      </c>
      <c r="AF14" s="234">
        <v>3993.2092735663682</v>
      </c>
      <c r="AJ14" s="233" t="s">
        <v>296</v>
      </c>
      <c r="AK14" s="228">
        <v>0</v>
      </c>
      <c r="AL14" s="230">
        <v>1</v>
      </c>
      <c r="AM14" s="230">
        <v>3</v>
      </c>
      <c r="AN14" s="234">
        <v>4</v>
      </c>
      <c r="AP14" s="233" t="s">
        <v>296</v>
      </c>
      <c r="AQ14" s="228">
        <v>0</v>
      </c>
      <c r="AR14" s="230">
        <v>22.950809930586619</v>
      </c>
      <c r="AS14" s="230">
        <v>3984.403295361667</v>
      </c>
      <c r="AT14" s="234">
        <v>4007.3541052922537</v>
      </c>
    </row>
    <row r="15" spans="2:46" x14ac:dyDescent="0.25">
      <c r="B15" s="233" t="s">
        <v>297</v>
      </c>
      <c r="C15" s="228">
        <v>44</v>
      </c>
      <c r="D15" s="230">
        <v>35</v>
      </c>
      <c r="E15" s="230">
        <v>65</v>
      </c>
      <c r="F15" s="234">
        <v>144</v>
      </c>
      <c r="H15" s="233" t="s">
        <v>297</v>
      </c>
      <c r="I15" s="228">
        <v>8396.4667297825636</v>
      </c>
      <c r="J15" s="230">
        <v>4442.0473397427832</v>
      </c>
      <c r="K15" s="230">
        <v>13809.702180655277</v>
      </c>
      <c r="L15" s="234">
        <v>26648.216250180623</v>
      </c>
      <c r="M15" s="230"/>
      <c r="N15" s="233" t="s">
        <v>297</v>
      </c>
      <c r="O15" s="228">
        <v>8396.4667297825636</v>
      </c>
      <c r="P15" s="230">
        <v>4442.0473397427832</v>
      </c>
      <c r="Q15" s="230">
        <v>13809.702180655277</v>
      </c>
      <c r="R15" s="234">
        <v>26648.216250180623</v>
      </c>
      <c r="V15" s="233" t="s">
        <v>297</v>
      </c>
      <c r="W15" s="228">
        <v>0</v>
      </c>
      <c r="X15" s="230">
        <v>0</v>
      </c>
      <c r="Y15" s="230">
        <v>2</v>
      </c>
      <c r="Z15" s="234">
        <v>2</v>
      </c>
      <c r="AB15" s="233" t="s">
        <v>297</v>
      </c>
      <c r="AC15" s="228">
        <v>0</v>
      </c>
      <c r="AD15" s="230">
        <v>0</v>
      </c>
      <c r="AE15" s="230">
        <v>45.392582320491229</v>
      </c>
      <c r="AF15" s="234">
        <v>45.392582320491229</v>
      </c>
      <c r="AJ15" s="233" t="s">
        <v>297</v>
      </c>
      <c r="AK15" s="228">
        <v>0</v>
      </c>
      <c r="AL15" s="230">
        <v>0</v>
      </c>
      <c r="AM15" s="230">
        <v>4</v>
      </c>
      <c r="AN15" s="234">
        <v>4</v>
      </c>
      <c r="AP15" s="233" t="s">
        <v>297</v>
      </c>
      <c r="AQ15" s="228">
        <v>0</v>
      </c>
      <c r="AR15" s="230">
        <v>0</v>
      </c>
      <c r="AS15" s="230">
        <v>151.45717483188884</v>
      </c>
      <c r="AT15" s="234">
        <v>151.45717483188884</v>
      </c>
    </row>
    <row r="16" spans="2:46" x14ac:dyDescent="0.25">
      <c r="B16" s="233" t="s">
        <v>298</v>
      </c>
      <c r="C16" s="228">
        <v>1</v>
      </c>
      <c r="D16" s="230">
        <v>1</v>
      </c>
      <c r="E16" s="230">
        <v>5</v>
      </c>
      <c r="F16" s="234">
        <v>7</v>
      </c>
      <c r="H16" s="233" t="s">
        <v>298</v>
      </c>
      <c r="I16" s="228">
        <v>8.37838897845592</v>
      </c>
      <c r="J16" s="230">
        <v>22.953106447704769</v>
      </c>
      <c r="K16" s="230">
        <v>147.17948316097286</v>
      </c>
      <c r="L16" s="234">
        <v>178.51097858713356</v>
      </c>
      <c r="M16" s="230"/>
      <c r="N16" s="233" t="s">
        <v>298</v>
      </c>
      <c r="O16" s="228">
        <v>8.37838897845592</v>
      </c>
      <c r="P16" s="230">
        <v>22.953106447704769</v>
      </c>
      <c r="Q16" s="230">
        <v>147.17948316097286</v>
      </c>
      <c r="R16" s="234">
        <v>178.51097858713356</v>
      </c>
      <c r="V16" s="233" t="s">
        <v>298</v>
      </c>
      <c r="W16" s="228">
        <v>0</v>
      </c>
      <c r="X16" s="230">
        <v>0</v>
      </c>
      <c r="Y16" s="230">
        <v>0</v>
      </c>
      <c r="Z16" s="234">
        <v>0</v>
      </c>
      <c r="AB16" s="233" t="s">
        <v>298</v>
      </c>
      <c r="AC16" s="228">
        <v>0</v>
      </c>
      <c r="AD16" s="230">
        <v>0</v>
      </c>
      <c r="AE16" s="230">
        <v>0</v>
      </c>
      <c r="AF16" s="234">
        <v>0</v>
      </c>
      <c r="AJ16" s="233" t="s">
        <v>298</v>
      </c>
      <c r="AK16" s="228">
        <v>0</v>
      </c>
      <c r="AL16" s="230">
        <v>0</v>
      </c>
      <c r="AM16" s="230">
        <v>0</v>
      </c>
      <c r="AN16" s="234">
        <v>0</v>
      </c>
      <c r="AP16" s="233" t="s">
        <v>298</v>
      </c>
      <c r="AQ16" s="228">
        <v>0</v>
      </c>
      <c r="AR16" s="230">
        <v>0</v>
      </c>
      <c r="AS16" s="230">
        <v>0</v>
      </c>
      <c r="AT16" s="234">
        <v>0</v>
      </c>
    </row>
    <row r="17" spans="2:46" x14ac:dyDescent="0.25">
      <c r="B17" s="233" t="s">
        <v>318</v>
      </c>
      <c r="C17" s="228">
        <v>3</v>
      </c>
      <c r="D17" s="230">
        <v>1</v>
      </c>
      <c r="E17" s="230">
        <v>4</v>
      </c>
      <c r="F17" s="234">
        <v>8</v>
      </c>
      <c r="H17" s="233" t="s">
        <v>318</v>
      </c>
      <c r="I17" s="228">
        <v>781.04210043756268</v>
      </c>
      <c r="J17" s="230">
        <v>315.73645470059705</v>
      </c>
      <c r="K17" s="230">
        <v>741.18157101180668</v>
      </c>
      <c r="L17" s="234">
        <v>1837.9601261499665</v>
      </c>
      <c r="M17" s="230"/>
      <c r="N17" s="233" t="s">
        <v>318</v>
      </c>
      <c r="O17" s="228">
        <v>781.04210043756268</v>
      </c>
      <c r="P17" s="230">
        <v>315.73645470059705</v>
      </c>
      <c r="Q17" s="230">
        <v>741.18157101180668</v>
      </c>
      <c r="R17" s="234">
        <v>1837.9601261499665</v>
      </c>
      <c r="V17" s="233" t="s">
        <v>318</v>
      </c>
      <c r="W17" s="228">
        <v>0</v>
      </c>
      <c r="X17" s="230">
        <v>0</v>
      </c>
      <c r="Y17" s="230">
        <v>0</v>
      </c>
      <c r="Z17" s="234">
        <v>0</v>
      </c>
      <c r="AB17" s="233" t="s">
        <v>318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318</v>
      </c>
      <c r="AK17" s="228">
        <v>1</v>
      </c>
      <c r="AL17" s="230">
        <v>0</v>
      </c>
      <c r="AM17" s="230">
        <v>0</v>
      </c>
      <c r="AN17" s="234">
        <v>1</v>
      </c>
      <c r="AP17" s="233" t="s">
        <v>318</v>
      </c>
      <c r="AQ17" s="228">
        <v>443.94433782522736</v>
      </c>
      <c r="AR17" s="230">
        <v>0</v>
      </c>
      <c r="AS17" s="230">
        <v>0</v>
      </c>
      <c r="AT17" s="234">
        <v>443.94433782522736</v>
      </c>
    </row>
    <row r="18" spans="2:46" x14ac:dyDescent="0.25">
      <c r="B18" s="233" t="s">
        <v>299</v>
      </c>
      <c r="C18" s="228">
        <v>0</v>
      </c>
      <c r="D18" s="230">
        <v>0</v>
      </c>
      <c r="E18" s="230">
        <v>5</v>
      </c>
      <c r="F18" s="234">
        <v>5</v>
      </c>
      <c r="H18" s="233" t="s">
        <v>299</v>
      </c>
      <c r="I18" s="228">
        <v>0</v>
      </c>
      <c r="J18" s="230">
        <v>0</v>
      </c>
      <c r="K18" s="230">
        <v>1067.7793770498074</v>
      </c>
      <c r="L18" s="234">
        <v>1067.7793770498074</v>
      </c>
      <c r="M18" s="230"/>
      <c r="N18" s="233" t="s">
        <v>299</v>
      </c>
      <c r="O18" s="228">
        <v>0</v>
      </c>
      <c r="P18" s="230">
        <v>0</v>
      </c>
      <c r="Q18" s="230">
        <v>1067.7793770498074</v>
      </c>
      <c r="R18" s="234">
        <v>1067.7793770498074</v>
      </c>
      <c r="V18" s="233" t="s">
        <v>299</v>
      </c>
      <c r="W18" s="228">
        <v>0</v>
      </c>
      <c r="X18" s="230">
        <v>0</v>
      </c>
      <c r="Y18" s="230">
        <v>0</v>
      </c>
      <c r="Z18" s="234">
        <v>0</v>
      </c>
      <c r="AB18" s="233" t="s">
        <v>299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299</v>
      </c>
      <c r="AK18" s="228">
        <v>0</v>
      </c>
      <c r="AL18" s="230">
        <v>0</v>
      </c>
      <c r="AM18" s="230">
        <v>2</v>
      </c>
      <c r="AN18" s="234">
        <v>2</v>
      </c>
      <c r="AP18" s="233" t="s">
        <v>299</v>
      </c>
      <c r="AQ18" s="228">
        <v>0</v>
      </c>
      <c r="AR18" s="230">
        <v>0</v>
      </c>
      <c r="AS18" s="230">
        <v>920.89427909405379</v>
      </c>
      <c r="AT18" s="234">
        <v>920.89427909405379</v>
      </c>
    </row>
    <row r="19" spans="2:46" x14ac:dyDescent="0.25">
      <c r="B19" s="233" t="s">
        <v>300</v>
      </c>
      <c r="C19" s="228">
        <v>6</v>
      </c>
      <c r="D19" s="230">
        <v>29</v>
      </c>
      <c r="E19" s="230">
        <v>130</v>
      </c>
      <c r="F19" s="234">
        <v>165</v>
      </c>
      <c r="H19" s="233" t="s">
        <v>300</v>
      </c>
      <c r="I19" s="228">
        <v>322.11109880024617</v>
      </c>
      <c r="J19" s="230">
        <v>15534.866656904394</v>
      </c>
      <c r="K19" s="230">
        <v>33804.280275161247</v>
      </c>
      <c r="L19" s="234">
        <v>49661.258030865887</v>
      </c>
      <c r="M19" s="230"/>
      <c r="N19" s="233" t="s">
        <v>300</v>
      </c>
      <c r="O19" s="228">
        <v>322.11109880024617</v>
      </c>
      <c r="P19" s="230">
        <v>15534.866656904394</v>
      </c>
      <c r="Q19" s="230">
        <v>33804.280275161247</v>
      </c>
      <c r="R19" s="234">
        <v>49661.258030865887</v>
      </c>
      <c r="V19" s="233" t="s">
        <v>300</v>
      </c>
      <c r="W19" s="228">
        <v>0</v>
      </c>
      <c r="X19" s="230">
        <v>0</v>
      </c>
      <c r="Y19" s="230">
        <v>8</v>
      </c>
      <c r="Z19" s="234">
        <v>8</v>
      </c>
      <c r="AB19" s="233" t="s">
        <v>300</v>
      </c>
      <c r="AC19" s="228">
        <v>0</v>
      </c>
      <c r="AD19" s="230">
        <v>0</v>
      </c>
      <c r="AE19" s="230">
        <v>1045.783850208187</v>
      </c>
      <c r="AF19" s="234">
        <v>1045.783850208187</v>
      </c>
      <c r="AJ19" s="233" t="s">
        <v>300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300</v>
      </c>
      <c r="AQ19" s="228">
        <v>0</v>
      </c>
      <c r="AR19" s="230">
        <v>0</v>
      </c>
      <c r="AS19" s="230">
        <v>1045.783850208187</v>
      </c>
      <c r="AT19" s="234">
        <v>1045.783850208187</v>
      </c>
    </row>
    <row r="20" spans="2:46" x14ac:dyDescent="0.25">
      <c r="B20" s="233" t="s">
        <v>301</v>
      </c>
      <c r="C20" s="228">
        <v>3</v>
      </c>
      <c r="D20" s="230">
        <v>14</v>
      </c>
      <c r="E20" s="230">
        <v>46</v>
      </c>
      <c r="F20" s="234">
        <v>63</v>
      </c>
      <c r="H20" s="233" t="s">
        <v>301</v>
      </c>
      <c r="I20" s="228">
        <v>137.66690106414688</v>
      </c>
      <c r="J20" s="230">
        <v>1653.583096856968</v>
      </c>
      <c r="K20" s="230">
        <v>15952.786850367049</v>
      </c>
      <c r="L20" s="234">
        <v>17744.036848288164</v>
      </c>
      <c r="M20" s="230"/>
      <c r="N20" s="233" t="s">
        <v>301</v>
      </c>
      <c r="O20" s="228">
        <v>137.66690106414688</v>
      </c>
      <c r="P20" s="230">
        <v>1653.583096856968</v>
      </c>
      <c r="Q20" s="230">
        <v>15952.786850367049</v>
      </c>
      <c r="R20" s="234">
        <v>17744.036848288164</v>
      </c>
      <c r="V20" s="233" t="s">
        <v>301</v>
      </c>
      <c r="W20" s="228">
        <v>0</v>
      </c>
      <c r="X20" s="230">
        <v>0</v>
      </c>
      <c r="Y20" s="230">
        <v>3</v>
      </c>
      <c r="Z20" s="234">
        <v>3</v>
      </c>
      <c r="AB20" s="233" t="s">
        <v>301</v>
      </c>
      <c r="AC20" s="228">
        <v>0</v>
      </c>
      <c r="AD20" s="230">
        <v>0</v>
      </c>
      <c r="AE20" s="230">
        <v>77.615649332186592</v>
      </c>
      <c r="AF20" s="234">
        <v>77.615649332186592</v>
      </c>
      <c r="AJ20" s="233" t="s">
        <v>301</v>
      </c>
      <c r="AK20" s="228">
        <v>0</v>
      </c>
      <c r="AL20" s="230">
        <v>0</v>
      </c>
      <c r="AM20" s="230">
        <v>6</v>
      </c>
      <c r="AN20" s="234">
        <v>6</v>
      </c>
      <c r="AP20" s="233" t="s">
        <v>301</v>
      </c>
      <c r="AQ20" s="228">
        <v>0</v>
      </c>
      <c r="AR20" s="230">
        <v>0</v>
      </c>
      <c r="AS20" s="230">
        <v>5500.1780052913</v>
      </c>
      <c r="AT20" s="234">
        <v>5500.1780052913</v>
      </c>
    </row>
    <row r="21" spans="2:46" x14ac:dyDescent="0.25">
      <c r="B21" s="233" t="s">
        <v>36</v>
      </c>
      <c r="C21" s="228">
        <v>1</v>
      </c>
      <c r="D21" s="230">
        <v>1</v>
      </c>
      <c r="E21" s="230">
        <v>3</v>
      </c>
      <c r="F21" s="234">
        <v>5</v>
      </c>
      <c r="H21" s="233" t="s">
        <v>36</v>
      </c>
      <c r="I21" s="228">
        <v>95.345009500938488</v>
      </c>
      <c r="J21" s="230">
        <v>64.330406956205863</v>
      </c>
      <c r="K21" s="230">
        <v>838.53739471154029</v>
      </c>
      <c r="L21" s="234">
        <v>998.21281116868465</v>
      </c>
      <c r="M21" s="230"/>
      <c r="N21" s="233" t="s">
        <v>36</v>
      </c>
      <c r="O21" s="228">
        <v>95.345009500938488</v>
      </c>
      <c r="P21" s="230">
        <v>64.330406956205863</v>
      </c>
      <c r="Q21" s="230">
        <v>838.53739471154029</v>
      </c>
      <c r="R21" s="234">
        <v>998.21281116868465</v>
      </c>
      <c r="V21" s="233" t="s">
        <v>36</v>
      </c>
      <c r="W21" s="228">
        <v>0</v>
      </c>
      <c r="X21" s="230">
        <v>0</v>
      </c>
      <c r="Y21" s="230">
        <v>0</v>
      </c>
      <c r="Z21" s="234">
        <v>0</v>
      </c>
      <c r="AB21" s="233" t="s">
        <v>36</v>
      </c>
      <c r="AC21" s="228">
        <v>0</v>
      </c>
      <c r="AD21" s="230">
        <v>0</v>
      </c>
      <c r="AE21" s="230">
        <v>0</v>
      </c>
      <c r="AF21" s="234">
        <v>0</v>
      </c>
      <c r="AJ21" s="233" t="s">
        <v>36</v>
      </c>
      <c r="AK21" s="228">
        <v>0</v>
      </c>
      <c r="AL21" s="230">
        <v>0</v>
      </c>
      <c r="AM21" s="230">
        <v>0</v>
      </c>
      <c r="AN21" s="234">
        <v>0</v>
      </c>
      <c r="AP21" s="233" t="s">
        <v>36</v>
      </c>
      <c r="AQ21" s="228">
        <v>0</v>
      </c>
      <c r="AR21" s="230">
        <v>0</v>
      </c>
      <c r="AS21" s="230">
        <v>0</v>
      </c>
      <c r="AT21" s="234">
        <v>0</v>
      </c>
    </row>
    <row r="22" spans="2:46" x14ac:dyDescent="0.25">
      <c r="B22" s="233" t="s">
        <v>302</v>
      </c>
      <c r="C22" s="228">
        <v>35</v>
      </c>
      <c r="D22" s="230">
        <v>15</v>
      </c>
      <c r="E22" s="230">
        <v>29</v>
      </c>
      <c r="F22" s="234">
        <v>79</v>
      </c>
      <c r="H22" s="233" t="s">
        <v>302</v>
      </c>
      <c r="I22" s="228">
        <v>4429.5332020937713</v>
      </c>
      <c r="J22" s="230">
        <v>1518.6086245394881</v>
      </c>
      <c r="K22" s="230">
        <v>8199.0449003755275</v>
      </c>
      <c r="L22" s="234">
        <v>14147.186727008786</v>
      </c>
      <c r="M22" s="230"/>
      <c r="N22" s="233" t="s">
        <v>302</v>
      </c>
      <c r="O22" s="228">
        <v>4429.5332020937713</v>
      </c>
      <c r="P22" s="230">
        <v>1518.6086245394881</v>
      </c>
      <c r="Q22" s="230">
        <v>8199.0449003755275</v>
      </c>
      <c r="R22" s="234">
        <v>14147.186727008786</v>
      </c>
      <c r="V22" s="233" t="s">
        <v>302</v>
      </c>
      <c r="W22" s="228">
        <v>0</v>
      </c>
      <c r="X22" s="230">
        <v>0</v>
      </c>
      <c r="Y22" s="230">
        <v>2</v>
      </c>
      <c r="Z22" s="234">
        <v>2</v>
      </c>
      <c r="AB22" s="233" t="s">
        <v>302</v>
      </c>
      <c r="AC22" s="228">
        <v>0</v>
      </c>
      <c r="AD22" s="230">
        <v>0</v>
      </c>
      <c r="AE22" s="230">
        <v>4714.5146312284296</v>
      </c>
      <c r="AF22" s="234">
        <v>4714.5146312284296</v>
      </c>
      <c r="AJ22" s="233" t="s">
        <v>302</v>
      </c>
      <c r="AK22" s="228">
        <v>0</v>
      </c>
      <c r="AL22" s="230">
        <v>0</v>
      </c>
      <c r="AM22" s="230">
        <v>2</v>
      </c>
      <c r="AN22" s="234">
        <v>2</v>
      </c>
      <c r="AP22" s="233" t="s">
        <v>302</v>
      </c>
      <c r="AQ22" s="228">
        <v>0</v>
      </c>
      <c r="AR22" s="230">
        <v>0</v>
      </c>
      <c r="AS22" s="230">
        <v>4714.5146312284296</v>
      </c>
      <c r="AT22" s="234">
        <v>4714.5146312284296</v>
      </c>
    </row>
    <row r="23" spans="2:46" x14ac:dyDescent="0.25">
      <c r="B23" s="233" t="s">
        <v>303</v>
      </c>
      <c r="C23" s="228">
        <v>2</v>
      </c>
      <c r="D23" s="230">
        <v>2</v>
      </c>
      <c r="E23" s="230">
        <v>2</v>
      </c>
      <c r="F23" s="234">
        <v>6</v>
      </c>
      <c r="H23" s="233" t="s">
        <v>303</v>
      </c>
      <c r="I23" s="228">
        <v>955.70299401868158</v>
      </c>
      <c r="J23" s="230">
        <v>201.44461835462724</v>
      </c>
      <c r="K23" s="230">
        <v>400.96007362974626</v>
      </c>
      <c r="L23" s="234">
        <v>1558.1076860030553</v>
      </c>
      <c r="M23" s="230"/>
      <c r="N23" s="233" t="s">
        <v>303</v>
      </c>
      <c r="O23" s="228">
        <v>955.70299401868158</v>
      </c>
      <c r="P23" s="230">
        <v>201.44461835462724</v>
      </c>
      <c r="Q23" s="230">
        <v>400.96007362974626</v>
      </c>
      <c r="R23" s="234">
        <v>1558.1076860030553</v>
      </c>
      <c r="V23" s="233" t="s">
        <v>303</v>
      </c>
      <c r="W23" s="228">
        <v>0</v>
      </c>
      <c r="X23" s="230">
        <v>0</v>
      </c>
      <c r="Y23" s="230">
        <v>0</v>
      </c>
      <c r="Z23" s="234">
        <v>0</v>
      </c>
      <c r="AB23" s="233" t="s">
        <v>303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303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303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310</v>
      </c>
      <c r="C24" s="228">
        <v>1</v>
      </c>
      <c r="D24" s="230">
        <v>0</v>
      </c>
      <c r="E24" s="230">
        <v>17</v>
      </c>
      <c r="F24" s="234">
        <v>18</v>
      </c>
      <c r="H24" s="233" t="s">
        <v>310</v>
      </c>
      <c r="I24" s="228">
        <v>27.264448434744551</v>
      </c>
      <c r="J24" s="230">
        <v>0</v>
      </c>
      <c r="K24" s="230">
        <v>1061.3765631008355</v>
      </c>
      <c r="L24" s="234">
        <v>1088.64101153558</v>
      </c>
      <c r="M24" s="230"/>
      <c r="N24" s="233" t="s">
        <v>310</v>
      </c>
      <c r="O24" s="228">
        <v>27.264448434744551</v>
      </c>
      <c r="P24" s="230">
        <v>0</v>
      </c>
      <c r="Q24" s="230">
        <v>1061.3765631008355</v>
      </c>
      <c r="R24" s="234">
        <v>1088.64101153558</v>
      </c>
      <c r="V24" s="233" t="s">
        <v>310</v>
      </c>
      <c r="W24" s="228">
        <v>0</v>
      </c>
      <c r="X24" s="230">
        <v>0</v>
      </c>
      <c r="Y24" s="230">
        <v>7</v>
      </c>
      <c r="Z24" s="234">
        <v>7</v>
      </c>
      <c r="AB24" s="233" t="s">
        <v>310</v>
      </c>
      <c r="AC24" s="228">
        <v>0</v>
      </c>
      <c r="AD24" s="230">
        <v>0</v>
      </c>
      <c r="AE24" s="230">
        <v>323.49250906918996</v>
      </c>
      <c r="AF24" s="234">
        <v>323.49250906918996</v>
      </c>
      <c r="AJ24" s="233" t="s">
        <v>310</v>
      </c>
      <c r="AK24" s="228">
        <v>0</v>
      </c>
      <c r="AL24" s="230">
        <v>0</v>
      </c>
      <c r="AM24" s="230">
        <v>8</v>
      </c>
      <c r="AN24" s="234">
        <v>8</v>
      </c>
      <c r="AP24" s="233" t="s">
        <v>310</v>
      </c>
      <c r="AQ24" s="228">
        <v>0</v>
      </c>
      <c r="AR24" s="230">
        <v>0</v>
      </c>
      <c r="AS24" s="230">
        <v>371.62388665979876</v>
      </c>
      <c r="AT24" s="234">
        <v>371.62388665979876</v>
      </c>
    </row>
    <row r="25" spans="2:46" x14ac:dyDescent="0.25">
      <c r="B25" s="233" t="s">
        <v>311</v>
      </c>
      <c r="C25" s="228">
        <v>0</v>
      </c>
      <c r="D25" s="230">
        <v>0</v>
      </c>
      <c r="E25" s="230">
        <v>14</v>
      </c>
      <c r="F25" s="234">
        <v>14</v>
      </c>
      <c r="H25" s="233" t="s">
        <v>311</v>
      </c>
      <c r="I25" s="228">
        <v>0</v>
      </c>
      <c r="J25" s="230">
        <v>0</v>
      </c>
      <c r="K25" s="230">
        <v>748.38024945909854</v>
      </c>
      <c r="L25" s="234">
        <v>748.38024945909854</v>
      </c>
      <c r="M25" s="230"/>
      <c r="N25" s="233" t="s">
        <v>311</v>
      </c>
      <c r="O25" s="228">
        <v>0</v>
      </c>
      <c r="P25" s="230">
        <v>0</v>
      </c>
      <c r="Q25" s="230">
        <v>748.38024945909854</v>
      </c>
      <c r="R25" s="234">
        <v>748.38024945909854</v>
      </c>
      <c r="V25" s="233" t="s">
        <v>311</v>
      </c>
      <c r="W25" s="228">
        <v>0</v>
      </c>
      <c r="X25" s="230">
        <v>0</v>
      </c>
      <c r="Y25" s="230">
        <v>8</v>
      </c>
      <c r="Z25" s="234">
        <v>8</v>
      </c>
      <c r="AB25" s="233" t="s">
        <v>311</v>
      </c>
      <c r="AC25" s="228">
        <v>0</v>
      </c>
      <c r="AD25" s="230">
        <v>0</v>
      </c>
      <c r="AE25" s="230">
        <v>336.2149183085487</v>
      </c>
      <c r="AF25" s="234">
        <v>336.2149183085487</v>
      </c>
      <c r="AJ25" s="233" t="s">
        <v>311</v>
      </c>
      <c r="AK25" s="228">
        <v>0</v>
      </c>
      <c r="AL25" s="230">
        <v>0</v>
      </c>
      <c r="AM25" s="230">
        <v>8</v>
      </c>
      <c r="AN25" s="234">
        <v>8</v>
      </c>
      <c r="AP25" s="233" t="s">
        <v>311</v>
      </c>
      <c r="AQ25" s="228">
        <v>0</v>
      </c>
      <c r="AR25" s="230">
        <v>0</v>
      </c>
      <c r="AS25" s="230">
        <v>336.2149183085487</v>
      </c>
      <c r="AT25" s="234">
        <v>336.2149183085487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v>142638.44198622965</v>
      </c>
      <c r="P26" s="238">
        <v>242809.21361009032</v>
      </c>
      <c r="Q26" s="238">
        <v>1674123.1542120255</v>
      </c>
      <c r="R26" s="239">
        <v>2059570.8098083453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290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290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290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290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290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290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290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291</v>
      </c>
      <c r="C30" s="228">
        <v>0</v>
      </c>
      <c r="D30" s="230">
        <v>2</v>
      </c>
      <c r="E30" s="230">
        <v>34</v>
      </c>
      <c r="F30" s="234">
        <v>36</v>
      </c>
      <c r="H30" s="233" t="s">
        <v>291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291</v>
      </c>
      <c r="O30" s="242">
        <v>0</v>
      </c>
      <c r="P30" s="230">
        <v>60.234171354933565</v>
      </c>
      <c r="Q30" s="230">
        <v>10502.686726097469</v>
      </c>
      <c r="R30" s="234">
        <v>10562.920897452403</v>
      </c>
      <c r="V30" s="233" t="s">
        <v>291</v>
      </c>
      <c r="W30" s="228">
        <v>0</v>
      </c>
      <c r="X30" s="230">
        <v>0</v>
      </c>
      <c r="Y30" s="230">
        <v>1</v>
      </c>
      <c r="Z30" s="234">
        <v>1</v>
      </c>
      <c r="AB30" s="233" t="s">
        <v>291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291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291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292</v>
      </c>
      <c r="C31" s="228">
        <v>1</v>
      </c>
      <c r="D31" s="230">
        <v>0</v>
      </c>
      <c r="E31" s="230">
        <v>17</v>
      </c>
      <c r="F31" s="234">
        <v>18</v>
      </c>
      <c r="H31" s="233" t="s">
        <v>292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292</v>
      </c>
      <c r="O31" s="228">
        <v>121.98963728760847</v>
      </c>
      <c r="P31" s="230">
        <v>0</v>
      </c>
      <c r="Q31" s="230">
        <v>1593.970217207906</v>
      </c>
      <c r="R31" s="234">
        <v>1715.9598544955145</v>
      </c>
      <c r="V31" s="233" t="s">
        <v>292</v>
      </c>
      <c r="W31" s="228">
        <v>0</v>
      </c>
      <c r="X31" s="230">
        <v>0</v>
      </c>
      <c r="Y31" s="230">
        <v>8</v>
      </c>
      <c r="Z31" s="234">
        <v>8</v>
      </c>
      <c r="AB31" s="233" t="s">
        <v>292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292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292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293</v>
      </c>
      <c r="C32">
        <v>2</v>
      </c>
      <c r="D32">
        <v>0</v>
      </c>
      <c r="E32">
        <v>2</v>
      </c>
      <c r="F32" s="233">
        <v>4</v>
      </c>
      <c r="H32" s="233" t="s">
        <v>293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293</v>
      </c>
      <c r="O32">
        <v>754.50957076032296</v>
      </c>
      <c r="P32">
        <v>0</v>
      </c>
      <c r="Q32">
        <v>378.24446577588253</v>
      </c>
      <c r="R32" s="233">
        <v>1132.7540365362056</v>
      </c>
      <c r="V32" s="233" t="s">
        <v>293</v>
      </c>
      <c r="W32">
        <v>0</v>
      </c>
      <c r="X32">
        <v>0</v>
      </c>
      <c r="Y32">
        <v>0</v>
      </c>
      <c r="Z32" s="233">
        <v>0</v>
      </c>
      <c r="AB32" s="233" t="s">
        <v>293</v>
      </c>
      <c r="AC32">
        <v>0</v>
      </c>
      <c r="AD32">
        <v>0</v>
      </c>
      <c r="AE32">
        <v>0</v>
      </c>
      <c r="AF32" s="233">
        <v>0</v>
      </c>
      <c r="AJ32" s="233" t="s">
        <v>293</v>
      </c>
      <c r="AK32">
        <v>0</v>
      </c>
      <c r="AL32">
        <v>0</v>
      </c>
      <c r="AM32">
        <v>0</v>
      </c>
      <c r="AN32" s="233">
        <v>0</v>
      </c>
      <c r="AP32" s="233" t="s">
        <v>293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294</v>
      </c>
      <c r="C35" s="232">
        <v>14</v>
      </c>
      <c r="D35" s="231">
        <v>2</v>
      </c>
      <c r="E35" s="231">
        <v>5</v>
      </c>
      <c r="F35" s="235">
        <v>21</v>
      </c>
      <c r="H35" s="233" t="s">
        <v>294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294</v>
      </c>
      <c r="O35" s="232">
        <v>17567.429126230567</v>
      </c>
      <c r="P35" s="231">
        <v>59.629490668732515</v>
      </c>
      <c r="Q35" s="231">
        <v>243.96357162541202</v>
      </c>
      <c r="R35" s="235">
        <v>17871.022188524712</v>
      </c>
      <c r="V35" s="233" t="s">
        <v>294</v>
      </c>
      <c r="W35" s="232">
        <v>0</v>
      </c>
      <c r="X35" s="231">
        <v>0</v>
      </c>
      <c r="Y35" s="231">
        <v>0</v>
      </c>
      <c r="Z35" s="235">
        <v>0</v>
      </c>
      <c r="AB35" s="233" t="s">
        <v>294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294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294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317</v>
      </c>
      <c r="C36" s="228">
        <v>2</v>
      </c>
      <c r="D36" s="230">
        <v>1</v>
      </c>
      <c r="E36" s="230">
        <v>5</v>
      </c>
      <c r="F36" s="234">
        <v>8</v>
      </c>
      <c r="H36" s="233" t="s">
        <v>317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317</v>
      </c>
      <c r="O36" s="228">
        <v>1383.3553171096059</v>
      </c>
      <c r="P36" s="230">
        <v>75.09714962493419</v>
      </c>
      <c r="Q36" s="230">
        <v>301.42144690111968</v>
      </c>
      <c r="R36" s="234">
        <v>1759.8739136356598</v>
      </c>
      <c r="V36" s="233" t="s">
        <v>317</v>
      </c>
      <c r="W36" s="228">
        <v>0</v>
      </c>
      <c r="X36" s="230">
        <v>0</v>
      </c>
      <c r="Y36" s="230">
        <v>0</v>
      </c>
      <c r="Z36" s="234">
        <v>0</v>
      </c>
      <c r="AB36" s="233" t="s">
        <v>317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317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317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295</v>
      </c>
      <c r="C37" s="228">
        <v>0</v>
      </c>
      <c r="D37" s="230">
        <v>0</v>
      </c>
      <c r="E37" s="230">
        <v>0</v>
      </c>
      <c r="F37" s="234">
        <v>0</v>
      </c>
      <c r="H37" s="233" t="s">
        <v>295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295</v>
      </c>
      <c r="O37" s="228">
        <v>0</v>
      </c>
      <c r="P37" s="230">
        <v>0</v>
      </c>
      <c r="Q37" s="230">
        <v>0</v>
      </c>
      <c r="R37" s="234">
        <v>0</v>
      </c>
      <c r="V37" s="233" t="s">
        <v>295</v>
      </c>
      <c r="W37" s="228">
        <v>0</v>
      </c>
      <c r="X37" s="230">
        <v>0</v>
      </c>
      <c r="Y37" s="230">
        <v>0</v>
      </c>
      <c r="Z37" s="234">
        <v>0</v>
      </c>
      <c r="AB37" s="233" t="s">
        <v>295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295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295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296</v>
      </c>
      <c r="C38" s="228">
        <v>4</v>
      </c>
      <c r="D38" s="230">
        <v>4</v>
      </c>
      <c r="E38" s="230">
        <v>8</v>
      </c>
      <c r="F38" s="234">
        <v>16</v>
      </c>
      <c r="H38" s="233" t="s">
        <v>296</v>
      </c>
      <c r="I38" s="228">
        <v>514.95120251290837</v>
      </c>
      <c r="J38" s="230">
        <v>3128.7422552141898</v>
      </c>
      <c r="K38" s="230">
        <v>186.48883125502113</v>
      </c>
      <c r="L38" s="234">
        <v>3830.1822889821192</v>
      </c>
      <c r="M38" s="230"/>
      <c r="N38" s="233" t="s">
        <v>296</v>
      </c>
      <c r="O38" s="228">
        <v>514.95120251290837</v>
      </c>
      <c r="P38" s="230">
        <v>3128.7422552141898</v>
      </c>
      <c r="Q38" s="230">
        <v>186.48883125502113</v>
      </c>
      <c r="R38" s="234">
        <v>3830.1822889821192</v>
      </c>
      <c r="V38" s="233" t="s">
        <v>296</v>
      </c>
      <c r="W38" s="228">
        <v>0</v>
      </c>
      <c r="X38" s="230">
        <v>0</v>
      </c>
      <c r="Y38" s="230">
        <v>0</v>
      </c>
      <c r="Z38" s="234">
        <v>0</v>
      </c>
      <c r="AB38" s="233" t="s">
        <v>296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296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296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297</v>
      </c>
      <c r="C39" s="228">
        <v>0</v>
      </c>
      <c r="D39" s="230">
        <v>1</v>
      </c>
      <c r="E39" s="230">
        <v>2</v>
      </c>
      <c r="F39" s="234">
        <v>3</v>
      </c>
      <c r="H39" s="233" t="s">
        <v>297</v>
      </c>
      <c r="I39" s="228">
        <v>0</v>
      </c>
      <c r="J39" s="230">
        <v>406.27992420916172</v>
      </c>
      <c r="K39" s="230">
        <v>85.365881186005453</v>
      </c>
      <c r="L39" s="234">
        <v>491.64580539516714</v>
      </c>
      <c r="M39" s="230"/>
      <c r="N39" s="233" t="s">
        <v>297</v>
      </c>
      <c r="O39" s="228">
        <v>0</v>
      </c>
      <c r="P39" s="230">
        <v>406.27992420916172</v>
      </c>
      <c r="Q39" s="230">
        <v>85.365881186005453</v>
      </c>
      <c r="R39" s="234">
        <v>491.64580539516714</v>
      </c>
      <c r="V39" s="233" t="s">
        <v>297</v>
      </c>
      <c r="W39" s="228">
        <v>0</v>
      </c>
      <c r="X39" s="230">
        <v>0</v>
      </c>
      <c r="Y39" s="230">
        <v>0</v>
      </c>
      <c r="Z39" s="234">
        <v>0</v>
      </c>
      <c r="AB39" s="233" t="s">
        <v>297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297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297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298</v>
      </c>
      <c r="C40" s="228">
        <v>1</v>
      </c>
      <c r="D40" s="230">
        <v>0</v>
      </c>
      <c r="E40" s="230">
        <v>0</v>
      </c>
      <c r="F40" s="234">
        <v>1</v>
      </c>
      <c r="H40" s="233" t="s">
        <v>298</v>
      </c>
      <c r="I40" s="228">
        <v>1995.983180563682</v>
      </c>
      <c r="J40" s="230">
        <v>0</v>
      </c>
      <c r="K40" s="230">
        <v>0</v>
      </c>
      <c r="L40" s="234">
        <v>1995.983180563682</v>
      </c>
      <c r="M40" s="230"/>
      <c r="N40" s="233" t="s">
        <v>298</v>
      </c>
      <c r="O40" s="228">
        <v>1995.983180563682</v>
      </c>
      <c r="P40" s="230">
        <v>0</v>
      </c>
      <c r="Q40" s="230">
        <v>0</v>
      </c>
      <c r="R40" s="234">
        <v>1995.983180563682</v>
      </c>
      <c r="V40" s="233" t="s">
        <v>298</v>
      </c>
      <c r="W40" s="228">
        <v>0</v>
      </c>
      <c r="X40" s="230">
        <v>0</v>
      </c>
      <c r="Y40" s="230">
        <v>0</v>
      </c>
      <c r="Z40" s="234">
        <v>0</v>
      </c>
      <c r="AB40" s="233" t="s">
        <v>298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298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298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318</v>
      </c>
      <c r="C41" s="228">
        <v>0</v>
      </c>
      <c r="D41" s="230">
        <v>0</v>
      </c>
      <c r="E41" s="230">
        <v>0</v>
      </c>
      <c r="F41" s="234">
        <v>0</v>
      </c>
      <c r="H41" s="233" t="s">
        <v>318</v>
      </c>
      <c r="I41" s="228">
        <v>0</v>
      </c>
      <c r="J41" s="230">
        <v>0</v>
      </c>
      <c r="K41" s="230">
        <v>0</v>
      </c>
      <c r="L41" s="234">
        <v>0</v>
      </c>
      <c r="M41" s="230"/>
      <c r="N41" s="233" t="s">
        <v>318</v>
      </c>
      <c r="O41" s="228">
        <v>0</v>
      </c>
      <c r="P41" s="230">
        <v>0</v>
      </c>
      <c r="Q41" s="230">
        <v>0</v>
      </c>
      <c r="R41" s="234">
        <v>0</v>
      </c>
      <c r="V41" s="233" t="s">
        <v>318</v>
      </c>
      <c r="W41" s="228">
        <v>0</v>
      </c>
      <c r="X41" s="230">
        <v>0</v>
      </c>
      <c r="Y41" s="230">
        <v>0</v>
      </c>
      <c r="Z41" s="234">
        <v>0</v>
      </c>
      <c r="AB41" s="233" t="s">
        <v>318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318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318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299</v>
      </c>
      <c r="C42" s="228">
        <v>0</v>
      </c>
      <c r="D42" s="230">
        <v>0</v>
      </c>
      <c r="E42" s="230">
        <v>0</v>
      </c>
      <c r="F42" s="234">
        <v>0</v>
      </c>
      <c r="H42" s="233" t="s">
        <v>299</v>
      </c>
      <c r="I42" s="228">
        <v>0</v>
      </c>
      <c r="J42" s="230">
        <v>0</v>
      </c>
      <c r="K42" s="230">
        <v>0</v>
      </c>
      <c r="L42" s="234">
        <v>0</v>
      </c>
      <c r="M42" s="230"/>
      <c r="N42" s="233" t="s">
        <v>299</v>
      </c>
      <c r="O42" s="228">
        <v>0</v>
      </c>
      <c r="P42" s="230">
        <v>0</v>
      </c>
      <c r="Q42" s="230">
        <v>0</v>
      </c>
      <c r="R42" s="234">
        <v>0</v>
      </c>
      <c r="V42" s="233" t="s">
        <v>299</v>
      </c>
      <c r="W42" s="228">
        <v>0</v>
      </c>
      <c r="X42" s="230">
        <v>0</v>
      </c>
      <c r="Y42" s="230">
        <v>0</v>
      </c>
      <c r="Z42" s="234">
        <v>0</v>
      </c>
      <c r="AB42" s="233" t="s">
        <v>299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299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299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300</v>
      </c>
      <c r="C43" s="228">
        <v>1</v>
      </c>
      <c r="D43" s="230">
        <v>0</v>
      </c>
      <c r="E43" s="230">
        <v>1</v>
      </c>
      <c r="F43" s="234">
        <v>2</v>
      </c>
      <c r="H43" s="233" t="s">
        <v>300</v>
      </c>
      <c r="I43" s="228">
        <v>15.75740268654017</v>
      </c>
      <c r="J43" s="230">
        <v>0</v>
      </c>
      <c r="K43" s="230">
        <v>31.705986171159939</v>
      </c>
      <c r="L43" s="234">
        <v>47.46338885770011</v>
      </c>
      <c r="M43" s="230"/>
      <c r="N43" s="233" t="s">
        <v>300</v>
      </c>
      <c r="O43" s="228">
        <v>15.75740268654017</v>
      </c>
      <c r="P43" s="230">
        <v>0</v>
      </c>
      <c r="Q43" s="230">
        <v>31.705986171159939</v>
      </c>
      <c r="R43" s="234">
        <v>47.46338885770011</v>
      </c>
      <c r="V43" s="233" t="s">
        <v>300</v>
      </c>
      <c r="W43" s="228">
        <v>0</v>
      </c>
      <c r="X43" s="230">
        <v>0</v>
      </c>
      <c r="Y43" s="230">
        <v>1</v>
      </c>
      <c r="Z43" s="234">
        <v>1</v>
      </c>
      <c r="AB43" s="233" t="s">
        <v>300</v>
      </c>
      <c r="AC43" s="228">
        <v>0</v>
      </c>
      <c r="AD43" s="230">
        <v>0</v>
      </c>
      <c r="AE43" s="230">
        <v>31.705986171159939</v>
      </c>
      <c r="AF43" s="234">
        <v>31.705986171159939</v>
      </c>
      <c r="AJ43" s="233" t="s">
        <v>300</v>
      </c>
      <c r="AK43" s="228">
        <v>0</v>
      </c>
      <c r="AL43" s="230">
        <v>0</v>
      </c>
      <c r="AM43" s="230">
        <v>1</v>
      </c>
      <c r="AN43" s="234">
        <v>1</v>
      </c>
      <c r="AP43" s="233" t="s">
        <v>300</v>
      </c>
      <c r="AQ43" s="228">
        <v>0</v>
      </c>
      <c r="AR43" s="230">
        <v>0</v>
      </c>
      <c r="AS43" s="230">
        <v>31.705986171159939</v>
      </c>
      <c r="AT43" s="234">
        <v>31.705986171159939</v>
      </c>
    </row>
    <row r="44" spans="2:46" x14ac:dyDescent="0.25">
      <c r="B44" s="233" t="s">
        <v>301</v>
      </c>
      <c r="C44" s="228">
        <v>0</v>
      </c>
      <c r="D44" s="230">
        <v>0</v>
      </c>
      <c r="E44" s="230">
        <v>0</v>
      </c>
      <c r="F44" s="234">
        <v>0</v>
      </c>
      <c r="H44" s="233" t="s">
        <v>301</v>
      </c>
      <c r="I44" s="228">
        <v>0</v>
      </c>
      <c r="J44" s="230">
        <v>0</v>
      </c>
      <c r="K44" s="230">
        <v>0</v>
      </c>
      <c r="L44" s="234">
        <v>0</v>
      </c>
      <c r="M44" s="230"/>
      <c r="N44" s="233" t="s">
        <v>301</v>
      </c>
      <c r="O44" s="228">
        <v>0</v>
      </c>
      <c r="P44" s="230">
        <v>0</v>
      </c>
      <c r="Q44" s="230">
        <v>0</v>
      </c>
      <c r="R44" s="234">
        <v>0</v>
      </c>
      <c r="V44" s="233" t="s">
        <v>301</v>
      </c>
      <c r="W44" s="228">
        <v>0</v>
      </c>
      <c r="X44" s="230">
        <v>0</v>
      </c>
      <c r="Y44" s="230">
        <v>0</v>
      </c>
      <c r="Z44" s="234">
        <v>0</v>
      </c>
      <c r="AB44" s="233" t="s">
        <v>301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301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301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36</v>
      </c>
      <c r="C45" s="228">
        <v>0</v>
      </c>
      <c r="D45" s="230">
        <v>0</v>
      </c>
      <c r="E45" s="230">
        <v>0</v>
      </c>
      <c r="F45" s="234">
        <v>0</v>
      </c>
      <c r="H45" s="233" t="s">
        <v>36</v>
      </c>
      <c r="I45" s="228">
        <v>0</v>
      </c>
      <c r="J45" s="230">
        <v>0</v>
      </c>
      <c r="K45" s="230">
        <v>0</v>
      </c>
      <c r="L45" s="234">
        <v>0</v>
      </c>
      <c r="M45" s="230"/>
      <c r="N45" s="233" t="s">
        <v>36</v>
      </c>
      <c r="O45" s="228">
        <v>0</v>
      </c>
      <c r="P45" s="230">
        <v>0</v>
      </c>
      <c r="Q45" s="230">
        <v>0</v>
      </c>
      <c r="R45" s="234">
        <v>0</v>
      </c>
      <c r="V45" s="233" t="s">
        <v>36</v>
      </c>
      <c r="W45" s="228">
        <v>0</v>
      </c>
      <c r="X45" s="230">
        <v>0</v>
      </c>
      <c r="Y45" s="230">
        <v>0</v>
      </c>
      <c r="Z45" s="234">
        <v>0</v>
      </c>
      <c r="AB45" s="233" t="s">
        <v>36</v>
      </c>
      <c r="AC45" s="228">
        <v>0</v>
      </c>
      <c r="AD45" s="230">
        <v>0</v>
      </c>
      <c r="AE45" s="230">
        <v>0</v>
      </c>
      <c r="AF45" s="234">
        <v>0</v>
      </c>
      <c r="AJ45" s="233" t="s">
        <v>36</v>
      </c>
      <c r="AK45" s="228">
        <v>0</v>
      </c>
      <c r="AL45" s="230">
        <v>0</v>
      </c>
      <c r="AM45" s="230">
        <v>0</v>
      </c>
      <c r="AN45" s="234">
        <v>0</v>
      </c>
      <c r="AP45" s="233" t="s">
        <v>36</v>
      </c>
      <c r="AQ45" s="228">
        <v>0</v>
      </c>
      <c r="AR45" s="230">
        <v>0</v>
      </c>
      <c r="AS45" s="230">
        <v>0</v>
      </c>
      <c r="AT45" s="234">
        <v>0</v>
      </c>
    </row>
    <row r="46" spans="2:46" x14ac:dyDescent="0.25">
      <c r="B46" s="233" t="s">
        <v>302</v>
      </c>
      <c r="C46" s="228">
        <v>0</v>
      </c>
      <c r="D46" s="230">
        <v>0</v>
      </c>
      <c r="E46" s="230">
        <v>0</v>
      </c>
      <c r="F46" s="234">
        <v>0</v>
      </c>
      <c r="H46" s="233" t="s">
        <v>302</v>
      </c>
      <c r="I46" s="228">
        <v>0</v>
      </c>
      <c r="J46" s="230">
        <v>0</v>
      </c>
      <c r="K46" s="230">
        <v>0</v>
      </c>
      <c r="L46" s="234">
        <v>0</v>
      </c>
      <c r="M46" s="230"/>
      <c r="N46" s="233" t="s">
        <v>302</v>
      </c>
      <c r="O46" s="228">
        <v>0</v>
      </c>
      <c r="P46" s="230">
        <v>0</v>
      </c>
      <c r="Q46" s="230">
        <v>0</v>
      </c>
      <c r="R46" s="234">
        <v>0</v>
      </c>
      <c r="V46" s="233" t="s">
        <v>302</v>
      </c>
      <c r="W46" s="228">
        <v>0</v>
      </c>
      <c r="X46" s="230">
        <v>0</v>
      </c>
      <c r="Y46" s="230">
        <v>0</v>
      </c>
      <c r="Z46" s="234">
        <v>0</v>
      </c>
      <c r="AB46" s="233" t="s">
        <v>302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302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302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303</v>
      </c>
      <c r="C47" s="228">
        <v>0</v>
      </c>
      <c r="D47" s="230">
        <v>0</v>
      </c>
      <c r="E47" s="230">
        <v>0</v>
      </c>
      <c r="F47" s="234">
        <v>0</v>
      </c>
      <c r="H47" s="233" t="s">
        <v>303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303</v>
      </c>
      <c r="O47" s="228">
        <v>0</v>
      </c>
      <c r="P47" s="230">
        <v>0</v>
      </c>
      <c r="Q47" s="230">
        <v>0</v>
      </c>
      <c r="R47" s="234">
        <v>0</v>
      </c>
      <c r="V47" s="233" t="s">
        <v>303</v>
      </c>
      <c r="W47" s="228">
        <v>0</v>
      </c>
      <c r="X47" s="230">
        <v>0</v>
      </c>
      <c r="Y47" s="230">
        <v>0</v>
      </c>
      <c r="Z47" s="234">
        <v>0</v>
      </c>
      <c r="AB47" s="233" t="s">
        <v>303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303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303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310</v>
      </c>
      <c r="C48" s="228">
        <v>0</v>
      </c>
      <c r="D48" s="230">
        <v>0</v>
      </c>
      <c r="E48" s="230">
        <v>0</v>
      </c>
      <c r="F48" s="234">
        <v>0</v>
      </c>
      <c r="H48" s="233" t="s">
        <v>310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310</v>
      </c>
      <c r="O48" s="228">
        <v>0</v>
      </c>
      <c r="P48" s="230">
        <v>0</v>
      </c>
      <c r="Q48" s="230">
        <v>0</v>
      </c>
      <c r="R48" s="234">
        <v>0</v>
      </c>
      <c r="V48" s="233" t="s">
        <v>310</v>
      </c>
      <c r="W48" s="228">
        <v>0</v>
      </c>
      <c r="X48" s="230">
        <v>0</v>
      </c>
      <c r="Y48" s="230">
        <v>0</v>
      </c>
      <c r="Z48" s="234">
        <v>0</v>
      </c>
      <c r="AB48" s="233" t="s">
        <v>310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310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310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311</v>
      </c>
      <c r="C49" s="228">
        <v>0</v>
      </c>
      <c r="D49" s="230">
        <v>0</v>
      </c>
      <c r="E49" s="230">
        <v>0</v>
      </c>
      <c r="F49" s="234">
        <v>0</v>
      </c>
      <c r="H49" s="233" t="s">
        <v>311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311</v>
      </c>
      <c r="O49" s="228">
        <v>0</v>
      </c>
      <c r="P49" s="230">
        <v>0</v>
      </c>
      <c r="Q49" s="230">
        <v>0</v>
      </c>
      <c r="R49" s="234">
        <v>0</v>
      </c>
      <c r="V49" s="233" t="s">
        <v>311</v>
      </c>
      <c r="W49" s="228">
        <v>0</v>
      </c>
      <c r="X49" s="230">
        <v>0</v>
      </c>
      <c r="Y49" s="230">
        <v>0</v>
      </c>
      <c r="Z49" s="234">
        <v>0</v>
      </c>
      <c r="AB49" s="233" t="s">
        <v>311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311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311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v>29633.513191228813</v>
      </c>
      <c r="P50" s="238">
        <v>3806.1336954283902</v>
      </c>
      <c r="Q50" s="238">
        <v>23916.940878095742</v>
      </c>
      <c r="R50" s="239">
        <v>57356.587764752941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290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290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290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290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290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290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290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291</v>
      </c>
      <c r="C54" s="228">
        <v>0</v>
      </c>
      <c r="D54" s="230">
        <v>0</v>
      </c>
      <c r="E54" s="230">
        <v>16</v>
      </c>
      <c r="F54" s="234">
        <v>16</v>
      </c>
      <c r="H54" s="233" t="s">
        <v>291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291</v>
      </c>
      <c r="O54" s="242">
        <v>0</v>
      </c>
      <c r="P54" s="230">
        <v>0</v>
      </c>
      <c r="Q54" s="230">
        <v>23182.324659259903</v>
      </c>
      <c r="R54" s="234">
        <v>23182.324659259903</v>
      </c>
      <c r="V54" s="233" t="s">
        <v>291</v>
      </c>
      <c r="W54" s="228">
        <v>0</v>
      </c>
      <c r="X54" s="230">
        <v>0</v>
      </c>
      <c r="Y54" s="230">
        <v>8</v>
      </c>
      <c r="Z54" s="234">
        <v>8</v>
      </c>
      <c r="AB54" s="233" t="s">
        <v>291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291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291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292</v>
      </c>
      <c r="C55" s="228">
        <v>0</v>
      </c>
      <c r="D55" s="230">
        <v>6</v>
      </c>
      <c r="E55" s="230">
        <v>91</v>
      </c>
      <c r="F55" s="234">
        <v>97</v>
      </c>
      <c r="H55" s="233" t="s">
        <v>292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292</v>
      </c>
      <c r="O55" s="228">
        <v>0</v>
      </c>
      <c r="P55" s="230">
        <v>5622.437958165533</v>
      </c>
      <c r="Q55" s="230">
        <v>62985.183479964486</v>
      </c>
      <c r="R55" s="234">
        <v>68607.621438130023</v>
      </c>
      <c r="V55" s="233" t="s">
        <v>292</v>
      </c>
      <c r="W55" s="228">
        <v>0</v>
      </c>
      <c r="X55" s="230">
        <v>0</v>
      </c>
      <c r="Y55" s="230">
        <v>5</v>
      </c>
      <c r="Z55" s="234">
        <v>5</v>
      </c>
      <c r="AB55" s="233" t="s">
        <v>292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292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292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293</v>
      </c>
      <c r="C56">
        <v>1</v>
      </c>
      <c r="D56">
        <v>24</v>
      </c>
      <c r="E56">
        <v>139</v>
      </c>
      <c r="F56" s="233">
        <v>164</v>
      </c>
      <c r="H56" s="233" t="s">
        <v>293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293</v>
      </c>
      <c r="O56">
        <v>270.29733491500031</v>
      </c>
      <c r="P56">
        <v>9735.0556556860611</v>
      </c>
      <c r="Q56">
        <v>122706.94665404069</v>
      </c>
      <c r="R56" s="233">
        <v>132712.29964464175</v>
      </c>
      <c r="V56" s="233" t="s">
        <v>293</v>
      </c>
      <c r="W56">
        <v>0</v>
      </c>
      <c r="X56">
        <v>0</v>
      </c>
      <c r="Y56">
        <v>21</v>
      </c>
      <c r="Z56" s="233">
        <v>21</v>
      </c>
      <c r="AB56" s="233" t="s">
        <v>293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293</v>
      </c>
      <c r="AK56">
        <v>0</v>
      </c>
      <c r="AL56">
        <v>0</v>
      </c>
      <c r="AM56">
        <v>26</v>
      </c>
      <c r="AN56" s="233">
        <v>26</v>
      </c>
      <c r="AP56" s="233" t="s">
        <v>293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294</v>
      </c>
      <c r="C59" s="232">
        <v>2</v>
      </c>
      <c r="D59" s="231">
        <v>9</v>
      </c>
      <c r="E59" s="231">
        <v>10</v>
      </c>
      <c r="F59" s="235">
        <v>21</v>
      </c>
      <c r="H59" s="233" t="s">
        <v>294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294</v>
      </c>
      <c r="O59" s="232">
        <v>446.01291695397242</v>
      </c>
      <c r="P59" s="231">
        <v>5144.1552304853085</v>
      </c>
      <c r="Q59" s="231">
        <v>6534.1522883828293</v>
      </c>
      <c r="R59" s="235">
        <v>12124.32043582211</v>
      </c>
      <c r="V59" s="233" t="s">
        <v>294</v>
      </c>
      <c r="W59" s="232">
        <v>0</v>
      </c>
      <c r="X59" s="231">
        <v>0</v>
      </c>
      <c r="Y59" s="231">
        <v>0</v>
      </c>
      <c r="Z59" s="235">
        <v>0</v>
      </c>
      <c r="AB59" s="233" t="s">
        <v>294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294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294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317</v>
      </c>
      <c r="C60" s="228">
        <v>0</v>
      </c>
      <c r="D60" s="230">
        <v>1</v>
      </c>
      <c r="E60" s="230">
        <v>2</v>
      </c>
      <c r="F60" s="234">
        <v>3</v>
      </c>
      <c r="H60" s="233" t="s">
        <v>317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317</v>
      </c>
      <c r="O60" s="228">
        <v>0</v>
      </c>
      <c r="P60" s="230">
        <v>156.82451877177766</v>
      </c>
      <c r="Q60" s="230">
        <v>312.5327730611225</v>
      </c>
      <c r="R60" s="234">
        <v>469.35729183290016</v>
      </c>
      <c r="V60" s="233" t="s">
        <v>317</v>
      </c>
      <c r="W60" s="228">
        <v>0</v>
      </c>
      <c r="X60" s="230">
        <v>0</v>
      </c>
      <c r="Y60" s="230">
        <v>0</v>
      </c>
      <c r="Z60" s="234">
        <v>0</v>
      </c>
      <c r="AB60" s="233" t="s">
        <v>317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317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317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295</v>
      </c>
      <c r="C61" s="228">
        <v>0</v>
      </c>
      <c r="D61" s="230">
        <v>0</v>
      </c>
      <c r="E61" s="230">
        <v>0</v>
      </c>
      <c r="F61" s="234">
        <v>0</v>
      </c>
      <c r="H61" s="233" t="s">
        <v>295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295</v>
      </c>
      <c r="O61" s="228">
        <v>0</v>
      </c>
      <c r="P61" s="230">
        <v>0</v>
      </c>
      <c r="Q61" s="230">
        <v>0</v>
      </c>
      <c r="R61" s="234">
        <v>0</v>
      </c>
      <c r="V61" s="233" t="s">
        <v>295</v>
      </c>
      <c r="W61" s="228">
        <v>0</v>
      </c>
      <c r="X61" s="230">
        <v>0</v>
      </c>
      <c r="Y61" s="230">
        <v>0</v>
      </c>
      <c r="Z61" s="234">
        <v>0</v>
      </c>
      <c r="AB61" s="233" t="s">
        <v>295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295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295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296</v>
      </c>
      <c r="C62" s="228">
        <v>1</v>
      </c>
      <c r="D62" s="230">
        <v>0</v>
      </c>
      <c r="E62" s="230">
        <v>3</v>
      </c>
      <c r="F62" s="234">
        <v>4</v>
      </c>
      <c r="H62" s="233" t="s">
        <v>296</v>
      </c>
      <c r="I62" s="228">
        <v>107.57076930231574</v>
      </c>
      <c r="J62" s="230">
        <v>0</v>
      </c>
      <c r="K62" s="230">
        <v>214.9621738790664</v>
      </c>
      <c r="L62" s="234">
        <v>322.53294318138217</v>
      </c>
      <c r="M62" s="230"/>
      <c r="N62" s="233" t="s">
        <v>296</v>
      </c>
      <c r="O62" s="228">
        <v>107.57076930231574</v>
      </c>
      <c r="P62" s="230">
        <v>0</v>
      </c>
      <c r="Q62" s="230">
        <v>214.9621738790664</v>
      </c>
      <c r="R62" s="234">
        <v>322.53294318138217</v>
      </c>
      <c r="V62" s="233" t="s">
        <v>296</v>
      </c>
      <c r="W62" s="228">
        <v>0</v>
      </c>
      <c r="X62" s="230">
        <v>0</v>
      </c>
      <c r="Y62" s="230">
        <v>0</v>
      </c>
      <c r="Z62" s="234">
        <v>0</v>
      </c>
      <c r="AB62" s="233" t="s">
        <v>296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296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296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297</v>
      </c>
      <c r="C63" s="228">
        <v>0</v>
      </c>
      <c r="D63" s="230">
        <v>0</v>
      </c>
      <c r="E63" s="230">
        <v>1</v>
      </c>
      <c r="F63" s="234">
        <v>1</v>
      </c>
      <c r="H63" s="233" t="s">
        <v>297</v>
      </c>
      <c r="I63" s="228">
        <v>0</v>
      </c>
      <c r="J63" s="230">
        <v>0</v>
      </c>
      <c r="K63" s="230">
        <v>157.48780682457382</v>
      </c>
      <c r="L63" s="234">
        <v>157.48780682457382</v>
      </c>
      <c r="M63" s="230"/>
      <c r="N63" s="233" t="s">
        <v>297</v>
      </c>
      <c r="O63" s="228">
        <v>0</v>
      </c>
      <c r="P63" s="230">
        <v>0</v>
      </c>
      <c r="Q63" s="230">
        <v>157.48780682457382</v>
      </c>
      <c r="R63" s="234">
        <v>157.48780682457382</v>
      </c>
      <c r="V63" s="233" t="s">
        <v>297</v>
      </c>
      <c r="W63" s="228">
        <v>0</v>
      </c>
      <c r="X63" s="230">
        <v>0</v>
      </c>
      <c r="Y63" s="230">
        <v>0</v>
      </c>
      <c r="Z63" s="234">
        <v>0</v>
      </c>
      <c r="AB63" s="233" t="s">
        <v>297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297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297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298</v>
      </c>
      <c r="C64" s="228">
        <v>0</v>
      </c>
      <c r="D64" s="230">
        <v>1</v>
      </c>
      <c r="E64" s="230">
        <v>1</v>
      </c>
      <c r="F64" s="234">
        <v>2</v>
      </c>
      <c r="H64" s="233" t="s">
        <v>298</v>
      </c>
      <c r="I64" s="228">
        <v>0</v>
      </c>
      <c r="J64" s="230">
        <v>3660.4146948909047</v>
      </c>
      <c r="K64" s="230">
        <v>94.53930078721416</v>
      </c>
      <c r="L64" s="234">
        <v>3754.9539956781186</v>
      </c>
      <c r="M64" s="230"/>
      <c r="N64" s="233" t="s">
        <v>298</v>
      </c>
      <c r="O64" s="228">
        <v>0</v>
      </c>
      <c r="P64" s="230">
        <v>3660.4146948909047</v>
      </c>
      <c r="Q64" s="230">
        <v>94.53930078721416</v>
      </c>
      <c r="R64" s="234">
        <v>3754.9539956781186</v>
      </c>
      <c r="V64" s="233" t="s">
        <v>298</v>
      </c>
      <c r="W64" s="228">
        <v>0</v>
      </c>
      <c r="X64" s="230">
        <v>0</v>
      </c>
      <c r="Y64" s="230">
        <v>0</v>
      </c>
      <c r="Z64" s="234">
        <v>0</v>
      </c>
      <c r="AB64" s="233" t="s">
        <v>298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298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298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318</v>
      </c>
      <c r="C65" s="228">
        <v>0</v>
      </c>
      <c r="D65" s="230">
        <v>0</v>
      </c>
      <c r="E65" s="230">
        <v>1</v>
      </c>
      <c r="F65" s="234">
        <v>1</v>
      </c>
      <c r="H65" s="233" t="s">
        <v>318</v>
      </c>
      <c r="I65" s="228">
        <v>0</v>
      </c>
      <c r="J65" s="230">
        <v>0</v>
      </c>
      <c r="K65" s="230">
        <v>134.1050040902484</v>
      </c>
      <c r="L65" s="234">
        <v>134.1050040902484</v>
      </c>
      <c r="M65" s="230"/>
      <c r="N65" s="233" t="s">
        <v>318</v>
      </c>
      <c r="O65" s="228">
        <v>0</v>
      </c>
      <c r="P65" s="230">
        <v>0</v>
      </c>
      <c r="Q65" s="230">
        <v>134.1050040902484</v>
      </c>
      <c r="R65" s="234">
        <v>134.1050040902484</v>
      </c>
      <c r="V65" s="233" t="s">
        <v>318</v>
      </c>
      <c r="W65" s="228">
        <v>0</v>
      </c>
      <c r="X65" s="230">
        <v>0</v>
      </c>
      <c r="Y65" s="230">
        <v>0</v>
      </c>
      <c r="Z65" s="234">
        <v>0</v>
      </c>
      <c r="AB65" s="233" t="s">
        <v>318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318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318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299</v>
      </c>
      <c r="C66" s="228">
        <v>0</v>
      </c>
      <c r="D66" s="230">
        <v>0</v>
      </c>
      <c r="E66" s="230">
        <v>0</v>
      </c>
      <c r="F66" s="234">
        <v>0</v>
      </c>
      <c r="H66" s="233" t="s">
        <v>299</v>
      </c>
      <c r="I66" s="228">
        <v>0</v>
      </c>
      <c r="J66" s="230">
        <v>0</v>
      </c>
      <c r="K66" s="230">
        <v>0</v>
      </c>
      <c r="L66" s="234">
        <v>0</v>
      </c>
      <c r="M66" s="230"/>
      <c r="N66" s="233" t="s">
        <v>299</v>
      </c>
      <c r="O66" s="228">
        <v>0</v>
      </c>
      <c r="P66" s="230">
        <v>0</v>
      </c>
      <c r="Q66" s="230">
        <v>0</v>
      </c>
      <c r="R66" s="234">
        <v>0</v>
      </c>
      <c r="V66" s="233" t="s">
        <v>299</v>
      </c>
      <c r="W66" s="228">
        <v>0</v>
      </c>
      <c r="X66" s="230">
        <v>0</v>
      </c>
      <c r="Y66" s="230">
        <v>0</v>
      </c>
      <c r="Z66" s="234">
        <v>0</v>
      </c>
      <c r="AB66" s="233" t="s">
        <v>299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299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299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300</v>
      </c>
      <c r="C67" s="228">
        <v>0</v>
      </c>
      <c r="D67" s="230">
        <v>0</v>
      </c>
      <c r="E67" s="230">
        <v>2</v>
      </c>
      <c r="F67" s="234">
        <v>2</v>
      </c>
      <c r="H67" s="233" t="s">
        <v>300</v>
      </c>
      <c r="I67" s="228">
        <v>0</v>
      </c>
      <c r="J67" s="230">
        <v>0</v>
      </c>
      <c r="K67" s="230">
        <v>1817.8137634176737</v>
      </c>
      <c r="L67" s="234">
        <v>1817.8137634176737</v>
      </c>
      <c r="M67" s="230"/>
      <c r="N67" s="233" t="s">
        <v>300</v>
      </c>
      <c r="O67" s="228">
        <v>0</v>
      </c>
      <c r="P67" s="230">
        <v>0</v>
      </c>
      <c r="Q67" s="230">
        <v>1817.8137634176737</v>
      </c>
      <c r="R67" s="234">
        <v>1817.8137634176737</v>
      </c>
      <c r="V67" s="233" t="s">
        <v>300</v>
      </c>
      <c r="W67" s="228">
        <v>0</v>
      </c>
      <c r="X67" s="230">
        <v>0</v>
      </c>
      <c r="Y67" s="230">
        <v>0</v>
      </c>
      <c r="Z67" s="234">
        <v>0</v>
      </c>
      <c r="AB67" s="233" t="s">
        <v>300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300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300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301</v>
      </c>
      <c r="C68" s="228">
        <v>0</v>
      </c>
      <c r="D68" s="230">
        <v>0</v>
      </c>
      <c r="E68" s="230">
        <v>0</v>
      </c>
      <c r="F68" s="234">
        <v>0</v>
      </c>
      <c r="H68" s="233" t="s">
        <v>301</v>
      </c>
      <c r="I68" s="228">
        <v>0</v>
      </c>
      <c r="J68" s="230">
        <v>0</v>
      </c>
      <c r="K68" s="230">
        <v>0</v>
      </c>
      <c r="L68" s="234">
        <v>0</v>
      </c>
      <c r="M68" s="230"/>
      <c r="N68" s="233" t="s">
        <v>301</v>
      </c>
      <c r="O68" s="228">
        <v>0</v>
      </c>
      <c r="P68" s="230">
        <v>0</v>
      </c>
      <c r="Q68" s="230">
        <v>0</v>
      </c>
      <c r="R68" s="234">
        <v>0</v>
      </c>
      <c r="V68" s="233" t="s">
        <v>301</v>
      </c>
      <c r="W68" s="228">
        <v>0</v>
      </c>
      <c r="X68" s="230">
        <v>0</v>
      </c>
      <c r="Y68" s="230">
        <v>0</v>
      </c>
      <c r="Z68" s="234">
        <v>0</v>
      </c>
      <c r="AB68" s="233" t="s">
        <v>301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301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301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36</v>
      </c>
      <c r="C69" s="228">
        <v>0</v>
      </c>
      <c r="D69" s="230">
        <v>0</v>
      </c>
      <c r="E69" s="230">
        <v>0</v>
      </c>
      <c r="F69" s="234">
        <v>0</v>
      </c>
      <c r="H69" s="233" t="s">
        <v>36</v>
      </c>
      <c r="I69" s="228">
        <v>0</v>
      </c>
      <c r="J69" s="230">
        <v>0</v>
      </c>
      <c r="K69" s="230">
        <v>0</v>
      </c>
      <c r="L69" s="234">
        <v>0</v>
      </c>
      <c r="M69" s="230"/>
      <c r="N69" s="233" t="s">
        <v>36</v>
      </c>
      <c r="O69" s="228">
        <v>0</v>
      </c>
      <c r="P69" s="230">
        <v>0</v>
      </c>
      <c r="Q69" s="230">
        <v>0</v>
      </c>
      <c r="R69" s="234">
        <v>0</v>
      </c>
      <c r="V69" s="233" t="s">
        <v>36</v>
      </c>
      <c r="W69" s="228">
        <v>0</v>
      </c>
      <c r="X69" s="230">
        <v>0</v>
      </c>
      <c r="Y69" s="230">
        <v>0</v>
      </c>
      <c r="Z69" s="234">
        <v>0</v>
      </c>
      <c r="AB69" s="233" t="s">
        <v>36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36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36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302</v>
      </c>
      <c r="C70" s="228">
        <v>1</v>
      </c>
      <c r="D70" s="230">
        <v>0</v>
      </c>
      <c r="E70" s="230">
        <v>0</v>
      </c>
      <c r="F70" s="234">
        <v>1</v>
      </c>
      <c r="H70" s="233" t="s">
        <v>302</v>
      </c>
      <c r="I70" s="228">
        <v>749.02954311744952</v>
      </c>
      <c r="J70" s="230">
        <v>0</v>
      </c>
      <c r="K70" s="230">
        <v>0</v>
      </c>
      <c r="L70" s="234">
        <v>749.02954311744952</v>
      </c>
      <c r="M70" s="230"/>
      <c r="N70" s="233" t="s">
        <v>302</v>
      </c>
      <c r="O70" s="228">
        <v>749.02954311744952</v>
      </c>
      <c r="P70" s="230">
        <v>0</v>
      </c>
      <c r="Q70" s="230">
        <v>0</v>
      </c>
      <c r="R70" s="234">
        <v>749.02954311744952</v>
      </c>
      <c r="V70" s="233" t="s">
        <v>302</v>
      </c>
      <c r="W70" s="228">
        <v>0</v>
      </c>
      <c r="X70" s="230">
        <v>0</v>
      </c>
      <c r="Y70" s="230">
        <v>0</v>
      </c>
      <c r="Z70" s="234">
        <v>0</v>
      </c>
      <c r="AB70" s="233" t="s">
        <v>302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302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302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303</v>
      </c>
      <c r="C71" s="228">
        <v>0</v>
      </c>
      <c r="D71" s="230">
        <v>0</v>
      </c>
      <c r="E71" s="230">
        <v>0</v>
      </c>
      <c r="F71" s="234">
        <v>0</v>
      </c>
      <c r="H71" s="233" t="s">
        <v>303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303</v>
      </c>
      <c r="O71" s="228">
        <v>0</v>
      </c>
      <c r="P71" s="230">
        <v>0</v>
      </c>
      <c r="Q71" s="230">
        <v>0</v>
      </c>
      <c r="R71" s="234">
        <v>0</v>
      </c>
      <c r="V71" s="233" t="s">
        <v>303</v>
      </c>
      <c r="W71" s="228">
        <v>0</v>
      </c>
      <c r="X71" s="230">
        <v>0</v>
      </c>
      <c r="Y71" s="230">
        <v>0</v>
      </c>
      <c r="Z71" s="234">
        <v>0</v>
      </c>
      <c r="AB71" s="233" t="s">
        <v>303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303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303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310</v>
      </c>
      <c r="C72" s="228">
        <v>0</v>
      </c>
      <c r="D72" s="230">
        <v>0</v>
      </c>
      <c r="E72" s="230">
        <v>0</v>
      </c>
      <c r="F72" s="234">
        <v>0</v>
      </c>
      <c r="H72" s="233" t="s">
        <v>310</v>
      </c>
      <c r="I72" s="228">
        <v>0</v>
      </c>
      <c r="J72" s="230">
        <v>0</v>
      </c>
      <c r="K72" s="230">
        <v>0</v>
      </c>
      <c r="L72" s="234">
        <v>0</v>
      </c>
      <c r="M72" s="230"/>
      <c r="N72" s="233" t="s">
        <v>310</v>
      </c>
      <c r="O72" s="228">
        <v>0</v>
      </c>
      <c r="P72" s="230">
        <v>0</v>
      </c>
      <c r="Q72" s="230">
        <v>0</v>
      </c>
      <c r="R72" s="234">
        <v>0</v>
      </c>
      <c r="V72" s="233" t="s">
        <v>310</v>
      </c>
      <c r="W72" s="228">
        <v>0</v>
      </c>
      <c r="X72" s="230">
        <v>0</v>
      </c>
      <c r="Y72" s="230">
        <v>0</v>
      </c>
      <c r="Z72" s="234">
        <v>0</v>
      </c>
      <c r="AB72" s="233" t="s">
        <v>310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310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310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311</v>
      </c>
      <c r="C73" s="228">
        <v>0</v>
      </c>
      <c r="D73" s="230">
        <v>0</v>
      </c>
      <c r="E73" s="230">
        <v>0</v>
      </c>
      <c r="F73" s="234">
        <v>0</v>
      </c>
      <c r="H73" s="233" t="s">
        <v>311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311</v>
      </c>
      <c r="O73" s="228">
        <v>0</v>
      </c>
      <c r="P73" s="230">
        <v>0</v>
      </c>
      <c r="Q73" s="230">
        <v>0</v>
      </c>
      <c r="R73" s="234">
        <v>0</v>
      </c>
      <c r="V73" s="233" t="s">
        <v>311</v>
      </c>
      <c r="W73" s="228">
        <v>0</v>
      </c>
      <c r="X73" s="230">
        <v>0</v>
      </c>
      <c r="Y73" s="230">
        <v>0</v>
      </c>
      <c r="Z73" s="234">
        <v>0</v>
      </c>
      <c r="AB73" s="233" t="s">
        <v>311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311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311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290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290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290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290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290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290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290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291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291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291</v>
      </c>
      <c r="O78" s="242">
        <v>0</v>
      </c>
      <c r="P78" s="230">
        <v>41803.130079267139</v>
      </c>
      <c r="Q78" s="230">
        <v>871021.60739246616</v>
      </c>
      <c r="R78" s="234">
        <v>914789.2328305156</v>
      </c>
      <c r="V78" s="233" t="s">
        <v>291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291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291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291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292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292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292</v>
      </c>
      <c r="O79" s="228">
        <v>9731.4582981100775</v>
      </c>
      <c r="P79" s="230">
        <v>67157.422273349715</v>
      </c>
      <c r="Q79" s="230">
        <v>920225.11270559207</v>
      </c>
      <c r="R79" s="234">
        <v>997113.99327705184</v>
      </c>
      <c r="V79" s="233" t="s">
        <v>292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292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292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292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293</v>
      </c>
      <c r="C80">
        <v>11</v>
      </c>
      <c r="D80">
        <v>116</v>
      </c>
      <c r="E80">
        <v>679</v>
      </c>
      <c r="F80" s="233">
        <v>806</v>
      </c>
      <c r="H80" s="233" t="s">
        <v>293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293</v>
      </c>
      <c r="O80">
        <v>2397.7288430221161</v>
      </c>
      <c r="P80">
        <v>69376.812796205675</v>
      </c>
      <c r="Q80">
        <v>577878.73592970811</v>
      </c>
      <c r="R80" s="233">
        <v>649653.27756893588</v>
      </c>
      <c r="V80" s="233" t="s">
        <v>293</v>
      </c>
      <c r="W80">
        <v>0</v>
      </c>
      <c r="X80">
        <v>2</v>
      </c>
      <c r="Y80">
        <v>79</v>
      </c>
      <c r="Z80" s="233">
        <v>81</v>
      </c>
      <c r="AB80" s="233" t="s">
        <v>293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293</v>
      </c>
      <c r="AK80">
        <v>0</v>
      </c>
      <c r="AL80">
        <v>5</v>
      </c>
      <c r="AM80">
        <v>118</v>
      </c>
      <c r="AN80" s="233">
        <v>123</v>
      </c>
      <c r="AP80" s="233" t="s">
        <v>293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294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294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294</v>
      </c>
      <c r="O83" s="232">
        <v>31575.77040388398</v>
      </c>
      <c r="P83" s="231">
        <v>4969.6986588953969</v>
      </c>
      <c r="Q83" s="231">
        <v>39649.033233229056</v>
      </c>
      <c r="R83" s="235">
        <v>76194.502296008432</v>
      </c>
      <c r="V83" s="233" t="s">
        <v>294</v>
      </c>
      <c r="W83" s="232">
        <v>0</v>
      </c>
      <c r="X83" s="231">
        <v>0</v>
      </c>
      <c r="Y83" s="231">
        <v>1</v>
      </c>
      <c r="Z83" s="235">
        <v>1</v>
      </c>
      <c r="AB83" s="233" t="s">
        <v>294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294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294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317</v>
      </c>
      <c r="C84" s="228">
        <v>38</v>
      </c>
      <c r="D84" s="230">
        <v>6</v>
      </c>
      <c r="E84" s="230">
        <v>27</v>
      </c>
      <c r="F84" s="234">
        <v>71</v>
      </c>
      <c r="H84" s="233" t="s">
        <v>317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317</v>
      </c>
      <c r="O84" s="228">
        <v>8114.7764690394615</v>
      </c>
      <c r="P84" s="230">
        <v>1442.721424370015</v>
      </c>
      <c r="Q84" s="230">
        <v>1991.2229217600511</v>
      </c>
      <c r="R84" s="234">
        <v>11548.720815169527</v>
      </c>
      <c r="V84" s="233" t="s">
        <v>317</v>
      </c>
      <c r="W84" s="228">
        <v>0</v>
      </c>
      <c r="X84" s="230">
        <v>0</v>
      </c>
      <c r="Y84" s="230">
        <v>0</v>
      </c>
      <c r="Z84" s="234">
        <v>0</v>
      </c>
      <c r="AB84" s="233" t="s">
        <v>317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317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317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295</v>
      </c>
      <c r="C85" s="228">
        <v>3</v>
      </c>
      <c r="D85" s="230">
        <v>1</v>
      </c>
      <c r="E85" s="230">
        <v>7</v>
      </c>
      <c r="F85" s="234">
        <v>11</v>
      </c>
      <c r="H85" s="233" t="s">
        <v>295</v>
      </c>
      <c r="I85" s="228">
        <v>460.21416157762394</v>
      </c>
      <c r="J85" s="230">
        <v>126.66598943205842</v>
      </c>
      <c r="K85" s="230">
        <v>666.66577112120547</v>
      </c>
      <c r="L85" s="234">
        <v>1253.5459221308879</v>
      </c>
      <c r="M85" s="229"/>
      <c r="N85" s="233" t="s">
        <v>295</v>
      </c>
      <c r="O85" s="228">
        <v>460.21416157762394</v>
      </c>
      <c r="P85" s="230">
        <v>126.66598943205842</v>
      </c>
      <c r="Q85" s="230">
        <v>666.66577112120547</v>
      </c>
      <c r="R85" s="234">
        <v>1253.5459221308879</v>
      </c>
      <c r="V85" s="233" t="s">
        <v>295</v>
      </c>
      <c r="W85" s="228">
        <v>0</v>
      </c>
      <c r="X85" s="230">
        <v>0</v>
      </c>
      <c r="Y85" s="230">
        <v>0</v>
      </c>
      <c r="Z85" s="234">
        <v>0</v>
      </c>
      <c r="AB85" s="233" t="s">
        <v>295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295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295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296</v>
      </c>
      <c r="C86" s="228">
        <v>9</v>
      </c>
      <c r="D86" s="230">
        <v>8</v>
      </c>
      <c r="E86" s="230">
        <v>26</v>
      </c>
      <c r="F86" s="234">
        <v>43</v>
      </c>
      <c r="H86" s="233" t="s">
        <v>296</v>
      </c>
      <c r="I86" s="228">
        <v>1685.8247930955779</v>
      </c>
      <c r="J86" s="230">
        <v>1396.676043441415</v>
      </c>
      <c r="K86" s="230">
        <v>11280.729615223521</v>
      </c>
      <c r="L86" s="234">
        <v>14363.230451760515</v>
      </c>
      <c r="M86" s="230"/>
      <c r="N86" s="233" t="s">
        <v>296</v>
      </c>
      <c r="O86" s="228">
        <v>1685.8247930955779</v>
      </c>
      <c r="P86" s="230">
        <v>1396.676043441415</v>
      </c>
      <c r="Q86" s="230">
        <v>11280.729615223521</v>
      </c>
      <c r="R86" s="234">
        <v>14363.230451760515</v>
      </c>
      <c r="V86" s="233" t="s">
        <v>296</v>
      </c>
      <c r="W86" s="228">
        <v>0</v>
      </c>
      <c r="X86" s="230">
        <v>0</v>
      </c>
      <c r="Y86" s="230">
        <v>0</v>
      </c>
      <c r="Z86" s="234">
        <v>0</v>
      </c>
      <c r="AB86" s="233" t="s">
        <v>296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296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296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297</v>
      </c>
      <c r="C87" s="228">
        <v>3</v>
      </c>
      <c r="D87" s="230">
        <v>1</v>
      </c>
      <c r="E87" s="230">
        <v>3</v>
      </c>
      <c r="F87" s="234">
        <v>7</v>
      </c>
      <c r="H87" s="233" t="s">
        <v>297</v>
      </c>
      <c r="I87" s="228">
        <v>208.30535118594986</v>
      </c>
      <c r="J87" s="230">
        <v>40.657720767193553</v>
      </c>
      <c r="K87" s="230">
        <v>1225.345882051947</v>
      </c>
      <c r="L87" s="234">
        <v>1474.3089540050905</v>
      </c>
      <c r="M87" s="230"/>
      <c r="N87" s="233" t="s">
        <v>297</v>
      </c>
      <c r="O87" s="228">
        <v>208.30535118594986</v>
      </c>
      <c r="P87" s="230">
        <v>40.657720767193553</v>
      </c>
      <c r="Q87" s="230">
        <v>1225.345882051947</v>
      </c>
      <c r="R87" s="234">
        <v>1474.3089540050905</v>
      </c>
      <c r="V87" s="233" t="s">
        <v>297</v>
      </c>
      <c r="W87" s="228">
        <v>0</v>
      </c>
      <c r="X87" s="230">
        <v>0</v>
      </c>
      <c r="Y87" s="230">
        <v>0</v>
      </c>
      <c r="Z87" s="234">
        <v>0</v>
      </c>
      <c r="AB87" s="233" t="s">
        <v>297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297</v>
      </c>
      <c r="AK87" s="228">
        <v>0</v>
      </c>
      <c r="AL87" s="230">
        <v>0</v>
      </c>
      <c r="AM87" s="230">
        <v>1</v>
      </c>
      <c r="AN87" s="234">
        <v>1</v>
      </c>
      <c r="AP87" s="233" t="s">
        <v>297</v>
      </c>
      <c r="AQ87" s="228">
        <v>0</v>
      </c>
      <c r="AR87" s="230">
        <v>0</v>
      </c>
      <c r="AS87" s="230">
        <v>1162.2641487420522</v>
      </c>
      <c r="AT87" s="234">
        <v>1162.2641487420522</v>
      </c>
    </row>
    <row r="88" spans="2:46" x14ac:dyDescent="0.25">
      <c r="B88" s="233" t="s">
        <v>298</v>
      </c>
      <c r="C88" s="228">
        <v>0</v>
      </c>
      <c r="D88" s="230">
        <v>0</v>
      </c>
      <c r="E88" s="230">
        <v>2</v>
      </c>
      <c r="F88" s="234">
        <v>2</v>
      </c>
      <c r="H88" s="233" t="s">
        <v>298</v>
      </c>
      <c r="I88" s="228">
        <v>0</v>
      </c>
      <c r="J88" s="230">
        <v>0</v>
      </c>
      <c r="K88" s="230">
        <v>935.61187127452911</v>
      </c>
      <c r="L88" s="234">
        <v>935.61187127452911</v>
      </c>
      <c r="M88" s="230"/>
      <c r="N88" s="233" t="s">
        <v>298</v>
      </c>
      <c r="O88" s="228">
        <v>0</v>
      </c>
      <c r="P88" s="230">
        <v>0</v>
      </c>
      <c r="Q88" s="230">
        <v>935.61187127452911</v>
      </c>
      <c r="R88" s="234">
        <v>935.61187127452911</v>
      </c>
      <c r="V88" s="233" t="s">
        <v>298</v>
      </c>
      <c r="W88" s="228">
        <v>0</v>
      </c>
      <c r="X88" s="230">
        <v>0</v>
      </c>
      <c r="Y88" s="230">
        <v>0</v>
      </c>
      <c r="Z88" s="234">
        <v>0</v>
      </c>
      <c r="AB88" s="233" t="s">
        <v>298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298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298</v>
      </c>
      <c r="AQ88" s="228">
        <v>0</v>
      </c>
      <c r="AR88" s="230">
        <v>0</v>
      </c>
      <c r="AS88" s="230">
        <v>47.601017554812252</v>
      </c>
      <c r="AT88" s="234">
        <v>47.601017554812252</v>
      </c>
    </row>
    <row r="89" spans="2:46" x14ac:dyDescent="0.25">
      <c r="B89" s="233" t="s">
        <v>318</v>
      </c>
      <c r="C89" s="228">
        <v>0</v>
      </c>
      <c r="D89" s="230">
        <v>2</v>
      </c>
      <c r="E89" s="230">
        <v>2</v>
      </c>
      <c r="F89" s="234">
        <v>4</v>
      </c>
      <c r="H89" s="233" t="s">
        <v>318</v>
      </c>
      <c r="I89" s="228">
        <v>0</v>
      </c>
      <c r="J89" s="230">
        <v>150.19429924986838</v>
      </c>
      <c r="K89" s="230">
        <v>106.42834773318508</v>
      </c>
      <c r="L89" s="234">
        <v>256.62264698305347</v>
      </c>
      <c r="M89" s="230"/>
      <c r="N89" s="233" t="s">
        <v>318</v>
      </c>
      <c r="O89" s="228">
        <v>0</v>
      </c>
      <c r="P89" s="230">
        <v>150.19429924986838</v>
      </c>
      <c r="Q89" s="230">
        <v>106.42834773318508</v>
      </c>
      <c r="R89" s="234">
        <v>256.62264698305347</v>
      </c>
      <c r="V89" s="233" t="s">
        <v>318</v>
      </c>
      <c r="W89" s="228">
        <v>0</v>
      </c>
      <c r="X89" s="230">
        <v>0</v>
      </c>
      <c r="Y89" s="230">
        <v>0</v>
      </c>
      <c r="Z89" s="234">
        <v>0</v>
      </c>
      <c r="AB89" s="233" t="s">
        <v>318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318</v>
      </c>
      <c r="AK89" s="228">
        <v>0</v>
      </c>
      <c r="AL89" s="230">
        <v>0</v>
      </c>
      <c r="AM89" s="230">
        <v>0</v>
      </c>
      <c r="AN89" s="234">
        <v>0</v>
      </c>
      <c r="AP89" s="233" t="s">
        <v>318</v>
      </c>
      <c r="AQ89" s="228">
        <v>0</v>
      </c>
      <c r="AR89" s="230">
        <v>0</v>
      </c>
      <c r="AS89" s="230">
        <v>0</v>
      </c>
      <c r="AT89" s="234">
        <v>0</v>
      </c>
    </row>
    <row r="90" spans="2:46" x14ac:dyDescent="0.25">
      <c r="B90" s="233" t="s">
        <v>299</v>
      </c>
      <c r="C90" s="228">
        <v>0</v>
      </c>
      <c r="D90" s="230">
        <v>0</v>
      </c>
      <c r="E90" s="230">
        <v>1</v>
      </c>
      <c r="F90" s="234">
        <v>1</v>
      </c>
      <c r="H90" s="233" t="s">
        <v>299</v>
      </c>
      <c r="I90" s="228">
        <v>0</v>
      </c>
      <c r="J90" s="230">
        <v>0</v>
      </c>
      <c r="K90" s="230">
        <v>129.33276099947329</v>
      </c>
      <c r="L90" s="234">
        <v>129.33276099947329</v>
      </c>
      <c r="M90" s="230"/>
      <c r="N90" s="233" t="s">
        <v>299</v>
      </c>
      <c r="O90" s="228">
        <v>0</v>
      </c>
      <c r="P90" s="230">
        <v>0</v>
      </c>
      <c r="Q90" s="230">
        <v>129.33276099947329</v>
      </c>
      <c r="R90" s="234">
        <v>129.33276099947329</v>
      </c>
      <c r="V90" s="233" t="s">
        <v>299</v>
      </c>
      <c r="W90" s="228">
        <v>0</v>
      </c>
      <c r="X90" s="230">
        <v>0</v>
      </c>
      <c r="Y90" s="230">
        <v>0</v>
      </c>
      <c r="Z90" s="234">
        <v>0</v>
      </c>
      <c r="AB90" s="233" t="s">
        <v>299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299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299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300</v>
      </c>
      <c r="C91" s="228">
        <v>1</v>
      </c>
      <c r="D91" s="230">
        <v>1</v>
      </c>
      <c r="E91" s="230">
        <v>8</v>
      </c>
      <c r="F91" s="234">
        <v>10</v>
      </c>
      <c r="H91" s="233" t="s">
        <v>300</v>
      </c>
      <c r="I91" s="228">
        <v>3835.8490111745532</v>
      </c>
      <c r="J91" s="230">
        <v>406.27992420916172</v>
      </c>
      <c r="K91" s="230">
        <v>369.0274948272679</v>
      </c>
      <c r="L91" s="234">
        <v>4611.1564302109828</v>
      </c>
      <c r="M91" s="230"/>
      <c r="N91" s="233" t="s">
        <v>300</v>
      </c>
      <c r="O91" s="228">
        <v>3835.8490111745532</v>
      </c>
      <c r="P91" s="230">
        <v>406.27992420916172</v>
      </c>
      <c r="Q91" s="230">
        <v>369.0274948272679</v>
      </c>
      <c r="R91" s="234">
        <v>4611.1564302109828</v>
      </c>
      <c r="V91" s="233" t="s">
        <v>300</v>
      </c>
      <c r="W91" s="228">
        <v>1</v>
      </c>
      <c r="X91" s="230">
        <v>0</v>
      </c>
      <c r="Y91" s="230">
        <v>0</v>
      </c>
      <c r="Z91" s="234">
        <v>1</v>
      </c>
      <c r="AB91" s="233" t="s">
        <v>300</v>
      </c>
      <c r="AC91" s="228">
        <v>3835.8490111745532</v>
      </c>
      <c r="AD91" s="230">
        <v>0</v>
      </c>
      <c r="AE91" s="230">
        <v>0</v>
      </c>
      <c r="AF91" s="234">
        <v>3835.8490111745532</v>
      </c>
      <c r="AJ91" s="233" t="s">
        <v>300</v>
      </c>
      <c r="AK91" s="228">
        <v>1</v>
      </c>
      <c r="AL91" s="230">
        <v>0</v>
      </c>
      <c r="AM91" s="230">
        <v>0</v>
      </c>
      <c r="AN91" s="234">
        <v>1</v>
      </c>
      <c r="AP91" s="233" t="s">
        <v>300</v>
      </c>
      <c r="AQ91" s="228">
        <v>3835.8490111745532</v>
      </c>
      <c r="AR91" s="230">
        <v>0</v>
      </c>
      <c r="AS91" s="230">
        <v>0</v>
      </c>
      <c r="AT91" s="234">
        <v>3835.8490111745532</v>
      </c>
    </row>
    <row r="92" spans="2:46" x14ac:dyDescent="0.25">
      <c r="B92" s="233" t="s">
        <v>301</v>
      </c>
      <c r="C92" s="228">
        <v>0</v>
      </c>
      <c r="D92" s="230">
        <v>0</v>
      </c>
      <c r="E92" s="230">
        <v>2</v>
      </c>
      <c r="F92" s="234">
        <v>2</v>
      </c>
      <c r="H92" s="233" t="s">
        <v>301</v>
      </c>
      <c r="I92" s="228">
        <v>0</v>
      </c>
      <c r="J92" s="230">
        <v>0</v>
      </c>
      <c r="K92" s="230">
        <v>425.77933737987439</v>
      </c>
      <c r="L92" s="234">
        <v>425.77933737987439</v>
      </c>
      <c r="M92" s="230"/>
      <c r="N92" s="233" t="s">
        <v>301</v>
      </c>
      <c r="O92" s="228">
        <v>0</v>
      </c>
      <c r="P92" s="230">
        <v>0</v>
      </c>
      <c r="Q92" s="230">
        <v>425.77933737987439</v>
      </c>
      <c r="R92" s="234">
        <v>425.77933737987439</v>
      </c>
      <c r="V92" s="233" t="s">
        <v>301</v>
      </c>
      <c r="W92" s="228">
        <v>0</v>
      </c>
      <c r="X92" s="230">
        <v>0</v>
      </c>
      <c r="Y92" s="230">
        <v>0</v>
      </c>
      <c r="Z92" s="234">
        <v>0</v>
      </c>
      <c r="AB92" s="233" t="s">
        <v>301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301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301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36</v>
      </c>
      <c r="C93" s="228">
        <v>4</v>
      </c>
      <c r="D93" s="230">
        <v>0</v>
      </c>
      <c r="E93" s="230">
        <v>4</v>
      </c>
      <c r="F93" s="234">
        <v>8</v>
      </c>
      <c r="H93" s="233" t="s">
        <v>36</v>
      </c>
      <c r="I93" s="228">
        <v>364.48025120884915</v>
      </c>
      <c r="J93" s="230">
        <v>0</v>
      </c>
      <c r="K93" s="230">
        <v>380.5165200099616</v>
      </c>
      <c r="L93" s="234">
        <v>744.99677121881075</v>
      </c>
      <c r="M93" s="230"/>
      <c r="N93" s="233" t="s">
        <v>36</v>
      </c>
      <c r="O93" s="228">
        <v>364.48025120884915</v>
      </c>
      <c r="P93" s="230">
        <v>0</v>
      </c>
      <c r="Q93" s="230">
        <v>380.5165200099616</v>
      </c>
      <c r="R93" s="234">
        <v>744.99677121881075</v>
      </c>
      <c r="V93" s="233" t="s">
        <v>36</v>
      </c>
      <c r="W93" s="228">
        <v>0</v>
      </c>
      <c r="X93" s="230">
        <v>0</v>
      </c>
      <c r="Y93" s="230">
        <v>0</v>
      </c>
      <c r="Z93" s="234">
        <v>0</v>
      </c>
      <c r="AB93" s="233" t="s">
        <v>36</v>
      </c>
      <c r="AC93" s="228">
        <v>0</v>
      </c>
      <c r="AD93" s="230">
        <v>0</v>
      </c>
      <c r="AE93" s="230">
        <v>0</v>
      </c>
      <c r="AF93" s="234">
        <v>0</v>
      </c>
      <c r="AJ93" s="233" t="s">
        <v>36</v>
      </c>
      <c r="AK93" s="228">
        <v>0</v>
      </c>
      <c r="AL93" s="230">
        <v>0</v>
      </c>
      <c r="AM93" s="230">
        <v>0</v>
      </c>
      <c r="AN93" s="234">
        <v>0</v>
      </c>
      <c r="AP93" s="233" t="s">
        <v>36</v>
      </c>
      <c r="AQ93" s="228">
        <v>0</v>
      </c>
      <c r="AR93" s="230">
        <v>0</v>
      </c>
      <c r="AS93" s="230">
        <v>0</v>
      </c>
      <c r="AT93" s="234">
        <v>0</v>
      </c>
    </row>
    <row r="94" spans="2:46" x14ac:dyDescent="0.25">
      <c r="B94" s="233" t="s">
        <v>302</v>
      </c>
      <c r="C94" s="228">
        <v>24</v>
      </c>
      <c r="D94" s="230">
        <v>5</v>
      </c>
      <c r="E94" s="230">
        <v>29</v>
      </c>
      <c r="F94" s="234">
        <v>58</v>
      </c>
      <c r="H94" s="233" t="s">
        <v>302</v>
      </c>
      <c r="I94" s="228">
        <v>5859.8830893171798</v>
      </c>
      <c r="J94" s="230">
        <v>6749.0997714719451</v>
      </c>
      <c r="K94" s="230">
        <v>11452.484403427048</v>
      </c>
      <c r="L94" s="234">
        <v>24061.467264216175</v>
      </c>
      <c r="M94" s="230"/>
      <c r="N94" s="233" t="s">
        <v>302</v>
      </c>
      <c r="O94" s="228">
        <v>5859.8830893171798</v>
      </c>
      <c r="P94" s="230">
        <v>6749.0997714719451</v>
      </c>
      <c r="Q94" s="230">
        <v>11452.484403427048</v>
      </c>
      <c r="R94" s="234">
        <v>24061.467264216175</v>
      </c>
      <c r="V94" s="233" t="s">
        <v>302</v>
      </c>
      <c r="W94" s="228">
        <v>0</v>
      </c>
      <c r="X94" s="230">
        <v>0</v>
      </c>
      <c r="Y94" s="230">
        <v>6</v>
      </c>
      <c r="Z94" s="234">
        <v>6</v>
      </c>
      <c r="AB94" s="233" t="s">
        <v>302</v>
      </c>
      <c r="AC94" s="228">
        <v>0</v>
      </c>
      <c r="AD94" s="230">
        <v>0</v>
      </c>
      <c r="AE94" s="230">
        <v>1069.1628582100889</v>
      </c>
      <c r="AF94" s="234">
        <v>1069.1628582100889</v>
      </c>
      <c r="AJ94" s="233" t="s">
        <v>302</v>
      </c>
      <c r="AK94" s="228">
        <v>0</v>
      </c>
      <c r="AL94" s="230">
        <v>0</v>
      </c>
      <c r="AM94" s="230">
        <v>6</v>
      </c>
      <c r="AN94" s="234">
        <v>6</v>
      </c>
      <c r="AP94" s="233" t="s">
        <v>302</v>
      </c>
      <c r="AQ94" s="228">
        <v>0</v>
      </c>
      <c r="AR94" s="230">
        <v>0</v>
      </c>
      <c r="AS94" s="230">
        <v>1069.1628582100889</v>
      </c>
      <c r="AT94" s="234">
        <v>1069.1628582100889</v>
      </c>
    </row>
    <row r="95" spans="2:46" x14ac:dyDescent="0.25">
      <c r="B95" s="233" t="s">
        <v>303</v>
      </c>
      <c r="C95" s="228">
        <v>1</v>
      </c>
      <c r="D95" s="230">
        <v>0</v>
      </c>
      <c r="E95" s="230">
        <v>1</v>
      </c>
      <c r="F95" s="234">
        <v>2</v>
      </c>
      <c r="H95" s="233" t="s">
        <v>303</v>
      </c>
      <c r="I95" s="228">
        <v>19.460105202643724</v>
      </c>
      <c r="J95" s="230">
        <v>0</v>
      </c>
      <c r="K95" s="230">
        <v>158.58798642963697</v>
      </c>
      <c r="L95" s="234">
        <v>178.04809163228069</v>
      </c>
      <c r="M95" s="230"/>
      <c r="N95" s="233" t="s">
        <v>303</v>
      </c>
      <c r="O95" s="228">
        <v>19.460105202643724</v>
      </c>
      <c r="P95" s="230">
        <v>0</v>
      </c>
      <c r="Q95" s="230">
        <v>158.58798642963697</v>
      </c>
      <c r="R95" s="234">
        <v>178.04809163228069</v>
      </c>
      <c r="V95" s="233" t="s">
        <v>303</v>
      </c>
      <c r="W95" s="228">
        <v>0</v>
      </c>
      <c r="X95" s="230">
        <v>0</v>
      </c>
      <c r="Y95" s="230">
        <v>0</v>
      </c>
      <c r="Z95" s="234">
        <v>0</v>
      </c>
      <c r="AB95" s="233" t="s">
        <v>303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303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303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310</v>
      </c>
      <c r="C96" s="228">
        <v>1</v>
      </c>
      <c r="D96" s="230">
        <v>0</v>
      </c>
      <c r="E96" s="230">
        <v>0</v>
      </c>
      <c r="F96" s="234">
        <v>1</v>
      </c>
      <c r="H96" s="233" t="s">
        <v>310</v>
      </c>
      <c r="I96" s="228">
        <v>102.91349200709024</v>
      </c>
      <c r="J96" s="230">
        <v>0</v>
      </c>
      <c r="K96" s="230">
        <v>0</v>
      </c>
      <c r="L96" s="234">
        <v>102.91349200709024</v>
      </c>
      <c r="M96" s="230"/>
      <c r="N96" s="233" t="s">
        <v>310</v>
      </c>
      <c r="O96" s="228">
        <v>102.91349200709024</v>
      </c>
      <c r="P96" s="230">
        <v>0</v>
      </c>
      <c r="Q96" s="230">
        <v>0</v>
      </c>
      <c r="R96" s="234">
        <v>102.91349200709024</v>
      </c>
      <c r="V96" s="233" t="s">
        <v>310</v>
      </c>
      <c r="W96" s="228">
        <v>0</v>
      </c>
      <c r="X96" s="230">
        <v>0</v>
      </c>
      <c r="Y96" s="230">
        <v>0</v>
      </c>
      <c r="Z96" s="234">
        <v>0</v>
      </c>
      <c r="AB96" s="233" t="s">
        <v>310</v>
      </c>
      <c r="AC96" s="228">
        <v>0</v>
      </c>
      <c r="AD96" s="230">
        <v>0</v>
      </c>
      <c r="AE96" s="230">
        <v>0</v>
      </c>
      <c r="AF96" s="234">
        <v>0</v>
      </c>
      <c r="AJ96" s="233" t="s">
        <v>310</v>
      </c>
      <c r="AK96" s="228">
        <v>0</v>
      </c>
      <c r="AL96" s="230">
        <v>0</v>
      </c>
      <c r="AM96" s="230">
        <v>0</v>
      </c>
      <c r="AN96" s="234">
        <v>0</v>
      </c>
      <c r="AP96" s="233" t="s">
        <v>310</v>
      </c>
      <c r="AQ96" s="228">
        <v>0</v>
      </c>
      <c r="AR96" s="230">
        <v>0</v>
      </c>
      <c r="AS96" s="230">
        <v>0</v>
      </c>
      <c r="AT96" s="234">
        <v>0</v>
      </c>
    </row>
    <row r="97" spans="2:46" x14ac:dyDescent="0.25">
      <c r="B97" s="233" t="s">
        <v>311</v>
      </c>
      <c r="C97" s="228">
        <v>0</v>
      </c>
      <c r="D97" s="230">
        <v>0</v>
      </c>
      <c r="E97" s="230">
        <v>1</v>
      </c>
      <c r="F97" s="234">
        <v>1</v>
      </c>
      <c r="H97" s="233" t="s">
        <v>311</v>
      </c>
      <c r="I97" s="228">
        <v>0</v>
      </c>
      <c r="J97" s="230">
        <v>0</v>
      </c>
      <c r="K97" s="230">
        <v>30.025018312656147</v>
      </c>
      <c r="L97" s="234">
        <v>30.025018312656147</v>
      </c>
      <c r="M97" s="230"/>
      <c r="N97" s="233" t="s">
        <v>311</v>
      </c>
      <c r="O97" s="228">
        <v>0</v>
      </c>
      <c r="P97" s="230">
        <v>0</v>
      </c>
      <c r="Q97" s="230">
        <v>30.025018312656147</v>
      </c>
      <c r="R97" s="234">
        <v>30.025018312656147</v>
      </c>
      <c r="V97" s="233" t="s">
        <v>311</v>
      </c>
      <c r="W97" s="228">
        <v>0</v>
      </c>
      <c r="X97" s="230">
        <v>0</v>
      </c>
      <c r="Y97" s="230">
        <v>0</v>
      </c>
      <c r="Z97" s="234">
        <v>0</v>
      </c>
      <c r="AB97" s="233" t="s">
        <v>311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311</v>
      </c>
      <c r="AK97" s="228">
        <v>0</v>
      </c>
      <c r="AL97" s="230">
        <v>0</v>
      </c>
      <c r="AM97" s="230">
        <v>1</v>
      </c>
      <c r="AN97" s="234">
        <v>1</v>
      </c>
      <c r="AP97" s="233" t="s">
        <v>311</v>
      </c>
      <c r="AQ97" s="228">
        <v>0</v>
      </c>
      <c r="AR97" s="230">
        <v>0</v>
      </c>
      <c r="AS97" s="230">
        <v>30.025018312656147</v>
      </c>
      <c r="AT97" s="234">
        <v>30.025018312656147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v>162938.30931054673</v>
      </c>
      <c r="P98" s="238">
        <v>226743.50189513472</v>
      </c>
      <c r="Q98" s="238">
        <v>2647281.0541922343</v>
      </c>
      <c r="R98" s="239">
        <v>3036962.8653979157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290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290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290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290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290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290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290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291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291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291</v>
      </c>
      <c r="O102" s="242">
        <v>0</v>
      </c>
      <c r="P102" s="230">
        <v>33444.620132591335</v>
      </c>
      <c r="Q102" s="230">
        <v>701340.9635934236</v>
      </c>
      <c r="R102" s="234">
        <v>741970.8469983578</v>
      </c>
      <c r="V102" s="233" t="s">
        <v>291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291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291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291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292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292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292</v>
      </c>
      <c r="O103" s="228">
        <v>10130.904868215201</v>
      </c>
      <c r="P103" s="230">
        <v>26724.48093009874</v>
      </c>
      <c r="Q103" s="230">
        <v>432521.98673234583</v>
      </c>
      <c r="R103" s="234">
        <v>469377.37253065978</v>
      </c>
      <c r="V103" s="233" t="s">
        <v>292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292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292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292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293</v>
      </c>
      <c r="C104">
        <v>25</v>
      </c>
      <c r="D104">
        <v>62</v>
      </c>
      <c r="E104">
        <v>439</v>
      </c>
      <c r="F104" s="233">
        <v>526</v>
      </c>
      <c r="H104" s="233" t="s">
        <v>293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293</v>
      </c>
      <c r="O104">
        <v>2552.4320472831055</v>
      </c>
      <c r="P104">
        <v>18558.664343463461</v>
      </c>
      <c r="Q104">
        <v>250480.83183999587</v>
      </c>
      <c r="R104" s="233">
        <v>271591.92823074246</v>
      </c>
      <c r="V104" s="233" t="s">
        <v>293</v>
      </c>
      <c r="W104">
        <v>0</v>
      </c>
      <c r="X104">
        <v>3</v>
      </c>
      <c r="Y104">
        <v>52</v>
      </c>
      <c r="Z104" s="233">
        <v>55</v>
      </c>
      <c r="AB104" s="233" t="s">
        <v>293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293</v>
      </c>
      <c r="AK104">
        <v>0</v>
      </c>
      <c r="AL104">
        <v>7</v>
      </c>
      <c r="AM104">
        <v>92</v>
      </c>
      <c r="AN104" s="233">
        <v>99</v>
      </c>
      <c r="AP104" s="233" t="s">
        <v>293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v>918334.74019821838</v>
      </c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v>82004.466063699307</v>
      </c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294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294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294</v>
      </c>
      <c r="O107" s="232">
        <v>31128.373921638704</v>
      </c>
      <c r="P107" s="231">
        <v>8479.8851178828227</v>
      </c>
      <c r="Q107" s="231">
        <v>32912.294872730563</v>
      </c>
      <c r="R107" s="235">
        <v>72520.553912252086</v>
      </c>
      <c r="V107" s="233" t="s">
        <v>294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294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294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294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317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317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317</v>
      </c>
      <c r="O108" s="228">
        <v>5766.2773637606815</v>
      </c>
      <c r="P108" s="230">
        <v>1323.0409622360712</v>
      </c>
      <c r="Q108" s="230">
        <v>9146.5206163594812</v>
      </c>
      <c r="R108" s="234">
        <v>16235.838942356233</v>
      </c>
      <c r="V108" s="233" t="s">
        <v>317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317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317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317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295</v>
      </c>
      <c r="C109" s="228">
        <v>5</v>
      </c>
      <c r="D109" s="230">
        <v>2</v>
      </c>
      <c r="E109" s="230">
        <v>11</v>
      </c>
      <c r="F109" s="234">
        <v>18</v>
      </c>
      <c r="H109" s="233" t="s">
        <v>295</v>
      </c>
      <c r="I109" s="228">
        <v>289.59253955314261</v>
      </c>
      <c r="J109" s="230">
        <v>107.62586676747841</v>
      </c>
      <c r="K109" s="230">
        <v>1007.6807091932482</v>
      </c>
      <c r="L109" s="234">
        <v>1404.8991155138692</v>
      </c>
      <c r="N109" s="233" t="s">
        <v>295</v>
      </c>
      <c r="O109" s="228">
        <v>289.59253955314261</v>
      </c>
      <c r="P109" s="230">
        <v>107.62586676747841</v>
      </c>
      <c r="Q109" s="230">
        <v>1007.6807091932482</v>
      </c>
      <c r="R109" s="234">
        <v>1404.8991155138692</v>
      </c>
      <c r="V109" s="233" t="s">
        <v>295</v>
      </c>
      <c r="W109" s="228">
        <v>0</v>
      </c>
      <c r="X109" s="230">
        <v>0</v>
      </c>
      <c r="Y109" s="230">
        <v>0</v>
      </c>
      <c r="Z109" s="234">
        <v>0</v>
      </c>
      <c r="AB109" s="233" t="s">
        <v>295</v>
      </c>
      <c r="AC109" s="228">
        <v>0</v>
      </c>
      <c r="AD109" s="230">
        <v>0</v>
      </c>
      <c r="AE109" s="230">
        <v>0</v>
      </c>
      <c r="AF109" s="234">
        <v>0</v>
      </c>
      <c r="AJ109" s="233" t="s">
        <v>295</v>
      </c>
      <c r="AK109" s="228">
        <v>0</v>
      </c>
      <c r="AL109" s="230">
        <v>0</v>
      </c>
      <c r="AM109" s="230">
        <v>1</v>
      </c>
      <c r="AN109" s="234">
        <v>1</v>
      </c>
      <c r="AP109" s="233" t="s">
        <v>295</v>
      </c>
      <c r="AQ109" s="228">
        <v>0</v>
      </c>
      <c r="AR109" s="230">
        <v>0</v>
      </c>
      <c r="AS109" s="230">
        <v>82.739543673339199</v>
      </c>
      <c r="AT109" s="234">
        <v>82.739543673339199</v>
      </c>
    </row>
    <row r="110" spans="2:46" x14ac:dyDescent="0.25">
      <c r="B110" s="233" t="s">
        <v>296</v>
      </c>
      <c r="C110" s="228">
        <v>31</v>
      </c>
      <c r="D110" s="230">
        <v>8</v>
      </c>
      <c r="E110" s="230">
        <v>55</v>
      </c>
      <c r="F110" s="234">
        <v>94</v>
      </c>
      <c r="H110" s="233" t="s">
        <v>296</v>
      </c>
      <c r="I110" s="228">
        <v>3877.2935706909452</v>
      </c>
      <c r="J110" s="230">
        <v>1674.0266401428842</v>
      </c>
      <c r="K110" s="230">
        <v>8851.129727845102</v>
      </c>
      <c r="L110" s="234">
        <v>14402.449938678932</v>
      </c>
      <c r="M110" s="229"/>
      <c r="N110" s="233" t="s">
        <v>296</v>
      </c>
      <c r="O110" s="228">
        <v>3877.2935706909452</v>
      </c>
      <c r="P110" s="230">
        <v>1674.0266401428842</v>
      </c>
      <c r="Q110" s="230">
        <v>8851.129727845102</v>
      </c>
      <c r="R110" s="234">
        <v>14402.449938678932</v>
      </c>
      <c r="V110" s="233" t="s">
        <v>296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296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296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296</v>
      </c>
      <c r="AQ110" s="228">
        <v>0</v>
      </c>
      <c r="AR110" s="230">
        <v>0</v>
      </c>
      <c r="AS110" s="230">
        <v>44.421069678075298</v>
      </c>
      <c r="AT110" s="234">
        <v>44.421069678075298</v>
      </c>
    </row>
    <row r="111" spans="2:46" x14ac:dyDescent="0.25">
      <c r="B111" s="233" t="s">
        <v>297</v>
      </c>
      <c r="C111" s="228">
        <v>13</v>
      </c>
      <c r="D111" s="230">
        <v>2</v>
      </c>
      <c r="E111" s="230">
        <v>1</v>
      </c>
      <c r="F111" s="234">
        <v>16</v>
      </c>
      <c r="H111" s="233" t="s">
        <v>297</v>
      </c>
      <c r="I111" s="228">
        <v>2745.6961552437883</v>
      </c>
      <c r="J111" s="230">
        <v>489.13729732747515</v>
      </c>
      <c r="K111" s="230">
        <v>20.054037878711387</v>
      </c>
      <c r="L111" s="234">
        <v>3254.8874904499748</v>
      </c>
      <c r="M111" s="230"/>
      <c r="N111" s="233" t="s">
        <v>297</v>
      </c>
      <c r="O111" s="228">
        <v>2745.6961552437883</v>
      </c>
      <c r="P111" s="230">
        <v>489.13729732747515</v>
      </c>
      <c r="Q111" s="230">
        <v>20.054037878711387</v>
      </c>
      <c r="R111" s="234">
        <v>3254.8874904499748</v>
      </c>
      <c r="V111" s="233" t="s">
        <v>297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297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297</v>
      </c>
      <c r="AK111" s="228">
        <v>1</v>
      </c>
      <c r="AL111" s="230">
        <v>0</v>
      </c>
      <c r="AM111" s="230">
        <v>0</v>
      </c>
      <c r="AN111" s="234">
        <v>1</v>
      </c>
      <c r="AP111" s="233" t="s">
        <v>297</v>
      </c>
      <c r="AQ111" s="228">
        <v>1671.5393715184443</v>
      </c>
      <c r="AR111" s="230">
        <v>0</v>
      </c>
      <c r="AS111" s="230">
        <v>0</v>
      </c>
      <c r="AT111" s="234">
        <v>1671.5393715184443</v>
      </c>
    </row>
    <row r="112" spans="2:46" x14ac:dyDescent="0.25">
      <c r="B112" s="233" t="s">
        <v>298</v>
      </c>
      <c r="C112" s="228">
        <v>3</v>
      </c>
      <c r="D112" s="230">
        <v>0</v>
      </c>
      <c r="E112" s="230">
        <v>4</v>
      </c>
      <c r="F112" s="234">
        <v>7</v>
      </c>
      <c r="H112" s="233" t="s">
        <v>298</v>
      </c>
      <c r="I112" s="228">
        <v>11457.86783023243</v>
      </c>
      <c r="J112" s="230">
        <v>0</v>
      </c>
      <c r="K112" s="230">
        <v>314.62625369506634</v>
      </c>
      <c r="L112" s="234">
        <v>11772.494083927497</v>
      </c>
      <c r="M112" s="230"/>
      <c r="N112" s="233" t="s">
        <v>298</v>
      </c>
      <c r="O112" s="228">
        <v>11457.86783023243</v>
      </c>
      <c r="P112" s="230">
        <v>0</v>
      </c>
      <c r="Q112" s="230">
        <v>314.62625369506634</v>
      </c>
      <c r="R112" s="234">
        <v>11772.494083927497</v>
      </c>
      <c r="V112" s="233" t="s">
        <v>298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298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298</v>
      </c>
      <c r="AK112" s="228">
        <v>0</v>
      </c>
      <c r="AL112" s="230">
        <v>0</v>
      </c>
      <c r="AM112" s="230">
        <v>0</v>
      </c>
      <c r="AN112" s="234">
        <v>0</v>
      </c>
      <c r="AP112" s="233" t="s">
        <v>298</v>
      </c>
      <c r="AQ112" s="228">
        <v>0</v>
      </c>
      <c r="AR112" s="230">
        <v>0</v>
      </c>
      <c r="AS112" s="230">
        <v>0</v>
      </c>
      <c r="AT112" s="234">
        <v>0</v>
      </c>
    </row>
    <row r="113" spans="2:46" x14ac:dyDescent="0.25">
      <c r="B113" s="233" t="s">
        <v>318</v>
      </c>
      <c r="C113" s="228">
        <v>0</v>
      </c>
      <c r="D113" s="230">
        <v>1</v>
      </c>
      <c r="E113" s="230">
        <v>4</v>
      </c>
      <c r="F113" s="234">
        <v>5</v>
      </c>
      <c r="H113" s="233" t="s">
        <v>318</v>
      </c>
      <c r="I113" s="228">
        <v>0</v>
      </c>
      <c r="J113" s="230">
        <v>75.09714962493419</v>
      </c>
      <c r="K113" s="230">
        <v>255.73484235730268</v>
      </c>
      <c r="L113" s="234">
        <v>330.8319919822369</v>
      </c>
      <c r="M113" s="230"/>
      <c r="N113" s="233" t="s">
        <v>318</v>
      </c>
      <c r="O113" s="228">
        <v>0</v>
      </c>
      <c r="P113" s="230">
        <v>75.09714962493419</v>
      </c>
      <c r="Q113" s="230">
        <v>255.73484235730268</v>
      </c>
      <c r="R113" s="234">
        <v>330.8319919822369</v>
      </c>
      <c r="V113" s="233" t="s">
        <v>318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318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318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318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299</v>
      </c>
      <c r="C114" s="228">
        <v>0</v>
      </c>
      <c r="D114" s="230">
        <v>1</v>
      </c>
      <c r="E114" s="230">
        <v>0</v>
      </c>
      <c r="F114" s="234">
        <v>1</v>
      </c>
      <c r="H114" s="233" t="s">
        <v>299</v>
      </c>
      <c r="I114" s="228">
        <v>0</v>
      </c>
      <c r="J114" s="230">
        <v>170.90862961194017</v>
      </c>
      <c r="K114" s="230">
        <v>0</v>
      </c>
      <c r="L114" s="234">
        <v>170.90862961194017</v>
      </c>
      <c r="M114" s="230"/>
      <c r="N114" s="233" t="s">
        <v>299</v>
      </c>
      <c r="O114" s="228">
        <v>0</v>
      </c>
      <c r="P114" s="230">
        <v>170.90862961194017</v>
      </c>
      <c r="Q114" s="230">
        <v>0</v>
      </c>
      <c r="R114" s="234">
        <v>170.90862961194017</v>
      </c>
      <c r="V114" s="233" t="s">
        <v>299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299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299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299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300</v>
      </c>
      <c r="C115" s="228">
        <v>4</v>
      </c>
      <c r="D115" s="230">
        <v>2</v>
      </c>
      <c r="E115" s="230">
        <v>28</v>
      </c>
      <c r="F115" s="234">
        <v>34</v>
      </c>
      <c r="H115" s="233" t="s">
        <v>300</v>
      </c>
      <c r="I115" s="228">
        <v>383.57382650960545</v>
      </c>
      <c r="J115" s="230">
        <v>82.113799541823596</v>
      </c>
      <c r="K115" s="230">
        <v>6179.5156878946027</v>
      </c>
      <c r="L115" s="234">
        <v>6645.2033139460318</v>
      </c>
      <c r="M115" s="230"/>
      <c r="N115" s="233" t="s">
        <v>300</v>
      </c>
      <c r="O115" s="228">
        <v>383.57382650960545</v>
      </c>
      <c r="P115" s="230">
        <v>82.113799541823596</v>
      </c>
      <c r="Q115" s="230">
        <v>6179.5156878946027</v>
      </c>
      <c r="R115" s="234">
        <v>6645.2033139460318</v>
      </c>
      <c r="V115" s="233" t="s">
        <v>300</v>
      </c>
      <c r="W115" s="228">
        <v>0</v>
      </c>
      <c r="X115" s="230">
        <v>0</v>
      </c>
      <c r="Y115" s="230">
        <v>4</v>
      </c>
      <c r="Z115" s="234">
        <v>4</v>
      </c>
      <c r="AB115" s="233" t="s">
        <v>300</v>
      </c>
      <c r="AC115" s="228">
        <v>0</v>
      </c>
      <c r="AD115" s="230">
        <v>0</v>
      </c>
      <c r="AE115" s="230">
        <v>601.29529444767013</v>
      </c>
      <c r="AF115" s="234">
        <v>601.29529444767013</v>
      </c>
      <c r="AJ115" s="233" t="s">
        <v>300</v>
      </c>
      <c r="AK115" s="228">
        <v>0</v>
      </c>
      <c r="AL115" s="230">
        <v>0</v>
      </c>
      <c r="AM115" s="230">
        <v>4</v>
      </c>
      <c r="AN115" s="234">
        <v>4</v>
      </c>
      <c r="AP115" s="233" t="s">
        <v>300</v>
      </c>
      <c r="AQ115" s="228">
        <v>0</v>
      </c>
      <c r="AR115" s="230">
        <v>0</v>
      </c>
      <c r="AS115" s="230">
        <v>601.29529444767013</v>
      </c>
      <c r="AT115" s="234">
        <v>601.29529444767013</v>
      </c>
    </row>
    <row r="116" spans="2:46" x14ac:dyDescent="0.25">
      <c r="B116" s="233" t="s">
        <v>301</v>
      </c>
      <c r="C116" s="228">
        <v>2</v>
      </c>
      <c r="D116" s="230">
        <v>1</v>
      </c>
      <c r="E116" s="230">
        <v>1</v>
      </c>
      <c r="F116" s="234">
        <v>4</v>
      </c>
      <c r="H116" s="233" t="s">
        <v>301</v>
      </c>
      <c r="I116" s="228">
        <v>184.60763517785367</v>
      </c>
      <c r="J116" s="230">
        <v>203.6757543818606</v>
      </c>
      <c r="K116" s="230">
        <v>352.86234183414172</v>
      </c>
      <c r="L116" s="234">
        <v>741.14573139385595</v>
      </c>
      <c r="M116" s="230"/>
      <c r="N116" s="233" t="s">
        <v>301</v>
      </c>
      <c r="O116" s="228">
        <v>184.60763517785367</v>
      </c>
      <c r="P116" s="230">
        <v>203.6757543818606</v>
      </c>
      <c r="Q116" s="230">
        <v>352.86234183414172</v>
      </c>
      <c r="R116" s="234">
        <v>741.14573139385595</v>
      </c>
      <c r="V116" s="233" t="s">
        <v>301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301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301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301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36</v>
      </c>
      <c r="C117" s="228">
        <v>0</v>
      </c>
      <c r="D117" s="230">
        <v>2</v>
      </c>
      <c r="E117" s="230">
        <v>3</v>
      </c>
      <c r="F117" s="234">
        <v>5</v>
      </c>
      <c r="H117" s="233" t="s">
        <v>36</v>
      </c>
      <c r="I117" s="228">
        <v>0</v>
      </c>
      <c r="J117" s="230">
        <v>823.85052294169554</v>
      </c>
      <c r="K117" s="230">
        <v>288.55258996861289</v>
      </c>
      <c r="L117" s="234">
        <v>1112.4031129103084</v>
      </c>
      <c r="M117" s="230"/>
      <c r="N117" s="233" t="s">
        <v>36</v>
      </c>
      <c r="O117" s="228">
        <v>0</v>
      </c>
      <c r="P117" s="230">
        <v>823.85052294169554</v>
      </c>
      <c r="Q117" s="230">
        <v>288.55258996861289</v>
      </c>
      <c r="R117" s="234">
        <v>1112.4031129103084</v>
      </c>
      <c r="V117" s="233" t="s">
        <v>36</v>
      </c>
      <c r="W117" s="228">
        <v>0</v>
      </c>
      <c r="X117" s="230">
        <v>0</v>
      </c>
      <c r="Y117" s="230">
        <v>0</v>
      </c>
      <c r="Z117" s="234">
        <v>0</v>
      </c>
      <c r="AB117" s="233" t="s">
        <v>36</v>
      </c>
      <c r="AC117" s="228">
        <v>0</v>
      </c>
      <c r="AD117" s="230">
        <v>0</v>
      </c>
      <c r="AE117" s="230">
        <v>0</v>
      </c>
      <c r="AF117" s="234">
        <v>0</v>
      </c>
      <c r="AJ117" s="233" t="s">
        <v>36</v>
      </c>
      <c r="AK117" s="228">
        <v>0</v>
      </c>
      <c r="AL117" s="230">
        <v>0</v>
      </c>
      <c r="AM117" s="230">
        <v>0</v>
      </c>
      <c r="AN117" s="234">
        <v>0</v>
      </c>
      <c r="AP117" s="233" t="s">
        <v>36</v>
      </c>
      <c r="AQ117" s="228">
        <v>0</v>
      </c>
      <c r="AR117" s="230">
        <v>0</v>
      </c>
      <c r="AS117" s="230">
        <v>0</v>
      </c>
      <c r="AT117" s="234">
        <v>0</v>
      </c>
    </row>
    <row r="118" spans="2:46" x14ac:dyDescent="0.25">
      <c r="B118" s="233" t="s">
        <v>302</v>
      </c>
      <c r="C118" s="228">
        <v>31</v>
      </c>
      <c r="D118" s="230">
        <v>8</v>
      </c>
      <c r="E118" s="230">
        <v>35</v>
      </c>
      <c r="F118" s="234">
        <v>74</v>
      </c>
      <c r="H118" s="233" t="s">
        <v>302</v>
      </c>
      <c r="I118" s="228">
        <v>2875.1855718271609</v>
      </c>
      <c r="J118" s="230">
        <v>648.89823554201155</v>
      </c>
      <c r="K118" s="230">
        <v>6727.1449658797992</v>
      </c>
      <c r="L118" s="234">
        <v>10251.228773248971</v>
      </c>
      <c r="M118" s="230"/>
      <c r="N118" s="233" t="s">
        <v>302</v>
      </c>
      <c r="O118" s="228">
        <v>2875.1855718271609</v>
      </c>
      <c r="P118" s="230">
        <v>648.89823554201155</v>
      </c>
      <c r="Q118" s="230">
        <v>6727.1449658797992</v>
      </c>
      <c r="R118" s="234">
        <v>10251.228773248971</v>
      </c>
      <c r="V118" s="233" t="s">
        <v>302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302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302</v>
      </c>
      <c r="AK118" s="228">
        <v>0</v>
      </c>
      <c r="AL118" s="230">
        <v>0</v>
      </c>
      <c r="AM118" s="230">
        <v>2</v>
      </c>
      <c r="AN118" s="234">
        <v>2</v>
      </c>
      <c r="AP118" s="233" t="s">
        <v>302</v>
      </c>
      <c r="AQ118" s="228">
        <v>0</v>
      </c>
      <c r="AR118" s="230">
        <v>0</v>
      </c>
      <c r="AS118" s="230">
        <v>3190.5291649378601</v>
      </c>
      <c r="AT118" s="234">
        <v>3190.5291649378601</v>
      </c>
    </row>
    <row r="119" spans="2:46" x14ac:dyDescent="0.25">
      <c r="B119" s="233" t="s">
        <v>303</v>
      </c>
      <c r="C119" s="228">
        <v>3</v>
      </c>
      <c r="D119" s="230">
        <v>0</v>
      </c>
      <c r="E119" s="230">
        <v>3</v>
      </c>
      <c r="F119" s="234">
        <v>6</v>
      </c>
      <c r="H119" s="233" t="s">
        <v>303</v>
      </c>
      <c r="I119" s="228">
        <v>133.73836094489994</v>
      </c>
      <c r="J119" s="230">
        <v>0</v>
      </c>
      <c r="K119" s="230">
        <v>989.51717945966811</v>
      </c>
      <c r="L119" s="234">
        <v>1123.2555404045681</v>
      </c>
      <c r="M119" s="230"/>
      <c r="N119" s="233" t="s">
        <v>303</v>
      </c>
      <c r="O119" s="228">
        <v>133.73836094489994</v>
      </c>
      <c r="P119" s="230">
        <v>0</v>
      </c>
      <c r="Q119" s="230">
        <v>989.51717945966811</v>
      </c>
      <c r="R119" s="234">
        <v>1123.2555404045681</v>
      </c>
      <c r="V119" s="233" t="s">
        <v>303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303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303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303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310</v>
      </c>
      <c r="C120" s="228">
        <v>3</v>
      </c>
      <c r="D120" s="230">
        <v>0</v>
      </c>
      <c r="E120" s="230">
        <v>1</v>
      </c>
      <c r="F120" s="234">
        <v>4</v>
      </c>
      <c r="H120" s="233" t="s">
        <v>310</v>
      </c>
      <c r="I120" s="228">
        <v>91.467385450446614</v>
      </c>
      <c r="J120" s="230">
        <v>0</v>
      </c>
      <c r="K120" s="230">
        <v>42.042793364129501</v>
      </c>
      <c r="L120" s="234">
        <v>133.51017881457611</v>
      </c>
      <c r="M120" s="230"/>
      <c r="N120" s="233" t="s">
        <v>310</v>
      </c>
      <c r="O120" s="228">
        <v>91.467385450446614</v>
      </c>
      <c r="P120" s="230">
        <v>0</v>
      </c>
      <c r="Q120" s="230">
        <v>42.042793364129501</v>
      </c>
      <c r="R120" s="234">
        <v>133.51017881457611</v>
      </c>
      <c r="V120" s="233" t="s">
        <v>310</v>
      </c>
      <c r="W120" s="228">
        <v>0</v>
      </c>
      <c r="X120" s="230">
        <v>0</v>
      </c>
      <c r="Y120" s="230">
        <v>1</v>
      </c>
      <c r="Z120" s="234">
        <v>1</v>
      </c>
      <c r="AB120" s="233" t="s">
        <v>310</v>
      </c>
      <c r="AC120" s="228">
        <v>0</v>
      </c>
      <c r="AD120" s="230">
        <v>0</v>
      </c>
      <c r="AE120" s="230">
        <v>42.042793364129501</v>
      </c>
      <c r="AF120" s="234">
        <v>42.042793364129501</v>
      </c>
      <c r="AJ120" s="233" t="s">
        <v>310</v>
      </c>
      <c r="AK120" s="228">
        <v>1</v>
      </c>
      <c r="AL120" s="230">
        <v>0</v>
      </c>
      <c r="AM120" s="230">
        <v>1</v>
      </c>
      <c r="AN120" s="234">
        <v>2</v>
      </c>
      <c r="AP120" s="233" t="s">
        <v>310</v>
      </c>
      <c r="AQ120" s="228">
        <v>27.875554072699522</v>
      </c>
      <c r="AR120" s="230">
        <v>0</v>
      </c>
      <c r="AS120" s="230">
        <v>42.042793364129501</v>
      </c>
      <c r="AT120" s="234">
        <v>69.918347436829023</v>
      </c>
    </row>
    <row r="121" spans="2:46" x14ac:dyDescent="0.25">
      <c r="B121" s="233" t="s">
        <v>311</v>
      </c>
      <c r="C121" s="228">
        <v>1</v>
      </c>
      <c r="D121" s="230">
        <v>0</v>
      </c>
      <c r="E121" s="230">
        <v>2</v>
      </c>
      <c r="F121" s="234">
        <v>3</v>
      </c>
      <c r="H121" s="233" t="s">
        <v>311</v>
      </c>
      <c r="I121" s="228">
        <v>27.875554072699522</v>
      </c>
      <c r="J121" s="230">
        <v>0</v>
      </c>
      <c r="K121" s="230">
        <v>63.66562047281576</v>
      </c>
      <c r="L121" s="234">
        <v>91.541174545515275</v>
      </c>
      <c r="M121" s="230"/>
      <c r="N121" s="233" t="s">
        <v>311</v>
      </c>
      <c r="O121" s="228">
        <v>27.875554072699522</v>
      </c>
      <c r="P121" s="230">
        <v>0</v>
      </c>
      <c r="Q121" s="230">
        <v>63.66562047281576</v>
      </c>
      <c r="R121" s="234">
        <v>91.541174545515275</v>
      </c>
      <c r="V121" s="233" t="s">
        <v>311</v>
      </c>
      <c r="W121" s="228">
        <v>0</v>
      </c>
      <c r="X121" s="230">
        <v>0</v>
      </c>
      <c r="Y121" s="230">
        <v>2</v>
      </c>
      <c r="Z121" s="234">
        <v>2</v>
      </c>
      <c r="AB121" s="233" t="s">
        <v>311</v>
      </c>
      <c r="AC121" s="228">
        <v>0</v>
      </c>
      <c r="AD121" s="230">
        <v>0</v>
      </c>
      <c r="AE121" s="230">
        <v>63.66562047281576</v>
      </c>
      <c r="AF121" s="234">
        <v>63.66562047281576</v>
      </c>
      <c r="AJ121" s="233" t="s">
        <v>311</v>
      </c>
      <c r="AK121" s="228">
        <v>0</v>
      </c>
      <c r="AL121" s="230">
        <v>0</v>
      </c>
      <c r="AM121" s="230">
        <v>2</v>
      </c>
      <c r="AN121" s="234">
        <v>2</v>
      </c>
      <c r="AP121" s="233" t="s">
        <v>311</v>
      </c>
      <c r="AQ121" s="228">
        <v>0</v>
      </c>
      <c r="AR121" s="230">
        <v>0</v>
      </c>
      <c r="AS121" s="230">
        <v>63.66562047281576</v>
      </c>
      <c r="AT121" s="234">
        <v>63.66562047281576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v>244082.17582358335</v>
      </c>
      <c r="P122" s="238">
        <v>192296.5715506149</v>
      </c>
      <c r="Q122" s="238">
        <v>2187091.7585775158</v>
      </c>
      <c r="R122" s="239">
        <v>2623470.5059517138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290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290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290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290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290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290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290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291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291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291</v>
      </c>
      <c r="O126" s="242">
        <v>0</v>
      </c>
      <c r="P126" s="230">
        <v>9341.7566141809766</v>
      </c>
      <c r="Q126" s="230">
        <v>110308.9532098458</v>
      </c>
      <c r="R126" s="234">
        <v>121851.73545094366</v>
      </c>
      <c r="V126" s="233" t="s">
        <v>291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291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291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291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292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292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292</v>
      </c>
      <c r="O127" s="228">
        <v>727.77831043381684</v>
      </c>
      <c r="P127" s="230">
        <v>5659.2095319123518</v>
      </c>
      <c r="Q127" s="230">
        <v>61881.346768318064</v>
      </c>
      <c r="R127" s="234">
        <v>68268.334610664228</v>
      </c>
      <c r="V127" s="233" t="s">
        <v>292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292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292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292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293</v>
      </c>
      <c r="C128">
        <v>3</v>
      </c>
      <c r="D128">
        <v>6</v>
      </c>
      <c r="E128">
        <v>65</v>
      </c>
      <c r="F128" s="233">
        <v>74</v>
      </c>
      <c r="H128" s="233" t="s">
        <v>293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293</v>
      </c>
      <c r="O128">
        <v>126.91781016616298</v>
      </c>
      <c r="P128">
        <v>1202.4125434776774</v>
      </c>
      <c r="Q128">
        <v>26065.792610582241</v>
      </c>
      <c r="R128" s="233">
        <v>27395.122964226081</v>
      </c>
      <c r="V128" s="233" t="s">
        <v>293</v>
      </c>
      <c r="W128">
        <v>0</v>
      </c>
      <c r="X128">
        <v>0</v>
      </c>
      <c r="Y128">
        <v>4</v>
      </c>
      <c r="Z128" s="233">
        <v>4</v>
      </c>
      <c r="AB128" s="233" t="s">
        <v>293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293</v>
      </c>
      <c r="AK128">
        <v>0</v>
      </c>
      <c r="AL128">
        <v>0</v>
      </c>
      <c r="AM128">
        <v>11</v>
      </c>
      <c r="AN128" s="233">
        <v>11</v>
      </c>
      <c r="AP128" s="233" t="s">
        <v>293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294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294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294</v>
      </c>
      <c r="O131" s="232">
        <v>175.23263096928633</v>
      </c>
      <c r="P131" s="231">
        <v>1581.2441975566749</v>
      </c>
      <c r="Q131" s="231">
        <v>2803.2437764718129</v>
      </c>
      <c r="R131" s="235">
        <v>4559.720604997774</v>
      </c>
      <c r="V131" s="233" t="s">
        <v>294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294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294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294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317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317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317</v>
      </c>
      <c r="O132" s="228">
        <v>171.31969519622086</v>
      </c>
      <c r="P132" s="230">
        <v>158.54295600679615</v>
      </c>
      <c r="Q132" s="230">
        <v>78.152982667829463</v>
      </c>
      <c r="R132" s="234">
        <v>408.01563387084644</v>
      </c>
      <c r="V132" s="233" t="s">
        <v>317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317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317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317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295</v>
      </c>
      <c r="C133" s="228">
        <v>1</v>
      </c>
      <c r="D133" s="230">
        <v>1</v>
      </c>
      <c r="E133" s="230">
        <v>0</v>
      </c>
      <c r="F133" s="234">
        <v>2</v>
      </c>
      <c r="H133" s="233" t="s">
        <v>295</v>
      </c>
      <c r="I133" s="228">
        <v>32.948639398918985</v>
      </c>
      <c r="J133" s="230">
        <v>488.51655953653841</v>
      </c>
      <c r="K133" s="230">
        <v>0</v>
      </c>
      <c r="L133" s="234">
        <v>521.46519893545735</v>
      </c>
      <c r="N133" s="233" t="s">
        <v>295</v>
      </c>
      <c r="O133" s="228">
        <v>32.948639398918985</v>
      </c>
      <c r="P133" s="230">
        <v>488.51655953653841</v>
      </c>
      <c r="Q133" s="230">
        <v>0</v>
      </c>
      <c r="R133" s="234">
        <v>521.46519893545735</v>
      </c>
      <c r="V133" s="233" t="s">
        <v>295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295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295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295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296</v>
      </c>
      <c r="C134" s="228">
        <v>0</v>
      </c>
      <c r="D134" s="230">
        <v>0</v>
      </c>
      <c r="E134" s="230">
        <v>0</v>
      </c>
      <c r="F134" s="234">
        <v>0</v>
      </c>
      <c r="H134" s="233" t="s">
        <v>296</v>
      </c>
      <c r="I134" s="228">
        <v>0</v>
      </c>
      <c r="J134" s="230">
        <v>0</v>
      </c>
      <c r="K134" s="230">
        <v>0</v>
      </c>
      <c r="L134" s="234">
        <v>0</v>
      </c>
      <c r="N134" s="233" t="s">
        <v>296</v>
      </c>
      <c r="O134" s="228">
        <v>0</v>
      </c>
      <c r="P134" s="230">
        <v>0</v>
      </c>
      <c r="Q134" s="230">
        <v>0</v>
      </c>
      <c r="R134" s="234">
        <v>0</v>
      </c>
      <c r="V134" s="233" t="s">
        <v>296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296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296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296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297</v>
      </c>
      <c r="C135" s="228">
        <v>0</v>
      </c>
      <c r="D135" s="230">
        <v>0</v>
      </c>
      <c r="E135" s="230">
        <v>1</v>
      </c>
      <c r="F135" s="234">
        <v>1</v>
      </c>
      <c r="H135" s="233" t="s">
        <v>297</v>
      </c>
      <c r="I135" s="228">
        <v>0</v>
      </c>
      <c r="J135" s="230">
        <v>0</v>
      </c>
      <c r="K135" s="230">
        <v>101.24064925930634</v>
      </c>
      <c r="L135" s="234">
        <v>101.24064925930634</v>
      </c>
      <c r="M135" s="229"/>
      <c r="N135" s="233" t="s">
        <v>297</v>
      </c>
      <c r="O135" s="228">
        <v>0</v>
      </c>
      <c r="P135" s="230">
        <v>0</v>
      </c>
      <c r="Q135" s="230">
        <v>101.24064925930634</v>
      </c>
      <c r="R135" s="234">
        <v>101.24064925930634</v>
      </c>
      <c r="V135" s="233" t="s">
        <v>297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297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297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297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298</v>
      </c>
      <c r="C136" s="228">
        <v>0</v>
      </c>
      <c r="D136" s="230">
        <v>0</v>
      </c>
      <c r="E136" s="230">
        <v>0</v>
      </c>
      <c r="F136" s="234">
        <v>0</v>
      </c>
      <c r="H136" s="233" t="s">
        <v>298</v>
      </c>
      <c r="I136" s="228">
        <v>0</v>
      </c>
      <c r="J136" s="230">
        <v>0</v>
      </c>
      <c r="K136" s="230">
        <v>0</v>
      </c>
      <c r="L136" s="234">
        <v>0</v>
      </c>
      <c r="M136" s="230"/>
      <c r="N136" s="233" t="s">
        <v>298</v>
      </c>
      <c r="O136" s="228">
        <v>0</v>
      </c>
      <c r="P136" s="230">
        <v>0</v>
      </c>
      <c r="Q136" s="230">
        <v>0</v>
      </c>
      <c r="R136" s="234">
        <v>0</v>
      </c>
      <c r="V136" s="233" t="s">
        <v>298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298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298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298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318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318</v>
      </c>
      <c r="I137" s="228">
        <v>0</v>
      </c>
      <c r="J137" s="230">
        <v>0</v>
      </c>
      <c r="K137" s="230">
        <v>0</v>
      </c>
      <c r="L137" s="234">
        <v>0</v>
      </c>
      <c r="M137" s="230"/>
      <c r="N137" s="233" t="s">
        <v>318</v>
      </c>
      <c r="O137" s="228">
        <v>0</v>
      </c>
      <c r="P137" s="230">
        <v>0</v>
      </c>
      <c r="Q137" s="230">
        <v>0</v>
      </c>
      <c r="R137" s="234">
        <v>0</v>
      </c>
      <c r="V137" s="233" t="s">
        <v>318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318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318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318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299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299</v>
      </c>
      <c r="I138" s="228">
        <v>0</v>
      </c>
      <c r="J138" s="230">
        <v>0</v>
      </c>
      <c r="K138" s="230">
        <v>0</v>
      </c>
      <c r="L138" s="234">
        <v>0</v>
      </c>
      <c r="M138" s="230"/>
      <c r="N138" s="233" t="s">
        <v>299</v>
      </c>
      <c r="O138" s="228">
        <v>0</v>
      </c>
      <c r="P138" s="230">
        <v>0</v>
      </c>
      <c r="Q138" s="230">
        <v>0</v>
      </c>
      <c r="R138" s="234">
        <v>0</v>
      </c>
      <c r="V138" s="233" t="s">
        <v>299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299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299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299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300</v>
      </c>
      <c r="C139" s="228">
        <v>0</v>
      </c>
      <c r="D139" s="230">
        <v>0</v>
      </c>
      <c r="E139" s="230">
        <v>2</v>
      </c>
      <c r="F139" s="234">
        <v>2</v>
      </c>
      <c r="H139" s="233" t="s">
        <v>300</v>
      </c>
      <c r="I139" s="228">
        <v>0</v>
      </c>
      <c r="J139" s="230">
        <v>0</v>
      </c>
      <c r="K139" s="230">
        <v>1783.8439313692013</v>
      </c>
      <c r="L139" s="234">
        <v>1783.8439313692013</v>
      </c>
      <c r="M139" s="230"/>
      <c r="N139" s="233" t="s">
        <v>300</v>
      </c>
      <c r="O139" s="228">
        <v>0</v>
      </c>
      <c r="P139" s="230">
        <v>0</v>
      </c>
      <c r="Q139" s="230">
        <v>1783.8439313692013</v>
      </c>
      <c r="R139" s="234">
        <v>1783.8439313692013</v>
      </c>
      <c r="V139" s="233" t="s">
        <v>300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300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300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300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301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301</v>
      </c>
      <c r="I140" s="228">
        <v>0</v>
      </c>
      <c r="J140" s="230">
        <v>0</v>
      </c>
      <c r="K140" s="230">
        <v>0</v>
      </c>
      <c r="L140" s="234">
        <v>0</v>
      </c>
      <c r="M140" s="230"/>
      <c r="N140" s="233" t="s">
        <v>301</v>
      </c>
      <c r="O140" s="228">
        <v>0</v>
      </c>
      <c r="P140" s="230">
        <v>0</v>
      </c>
      <c r="Q140" s="230">
        <v>0</v>
      </c>
      <c r="R140" s="234">
        <v>0</v>
      </c>
      <c r="V140" s="233" t="s">
        <v>301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301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301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301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36</v>
      </c>
      <c r="C141" s="228">
        <v>0</v>
      </c>
      <c r="D141" s="230">
        <v>0</v>
      </c>
      <c r="E141" s="230">
        <v>1</v>
      </c>
      <c r="F141" s="234">
        <v>1</v>
      </c>
      <c r="H141" s="233" t="s">
        <v>36</v>
      </c>
      <c r="I141" s="228">
        <v>0</v>
      </c>
      <c r="J141" s="230">
        <v>0</v>
      </c>
      <c r="K141" s="230">
        <v>82.25609554882675</v>
      </c>
      <c r="L141" s="234">
        <v>82.25609554882675</v>
      </c>
      <c r="M141" s="230"/>
      <c r="N141" s="233" t="s">
        <v>36</v>
      </c>
      <c r="O141" s="228">
        <v>0</v>
      </c>
      <c r="P141" s="230">
        <v>0</v>
      </c>
      <c r="Q141" s="230">
        <v>82.25609554882675</v>
      </c>
      <c r="R141" s="234">
        <v>82.25609554882675</v>
      </c>
      <c r="V141" s="233" t="s">
        <v>36</v>
      </c>
      <c r="W141" s="228">
        <v>0</v>
      </c>
      <c r="X141" s="230">
        <v>0</v>
      </c>
      <c r="Y141" s="230">
        <v>1</v>
      </c>
      <c r="Z141" s="234">
        <v>1</v>
      </c>
      <c r="AB141" s="233" t="s">
        <v>36</v>
      </c>
      <c r="AC141" s="228">
        <v>0</v>
      </c>
      <c r="AD141" s="230">
        <v>0</v>
      </c>
      <c r="AE141" s="230">
        <v>82.25609554882675</v>
      </c>
      <c r="AF141" s="234">
        <v>82.25609554882675</v>
      </c>
      <c r="AJ141" s="233" t="s">
        <v>36</v>
      </c>
      <c r="AK141" s="228">
        <v>0</v>
      </c>
      <c r="AL141" s="230">
        <v>0</v>
      </c>
      <c r="AM141" s="230">
        <v>1</v>
      </c>
      <c r="AN141" s="234">
        <v>1</v>
      </c>
      <c r="AP141" s="233" t="s">
        <v>36</v>
      </c>
      <c r="AQ141" s="228">
        <v>0</v>
      </c>
      <c r="AR141" s="230">
        <v>0</v>
      </c>
      <c r="AS141" s="230">
        <v>82.25609554882675</v>
      </c>
      <c r="AT141" s="234">
        <v>82.25609554882675</v>
      </c>
    </row>
    <row r="142" spans="2:46" x14ac:dyDescent="0.25">
      <c r="B142" s="233" t="s">
        <v>302</v>
      </c>
      <c r="C142" s="228">
        <v>0</v>
      </c>
      <c r="D142" s="230">
        <v>4</v>
      </c>
      <c r="E142" s="230">
        <v>3</v>
      </c>
      <c r="F142" s="234">
        <v>7</v>
      </c>
      <c r="H142" s="233" t="s">
        <v>302</v>
      </c>
      <c r="I142" s="228">
        <v>0</v>
      </c>
      <c r="J142" s="230">
        <v>1854.3809722822045</v>
      </c>
      <c r="K142" s="230">
        <v>216.68422457084858</v>
      </c>
      <c r="L142" s="234">
        <v>2071.0651968530533</v>
      </c>
      <c r="M142" s="230"/>
      <c r="N142" s="233" t="s">
        <v>302</v>
      </c>
      <c r="O142" s="228">
        <v>0</v>
      </c>
      <c r="P142" s="230">
        <v>1854.3809722822045</v>
      </c>
      <c r="Q142" s="230">
        <v>216.68422457084858</v>
      </c>
      <c r="R142" s="234">
        <v>2071.0651968530533</v>
      </c>
      <c r="V142" s="233" t="s">
        <v>302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302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302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302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303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303</v>
      </c>
      <c r="I143" s="228">
        <v>0</v>
      </c>
      <c r="J143" s="230">
        <v>0</v>
      </c>
      <c r="K143" s="230">
        <v>134.60894610574448</v>
      </c>
      <c r="L143" s="234">
        <v>134.60894610574448</v>
      </c>
      <c r="M143" s="230"/>
      <c r="N143" s="233" t="s">
        <v>303</v>
      </c>
      <c r="O143" s="228">
        <v>0</v>
      </c>
      <c r="P143" s="230">
        <v>0</v>
      </c>
      <c r="Q143" s="230">
        <v>134.60894610574448</v>
      </c>
      <c r="R143" s="234">
        <v>134.60894610574448</v>
      </c>
      <c r="V143" s="233" t="s">
        <v>303</v>
      </c>
      <c r="W143" s="228">
        <v>0</v>
      </c>
      <c r="X143" s="230">
        <v>0</v>
      </c>
      <c r="Y143" s="230">
        <v>0</v>
      </c>
      <c r="Z143" s="234">
        <v>0</v>
      </c>
      <c r="AB143" s="233" t="s">
        <v>303</v>
      </c>
      <c r="AC143" s="228">
        <v>0</v>
      </c>
      <c r="AD143" s="230">
        <v>0</v>
      </c>
      <c r="AE143" s="230">
        <v>0</v>
      </c>
      <c r="AF143" s="234">
        <v>0</v>
      </c>
      <c r="AJ143" s="233" t="s">
        <v>303</v>
      </c>
      <c r="AK143" s="228">
        <v>0</v>
      </c>
      <c r="AL143" s="230">
        <v>0</v>
      </c>
      <c r="AM143" s="230">
        <v>0</v>
      </c>
      <c r="AN143" s="234">
        <v>0</v>
      </c>
      <c r="AP143" s="233" t="s">
        <v>303</v>
      </c>
      <c r="AQ143" s="228">
        <v>0</v>
      </c>
      <c r="AR143" s="230">
        <v>0</v>
      </c>
      <c r="AS143" s="230">
        <v>0</v>
      </c>
      <c r="AT143" s="234">
        <v>0</v>
      </c>
    </row>
    <row r="144" spans="2:46" x14ac:dyDescent="0.25">
      <c r="B144" s="233" t="s">
        <v>310</v>
      </c>
      <c r="C144" s="228">
        <v>0</v>
      </c>
      <c r="D144" s="230">
        <v>0</v>
      </c>
      <c r="E144" s="230">
        <v>0</v>
      </c>
      <c r="F144" s="234">
        <v>0</v>
      </c>
      <c r="H144" s="233" t="s">
        <v>310</v>
      </c>
      <c r="I144" s="228">
        <v>0</v>
      </c>
      <c r="J144" s="230">
        <v>0</v>
      </c>
      <c r="K144" s="230">
        <v>0</v>
      </c>
      <c r="L144" s="234">
        <v>0</v>
      </c>
      <c r="M144" s="230"/>
      <c r="N144" s="233" t="s">
        <v>310</v>
      </c>
      <c r="O144" s="228">
        <v>0</v>
      </c>
      <c r="P144" s="230">
        <v>0</v>
      </c>
      <c r="Q144" s="230">
        <v>0</v>
      </c>
      <c r="R144" s="234">
        <v>0</v>
      </c>
      <c r="V144" s="233" t="s">
        <v>310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310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310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310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311</v>
      </c>
      <c r="C145" s="228">
        <v>0</v>
      </c>
      <c r="D145" s="230">
        <v>0</v>
      </c>
      <c r="E145" s="230">
        <v>0</v>
      </c>
      <c r="F145" s="234">
        <v>0</v>
      </c>
      <c r="H145" s="233" t="s">
        <v>311</v>
      </c>
      <c r="I145" s="228">
        <v>0</v>
      </c>
      <c r="J145" s="230">
        <v>0</v>
      </c>
      <c r="K145" s="230">
        <v>0</v>
      </c>
      <c r="L145" s="234">
        <v>0</v>
      </c>
      <c r="M145" s="230"/>
      <c r="N145" s="233" t="s">
        <v>311</v>
      </c>
      <c r="O145" s="228">
        <v>0</v>
      </c>
      <c r="P145" s="230">
        <v>0</v>
      </c>
      <c r="Q145" s="230">
        <v>0</v>
      </c>
      <c r="R145" s="234">
        <v>0</v>
      </c>
      <c r="V145" s="233" t="s">
        <v>311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311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311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311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v>28874.565797035692</v>
      </c>
      <c r="P146" s="238">
        <v>38947.190861393101</v>
      </c>
      <c r="Q146" s="238">
        <v>288797.62933578214</v>
      </c>
      <c r="R146" s="239">
        <v>356619.38599421096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290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290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290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290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290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290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290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291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291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291</v>
      </c>
      <c r="O150" s="242">
        <v>0</v>
      </c>
      <c r="P150" s="230">
        <v>83.237282756700438</v>
      </c>
      <c r="Q150" s="230">
        <v>341.87404802104356</v>
      </c>
      <c r="R150" s="234">
        <v>450.20086145928053</v>
      </c>
      <c r="V150" s="233" t="s">
        <v>291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291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291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291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292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292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292</v>
      </c>
      <c r="O151" s="228">
        <v>671.99846428419482</v>
      </c>
      <c r="P151" s="230">
        <v>19612.091405753075</v>
      </c>
      <c r="Q151" s="230">
        <v>280571.64109590149</v>
      </c>
      <c r="R151" s="234">
        <v>300855.73096593877</v>
      </c>
      <c r="V151" s="233" t="s">
        <v>292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292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292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292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293</v>
      </c>
      <c r="C152">
        <v>9</v>
      </c>
      <c r="D152">
        <v>61</v>
      </c>
      <c r="E152">
        <v>321</v>
      </c>
      <c r="F152" s="233">
        <v>391</v>
      </c>
      <c r="H152" s="233" t="s">
        <v>293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293</v>
      </c>
      <c r="O152">
        <v>42385.494333131704</v>
      </c>
      <c r="P152">
        <v>36716.391828631953</v>
      </c>
      <c r="Q152">
        <v>435382.26596715499</v>
      </c>
      <c r="R152" s="233">
        <v>514484.15212891868</v>
      </c>
      <c r="V152" s="233" t="s">
        <v>293</v>
      </c>
      <c r="W152">
        <v>0</v>
      </c>
      <c r="X152">
        <v>0</v>
      </c>
      <c r="Y152">
        <v>48</v>
      </c>
      <c r="Z152" s="233">
        <v>48</v>
      </c>
      <c r="AB152" s="233" t="s">
        <v>293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293</v>
      </c>
      <c r="AK152">
        <v>0</v>
      </c>
      <c r="AL152">
        <v>4</v>
      </c>
      <c r="AM152">
        <v>71</v>
      </c>
      <c r="AN152" s="233">
        <v>75</v>
      </c>
      <c r="AP152" s="233" t="s">
        <v>293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294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294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294</v>
      </c>
      <c r="O155" s="232">
        <v>1008.3105736141882</v>
      </c>
      <c r="P155" s="231">
        <v>117.29408542471847</v>
      </c>
      <c r="Q155" s="231">
        <v>1442.1474938046831</v>
      </c>
      <c r="R155" s="235">
        <v>2567.75215284359</v>
      </c>
      <c r="V155" s="233" t="s">
        <v>294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294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294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294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317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317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317</v>
      </c>
      <c r="O156" s="228">
        <v>0</v>
      </c>
      <c r="P156" s="230">
        <v>0</v>
      </c>
      <c r="Q156" s="230">
        <v>150.6261271401259</v>
      </c>
      <c r="R156" s="234">
        <v>150.6261271401259</v>
      </c>
      <c r="V156" s="233" t="s">
        <v>317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317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317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317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295</v>
      </c>
      <c r="C157" s="228">
        <v>0</v>
      </c>
      <c r="D157" s="230">
        <v>2</v>
      </c>
      <c r="E157" s="230">
        <v>0</v>
      </c>
      <c r="F157" s="234">
        <v>2</v>
      </c>
      <c r="H157" s="233" t="s">
        <v>295</v>
      </c>
      <c r="I157" s="228">
        <v>0</v>
      </c>
      <c r="J157" s="230">
        <v>74.657418374461116</v>
      </c>
      <c r="K157" s="230">
        <v>0</v>
      </c>
      <c r="L157" s="234">
        <v>74.657418374461116</v>
      </c>
      <c r="N157" s="233" t="s">
        <v>295</v>
      </c>
      <c r="O157" s="228">
        <v>0</v>
      </c>
      <c r="P157" s="230">
        <v>74.657418374461116</v>
      </c>
      <c r="Q157" s="230">
        <v>0</v>
      </c>
      <c r="R157" s="234">
        <v>74.657418374461116</v>
      </c>
      <c r="V157" s="233" t="s">
        <v>295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295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295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295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296</v>
      </c>
      <c r="C158" s="228">
        <v>0</v>
      </c>
      <c r="D158" s="230">
        <v>2</v>
      </c>
      <c r="E158" s="230">
        <v>4</v>
      </c>
      <c r="F158" s="234">
        <v>6</v>
      </c>
      <c r="H158" s="233" t="s">
        <v>296</v>
      </c>
      <c r="I158" s="228">
        <v>0</v>
      </c>
      <c r="J158" s="230">
        <v>52.982940190977089</v>
      </c>
      <c r="K158" s="230">
        <v>214.36992435391559</v>
      </c>
      <c r="L158" s="234">
        <v>267.35286454489267</v>
      </c>
      <c r="N158" s="233" t="s">
        <v>296</v>
      </c>
      <c r="O158" s="228">
        <v>0</v>
      </c>
      <c r="P158" s="230">
        <v>52.982940190977089</v>
      </c>
      <c r="Q158" s="230">
        <v>214.36992435391559</v>
      </c>
      <c r="R158" s="234">
        <v>267.35286454489267</v>
      </c>
      <c r="V158" s="233" t="s">
        <v>296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296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296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296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297</v>
      </c>
      <c r="C159" s="228">
        <v>2</v>
      </c>
      <c r="D159" s="230">
        <v>0</v>
      </c>
      <c r="E159" s="230">
        <v>0</v>
      </c>
      <c r="F159" s="234">
        <v>2</v>
      </c>
      <c r="H159" s="233" t="s">
        <v>297</v>
      </c>
      <c r="I159" s="228">
        <v>445.89277123886825</v>
      </c>
      <c r="J159" s="230">
        <v>0</v>
      </c>
      <c r="K159" s="230">
        <v>0</v>
      </c>
      <c r="L159" s="234">
        <v>445.89277123886825</v>
      </c>
      <c r="N159" s="233" t="s">
        <v>297</v>
      </c>
      <c r="O159" s="228">
        <v>445.89277123886825</v>
      </c>
      <c r="P159" s="230">
        <v>0</v>
      </c>
      <c r="Q159" s="230">
        <v>0</v>
      </c>
      <c r="R159" s="234">
        <v>445.89277123886825</v>
      </c>
      <c r="V159" s="233" t="s">
        <v>297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297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297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297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298</v>
      </c>
      <c r="C160" s="228">
        <v>0</v>
      </c>
      <c r="D160" s="230">
        <v>0</v>
      </c>
      <c r="E160" s="230">
        <v>2</v>
      </c>
      <c r="F160" s="234">
        <v>2</v>
      </c>
      <c r="H160" s="233" t="s">
        <v>298</v>
      </c>
      <c r="I160" s="228">
        <v>0</v>
      </c>
      <c r="J160" s="230">
        <v>0</v>
      </c>
      <c r="K160" s="230">
        <v>341.24470372703001</v>
      </c>
      <c r="L160" s="234">
        <v>341.24470372703001</v>
      </c>
      <c r="M160" s="229"/>
      <c r="N160" s="233" t="s">
        <v>298</v>
      </c>
      <c r="O160" s="228">
        <v>0</v>
      </c>
      <c r="P160" s="230">
        <v>0</v>
      </c>
      <c r="Q160" s="230">
        <v>341.24470372703001</v>
      </c>
      <c r="R160" s="234">
        <v>341.24470372703001</v>
      </c>
      <c r="V160" s="233" t="s">
        <v>298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298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298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298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318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318</v>
      </c>
      <c r="I161" s="228">
        <v>0</v>
      </c>
      <c r="J161" s="230">
        <v>0</v>
      </c>
      <c r="K161" s="230">
        <v>67.300434179605105</v>
      </c>
      <c r="L161" s="234">
        <v>67.300434179605105</v>
      </c>
      <c r="M161" s="230"/>
      <c r="N161" s="233" t="s">
        <v>318</v>
      </c>
      <c r="O161" s="228">
        <v>0</v>
      </c>
      <c r="P161" s="230">
        <v>0</v>
      </c>
      <c r="Q161" s="230">
        <v>67.300434179605105</v>
      </c>
      <c r="R161" s="234">
        <v>67.300434179605105</v>
      </c>
      <c r="V161" s="233" t="s">
        <v>318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318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318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318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299</v>
      </c>
      <c r="C162" s="228">
        <v>0</v>
      </c>
      <c r="D162" s="230">
        <v>0</v>
      </c>
      <c r="E162" s="230">
        <v>0</v>
      </c>
      <c r="F162" s="234">
        <v>0</v>
      </c>
      <c r="H162" s="233" t="s">
        <v>299</v>
      </c>
      <c r="I162" s="228">
        <v>0</v>
      </c>
      <c r="J162" s="230">
        <v>0</v>
      </c>
      <c r="K162" s="230">
        <v>0</v>
      </c>
      <c r="L162" s="234">
        <v>0</v>
      </c>
      <c r="M162" s="230"/>
      <c r="N162" s="233" t="s">
        <v>299</v>
      </c>
      <c r="O162" s="228">
        <v>0</v>
      </c>
      <c r="P162" s="230">
        <v>0</v>
      </c>
      <c r="Q162" s="230">
        <v>0</v>
      </c>
      <c r="R162" s="234">
        <v>0</v>
      </c>
      <c r="V162" s="233" t="s">
        <v>299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299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299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299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300</v>
      </c>
      <c r="C163" s="228">
        <v>0</v>
      </c>
      <c r="D163" s="230">
        <v>0</v>
      </c>
      <c r="E163" s="230">
        <v>2</v>
      </c>
      <c r="F163" s="234">
        <v>2</v>
      </c>
      <c r="H163" s="233" t="s">
        <v>300</v>
      </c>
      <c r="I163" s="228">
        <v>0</v>
      </c>
      <c r="J163" s="230">
        <v>0</v>
      </c>
      <c r="K163" s="230">
        <v>1296.0643556873949</v>
      </c>
      <c r="L163" s="234">
        <v>1296.0643556873949</v>
      </c>
      <c r="M163" s="230"/>
      <c r="N163" s="233" t="s">
        <v>300</v>
      </c>
      <c r="O163" s="228">
        <v>0</v>
      </c>
      <c r="P163" s="230">
        <v>0</v>
      </c>
      <c r="Q163" s="230">
        <v>1296.0643556873949</v>
      </c>
      <c r="R163" s="234">
        <v>1296.0643556873949</v>
      </c>
      <c r="V163" s="233" t="s">
        <v>300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300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300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300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301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301</v>
      </c>
      <c r="I164" s="228">
        <v>0</v>
      </c>
      <c r="J164" s="230">
        <v>0</v>
      </c>
      <c r="K164" s="230">
        <v>0</v>
      </c>
      <c r="L164" s="234">
        <v>0</v>
      </c>
      <c r="M164" s="230"/>
      <c r="N164" s="233" t="s">
        <v>301</v>
      </c>
      <c r="O164" s="228">
        <v>0</v>
      </c>
      <c r="P164" s="230">
        <v>0</v>
      </c>
      <c r="Q164" s="230">
        <v>0</v>
      </c>
      <c r="R164" s="234">
        <v>0</v>
      </c>
      <c r="V164" s="233" t="s">
        <v>301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301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301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301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36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36</v>
      </c>
      <c r="I165" s="228">
        <v>0</v>
      </c>
      <c r="J165" s="230">
        <v>0</v>
      </c>
      <c r="K165" s="230">
        <v>639.26927822680489</v>
      </c>
      <c r="L165" s="234">
        <v>639.26927822680489</v>
      </c>
      <c r="M165" s="230"/>
      <c r="N165" s="233" t="s">
        <v>36</v>
      </c>
      <c r="O165" s="228">
        <v>0</v>
      </c>
      <c r="P165" s="230">
        <v>0</v>
      </c>
      <c r="Q165" s="230">
        <v>639.26927822680489</v>
      </c>
      <c r="R165" s="234">
        <v>639.26927822680489</v>
      </c>
      <c r="V165" s="233" t="s">
        <v>36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36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36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36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302</v>
      </c>
      <c r="C166" s="228">
        <v>6</v>
      </c>
      <c r="D166" s="230">
        <v>5</v>
      </c>
      <c r="E166" s="230">
        <v>6</v>
      </c>
      <c r="F166" s="234">
        <v>17</v>
      </c>
      <c r="H166" s="233" t="s">
        <v>302</v>
      </c>
      <c r="I166" s="228">
        <v>1795.1151372029492</v>
      </c>
      <c r="J166" s="230">
        <v>859.59790559907447</v>
      </c>
      <c r="K166" s="230">
        <v>4449.4985508222562</v>
      </c>
      <c r="L166" s="234">
        <v>7104.2115936242799</v>
      </c>
      <c r="M166" s="230"/>
      <c r="N166" s="233" t="s">
        <v>302</v>
      </c>
      <c r="O166" s="228">
        <v>1795.1151372029492</v>
      </c>
      <c r="P166" s="230">
        <v>859.59790559907447</v>
      </c>
      <c r="Q166" s="230">
        <v>4449.4985508222562</v>
      </c>
      <c r="R166" s="234">
        <v>7104.2115936242799</v>
      </c>
      <c r="V166" s="233" t="s">
        <v>302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302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302</v>
      </c>
      <c r="AK166" s="228">
        <v>0</v>
      </c>
      <c r="AL166" s="230">
        <v>0</v>
      </c>
      <c r="AM166" s="230">
        <v>2</v>
      </c>
      <c r="AN166" s="234">
        <v>2</v>
      </c>
      <c r="AP166" s="233" t="s">
        <v>302</v>
      </c>
      <c r="AQ166" s="228">
        <v>0</v>
      </c>
      <c r="AR166" s="230">
        <v>0</v>
      </c>
      <c r="AS166" s="230">
        <v>113.85620769512227</v>
      </c>
      <c r="AT166" s="234">
        <v>113.85620769512227</v>
      </c>
    </row>
    <row r="167" spans="2:46" x14ac:dyDescent="0.25">
      <c r="B167" s="233" t="s">
        <v>303</v>
      </c>
      <c r="C167" s="228">
        <v>0</v>
      </c>
      <c r="D167" s="230">
        <v>0</v>
      </c>
      <c r="E167" s="230">
        <v>0</v>
      </c>
      <c r="F167" s="234">
        <v>0</v>
      </c>
      <c r="H167" s="233" t="s">
        <v>303</v>
      </c>
      <c r="I167" s="228">
        <v>0</v>
      </c>
      <c r="J167" s="230">
        <v>0</v>
      </c>
      <c r="K167" s="230">
        <v>0</v>
      </c>
      <c r="L167" s="234">
        <v>0</v>
      </c>
      <c r="M167" s="230"/>
      <c r="N167" s="233" t="s">
        <v>303</v>
      </c>
      <c r="O167" s="228">
        <v>0</v>
      </c>
      <c r="P167" s="230">
        <v>0</v>
      </c>
      <c r="Q167" s="230">
        <v>0</v>
      </c>
      <c r="R167" s="234">
        <v>0</v>
      </c>
      <c r="V167" s="233" t="s">
        <v>303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303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303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303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310</v>
      </c>
      <c r="C168" s="228">
        <v>0</v>
      </c>
      <c r="D168" s="230">
        <v>0</v>
      </c>
      <c r="E168" s="230">
        <v>0</v>
      </c>
      <c r="F168" s="234">
        <v>0</v>
      </c>
      <c r="H168" s="233" t="s">
        <v>310</v>
      </c>
      <c r="I168" s="228">
        <v>0</v>
      </c>
      <c r="J168" s="230">
        <v>0</v>
      </c>
      <c r="K168" s="230">
        <v>0</v>
      </c>
      <c r="L168" s="234">
        <v>0</v>
      </c>
      <c r="M168" s="230"/>
      <c r="N168" s="233" t="s">
        <v>310</v>
      </c>
      <c r="O168" s="228">
        <v>0</v>
      </c>
      <c r="P168" s="230">
        <v>0</v>
      </c>
      <c r="Q168" s="230">
        <v>0</v>
      </c>
      <c r="R168" s="234">
        <v>0</v>
      </c>
      <c r="V168" s="233" t="s">
        <v>310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310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310</v>
      </c>
      <c r="AK168" s="228">
        <v>0</v>
      </c>
      <c r="AL168" s="230">
        <v>0</v>
      </c>
      <c r="AM168" s="230">
        <v>0</v>
      </c>
      <c r="AN168" s="234">
        <v>0</v>
      </c>
      <c r="AP168" s="233" t="s">
        <v>310</v>
      </c>
      <c r="AQ168" s="228">
        <v>0</v>
      </c>
      <c r="AR168" s="230">
        <v>0</v>
      </c>
      <c r="AS168" s="230">
        <v>0</v>
      </c>
      <c r="AT168" s="234">
        <v>0</v>
      </c>
    </row>
    <row r="169" spans="2:46" x14ac:dyDescent="0.25">
      <c r="B169" s="233" t="s">
        <v>311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311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311</v>
      </c>
      <c r="O169" s="228">
        <v>0</v>
      </c>
      <c r="P169" s="230">
        <v>0</v>
      </c>
      <c r="Q169" s="230">
        <v>0</v>
      </c>
      <c r="R169" s="234">
        <v>0</v>
      </c>
      <c r="V169" s="233" t="s">
        <v>311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311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311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311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v>56113.598400846851</v>
      </c>
      <c r="P170" s="238">
        <v>70480.188474183757</v>
      </c>
      <c r="Q170" s="238">
        <v>857343.76324570621</v>
      </c>
      <c r="R170" s="239">
        <v>983937.55012073682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9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targets</vt:lpstr>
      <vt:lpstr>modeldata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2026-09-22T22:46:56Z</dcterms:modified>
</cp:coreProperties>
</file>