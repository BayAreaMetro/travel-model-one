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travel-model-one-tm1.7_calibration\utilities\calibration\workbook_templates\"/>
    </mc:Choice>
  </mc:AlternateContent>
  <xr:revisionPtr revIDLastSave="0" documentId="13_ncr:1_{B2F1795A-B00B-4A4D-B4B6-5A96D9418CD2}" xr6:coauthVersionLast="47" xr6:coauthVersionMax="47" xr10:uidLastSave="{00000000-0000-0000-0000-000000000000}"/>
  <bookViews>
    <workbookView xWindow="-28920" yWindow="-120" windowWidth="29040" windowHeight="15720" activeTab="1" xr2:uid="{1191E293-BD99-4EAF-97FD-32238A032A8E}"/>
  </bookViews>
  <sheets>
    <sheet name="calibration" sheetId="2" r:id="rId1"/>
    <sheet name="constants" sheetId="4" r:id="rId2"/>
    <sheet name="modeldata" sheetId="1" r:id="rId3"/>
    <sheet name="BATS 202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8" i="4" l="1"/>
  <c r="S9" i="4"/>
  <c r="T9" i="4"/>
  <c r="U9" i="4"/>
  <c r="V9" i="4"/>
  <c r="S10" i="4"/>
  <c r="W10" i="4"/>
  <c r="AA10" i="4"/>
  <c r="AE10" i="4"/>
  <c r="S11" i="4"/>
  <c r="T11" i="4"/>
  <c r="W11" i="4"/>
  <c r="S12" i="4"/>
  <c r="T12" i="4"/>
  <c r="U12" i="4"/>
  <c r="V12" i="4"/>
  <c r="S13" i="4"/>
  <c r="W13" i="4"/>
  <c r="AA13" i="4"/>
  <c r="AE13" i="4"/>
  <c r="S14" i="4"/>
  <c r="T14" i="4"/>
  <c r="W14" i="4"/>
  <c r="S15" i="4"/>
  <c r="T15" i="4"/>
  <c r="U15" i="4"/>
  <c r="V15" i="4"/>
  <c r="S16" i="4"/>
  <c r="W16" i="4"/>
  <c r="AA16" i="4"/>
  <c r="AE16" i="4"/>
  <c r="S17" i="4"/>
  <c r="T17" i="4"/>
  <c r="W17" i="4"/>
  <c r="S18" i="4"/>
  <c r="T18" i="4"/>
  <c r="U18" i="4"/>
  <c r="V18" i="4"/>
  <c r="S19" i="4"/>
  <c r="W19" i="4"/>
  <c r="AA19" i="4"/>
  <c r="AE19" i="4"/>
  <c r="S20" i="4"/>
  <c r="T20" i="4"/>
  <c r="W20" i="4"/>
  <c r="S21" i="4"/>
  <c r="T21" i="4"/>
  <c r="U21" i="4"/>
  <c r="V21" i="4"/>
  <c r="S22" i="4"/>
  <c r="W22" i="4"/>
  <c r="AA22" i="4"/>
  <c r="AE22" i="4"/>
  <c r="S23" i="4"/>
  <c r="T23" i="4"/>
  <c r="W23" i="4"/>
  <c r="S24" i="4"/>
  <c r="T24" i="4"/>
  <c r="U24" i="4"/>
  <c r="V24" i="4"/>
  <c r="S25" i="4"/>
  <c r="W25" i="4"/>
  <c r="AA25" i="4"/>
  <c r="AE25" i="4"/>
  <c r="S26" i="4"/>
  <c r="T26" i="4"/>
  <c r="W26" i="4"/>
  <c r="S27" i="4"/>
  <c r="T27" i="4"/>
  <c r="U27" i="4"/>
  <c r="V27" i="4"/>
  <c r="S28" i="4"/>
  <c r="W28" i="4"/>
  <c r="AA28" i="4"/>
  <c r="AE28" i="4"/>
  <c r="S29" i="4"/>
  <c r="T29" i="4"/>
  <c r="W29" i="4"/>
  <c r="S30" i="4"/>
  <c r="T30" i="4"/>
  <c r="U30" i="4"/>
  <c r="V30" i="4"/>
  <c r="S31" i="4"/>
  <c r="W31" i="4"/>
  <c r="AA31" i="4"/>
  <c r="AE31" i="4"/>
  <c r="S32" i="4"/>
  <c r="T32" i="4"/>
  <c r="W32" i="4"/>
  <c r="S33" i="4"/>
  <c r="T33" i="4"/>
  <c r="U33" i="4"/>
  <c r="V33" i="4"/>
  <c r="S34" i="4"/>
  <c r="W34" i="4"/>
  <c r="AA34" i="4"/>
  <c r="AE34" i="4"/>
  <c r="S35" i="4"/>
  <c r="T35" i="4"/>
  <c r="W35" i="4"/>
  <c r="S36" i="4"/>
  <c r="T36" i="4"/>
  <c r="U36" i="4"/>
  <c r="V36" i="4"/>
  <c r="S37" i="4"/>
  <c r="W37" i="4"/>
  <c r="AA37" i="4"/>
  <c r="AE37" i="4"/>
  <c r="S38" i="4"/>
  <c r="T38" i="4"/>
  <c r="W38" i="4"/>
  <c r="T6" i="4"/>
  <c r="U6" i="4"/>
  <c r="V6" i="4"/>
  <c r="W7" i="4"/>
  <c r="AA7" i="4"/>
  <c r="AE7" i="4"/>
  <c r="T8" i="4"/>
  <c r="W8" i="4"/>
  <c r="S7" i="4"/>
  <c r="S6" i="4"/>
  <c r="C64" i="2" a="1"/>
  <c r="C61" i="2" a="1"/>
  <c r="D61" i="2" a="1"/>
  <c r="E61" i="2" a="1"/>
  <c r="F61" i="2" a="1"/>
  <c r="G61" i="2" a="1"/>
  <c r="H61" i="2" a="1"/>
  <c r="I61" i="2" a="1"/>
  <c r="J61" i="2" a="1"/>
  <c r="K61" i="2" a="1"/>
  <c r="L61" i="2" a="1"/>
  <c r="M61" i="2" a="1"/>
  <c r="C62" i="2" a="1"/>
  <c r="D62" i="2" a="1"/>
  <c r="E62" i="2" a="1"/>
  <c r="F62" i="2" a="1"/>
  <c r="G62" i="2" a="1"/>
  <c r="H62" i="2" a="1"/>
  <c r="I62" i="2" a="1"/>
  <c r="J62" i="2" a="1"/>
  <c r="K62" i="2" a="1"/>
  <c r="L62" i="2" a="1"/>
  <c r="M62" i="2" a="1"/>
  <c r="C63" i="2" a="1"/>
  <c r="D63" i="2" a="1"/>
  <c r="E63" i="2" a="1"/>
  <c r="F63" i="2" a="1"/>
  <c r="G63" i="2" a="1"/>
  <c r="H63" i="2" a="1"/>
  <c r="I63" i="2" a="1"/>
  <c r="J63" i="2" a="1"/>
  <c r="K63" i="2" a="1"/>
  <c r="L63" i="2" a="1"/>
  <c r="M63" i="2" a="1"/>
  <c r="D64" i="2" a="1"/>
  <c r="E64" i="2" a="1"/>
  <c r="F64" i="2" a="1"/>
  <c r="G64" i="2" a="1"/>
  <c r="H64" i="2" a="1"/>
  <c r="I64" i="2" a="1"/>
  <c r="J64" i="2" a="1"/>
  <c r="K64" i="2" a="1"/>
  <c r="L64" i="2" a="1"/>
  <c r="M64" i="2" a="1"/>
  <c r="C65" i="2" a="1"/>
  <c r="D65" i="2" a="1"/>
  <c r="E65" i="2" a="1"/>
  <c r="F65" i="2" a="1"/>
  <c r="G65" i="2" a="1"/>
  <c r="H65" i="2" a="1"/>
  <c r="I65" i="2" a="1"/>
  <c r="J65" i="2" a="1"/>
  <c r="K65" i="2" a="1"/>
  <c r="L65" i="2" a="1"/>
  <c r="M65" i="2" a="1"/>
  <c r="C66" i="2" a="1"/>
  <c r="D66" i="2" a="1"/>
  <c r="E66" i="2" a="1"/>
  <c r="F66" i="2" a="1"/>
  <c r="G66" i="2" a="1"/>
  <c r="H66" i="2" a="1"/>
  <c r="I66" i="2" a="1"/>
  <c r="J66" i="2" a="1"/>
  <c r="K66" i="2" a="1"/>
  <c r="L66" i="2" a="1"/>
  <c r="M66" i="2" a="1"/>
  <c r="D60" i="2" a="1"/>
  <c r="E60" i="2" a="1"/>
  <c r="F60" i="2" a="1"/>
  <c r="G60" i="2" a="1"/>
  <c r="H60" i="2" a="1"/>
  <c r="I60" i="2" a="1"/>
  <c r="J60" i="2" a="1"/>
  <c r="K60" i="2" a="1"/>
  <c r="L60" i="2" a="1"/>
  <c r="M60" i="2" a="1"/>
  <c r="C60" i="2" a="1"/>
  <c r="C57" i="2" a="1"/>
  <c r="D57" i="2" a="1"/>
  <c r="E57" i="2" a="1"/>
  <c r="F57" i="2" a="1"/>
  <c r="G57" i="2" a="1"/>
  <c r="H57" i="2" a="1"/>
  <c r="I57" i="2" a="1"/>
  <c r="J57" i="2" a="1"/>
  <c r="K57" i="2" a="1"/>
  <c r="L57" i="2" a="1"/>
  <c r="M57" i="2" a="1"/>
  <c r="C58" i="2" a="1"/>
  <c r="D58" i="2" a="1"/>
  <c r="E58" i="2" a="1"/>
  <c r="F58" i="2" a="1"/>
  <c r="G58" i="2" a="1"/>
  <c r="H58" i="2" a="1"/>
  <c r="I58" i="2" a="1"/>
  <c r="J58" i="2" a="1"/>
  <c r="K58" i="2" a="1"/>
  <c r="L58" i="2" a="1"/>
  <c r="M58" i="2" a="1"/>
  <c r="C59" i="2" a="1"/>
  <c r="D59" i="2" a="1"/>
  <c r="E59" i="2" a="1"/>
  <c r="F59" i="2" a="1"/>
  <c r="G59" i="2" a="1"/>
  <c r="H59" i="2" a="1"/>
  <c r="I59" i="2" a="1"/>
  <c r="J59" i="2" a="1"/>
  <c r="K59" i="2" a="1"/>
  <c r="L59" i="2" a="1"/>
  <c r="M59" i="2" a="1"/>
  <c r="D56" i="2" a="1"/>
  <c r="E56" i="2" a="1"/>
  <c r="F56" i="2" a="1"/>
  <c r="G56" i="2" a="1"/>
  <c r="H56" i="2" a="1"/>
  <c r="I56" i="2" a="1"/>
  <c r="J56" i="2" a="1"/>
  <c r="K56" i="2" a="1"/>
  <c r="L56" i="2" a="1"/>
  <c r="M56" i="2" a="1"/>
  <c r="C56" i="2" a="1"/>
  <c r="C53" i="2" a="1"/>
  <c r="D53" i="2" a="1"/>
  <c r="E53" i="2" a="1"/>
  <c r="F53" i="2" a="1"/>
  <c r="G53" i="2" a="1"/>
  <c r="H53" i="2" a="1"/>
  <c r="I53" i="2" a="1"/>
  <c r="J53" i="2" a="1"/>
  <c r="K53" i="2" a="1"/>
  <c r="L53" i="2" a="1"/>
  <c r="M53" i="2" a="1"/>
  <c r="C54" i="2" a="1"/>
  <c r="D54" i="2" a="1"/>
  <c r="E54" i="2" a="1"/>
  <c r="F54" i="2" a="1"/>
  <c r="G54" i="2" a="1"/>
  <c r="H54" i="2" a="1"/>
  <c r="I54" i="2" a="1"/>
  <c r="J54" i="2" a="1"/>
  <c r="K54" i="2" a="1"/>
  <c r="L54" i="2" a="1"/>
  <c r="M54" i="2" a="1"/>
  <c r="C55" i="2" a="1"/>
  <c r="D55" i="2" a="1"/>
  <c r="E55" i="2" a="1"/>
  <c r="F55" i="2" a="1"/>
  <c r="G55" i="2" a="1"/>
  <c r="H55" i="2" a="1"/>
  <c r="I55" i="2" a="1"/>
  <c r="J55" i="2" a="1"/>
  <c r="K55" i="2" a="1"/>
  <c r="L55" i="2" a="1"/>
  <c r="M55" i="2" a="1"/>
  <c r="D52" i="2" a="1"/>
  <c r="E52" i="2" a="1"/>
  <c r="F52" i="2" a="1"/>
  <c r="G52" i="2" a="1"/>
  <c r="H52" i="2" a="1"/>
  <c r="I52" i="2" a="1"/>
  <c r="J52" i="2" a="1"/>
  <c r="K52" i="2" a="1"/>
  <c r="L52" i="2" a="1"/>
  <c r="M52" i="2" a="1"/>
  <c r="C52" i="2" a="1"/>
  <c r="Q16" i="2"/>
  <c r="R16" i="2"/>
  <c r="S16" i="2"/>
  <c r="T16" i="2"/>
  <c r="U16" i="2"/>
  <c r="V16" i="2"/>
  <c r="W16" i="2"/>
  <c r="X16" i="2"/>
  <c r="Y16" i="2"/>
  <c r="Z16" i="2"/>
  <c r="Q17" i="2"/>
  <c r="R17" i="2"/>
  <c r="S17" i="2"/>
  <c r="T17" i="2"/>
  <c r="U17" i="2"/>
  <c r="V17" i="2"/>
  <c r="W17" i="2"/>
  <c r="X17" i="2"/>
  <c r="Y17" i="2"/>
  <c r="Z17" i="2"/>
  <c r="Q18" i="2"/>
  <c r="R18" i="2"/>
  <c r="S18" i="2"/>
  <c r="T18" i="2"/>
  <c r="U18" i="2"/>
  <c r="V18" i="2"/>
  <c r="W18" i="2"/>
  <c r="X18" i="2"/>
  <c r="Y18" i="2"/>
  <c r="Z18" i="2"/>
  <c r="Q19" i="2"/>
  <c r="R19" i="2"/>
  <c r="S19" i="2"/>
  <c r="T19" i="2"/>
  <c r="U19" i="2"/>
  <c r="V19" i="2"/>
  <c r="W19" i="2"/>
  <c r="X19" i="2"/>
  <c r="Y19" i="2"/>
  <c r="Z19" i="2"/>
  <c r="Q20" i="2"/>
  <c r="R20" i="2"/>
  <c r="S20" i="2"/>
  <c r="T20" i="2"/>
  <c r="U20" i="2"/>
  <c r="V20" i="2"/>
  <c r="W20" i="2"/>
  <c r="X20" i="2"/>
  <c r="Y20" i="2"/>
  <c r="Z20" i="2"/>
  <c r="Q21" i="2"/>
  <c r="R21" i="2"/>
  <c r="S21" i="2"/>
  <c r="T21" i="2"/>
  <c r="U21" i="2"/>
  <c r="V21" i="2"/>
  <c r="W21" i="2"/>
  <c r="X21" i="2"/>
  <c r="Y21" i="2"/>
  <c r="Z21" i="2"/>
  <c r="Q22" i="2"/>
  <c r="R22" i="2"/>
  <c r="S22" i="2"/>
  <c r="T22" i="2"/>
  <c r="U22" i="2"/>
  <c r="V22" i="2"/>
  <c r="W22" i="2"/>
  <c r="X22" i="2"/>
  <c r="Y22" i="2"/>
  <c r="Z22" i="2"/>
  <c r="P22" i="2"/>
  <c r="P21" i="2"/>
  <c r="P20" i="2"/>
  <c r="P19" i="2"/>
  <c r="P18" i="2"/>
  <c r="P17" i="2"/>
  <c r="P16" i="2"/>
  <c r="Q10" i="2"/>
  <c r="R10" i="2"/>
  <c r="S10" i="2"/>
  <c r="T10" i="2"/>
  <c r="U10" i="2"/>
  <c r="V10" i="2"/>
  <c r="W10" i="2"/>
  <c r="X10" i="2"/>
  <c r="Y10" i="2"/>
  <c r="Z10" i="2"/>
  <c r="Q11" i="2"/>
  <c r="R11" i="2"/>
  <c r="S11" i="2"/>
  <c r="T11" i="2"/>
  <c r="U11" i="2"/>
  <c r="V11" i="2"/>
  <c r="W11" i="2"/>
  <c r="X11" i="2"/>
  <c r="Y11" i="2"/>
  <c r="Z11" i="2"/>
  <c r="Q12" i="2"/>
  <c r="R12" i="2"/>
  <c r="S12" i="2"/>
  <c r="T12" i="2"/>
  <c r="U12" i="2"/>
  <c r="V12" i="2"/>
  <c r="W12" i="2"/>
  <c r="X12" i="2"/>
  <c r="Y12" i="2"/>
  <c r="Z12" i="2"/>
  <c r="Q13" i="2"/>
  <c r="R13" i="2"/>
  <c r="S13" i="2"/>
  <c r="T13" i="2"/>
  <c r="U13" i="2"/>
  <c r="V13" i="2"/>
  <c r="W13" i="2"/>
  <c r="X13" i="2"/>
  <c r="Y13" i="2"/>
  <c r="Z13" i="2"/>
  <c r="P11" i="2"/>
  <c r="P12" i="2"/>
  <c r="P13" i="2"/>
  <c r="P10" i="2"/>
  <c r="Q7" i="2"/>
  <c r="R7" i="2"/>
  <c r="S7" i="2"/>
  <c r="T7" i="2"/>
  <c r="U7" i="2"/>
  <c r="V7" i="2"/>
  <c r="W7" i="2"/>
  <c r="X7" i="2"/>
  <c r="Y7" i="2"/>
  <c r="Z7" i="2"/>
  <c r="P7" i="2"/>
  <c r="Q6" i="2"/>
  <c r="R6" i="2"/>
  <c r="S6" i="2"/>
  <c r="T6" i="2"/>
  <c r="U6" i="2"/>
  <c r="V6" i="2"/>
  <c r="W6" i="2"/>
  <c r="X6" i="2"/>
  <c r="Y6" i="2"/>
  <c r="Z6" i="2"/>
  <c r="P6" i="2"/>
  <c r="Q5" i="2"/>
  <c r="R5" i="2"/>
  <c r="S5" i="2"/>
  <c r="T5" i="2"/>
  <c r="U5" i="2"/>
  <c r="V5" i="2"/>
  <c r="W5" i="2"/>
  <c r="X5" i="2"/>
  <c r="Y5" i="2"/>
  <c r="Z5" i="2"/>
  <c r="P5" i="2"/>
  <c r="Q4" i="2"/>
  <c r="R4" i="2"/>
  <c r="S4" i="2"/>
  <c r="T4" i="2"/>
  <c r="U4" i="2"/>
  <c r="V4" i="2"/>
  <c r="W4" i="2"/>
  <c r="X4" i="2"/>
  <c r="Y4" i="2"/>
  <c r="Z4" i="2"/>
  <c r="P4" i="2"/>
  <c r="Q11" i="3" l="1"/>
  <c r="R4" i="3"/>
  <c r="D16" i="2" s="1"/>
  <c r="S4" i="3"/>
  <c r="E16" i="2" s="1"/>
  <c r="T4" i="3"/>
  <c r="F16" i="2" s="1"/>
  <c r="U4" i="3"/>
  <c r="G16" i="2" s="1"/>
  <c r="V4" i="3"/>
  <c r="H16" i="2" s="1"/>
  <c r="W4" i="3"/>
  <c r="I16" i="2" s="1"/>
  <c r="X4" i="3"/>
  <c r="J16" i="2" s="1"/>
  <c r="Y4" i="3"/>
  <c r="K16" i="2" s="1"/>
  <c r="Z4" i="3"/>
  <c r="L16" i="2" s="1"/>
  <c r="AA4" i="3"/>
  <c r="M16" i="2" s="1"/>
  <c r="R5" i="3"/>
  <c r="S5" i="3"/>
  <c r="T5" i="3"/>
  <c r="U5" i="3"/>
  <c r="V5" i="3"/>
  <c r="W5" i="3"/>
  <c r="X5" i="3"/>
  <c r="Y5" i="3"/>
  <c r="Z5" i="3"/>
  <c r="AA5" i="3"/>
  <c r="R6" i="3"/>
  <c r="S6" i="3"/>
  <c r="T6" i="3"/>
  <c r="U6" i="3"/>
  <c r="V6" i="3"/>
  <c r="W6" i="3"/>
  <c r="X6" i="3"/>
  <c r="Y6" i="3"/>
  <c r="Z6" i="3"/>
  <c r="AA6" i="3"/>
  <c r="R7" i="3"/>
  <c r="S7" i="3"/>
  <c r="T7" i="3"/>
  <c r="U7" i="3"/>
  <c r="V7" i="3"/>
  <c r="W7" i="3"/>
  <c r="X7" i="3"/>
  <c r="Y7" i="3"/>
  <c r="Z7" i="3"/>
  <c r="AA7" i="3"/>
  <c r="R8" i="3"/>
  <c r="D5" i="2" s="1"/>
  <c r="S8" i="3"/>
  <c r="T8" i="3"/>
  <c r="U8" i="3"/>
  <c r="V8" i="3"/>
  <c r="W8" i="3"/>
  <c r="X8" i="3"/>
  <c r="Y8" i="3"/>
  <c r="Z8" i="3"/>
  <c r="AA8" i="3"/>
  <c r="R9" i="3"/>
  <c r="S9" i="3"/>
  <c r="T9" i="3"/>
  <c r="U9" i="3"/>
  <c r="V9" i="3"/>
  <c r="W9" i="3"/>
  <c r="X9" i="3"/>
  <c r="Y9" i="3"/>
  <c r="Z9" i="3"/>
  <c r="AA9" i="3"/>
  <c r="R10" i="3"/>
  <c r="S10" i="3"/>
  <c r="T10" i="3"/>
  <c r="U10" i="3"/>
  <c r="V10" i="3"/>
  <c r="W10" i="3"/>
  <c r="X10" i="3"/>
  <c r="Y10" i="3"/>
  <c r="Z10" i="3"/>
  <c r="AA10" i="3"/>
  <c r="R11" i="3"/>
  <c r="S11" i="3"/>
  <c r="T11" i="3"/>
  <c r="U11" i="3"/>
  <c r="V11" i="3"/>
  <c r="W11" i="3"/>
  <c r="X11" i="3"/>
  <c r="Y11" i="3"/>
  <c r="Z11" i="3"/>
  <c r="AA11" i="3"/>
  <c r="R12" i="3"/>
  <c r="D6" i="2" s="1"/>
  <c r="S12" i="3"/>
  <c r="E6" i="2" s="1"/>
  <c r="T12" i="3"/>
  <c r="U12" i="3"/>
  <c r="V12" i="3"/>
  <c r="W12" i="3"/>
  <c r="X12" i="3"/>
  <c r="Y12" i="3"/>
  <c r="Z12" i="3"/>
  <c r="AA12" i="3"/>
  <c r="R13" i="3"/>
  <c r="S13" i="3"/>
  <c r="T13" i="3"/>
  <c r="U13" i="3"/>
  <c r="V13" i="3"/>
  <c r="W13" i="3"/>
  <c r="X13" i="3"/>
  <c r="Y13" i="3"/>
  <c r="Z13" i="3"/>
  <c r="AA13" i="3"/>
  <c r="R14" i="3"/>
  <c r="S14" i="3"/>
  <c r="T14" i="3"/>
  <c r="U14" i="3"/>
  <c r="V14" i="3"/>
  <c r="W14" i="3"/>
  <c r="X14" i="3"/>
  <c r="Y14" i="3"/>
  <c r="Z14" i="3"/>
  <c r="AA14" i="3"/>
  <c r="R15" i="3"/>
  <c r="S15" i="3"/>
  <c r="T15" i="3"/>
  <c r="U15" i="3"/>
  <c r="V15" i="3"/>
  <c r="W15" i="3"/>
  <c r="X15" i="3"/>
  <c r="Y15" i="3"/>
  <c r="Z15" i="3"/>
  <c r="AA15" i="3"/>
  <c r="R16" i="3"/>
  <c r="D7" i="2" s="1"/>
  <c r="S16" i="3"/>
  <c r="E7" i="2" s="1"/>
  <c r="T16" i="3"/>
  <c r="U16" i="3"/>
  <c r="V16" i="3"/>
  <c r="W16" i="3"/>
  <c r="X16" i="3"/>
  <c r="Y16" i="3"/>
  <c r="Z16" i="3"/>
  <c r="AA16" i="3"/>
  <c r="R17" i="3"/>
  <c r="S17" i="3"/>
  <c r="T17" i="3"/>
  <c r="U17" i="3"/>
  <c r="V17" i="3"/>
  <c r="W17" i="3"/>
  <c r="X17" i="3"/>
  <c r="Y17" i="3"/>
  <c r="Z17" i="3"/>
  <c r="AA17" i="3"/>
  <c r="R18" i="3"/>
  <c r="S18" i="3"/>
  <c r="T18" i="3"/>
  <c r="U18" i="3"/>
  <c r="V18" i="3"/>
  <c r="W18" i="3"/>
  <c r="X18" i="3"/>
  <c r="Y18" i="3"/>
  <c r="Z18" i="3"/>
  <c r="AA18" i="3"/>
  <c r="R19" i="3"/>
  <c r="S19" i="3"/>
  <c r="T19" i="3"/>
  <c r="U19" i="3"/>
  <c r="V19" i="3"/>
  <c r="W19" i="3"/>
  <c r="X19" i="3"/>
  <c r="Y19" i="3"/>
  <c r="Z19" i="3"/>
  <c r="AA19" i="3"/>
  <c r="Q19" i="3"/>
  <c r="Q18" i="3"/>
  <c r="Q17" i="3"/>
  <c r="Q16" i="3"/>
  <c r="C7" i="2" s="1"/>
  <c r="Q15" i="3"/>
  <c r="Q14" i="3"/>
  <c r="Q13" i="3"/>
  <c r="Q12" i="3"/>
  <c r="C6" i="2" s="1"/>
  <c r="Q7" i="3"/>
  <c r="Q10" i="3"/>
  <c r="Q9" i="3"/>
  <c r="Q8" i="3"/>
  <c r="C5" i="2" s="1"/>
  <c r="Q6" i="3"/>
  <c r="Q5" i="3"/>
  <c r="C17" i="2" s="1"/>
  <c r="Q4" i="3"/>
  <c r="C16" i="2" s="1"/>
  <c r="J7" i="2" l="1"/>
  <c r="F6" i="2"/>
  <c r="L6" i="2"/>
  <c r="K7" i="2"/>
  <c r="I6" i="2"/>
  <c r="G7" i="2"/>
  <c r="L7" i="2"/>
  <c r="D17" i="2"/>
  <c r="H6" i="2"/>
  <c r="M6" i="2"/>
  <c r="I7" i="2"/>
  <c r="M7" i="2"/>
  <c r="J6" i="2"/>
  <c r="F7" i="2"/>
  <c r="G6" i="2"/>
  <c r="K6" i="2"/>
  <c r="H7" i="2"/>
  <c r="E17" i="2"/>
  <c r="E5" i="2"/>
  <c r="F5" i="2"/>
  <c r="F17" i="2"/>
  <c r="G5" i="2"/>
  <c r="G17" i="2"/>
  <c r="H5" i="2"/>
  <c r="H17" i="2"/>
  <c r="I5" i="2"/>
  <c r="I17" i="2"/>
  <c r="J17" i="2"/>
  <c r="J5" i="2"/>
  <c r="K5" i="2"/>
  <c r="K17" i="2"/>
  <c r="L5" i="2"/>
  <c r="L17" i="2"/>
  <c r="M17" i="2"/>
  <c r="M5" i="2"/>
  <c r="AG5" i="2"/>
  <c r="AI17" i="2"/>
  <c r="AH17" i="2"/>
  <c r="AI16" i="2"/>
  <c r="AH16" i="2"/>
  <c r="Y8" i="2"/>
  <c r="X8" i="2"/>
  <c r="D10" i="2"/>
  <c r="E10" i="2"/>
  <c r="F10" i="2"/>
  <c r="G10" i="2"/>
  <c r="H10" i="2"/>
  <c r="I10" i="2"/>
  <c r="J10" i="2"/>
  <c r="K10" i="2"/>
  <c r="L10" i="2"/>
  <c r="M10" i="2"/>
  <c r="D11" i="2"/>
  <c r="E11" i="2"/>
  <c r="F11" i="2"/>
  <c r="G11" i="2"/>
  <c r="H11" i="2"/>
  <c r="I11" i="2"/>
  <c r="J11" i="2"/>
  <c r="K11" i="2"/>
  <c r="L11" i="2"/>
  <c r="M11" i="2"/>
  <c r="D12" i="2"/>
  <c r="E12" i="2"/>
  <c r="F12" i="2"/>
  <c r="G12" i="2"/>
  <c r="H12" i="2"/>
  <c r="I12" i="2"/>
  <c r="J12" i="2"/>
  <c r="K12" i="2"/>
  <c r="L12" i="2"/>
  <c r="M12" i="2"/>
  <c r="D13" i="2"/>
  <c r="E13" i="2"/>
  <c r="F13" i="2"/>
  <c r="G13" i="2"/>
  <c r="H13" i="2"/>
  <c r="I13" i="2"/>
  <c r="J13" i="2"/>
  <c r="K13" i="2"/>
  <c r="L13" i="2"/>
  <c r="M13" i="2"/>
  <c r="D18" i="2"/>
  <c r="E18" i="2"/>
  <c r="F18" i="2"/>
  <c r="G18" i="2"/>
  <c r="H18" i="2"/>
  <c r="I18" i="2"/>
  <c r="AI18" i="2" s="1"/>
  <c r="J18" i="2"/>
  <c r="K18" i="2"/>
  <c r="L18" i="2"/>
  <c r="M18" i="2"/>
  <c r="D19" i="2"/>
  <c r="E19" i="2"/>
  <c r="F19" i="2"/>
  <c r="G19" i="2"/>
  <c r="H19" i="2"/>
  <c r="AH19" i="2" s="1"/>
  <c r="I19" i="2"/>
  <c r="AI19" i="2" s="1"/>
  <c r="J19" i="2"/>
  <c r="K19" i="2"/>
  <c r="L19" i="2"/>
  <c r="M19" i="2"/>
  <c r="D20" i="2"/>
  <c r="E20" i="2"/>
  <c r="F20" i="2"/>
  <c r="G20" i="2"/>
  <c r="H20" i="2"/>
  <c r="AH20" i="2" s="1"/>
  <c r="I20" i="2"/>
  <c r="J20" i="2"/>
  <c r="K20" i="2"/>
  <c r="L20" i="2"/>
  <c r="M20" i="2"/>
  <c r="D21" i="2"/>
  <c r="E21" i="2"/>
  <c r="F21" i="2"/>
  <c r="G21" i="2"/>
  <c r="H21" i="2"/>
  <c r="I21" i="2"/>
  <c r="J21" i="2"/>
  <c r="K21" i="2"/>
  <c r="L21" i="2"/>
  <c r="M21" i="2"/>
  <c r="D22" i="2"/>
  <c r="E22" i="2"/>
  <c r="F22" i="2"/>
  <c r="G22" i="2"/>
  <c r="H22" i="2"/>
  <c r="I22" i="2"/>
  <c r="J22" i="2"/>
  <c r="K22" i="2"/>
  <c r="L22" i="2"/>
  <c r="M22" i="2"/>
  <c r="C22" i="2"/>
  <c r="C21" i="2"/>
  <c r="C20" i="2"/>
  <c r="C19" i="2"/>
  <c r="C18" i="2"/>
  <c r="C11" i="2"/>
  <c r="C12" i="2"/>
  <c r="C13" i="2"/>
  <c r="C10" i="2"/>
  <c r="D4" i="2"/>
  <c r="E4" i="2"/>
  <c r="F4" i="2"/>
  <c r="G4" i="2"/>
  <c r="H4" i="2"/>
  <c r="I4" i="2"/>
  <c r="J4" i="2"/>
  <c r="K4" i="2"/>
  <c r="L4" i="2"/>
  <c r="M4" i="2"/>
  <c r="C4" i="2"/>
  <c r="Y28" i="2" l="1"/>
  <c r="Y31" i="2"/>
  <c r="Y27" i="2"/>
  <c r="Y30" i="2"/>
  <c r="Y29" i="2"/>
  <c r="X31" i="2"/>
  <c r="X28" i="2"/>
  <c r="X30" i="2"/>
  <c r="X27" i="2"/>
  <c r="X29" i="2"/>
  <c r="AG4" i="2"/>
  <c r="S14" i="2"/>
  <c r="AE21" i="2"/>
  <c r="AE22" i="2"/>
  <c r="AD7" i="2"/>
  <c r="U14" i="2"/>
  <c r="AL10" i="2"/>
  <c r="AK11" i="2"/>
  <c r="AH18" i="2"/>
  <c r="AJ17" i="2"/>
  <c r="AH5" i="2"/>
  <c r="AG6" i="2"/>
  <c r="AJ19" i="2"/>
  <c r="AI20" i="2"/>
  <c r="F8" i="2"/>
  <c r="F27" i="2" s="1"/>
  <c r="AG7" i="2"/>
  <c r="AL11" i="2"/>
  <c r="AK12" i="2"/>
  <c r="AJ13" i="2"/>
  <c r="AC11" i="2"/>
  <c r="AJ18" i="2"/>
  <c r="AI21" i="2"/>
  <c r="AH22" i="2"/>
  <c r="AH21" i="2"/>
  <c r="AD22" i="2"/>
  <c r="AM11" i="2"/>
  <c r="AL12" i="2"/>
  <c r="AK13" i="2"/>
  <c r="AL16" i="2"/>
  <c r="AC12" i="2"/>
  <c r="AK17" i="2"/>
  <c r="AC16" i="2"/>
  <c r="AH7" i="2"/>
  <c r="AC18" i="2"/>
  <c r="K8" i="2"/>
  <c r="AK8" i="2" s="1"/>
  <c r="AM12" i="2"/>
  <c r="AM10" i="2"/>
  <c r="AD10" i="2"/>
  <c r="AK18" i="2"/>
  <c r="AI5" i="2"/>
  <c r="AK19" i="2"/>
  <c r="C8" i="2"/>
  <c r="AL18" i="2"/>
  <c r="AC17" i="2"/>
  <c r="E8" i="2"/>
  <c r="E31" i="2" s="1"/>
  <c r="F14" i="2"/>
  <c r="F37" i="2" s="1"/>
  <c r="AC10" i="2"/>
  <c r="AJ20" i="2"/>
  <c r="AH10" i="2"/>
  <c r="E14" i="2"/>
  <c r="E36" i="2" s="1"/>
  <c r="P8" i="2"/>
  <c r="AC7" i="2"/>
  <c r="AG19" i="2"/>
  <c r="AG21" i="2"/>
  <c r="AD11" i="2"/>
  <c r="AL13" i="2"/>
  <c r="AG22" i="2"/>
  <c r="AG20" i="2"/>
  <c r="V14" i="2"/>
  <c r="AI13" i="2"/>
  <c r="AE7" i="2"/>
  <c r="AH6" i="2"/>
  <c r="AM13" i="2"/>
  <c r="AK4" i="2"/>
  <c r="AJ5" i="2"/>
  <c r="AI6" i="2"/>
  <c r="AG10" i="2"/>
  <c r="AF11" i="2"/>
  <c r="AE12" i="2"/>
  <c r="AD13" i="2"/>
  <c r="AM18" i="2"/>
  <c r="AL19" i="2"/>
  <c r="AK20" i="2"/>
  <c r="AJ21" i="2"/>
  <c r="AI22" i="2"/>
  <c r="AD6" i="2"/>
  <c r="AF5" i="2"/>
  <c r="U8" i="2"/>
  <c r="AH4" i="2"/>
  <c r="AF22" i="2"/>
  <c r="D14" i="2"/>
  <c r="D37" i="2" s="1"/>
  <c r="V8" i="2"/>
  <c r="AI4" i="2"/>
  <c r="AC13" i="2"/>
  <c r="L14" i="2"/>
  <c r="L37" i="2" s="1"/>
  <c r="AD16" i="2"/>
  <c r="AM17" i="2"/>
  <c r="AL4" i="2"/>
  <c r="AK5" i="2"/>
  <c r="AJ6" i="2"/>
  <c r="AI7" i="2"/>
  <c r="AG11" i="2"/>
  <c r="AF12" i="2"/>
  <c r="AE13" i="2"/>
  <c r="AD18" i="2"/>
  <c r="AC19" i="2"/>
  <c r="AM19" i="2"/>
  <c r="AL20" i="2"/>
  <c r="AK21" i="2"/>
  <c r="AJ22" i="2"/>
  <c r="AG17" i="2"/>
  <c r="Z8" i="2"/>
  <c r="AM7" i="2"/>
  <c r="W14" i="2"/>
  <c r="AJ12" i="2"/>
  <c r="AE6" i="2"/>
  <c r="R14" i="2"/>
  <c r="AE10" i="2"/>
  <c r="W8" i="2"/>
  <c r="AJ4" i="2"/>
  <c r="AF10" i="2"/>
  <c r="AL17" i="2"/>
  <c r="D8" i="2"/>
  <c r="D31" i="2" s="1"/>
  <c r="AE16" i="2"/>
  <c r="AD17" i="2"/>
  <c r="AC4" i="2"/>
  <c r="AM4" i="2"/>
  <c r="AL5" i="2"/>
  <c r="AK6" i="2"/>
  <c r="AJ7" i="2"/>
  <c r="AI10" i="2"/>
  <c r="AH11" i="2"/>
  <c r="AG12" i="2"/>
  <c r="AF13" i="2"/>
  <c r="AE18" i="2"/>
  <c r="AD19" i="2"/>
  <c r="AC20" i="2"/>
  <c r="AM20" i="2"/>
  <c r="AL21" i="2"/>
  <c r="AK22" i="2"/>
  <c r="S8" i="2"/>
  <c r="AF4" i="2"/>
  <c r="AF21" i="2"/>
  <c r="AF6" i="2"/>
  <c r="AF7" i="2"/>
  <c r="AD12" i="2"/>
  <c r="I8" i="2"/>
  <c r="I28" i="2" s="1"/>
  <c r="H8" i="2"/>
  <c r="H29" i="2" s="1"/>
  <c r="AF16" i="2"/>
  <c r="AE17" i="2"/>
  <c r="AD4" i="2"/>
  <c r="AC5" i="2"/>
  <c r="AM5" i="2"/>
  <c r="AL6" i="2"/>
  <c r="AK7" i="2"/>
  <c r="AJ10" i="2"/>
  <c r="AI11" i="2"/>
  <c r="AH12" i="2"/>
  <c r="AG13" i="2"/>
  <c r="AF18" i="2"/>
  <c r="AE19" i="2"/>
  <c r="AD20" i="2"/>
  <c r="AC21" i="2"/>
  <c r="AM21" i="2"/>
  <c r="AL22" i="2"/>
  <c r="R8" i="2"/>
  <c r="AE5" i="2"/>
  <c r="AF20" i="2"/>
  <c r="W23" i="2"/>
  <c r="AJ16" i="2"/>
  <c r="X23" i="2"/>
  <c r="AK16" i="2"/>
  <c r="AE11" i="2"/>
  <c r="AM16" i="2"/>
  <c r="J8" i="2"/>
  <c r="G8" i="2"/>
  <c r="G31" i="2" s="1"/>
  <c r="AG16" i="2"/>
  <c r="AF17" i="2"/>
  <c r="AE4" i="2"/>
  <c r="AD5" i="2"/>
  <c r="AC6" i="2"/>
  <c r="AM6" i="2"/>
  <c r="AL7" i="2"/>
  <c r="AK10" i="2"/>
  <c r="AJ11" i="2"/>
  <c r="AI12" i="2"/>
  <c r="AH13" i="2"/>
  <c r="AG18" i="2"/>
  <c r="AF19" i="2"/>
  <c r="AE20" i="2"/>
  <c r="AD21" i="2"/>
  <c r="AC22" i="2"/>
  <c r="AM22" i="2"/>
  <c r="Q8" i="2"/>
  <c r="Z14" i="2"/>
  <c r="M8" i="2"/>
  <c r="M30" i="2" s="1"/>
  <c r="C14" i="2"/>
  <c r="M14" i="2"/>
  <c r="K14" i="2"/>
  <c r="K36" i="2" s="1"/>
  <c r="L8" i="2"/>
  <c r="L30" i="2" s="1"/>
  <c r="J14" i="2"/>
  <c r="J36" i="2" s="1"/>
  <c r="P23" i="2"/>
  <c r="Z23" i="2"/>
  <c r="G23" i="2"/>
  <c r="I14" i="2"/>
  <c r="I36" i="2" s="1"/>
  <c r="H14" i="2"/>
  <c r="P14" i="2"/>
  <c r="G14" i="2"/>
  <c r="G33" i="2" s="1"/>
  <c r="Q14" i="2"/>
  <c r="T23" i="2"/>
  <c r="U23" i="2"/>
  <c r="X14" i="2"/>
  <c r="S23" i="2"/>
  <c r="Q23" i="2"/>
  <c r="Y23" i="2"/>
  <c r="V23" i="2"/>
  <c r="R23" i="2"/>
  <c r="Y14" i="2"/>
  <c r="T8" i="2"/>
  <c r="T14" i="2"/>
  <c r="E23" i="2"/>
  <c r="E45" i="2" s="1"/>
  <c r="I23" i="2"/>
  <c r="I46" i="2" s="1"/>
  <c r="F23" i="2"/>
  <c r="F43" i="2" s="1"/>
  <c r="C23" i="2"/>
  <c r="L23" i="2"/>
  <c r="L45" i="2" s="1"/>
  <c r="J23" i="2"/>
  <c r="J45" i="2" s="1"/>
  <c r="M23" i="2"/>
  <c r="D23" i="2"/>
  <c r="K23" i="2"/>
  <c r="K44" i="2" s="1"/>
  <c r="H23" i="2"/>
  <c r="H44" i="2" s="1"/>
  <c r="AH14" i="2" l="1"/>
  <c r="T39" i="2"/>
  <c r="T42" i="2"/>
  <c r="T40" i="2"/>
  <c r="T41" i="2"/>
  <c r="T44" i="2"/>
  <c r="T45" i="2"/>
  <c r="T46" i="2"/>
  <c r="T43" i="2"/>
  <c r="Y37" i="2"/>
  <c r="AL37" i="2" s="1"/>
  <c r="Y35" i="2"/>
  <c r="Y34" i="2"/>
  <c r="Y33" i="2"/>
  <c r="Y36" i="2"/>
  <c r="U31" i="2"/>
  <c r="U29" i="2"/>
  <c r="AH29" i="2" s="1"/>
  <c r="U30" i="2"/>
  <c r="U28" i="2"/>
  <c r="U27" i="2"/>
  <c r="P37" i="2"/>
  <c r="P35" i="2"/>
  <c r="P36" i="2"/>
  <c r="P33" i="2"/>
  <c r="P34" i="2"/>
  <c r="R37" i="2"/>
  <c r="R36" i="2"/>
  <c r="AE36" i="2" s="1"/>
  <c r="R34" i="2"/>
  <c r="R35" i="2"/>
  <c r="R33" i="2"/>
  <c r="R28" i="2"/>
  <c r="R29" i="2"/>
  <c r="R31" i="2"/>
  <c r="AE31" i="2" s="1"/>
  <c r="R27" i="2"/>
  <c r="R30" i="2"/>
  <c r="V46" i="2"/>
  <c r="AI46" i="2" s="1"/>
  <c r="V39" i="2"/>
  <c r="V40" i="2"/>
  <c r="V41" i="2"/>
  <c r="V42" i="2"/>
  <c r="V43" i="2"/>
  <c r="V44" i="2"/>
  <c r="V45" i="2"/>
  <c r="T37" i="2"/>
  <c r="T36" i="2"/>
  <c r="T34" i="2"/>
  <c r="T35" i="2"/>
  <c r="T33" i="2"/>
  <c r="AG33" i="2" s="1"/>
  <c r="Q37" i="2"/>
  <c r="AD37" i="2" s="1"/>
  <c r="Q35" i="2"/>
  <c r="Q33" i="2"/>
  <c r="Q34" i="2"/>
  <c r="Q36" i="2"/>
  <c r="R39" i="2"/>
  <c r="R41" i="2"/>
  <c r="R43" i="2"/>
  <c r="R44" i="2"/>
  <c r="R46" i="2"/>
  <c r="R42" i="2"/>
  <c r="R45" i="2"/>
  <c r="AE45" i="2" s="1"/>
  <c r="R40" i="2"/>
  <c r="Z37" i="2"/>
  <c r="Z34" i="2"/>
  <c r="Z36" i="2"/>
  <c r="Z35" i="2"/>
  <c r="Z33" i="2"/>
  <c r="Q46" i="2"/>
  <c r="Q44" i="2"/>
  <c r="Q41" i="2"/>
  <c r="Q45" i="2"/>
  <c r="Q43" i="2"/>
  <c r="Q39" i="2"/>
  <c r="Q42" i="2"/>
  <c r="Q40" i="2"/>
  <c r="Z46" i="2"/>
  <c r="Z44" i="2"/>
  <c r="Z43" i="2"/>
  <c r="Z39" i="2"/>
  <c r="Z40" i="2"/>
  <c r="Z45" i="2"/>
  <c r="Z42" i="2"/>
  <c r="Z41" i="2"/>
  <c r="X37" i="2"/>
  <c r="X33" i="2"/>
  <c r="X34" i="2"/>
  <c r="X35" i="2"/>
  <c r="X36" i="2"/>
  <c r="AK36" i="2" s="1"/>
  <c r="P46" i="2"/>
  <c r="P43" i="2"/>
  <c r="P42" i="2"/>
  <c r="P44" i="2"/>
  <c r="P41" i="2"/>
  <c r="P45" i="2"/>
  <c r="P40" i="2"/>
  <c r="P39" i="2"/>
  <c r="Z31" i="2"/>
  <c r="Z27" i="2"/>
  <c r="Z29" i="2"/>
  <c r="Z28" i="2"/>
  <c r="Z30" i="2"/>
  <c r="AM30" i="2" s="1"/>
  <c r="V31" i="2"/>
  <c r="V29" i="2"/>
  <c r="V28" i="2"/>
  <c r="AI28" i="2" s="1"/>
  <c r="V27" i="2"/>
  <c r="V30" i="2"/>
  <c r="S37" i="2"/>
  <c r="AF37" i="2" s="1"/>
  <c r="S35" i="2"/>
  <c r="S33" i="2"/>
  <c r="S36" i="2"/>
  <c r="S34" i="2"/>
  <c r="T31" i="2"/>
  <c r="AG31" i="2" s="1"/>
  <c r="T30" i="2"/>
  <c r="T28" i="2"/>
  <c r="T29" i="2"/>
  <c r="T27" i="2"/>
  <c r="W46" i="2"/>
  <c r="W41" i="2"/>
  <c r="W45" i="2"/>
  <c r="AJ45" i="2" s="1"/>
  <c r="W44" i="2"/>
  <c r="W40" i="2"/>
  <c r="W39" i="2"/>
  <c r="W43" i="2"/>
  <c r="W42" i="2"/>
  <c r="W31" i="2"/>
  <c r="W30" i="2"/>
  <c r="W27" i="2"/>
  <c r="W29" i="2"/>
  <c r="W28" i="2"/>
  <c r="V35" i="2"/>
  <c r="V33" i="2"/>
  <c r="V36" i="2"/>
  <c r="AI36" i="2" s="1"/>
  <c r="V37" i="2"/>
  <c r="V34" i="2"/>
  <c r="U33" i="2"/>
  <c r="U37" i="2"/>
  <c r="U35" i="2"/>
  <c r="U34" i="2"/>
  <c r="U36" i="2"/>
  <c r="Y46" i="2"/>
  <c r="Y41" i="2"/>
  <c r="Y45" i="2"/>
  <c r="AL45" i="2" s="1"/>
  <c r="Y43" i="2"/>
  <c r="Y40" i="2"/>
  <c r="Y44" i="2"/>
  <c r="Y39" i="2"/>
  <c r="Y42" i="2"/>
  <c r="Q27" i="2"/>
  <c r="Q30" i="2"/>
  <c r="Q28" i="2"/>
  <c r="Q31" i="2"/>
  <c r="AD31" i="2" s="1"/>
  <c r="Q29" i="2"/>
  <c r="W33" i="2"/>
  <c r="W36" i="2"/>
  <c r="AJ36" i="2" s="1"/>
  <c r="W35" i="2"/>
  <c r="W37" i="2"/>
  <c r="W34" i="2"/>
  <c r="S40" i="2"/>
  <c r="S44" i="2"/>
  <c r="S46" i="2"/>
  <c r="S39" i="2"/>
  <c r="S45" i="2"/>
  <c r="S41" i="2"/>
  <c r="S42" i="2"/>
  <c r="S43" i="2"/>
  <c r="AF43" i="2" s="1"/>
  <c r="U42" i="2"/>
  <c r="U45" i="2"/>
  <c r="U40" i="2"/>
  <c r="U43" i="2"/>
  <c r="U46" i="2"/>
  <c r="U39" i="2"/>
  <c r="U41" i="2"/>
  <c r="U44" i="2"/>
  <c r="AH44" i="2" s="1"/>
  <c r="X46" i="2"/>
  <c r="X40" i="2"/>
  <c r="X43" i="2"/>
  <c r="X39" i="2"/>
  <c r="X44" i="2"/>
  <c r="AK44" i="2" s="1"/>
  <c r="X45" i="2"/>
  <c r="X41" i="2"/>
  <c r="X42" i="2"/>
  <c r="S31" i="2"/>
  <c r="S28" i="2"/>
  <c r="S29" i="2"/>
  <c r="S30" i="2"/>
  <c r="S27" i="2"/>
  <c r="AF27" i="2" s="1"/>
  <c r="P31" i="2"/>
  <c r="P29" i="2"/>
  <c r="P28" i="2"/>
  <c r="P30" i="2"/>
  <c r="P27" i="2"/>
  <c r="AK23" i="2"/>
  <c r="J28" i="2"/>
  <c r="J27" i="2"/>
  <c r="F29" i="2"/>
  <c r="F31" i="2"/>
  <c r="F30" i="2"/>
  <c r="AF8" i="2"/>
  <c r="F35" i="2"/>
  <c r="F28" i="2"/>
  <c r="F33" i="2"/>
  <c r="K27" i="2"/>
  <c r="K30" i="2"/>
  <c r="D35" i="2"/>
  <c r="E34" i="2"/>
  <c r="F41" i="2"/>
  <c r="G28" i="2"/>
  <c r="H27" i="2"/>
  <c r="K31" i="2"/>
  <c r="E30" i="2"/>
  <c r="E29" i="2"/>
  <c r="E33" i="2"/>
  <c r="F36" i="2"/>
  <c r="F34" i="2"/>
  <c r="H30" i="2"/>
  <c r="K28" i="2"/>
  <c r="E28" i="2"/>
  <c r="J31" i="2"/>
  <c r="AF14" i="2"/>
  <c r="J30" i="2"/>
  <c r="K29" i="2"/>
  <c r="E27" i="2"/>
  <c r="J29" i="2"/>
  <c r="J33" i="2"/>
  <c r="J34" i="2"/>
  <c r="G29" i="2"/>
  <c r="AH23" i="2"/>
  <c r="G27" i="2"/>
  <c r="I27" i="2"/>
  <c r="M34" i="2"/>
  <c r="J35" i="2"/>
  <c r="I30" i="2"/>
  <c r="AI23" i="2"/>
  <c r="I41" i="2"/>
  <c r="AE14" i="2"/>
  <c r="M35" i="2"/>
  <c r="L36" i="2"/>
  <c r="AM14" i="2"/>
  <c r="I42" i="2"/>
  <c r="I31" i="2"/>
  <c r="D28" i="2"/>
  <c r="D29" i="2"/>
  <c r="AH8" i="2"/>
  <c r="C35" i="2"/>
  <c r="D30" i="2"/>
  <c r="C30" i="2"/>
  <c r="C27" i="2"/>
  <c r="E35" i="2"/>
  <c r="I43" i="2"/>
  <c r="AL8" i="2"/>
  <c r="D27" i="2"/>
  <c r="AG23" i="2"/>
  <c r="C33" i="2"/>
  <c r="F45" i="2"/>
  <c r="AM23" i="2"/>
  <c r="I44" i="2"/>
  <c r="M39" i="2"/>
  <c r="AM8" i="2"/>
  <c r="AI8" i="2"/>
  <c r="C29" i="2"/>
  <c r="C31" i="2"/>
  <c r="M40" i="2"/>
  <c r="AD23" i="2"/>
  <c r="E37" i="2"/>
  <c r="L33" i="2"/>
  <c r="G30" i="2"/>
  <c r="H31" i="2"/>
  <c r="I29" i="2"/>
  <c r="E42" i="2"/>
  <c r="C28" i="2"/>
  <c r="AJ8" i="2"/>
  <c r="H28" i="2"/>
  <c r="L34" i="2"/>
  <c r="E43" i="2"/>
  <c r="L39" i="2"/>
  <c r="C44" i="2"/>
  <c r="AL14" i="2"/>
  <c r="AC8" i="2"/>
  <c r="AL23" i="2"/>
  <c r="F39" i="2"/>
  <c r="AD14" i="2"/>
  <c r="J44" i="2"/>
  <c r="AJ23" i="2"/>
  <c r="F44" i="2"/>
  <c r="L40" i="2"/>
  <c r="K34" i="2"/>
  <c r="I45" i="2"/>
  <c r="D36" i="2"/>
  <c r="AF23" i="2"/>
  <c r="F42" i="2"/>
  <c r="I34" i="2"/>
  <c r="I35" i="2"/>
  <c r="K33" i="2"/>
  <c r="E40" i="2"/>
  <c r="G34" i="2"/>
  <c r="AI14" i="2"/>
  <c r="I33" i="2"/>
  <c r="AK14" i="2"/>
  <c r="C43" i="2"/>
  <c r="AG14" i="2"/>
  <c r="D33" i="2"/>
  <c r="AG8" i="2"/>
  <c r="E44" i="2"/>
  <c r="C42" i="2"/>
  <c r="L35" i="2"/>
  <c r="AJ14" i="2"/>
  <c r="AC23" i="2"/>
  <c r="D34" i="2"/>
  <c r="J43" i="2"/>
  <c r="E41" i="2"/>
  <c r="M29" i="2"/>
  <c r="AE23" i="2"/>
  <c r="AC14" i="2"/>
  <c r="AD8" i="2"/>
  <c r="I40" i="2"/>
  <c r="M28" i="2"/>
  <c r="AE8" i="2"/>
  <c r="G46" i="2"/>
  <c r="AL30" i="2"/>
  <c r="L31" i="2"/>
  <c r="D46" i="2"/>
  <c r="C37" i="2"/>
  <c r="C34" i="2"/>
  <c r="C36" i="2"/>
  <c r="H46" i="2"/>
  <c r="K40" i="2"/>
  <c r="M46" i="2"/>
  <c r="H37" i="2"/>
  <c r="D39" i="2"/>
  <c r="K42" i="2"/>
  <c r="G37" i="2"/>
  <c r="L43" i="2"/>
  <c r="G36" i="2"/>
  <c r="K37" i="2"/>
  <c r="H41" i="2"/>
  <c r="K35" i="2"/>
  <c r="H42" i="2"/>
  <c r="G44" i="2"/>
  <c r="J46" i="2"/>
  <c r="H33" i="2"/>
  <c r="L41" i="2"/>
  <c r="C46" i="2"/>
  <c r="C39" i="2"/>
  <c r="C40" i="2"/>
  <c r="H34" i="2"/>
  <c r="J39" i="2"/>
  <c r="M33" i="2"/>
  <c r="H35" i="2"/>
  <c r="J40" i="2"/>
  <c r="M36" i="2"/>
  <c r="M27" i="2"/>
  <c r="D40" i="2"/>
  <c r="G35" i="2"/>
  <c r="H40" i="2"/>
  <c r="L27" i="2"/>
  <c r="K39" i="2"/>
  <c r="K41" i="2"/>
  <c r="M42" i="2"/>
  <c r="K43" i="2"/>
  <c r="L28" i="2"/>
  <c r="L46" i="2"/>
  <c r="H45" i="2"/>
  <c r="C41" i="2"/>
  <c r="F46" i="2"/>
  <c r="H36" i="2"/>
  <c r="J41" i="2"/>
  <c r="M41" i="2"/>
  <c r="L42" i="2"/>
  <c r="D42" i="2"/>
  <c r="G41" i="2"/>
  <c r="K46" i="2"/>
  <c r="G40" i="2"/>
  <c r="H43" i="2"/>
  <c r="M43" i="2"/>
  <c r="M37" i="2"/>
  <c r="D41" i="2"/>
  <c r="M45" i="2"/>
  <c r="K45" i="2"/>
  <c r="D43" i="2"/>
  <c r="L29" i="2"/>
  <c r="D45" i="2"/>
  <c r="C45" i="2"/>
  <c r="M31" i="2"/>
  <c r="G43" i="2"/>
  <c r="G39" i="2"/>
  <c r="E46" i="2"/>
  <c r="I37" i="2"/>
  <c r="J37" i="2"/>
  <c r="H39" i="2"/>
  <c r="I39" i="2"/>
  <c r="J42" i="2"/>
  <c r="M44" i="2"/>
  <c r="E39" i="2"/>
  <c r="L44" i="2"/>
  <c r="D44" i="2"/>
  <c r="G45" i="2"/>
  <c r="F40" i="2"/>
  <c r="G42" i="2"/>
  <c r="AH37" i="2" l="1"/>
  <c r="X64" i="2"/>
  <c r="R60" i="2"/>
  <c r="X58" i="2"/>
  <c r="T66" i="2"/>
  <c r="Y62" i="2"/>
  <c r="W53" i="2"/>
  <c r="V56" i="2"/>
  <c r="X66" i="2"/>
  <c r="AC34" i="2"/>
  <c r="Z64" i="2"/>
  <c r="T58" i="2"/>
  <c r="V65" i="2"/>
  <c r="AF33" i="2"/>
  <c r="Y53" i="2"/>
  <c r="T53" i="2"/>
  <c r="X65" i="2"/>
  <c r="Y63" i="2"/>
  <c r="X56" i="2"/>
  <c r="S57" i="2"/>
  <c r="S52" i="2"/>
  <c r="V55" i="2"/>
  <c r="Y54" i="2"/>
  <c r="W62" i="2"/>
  <c r="Z63" i="2"/>
  <c r="T63" i="2"/>
  <c r="T60" i="2"/>
  <c r="AK37" i="2"/>
  <c r="V66" i="2"/>
  <c r="P54" i="2"/>
  <c r="Y64" i="2"/>
  <c r="W64" i="2"/>
  <c r="R61" i="2"/>
  <c r="R64" i="2"/>
  <c r="Q52" i="2"/>
  <c r="Q55" i="2"/>
  <c r="Y55" i="2"/>
  <c r="V58" i="2"/>
  <c r="Z65" i="2"/>
  <c r="T61" i="2"/>
  <c r="V64" i="2"/>
  <c r="S64" i="2"/>
  <c r="P64" i="2"/>
  <c r="X62" i="2"/>
  <c r="AE34" i="2"/>
  <c r="S63" i="2"/>
  <c r="R58" i="2"/>
  <c r="V62" i="2"/>
  <c r="Z62" i="2"/>
  <c r="U57" i="2"/>
  <c r="X57" i="2"/>
  <c r="V57" i="2"/>
  <c r="V59" i="2"/>
  <c r="V60" i="2"/>
  <c r="S61" i="2"/>
  <c r="U60" i="2"/>
  <c r="R53" i="2"/>
  <c r="Y59" i="2"/>
  <c r="R57" i="2"/>
  <c r="S56" i="2"/>
  <c r="U54" i="2"/>
  <c r="X54" i="2"/>
  <c r="R55" i="2"/>
  <c r="AF29" i="2"/>
  <c r="Y66" i="2"/>
  <c r="Y56" i="2"/>
  <c r="Z61" i="2"/>
  <c r="S66" i="2"/>
  <c r="P52" i="2"/>
  <c r="T52" i="2"/>
  <c r="W55" i="2"/>
  <c r="Q58" i="2"/>
  <c r="S53" i="2"/>
  <c r="T56" i="2"/>
  <c r="Q65" i="2"/>
  <c r="T64" i="2"/>
  <c r="T62" i="2"/>
  <c r="U61" i="2"/>
  <c r="W60" i="2"/>
  <c r="T59" i="2"/>
  <c r="R62" i="2"/>
  <c r="Y58" i="2"/>
  <c r="Q59" i="2"/>
  <c r="P65" i="2"/>
  <c r="X53" i="2"/>
  <c r="U52" i="2"/>
  <c r="W66" i="2"/>
  <c r="P63" i="2"/>
  <c r="T57" i="2"/>
  <c r="Y60" i="2"/>
  <c r="X55" i="2"/>
  <c r="W52" i="2"/>
  <c r="Q61" i="2"/>
  <c r="AC28" i="2"/>
  <c r="P53" i="2"/>
  <c r="T54" i="2"/>
  <c r="Z52" i="2"/>
  <c r="S58" i="2"/>
  <c r="T65" i="2"/>
  <c r="P55" i="2"/>
  <c r="U63" i="2"/>
  <c r="AE43" i="2"/>
  <c r="Q57" i="2"/>
  <c r="V63" i="2"/>
  <c r="P62" i="2"/>
  <c r="Q64" i="2"/>
  <c r="U56" i="2"/>
  <c r="P61" i="2"/>
  <c r="Z53" i="2"/>
  <c r="S65" i="2"/>
  <c r="S59" i="2"/>
  <c r="AF30" i="2"/>
  <c r="S55" i="2"/>
  <c r="U65" i="2"/>
  <c r="Z55" i="2"/>
  <c r="R65" i="2"/>
  <c r="S60" i="2"/>
  <c r="U64" i="2"/>
  <c r="U55" i="2"/>
  <c r="Y61" i="2"/>
  <c r="U59" i="2"/>
  <c r="AJ28" i="2"/>
  <c r="W63" i="2"/>
  <c r="W61" i="2"/>
  <c r="P57" i="2"/>
  <c r="P58" i="2"/>
  <c r="X63" i="2"/>
  <c r="X52" i="2"/>
  <c r="X59" i="2"/>
  <c r="Y65" i="2"/>
  <c r="Q63" i="2"/>
  <c r="Y57" i="2"/>
  <c r="U66" i="2"/>
  <c r="U53" i="2"/>
  <c r="P59" i="2"/>
  <c r="AC33" i="2"/>
  <c r="P56" i="2"/>
  <c r="R66" i="2"/>
  <c r="R63" i="2"/>
  <c r="W57" i="2"/>
  <c r="AM36" i="2"/>
  <c r="Z59" i="2"/>
  <c r="U62" i="2"/>
  <c r="V54" i="2"/>
  <c r="AM39" i="2"/>
  <c r="Z60" i="2"/>
  <c r="X60" i="2"/>
  <c r="U58" i="2"/>
  <c r="V61" i="2"/>
  <c r="Q56" i="2"/>
  <c r="Z58" i="2"/>
  <c r="W58" i="2"/>
  <c r="W56" i="2"/>
  <c r="S62" i="2"/>
  <c r="P66" i="2"/>
  <c r="Z66" i="2"/>
  <c r="AD39" i="2"/>
  <c r="Q60" i="2"/>
  <c r="T55" i="2"/>
  <c r="Q54" i="2"/>
  <c r="AM34" i="2"/>
  <c r="Z57" i="2"/>
  <c r="AJ29" i="2"/>
  <c r="W54" i="2"/>
  <c r="R56" i="2"/>
  <c r="S54" i="2"/>
  <c r="V53" i="2"/>
  <c r="Q66" i="2"/>
  <c r="Q62" i="2"/>
  <c r="Y52" i="2"/>
  <c r="Z56" i="2"/>
  <c r="AC39" i="2"/>
  <c r="P60" i="2"/>
  <c r="X61" i="2"/>
  <c r="Z54" i="2"/>
  <c r="W65" i="2"/>
  <c r="Q53" i="2"/>
  <c r="V52" i="2"/>
  <c r="R52" i="2"/>
  <c r="R54" i="2"/>
  <c r="W59" i="2"/>
  <c r="R59" i="2"/>
  <c r="AJ27" i="2"/>
  <c r="AC35" i="2"/>
  <c r="AI29" i="2"/>
  <c r="AK27" i="2"/>
  <c r="AF36" i="2"/>
  <c r="AF35" i="2"/>
  <c r="AD30" i="2"/>
  <c r="AF41" i="2"/>
  <c r="AD27" i="2"/>
  <c r="AK28" i="2"/>
  <c r="AK30" i="2"/>
  <c r="AI43" i="2"/>
  <c r="AH43" i="2"/>
  <c r="AH42" i="2"/>
  <c r="AF31" i="2"/>
  <c r="AC29" i="2"/>
  <c r="AK31" i="2"/>
  <c r="AF28" i="2"/>
  <c r="AH30" i="2"/>
  <c r="AJ35" i="2"/>
  <c r="AC44" i="2"/>
  <c r="AE27" i="2"/>
  <c r="AF34" i="2"/>
  <c r="AE29" i="2"/>
  <c r="AL36" i="2"/>
  <c r="AK29" i="2"/>
  <c r="AE28" i="2"/>
  <c r="AE30" i="2"/>
  <c r="AC41" i="2"/>
  <c r="AG27" i="2"/>
  <c r="AD35" i="2"/>
  <c r="AM45" i="2"/>
  <c r="AG44" i="2"/>
  <c r="AL44" i="2"/>
  <c r="AD40" i="2"/>
  <c r="AD42" i="2"/>
  <c r="AD28" i="2"/>
  <c r="AL33" i="2"/>
  <c r="AG28" i="2"/>
  <c r="AL34" i="2"/>
  <c r="AI41" i="2"/>
  <c r="AJ30" i="2"/>
  <c r="AE39" i="2"/>
  <c r="AM40" i="2"/>
  <c r="AG29" i="2"/>
  <c r="AE33" i="2"/>
  <c r="AL42" i="2"/>
  <c r="AK33" i="2"/>
  <c r="AI33" i="2"/>
  <c r="AI27" i="2"/>
  <c r="AM35" i="2"/>
  <c r="AJ33" i="2"/>
  <c r="AJ44" i="2"/>
  <c r="AF42" i="2"/>
  <c r="AC43" i="2"/>
  <c r="AJ43" i="2"/>
  <c r="AG30" i="2"/>
  <c r="AD29" i="2"/>
  <c r="AM37" i="2"/>
  <c r="AG46" i="2"/>
  <c r="AH34" i="2"/>
  <c r="AI40" i="2"/>
  <c r="AJ31" i="2"/>
  <c r="AL35" i="2"/>
  <c r="AI44" i="2"/>
  <c r="AH27" i="2"/>
  <c r="AD33" i="2"/>
  <c r="AI42" i="2"/>
  <c r="AI45" i="2"/>
  <c r="AL41" i="2"/>
  <c r="AD36" i="2"/>
  <c r="AJ39" i="2"/>
  <c r="AI31" i="2"/>
  <c r="AJ34" i="2"/>
  <c r="AK42" i="2"/>
  <c r="AG43" i="2"/>
  <c r="AG34" i="2"/>
  <c r="AC36" i="2"/>
  <c r="AL27" i="2"/>
  <c r="AD34" i="2"/>
  <c r="AH28" i="2"/>
  <c r="AI37" i="2"/>
  <c r="AM29" i="2"/>
  <c r="AC46" i="2"/>
  <c r="AL31" i="2"/>
  <c r="AL43" i="2"/>
  <c r="AD46" i="2"/>
  <c r="AC45" i="2"/>
  <c r="AK39" i="2"/>
  <c r="AL29" i="2"/>
  <c r="AF44" i="2"/>
  <c r="AE40" i="2"/>
  <c r="AE35" i="2"/>
  <c r="AI30" i="2"/>
  <c r="AG40" i="2"/>
  <c r="AC42" i="2"/>
  <c r="AM42" i="2"/>
  <c r="AC30" i="2"/>
  <c r="AE37" i="2"/>
  <c r="AF45" i="2"/>
  <c r="AH31" i="2"/>
  <c r="AH46" i="2"/>
  <c r="AC27" i="2"/>
  <c r="AJ41" i="2"/>
  <c r="AM44" i="2"/>
  <c r="AM31" i="2"/>
  <c r="AH33" i="2"/>
  <c r="AH45" i="2"/>
  <c r="AC31" i="2"/>
  <c r="AL39" i="2"/>
  <c r="AE42" i="2"/>
  <c r="AM27" i="2"/>
  <c r="AD43" i="2"/>
  <c r="AK45" i="2"/>
  <c r="AJ37" i="2"/>
  <c r="AI39" i="2"/>
  <c r="AL40" i="2"/>
  <c r="AC37" i="2"/>
  <c r="AK41" i="2"/>
  <c r="AG37" i="2"/>
  <c r="AK34" i="2"/>
  <c r="AK40" i="2"/>
  <c r="AE44" i="2"/>
  <c r="AG41" i="2"/>
  <c r="AH36" i="2"/>
  <c r="AE41" i="2"/>
  <c r="AI35" i="2"/>
  <c r="AG42" i="2"/>
  <c r="AH39" i="2"/>
  <c r="AH41" i="2"/>
  <c r="AM33" i="2"/>
  <c r="AJ42" i="2"/>
  <c r="AD41" i="2"/>
  <c r="AM28" i="2"/>
  <c r="AH40" i="2"/>
  <c r="AF46" i="2"/>
  <c r="AL46" i="2"/>
  <c r="AK35" i="2"/>
  <c r="AG39" i="2"/>
  <c r="AI34" i="2"/>
  <c r="AF40" i="2"/>
  <c r="AG45" i="2"/>
  <c r="AK46" i="2"/>
  <c r="AE46" i="2"/>
  <c r="AC40" i="2"/>
  <c r="AJ40" i="2"/>
  <c r="AD44" i="2"/>
  <c r="AK43" i="2"/>
  <c r="AH35" i="2"/>
  <c r="AD45" i="2"/>
  <c r="AM41" i="2"/>
  <c r="AG36" i="2"/>
  <c r="AM46" i="2"/>
  <c r="AG35" i="2"/>
  <c r="AM43" i="2"/>
  <c r="AL28" i="2"/>
  <c r="AF39" i="2"/>
  <c r="AJ46" i="2"/>
  <c r="AJ53" i="2" l="1"/>
  <c r="AI62" i="2"/>
  <c r="AC54" i="2"/>
  <c r="AI57" i="2"/>
  <c r="AE58" i="2"/>
  <c r="AC63" i="2"/>
  <c r="AG62" i="2"/>
  <c r="AE53" i="2"/>
  <c r="AH59" i="2"/>
  <c r="AG57" i="2"/>
  <c r="AG55" i="2"/>
  <c r="AF58" i="2"/>
  <c r="AH58" i="2"/>
  <c r="AL53" i="2"/>
  <c r="AJ55" i="2"/>
  <c r="AJ57" i="2"/>
  <c r="AD53" i="2"/>
  <c r="AF54" i="2"/>
  <c r="AM54" i="2"/>
  <c r="AK58" i="2"/>
  <c r="AH54" i="2"/>
  <c r="AL59" i="2"/>
  <c r="AD57" i="2"/>
  <c r="AD55" i="2"/>
  <c r="AL55" i="2"/>
  <c r="AG54" i="2"/>
  <c r="AI58" i="2"/>
  <c r="AK53" i="2"/>
  <c r="AI59" i="2"/>
  <c r="AI53" i="2"/>
  <c r="AG53" i="2"/>
  <c r="AH57" i="2"/>
  <c r="AH55" i="2"/>
  <c r="AE57" i="2"/>
  <c r="AI55" i="2"/>
  <c r="AL54" i="2"/>
  <c r="AI54" i="2"/>
  <c r="AE59" i="2"/>
  <c r="AM57" i="2"/>
  <c r="AH53" i="2"/>
  <c r="AM55" i="2"/>
  <c r="AG58" i="2"/>
  <c r="AK54" i="2"/>
  <c r="AG59" i="2"/>
  <c r="AK59" i="2"/>
  <c r="AK57" i="2"/>
  <c r="AJ59" i="2"/>
  <c r="AJ58" i="2"/>
  <c r="AC55" i="2"/>
  <c r="AK55" i="2"/>
  <c r="AD59" i="2"/>
  <c r="AF53" i="2"/>
  <c r="AE55" i="2"/>
  <c r="AF59" i="2"/>
  <c r="AF57" i="2"/>
  <c r="AM53" i="2"/>
  <c r="AJ54" i="2"/>
  <c r="AE54" i="2"/>
  <c r="AD54" i="2"/>
  <c r="AM58" i="2"/>
  <c r="AM59" i="2"/>
  <c r="AL57" i="2"/>
  <c r="AF55" i="2"/>
  <c r="AL58" i="2"/>
  <c r="AD58" i="2"/>
  <c r="AG65" i="2"/>
  <c r="AE62" i="2"/>
  <c r="AK65" i="2"/>
  <c r="AL65" i="2"/>
  <c r="AD65" i="2"/>
  <c r="AC58" i="2"/>
  <c r="AJ66" i="2"/>
  <c r="AH29" i="4" s="1"/>
  <c r="AI65" i="2"/>
  <c r="AC59" i="2"/>
  <c r="AC57" i="2"/>
  <c r="AJ65" i="2"/>
  <c r="AK66" i="2"/>
  <c r="AH32" i="4" s="1"/>
  <c r="AH63" i="2"/>
  <c r="AC65" i="2"/>
  <c r="AC53" i="2"/>
  <c r="AM65" i="2"/>
  <c r="AF66" i="2"/>
  <c r="AH17" i="4" s="1"/>
  <c r="AF63" i="2"/>
  <c r="AL63" i="2"/>
  <c r="AK63" i="2"/>
  <c r="AG63" i="2"/>
  <c r="AL66" i="2"/>
  <c r="AH35" i="4" s="1"/>
  <c r="AG64" i="2"/>
  <c r="AI66" i="2"/>
  <c r="AH26" i="4" s="1"/>
  <c r="AH66" i="2"/>
  <c r="AH23" i="4" s="1"/>
  <c r="AF62" i="2"/>
  <c r="AC64" i="2"/>
  <c r="AK62" i="2"/>
  <c r="AE63" i="2"/>
  <c r="AJ64" i="2"/>
  <c r="AE66" i="2"/>
  <c r="AH14" i="4" s="1"/>
  <c r="AD62" i="2"/>
  <c r="AM62" i="2"/>
  <c r="AL62" i="2"/>
  <c r="AC62" i="2"/>
  <c r="AM63" i="2"/>
  <c r="AK64" i="2"/>
  <c r="AM66" i="2"/>
  <c r="AH38" i="4" s="1"/>
  <c r="AC66" i="2"/>
  <c r="AH8" i="4" s="1"/>
  <c r="AD66" i="2"/>
  <c r="AH11" i="4" s="1"/>
  <c r="AE64" i="2"/>
  <c r="AE65" i="2"/>
  <c r="AI64" i="2"/>
  <c r="AI63" i="2"/>
  <c r="AF64" i="2"/>
  <c r="AH65" i="2"/>
  <c r="AD64" i="2"/>
  <c r="AJ62" i="2"/>
  <c r="AH64" i="2"/>
  <c r="AG66" i="2"/>
  <c r="AH20" i="4" s="1"/>
  <c r="AH62" i="2"/>
  <c r="AD63" i="2"/>
  <c r="AJ63" i="2"/>
  <c r="AM64" i="2"/>
  <c r="AF65" i="2"/>
  <c r="AL64" i="2"/>
  <c r="X27" i="4" l="1"/>
  <c r="W27" i="4"/>
  <c r="Y27" i="4"/>
  <c r="Z27" i="4"/>
  <c r="AA26" i="4"/>
  <c r="U26" i="4"/>
  <c r="X26" i="4"/>
  <c r="AA6" i="4"/>
  <c r="AC6" i="4"/>
  <c r="AD6" i="4"/>
  <c r="AB6" i="4"/>
  <c r="T25" i="4"/>
  <c r="X25" i="4"/>
  <c r="AB25" i="4"/>
  <c r="AF25" i="4"/>
  <c r="Y13" i="4"/>
  <c r="AG13" i="4"/>
  <c r="U13" i="4"/>
  <c r="AC13" i="4"/>
  <c r="AE8" i="4"/>
  <c r="AB8" i="4"/>
  <c r="Y8" i="4"/>
  <c r="V8" i="4"/>
  <c r="X20" i="4"/>
  <c r="U20" i="4"/>
  <c r="AA20" i="4"/>
  <c r="W12" i="4"/>
  <c r="Z12" i="4"/>
  <c r="Y12" i="4"/>
  <c r="X12" i="4"/>
  <c r="AH22" i="4"/>
  <c r="V22" i="4"/>
  <c r="AD22" i="4"/>
  <c r="Z22" i="4"/>
  <c r="T19" i="4"/>
  <c r="AF19" i="4"/>
  <c r="AB19" i="4"/>
  <c r="X19" i="4"/>
  <c r="AH18" i="4"/>
  <c r="AG18" i="4"/>
  <c r="AE18" i="4"/>
  <c r="AF18" i="4"/>
  <c r="AC16" i="4"/>
  <c r="AG16" i="4"/>
  <c r="U16" i="4"/>
  <c r="Y16" i="4"/>
  <c r="AC22" i="4"/>
  <c r="U22" i="4"/>
  <c r="AG22" i="4"/>
  <c r="Y22" i="4"/>
  <c r="X33" i="4"/>
  <c r="W33" i="4"/>
  <c r="Z33" i="4"/>
  <c r="Y33" i="4"/>
  <c r="AH27" i="4"/>
  <c r="AE27" i="4"/>
  <c r="AF27" i="4"/>
  <c r="AG27" i="4"/>
  <c r="AF28" i="4"/>
  <c r="T28" i="4"/>
  <c r="X28" i="4"/>
  <c r="AB28" i="4"/>
  <c r="X9" i="4"/>
  <c r="Y9" i="4"/>
  <c r="Z9" i="4"/>
  <c r="W9" i="4"/>
  <c r="AB15" i="4"/>
  <c r="AA15" i="4"/>
  <c r="AC15" i="4"/>
  <c r="AD15" i="4"/>
  <c r="AA36" i="4"/>
  <c r="AB36" i="4"/>
  <c r="AD36" i="4"/>
  <c r="AC36" i="4"/>
  <c r="AC31" i="4"/>
  <c r="AG31" i="4"/>
  <c r="U31" i="4"/>
  <c r="Y31" i="4"/>
  <c r="AB21" i="4"/>
  <c r="AC21" i="4"/>
  <c r="AD21" i="4"/>
  <c r="AA21" i="4"/>
  <c r="AH34" i="4"/>
  <c r="Z34" i="4"/>
  <c r="AD34" i="4"/>
  <c r="V34" i="4"/>
  <c r="T10" i="4"/>
  <c r="X10" i="4"/>
  <c r="AB10" i="4"/>
  <c r="AF10" i="4"/>
  <c r="AE9" i="4"/>
  <c r="AF9" i="4"/>
  <c r="AG9" i="4"/>
  <c r="AH9" i="4"/>
  <c r="AE33" i="4"/>
  <c r="AG33" i="4"/>
  <c r="AF33" i="4"/>
  <c r="AH33" i="4"/>
  <c r="AA18" i="4"/>
  <c r="AB18" i="4"/>
  <c r="AC18" i="4"/>
  <c r="AD18" i="4"/>
  <c r="Y25" i="4"/>
  <c r="U25" i="4"/>
  <c r="AC25" i="4"/>
  <c r="AG25" i="4"/>
  <c r="X30" i="4"/>
  <c r="Y30" i="4"/>
  <c r="Z30" i="4"/>
  <c r="W30" i="4"/>
  <c r="AH25" i="4"/>
  <c r="AD25" i="4"/>
  <c r="V25" i="4"/>
  <c r="Z25" i="4"/>
  <c r="W24" i="4"/>
  <c r="Z24" i="4"/>
  <c r="Y24" i="4"/>
  <c r="X24" i="4"/>
  <c r="W18" i="4"/>
  <c r="Y18" i="4"/>
  <c r="Z18" i="4"/>
  <c r="X18" i="4"/>
  <c r="AB22" i="4"/>
  <c r="AF22" i="4"/>
  <c r="X22" i="4"/>
  <c r="T22" i="4"/>
  <c r="AE21" i="4"/>
  <c r="AF21" i="4"/>
  <c r="AG21" i="4"/>
  <c r="AH21" i="4"/>
  <c r="T13" i="4"/>
  <c r="X13" i="4"/>
  <c r="AB13" i="4"/>
  <c r="AF13" i="4"/>
  <c r="AE24" i="4"/>
  <c r="AG24" i="4"/>
  <c r="AF24" i="4"/>
  <c r="AH24" i="4"/>
  <c r="AA33" i="4"/>
  <c r="AC33" i="4"/>
  <c r="AB33" i="4"/>
  <c r="AD33" i="4"/>
  <c r="AB24" i="4"/>
  <c r="AD24" i="4"/>
  <c r="AC24" i="4"/>
  <c r="AA24" i="4"/>
  <c r="Z13" i="4"/>
  <c r="AH13" i="4"/>
  <c r="V13" i="4"/>
  <c r="AD13" i="4"/>
  <c r="AF37" i="4"/>
  <c r="T37" i="4"/>
  <c r="AB37" i="4"/>
  <c r="X37" i="4"/>
  <c r="W21" i="4"/>
  <c r="X21" i="4"/>
  <c r="Y21" i="4"/>
  <c r="Z21" i="4"/>
  <c r="AE36" i="4"/>
  <c r="AH36" i="4"/>
  <c r="AG36" i="4"/>
  <c r="AF36" i="4"/>
  <c r="AC19" i="4"/>
  <c r="AG19" i="4"/>
  <c r="Y19" i="4"/>
  <c r="U19" i="4"/>
  <c r="AD30" i="4"/>
  <c r="AA30" i="4"/>
  <c r="AC30" i="4"/>
  <c r="AB30" i="4"/>
  <c r="AD19" i="4"/>
  <c r="Z19" i="4"/>
  <c r="V19" i="4"/>
  <c r="AH19" i="4"/>
  <c r="AH31" i="4"/>
  <c r="V31" i="4"/>
  <c r="Z31" i="4"/>
  <c r="AD31" i="4"/>
  <c r="X31" i="4"/>
  <c r="AF31" i="4"/>
  <c r="T31" i="4"/>
  <c r="AB31" i="4"/>
  <c r="Z28" i="4"/>
  <c r="AH28" i="4"/>
  <c r="AD28" i="4"/>
  <c r="V28" i="4"/>
  <c r="U28" i="4"/>
  <c r="Y28" i="4"/>
  <c r="AG28" i="4"/>
  <c r="AC28" i="4"/>
  <c r="AE6" i="4"/>
  <c r="AF6" i="4"/>
  <c r="AH6" i="4"/>
  <c r="AG6" i="4"/>
  <c r="AF30" i="4"/>
  <c r="AH30" i="4"/>
  <c r="AE30" i="4"/>
  <c r="AG30" i="4"/>
  <c r="Z10" i="4"/>
  <c r="AH10" i="4"/>
  <c r="AD10" i="4"/>
  <c r="V10" i="4"/>
  <c r="X15" i="4"/>
  <c r="Z15" i="4"/>
  <c r="Y15" i="4"/>
  <c r="W15" i="4"/>
  <c r="AH12" i="4"/>
  <c r="AE12" i="4"/>
  <c r="AF12" i="4"/>
  <c r="AG12" i="4"/>
  <c r="V16" i="4"/>
  <c r="Z16" i="4"/>
  <c r="AD16" i="4"/>
  <c r="AH16" i="4"/>
  <c r="AF16" i="4"/>
  <c r="X16" i="4"/>
  <c r="T16" i="4"/>
  <c r="AB16" i="4"/>
  <c r="Y36" i="4"/>
  <c r="Z36" i="4"/>
  <c r="W36" i="4"/>
  <c r="X36" i="4"/>
  <c r="AA27" i="4"/>
  <c r="AC27" i="4"/>
  <c r="AD27" i="4"/>
  <c r="AB27" i="4"/>
  <c r="AC12" i="4"/>
  <c r="AA12" i="4"/>
  <c r="AD12" i="4"/>
  <c r="AB12" i="4"/>
  <c r="AC9" i="4"/>
  <c r="AD9" i="4"/>
  <c r="AA9" i="4"/>
  <c r="AB9" i="4"/>
  <c r="Y37" i="4"/>
  <c r="AG37" i="4"/>
  <c r="AC37" i="4"/>
  <c r="U37" i="4"/>
  <c r="Z37" i="4"/>
  <c r="AH37" i="4"/>
  <c r="AD37" i="4"/>
  <c r="V37" i="4"/>
  <c r="T34" i="4"/>
  <c r="X34" i="4"/>
  <c r="AF34" i="4"/>
  <c r="AB34" i="4"/>
  <c r="AH15" i="4"/>
  <c r="AG15" i="4"/>
  <c r="AE15" i="4"/>
  <c r="AF15" i="4"/>
  <c r="AG34" i="4"/>
  <c r="Y34" i="4"/>
  <c r="AC34" i="4"/>
  <c r="U34" i="4"/>
  <c r="U10" i="4"/>
  <c r="AG10" i="4"/>
  <c r="Y10" i="4"/>
  <c r="AC10" i="4"/>
  <c r="AD20" i="4"/>
  <c r="AG20" i="4"/>
  <c r="U14" i="4"/>
  <c r="AA14" i="4"/>
  <c r="X14" i="4"/>
  <c r="AG32" i="4"/>
  <c r="AD32" i="4"/>
  <c r="AD35" i="4"/>
  <c r="AG35" i="4"/>
  <c r="AG11" i="4"/>
  <c r="AD11" i="4"/>
  <c r="AC7" i="4"/>
  <c r="U7" i="4"/>
  <c r="Y7" i="4"/>
  <c r="AG7" i="4"/>
  <c r="AD26" i="4"/>
  <c r="AG26" i="4"/>
  <c r="AH7" i="4"/>
  <c r="Z7" i="4"/>
  <c r="AD7" i="4"/>
  <c r="V7" i="4"/>
  <c r="AF7" i="4"/>
  <c r="T7" i="4"/>
  <c r="AB7" i="4"/>
  <c r="X7" i="4"/>
  <c r="AD29" i="4"/>
  <c r="AG29" i="4"/>
  <c r="Y23" i="4"/>
  <c r="AE23" i="4"/>
  <c r="V23" i="4"/>
  <c r="AB23" i="4"/>
  <c r="AG8" i="4"/>
  <c r="AD8" i="4"/>
  <c r="Z6" i="4"/>
  <c r="Y6" i="4"/>
  <c r="X6" i="4"/>
  <c r="W6" i="4"/>
  <c r="AD38" i="4"/>
  <c r="AG38" i="4"/>
  <c r="AE17" i="4"/>
  <c r="V17" i="4"/>
  <c r="AB17" i="4"/>
  <c r="Y17" i="4"/>
  <c r="Y35" i="4"/>
  <c r="AB35" i="4"/>
  <c r="V35" i="4"/>
  <c r="AE35" i="4"/>
  <c r="V32" i="4"/>
  <c r="Y32" i="4"/>
  <c r="AE32" i="4"/>
  <c r="AB32" i="4"/>
  <c r="AE20" i="4"/>
  <c r="AB20" i="4"/>
  <c r="V20" i="4"/>
  <c r="Y20" i="4"/>
  <c r="AF20" i="4"/>
  <c r="AC20" i="4"/>
  <c r="Z20" i="4"/>
  <c r="X17" i="4"/>
  <c r="U17" i="4"/>
  <c r="AA17" i="4"/>
  <c r="AF8" i="4"/>
  <c r="AC8" i="4"/>
  <c r="Z8" i="4"/>
  <c r="AA32" i="4"/>
  <c r="X32" i="4"/>
  <c r="U32" i="4"/>
  <c r="Y14" i="4"/>
  <c r="AE14" i="4"/>
  <c r="AB14" i="4"/>
  <c r="V14" i="4"/>
  <c r="Z29" i="4"/>
  <c r="AC29" i="4"/>
  <c r="AF29" i="4"/>
  <c r="U11" i="4"/>
  <c r="AA11" i="4"/>
  <c r="X11" i="4"/>
  <c r="AA38" i="4"/>
  <c r="U38" i="4"/>
  <c r="X38" i="4"/>
  <c r="AA35" i="4"/>
  <c r="X35" i="4"/>
  <c r="U35" i="4"/>
  <c r="AA8" i="4"/>
  <c r="X8" i="4"/>
  <c r="U8" i="4"/>
  <c r="AE38" i="4"/>
  <c r="V38" i="4"/>
  <c r="Y38" i="4"/>
  <c r="AB38" i="4"/>
  <c r="AF32" i="4"/>
  <c r="Z32" i="4"/>
  <c r="AC32" i="4"/>
  <c r="Z14" i="4"/>
  <c r="AC14" i="4"/>
  <c r="AF14" i="4"/>
  <c r="AD14" i="4"/>
  <c r="AG14" i="4"/>
  <c r="AF26" i="4"/>
  <c r="AC26" i="4"/>
  <c r="Z26" i="4"/>
  <c r="Y26" i="4"/>
  <c r="AB26" i="4"/>
  <c r="V26" i="4"/>
  <c r="AE26" i="4"/>
  <c r="AF17" i="4"/>
  <c r="AC17" i="4"/>
  <c r="Z17" i="4"/>
  <c r="AG23" i="4"/>
  <c r="AD23" i="4"/>
  <c r="Z11" i="4"/>
  <c r="AC11" i="4"/>
  <c r="AF11" i="4"/>
  <c r="U29" i="4"/>
  <c r="AA29" i="4"/>
  <c r="X29" i="4"/>
  <c r="Z23" i="4"/>
  <c r="AF23" i="4"/>
  <c r="AC23" i="4"/>
  <c r="AA23" i="4"/>
  <c r="X23" i="4"/>
  <c r="U23" i="4"/>
  <c r="AB11" i="4"/>
  <c r="AE11" i="4"/>
  <c r="V11" i="4"/>
  <c r="Y11" i="4"/>
  <c r="Y29" i="4"/>
  <c r="AB29" i="4"/>
  <c r="V29" i="4"/>
  <c r="AE29" i="4"/>
  <c r="AC38" i="4"/>
  <c r="Z38" i="4"/>
  <c r="AF38" i="4"/>
  <c r="AD17" i="4"/>
  <c r="AG17" i="4"/>
  <c r="AC35" i="4"/>
  <c r="Z35" i="4"/>
  <c r="AF3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<sst xmlns="http://schemas.openxmlformats.org/spreadsheetml/2006/main" count="553" uniqueCount="107">
  <si>
    <t>work</t>
  </si>
  <si>
    <t>university</t>
  </si>
  <si>
    <t>school</t>
  </si>
  <si>
    <t>escort</t>
  </si>
  <si>
    <t>shop</t>
  </si>
  <si>
    <t>maintenance</t>
  </si>
  <si>
    <t>eatout</t>
  </si>
  <si>
    <t>visit</t>
  </si>
  <si>
    <t>discretionary</t>
  </si>
  <si>
    <t>atwork</t>
  </si>
  <si>
    <t>joint</t>
  </si>
  <si>
    <t>0 out 0 ret</t>
  </si>
  <si>
    <t>0 out 1 ret</t>
  </si>
  <si>
    <t>0 out 2 ret</t>
  </si>
  <si>
    <t>0 out 3 ret</t>
  </si>
  <si>
    <t>1 out 0 ret</t>
  </si>
  <si>
    <t>1 out 1 ret</t>
  </si>
  <si>
    <t>1 out 2 ret</t>
  </si>
  <si>
    <t>1 out 3 ret</t>
  </si>
  <si>
    <t>2 out 0 ret</t>
  </si>
  <si>
    <t>2 out 1 ret</t>
  </si>
  <si>
    <t>2 out 2 ret</t>
  </si>
  <si>
    <t>2 out 3 ret</t>
  </si>
  <si>
    <t>3 out 0 ret</t>
  </si>
  <si>
    <t>3 out 1 ret</t>
  </si>
  <si>
    <t>3 out 2 ret</t>
  </si>
  <si>
    <t>3 out 3 ret</t>
  </si>
  <si>
    <t>0 Ret</t>
  </si>
  <si>
    <t>1 Ret</t>
  </si>
  <si>
    <t>2 Ret</t>
  </si>
  <si>
    <t>3 Ret</t>
  </si>
  <si>
    <t>0 Out</t>
  </si>
  <si>
    <t>1 Out</t>
  </si>
  <si>
    <t>2 Out</t>
  </si>
  <si>
    <t>3 Out</t>
  </si>
  <si>
    <t>1 Stop</t>
  </si>
  <si>
    <t>2 Stops</t>
  </si>
  <si>
    <t>3 Stops</t>
  </si>
  <si>
    <t>6+ Stops</t>
  </si>
  <si>
    <t>Total</t>
  </si>
  <si>
    <t>Model Results</t>
  </si>
  <si>
    <t>0 Stop</t>
  </si>
  <si>
    <t xml:space="preserve">4 Stops </t>
  </si>
  <si>
    <t xml:space="preserve">5 Stops </t>
  </si>
  <si>
    <t>Calibration Targets Percent</t>
  </si>
  <si>
    <t>Model Results - Percentage</t>
  </si>
  <si>
    <t>Bay Area Travel Study 2023</t>
  </si>
  <si>
    <t>Model minus Observed</t>
  </si>
  <si>
    <t>dampening</t>
  </si>
  <si>
    <t>Old Constant</t>
  </si>
  <si>
    <t>Next Constant</t>
  </si>
  <si>
    <t>Change in Constant</t>
  </si>
  <si>
    <t>Alt1</t>
  </si>
  <si>
    <t>Alt2</t>
  </si>
  <si>
    <t>Alt3</t>
  </si>
  <si>
    <t>Alt4</t>
  </si>
  <si>
    <t>Alt5</t>
  </si>
  <si>
    <t>Alt6</t>
  </si>
  <si>
    <t>Alt7</t>
  </si>
  <si>
    <t>Alt8</t>
  </si>
  <si>
    <t>Alt9</t>
  </si>
  <si>
    <t>Alt10</t>
  </si>
  <si>
    <t>Alt11</t>
  </si>
  <si>
    <t>Alt12</t>
  </si>
  <si>
    <t>Alt13</t>
  </si>
  <si>
    <t>Alt14</t>
  </si>
  <si>
    <t>Alt15</t>
  </si>
  <si>
    <t>Alt16</t>
  </si>
  <si>
    <t>4 Stops</t>
  </si>
  <si>
    <t>5 Stops</t>
  </si>
  <si>
    <t>2 out</t>
  </si>
  <si>
    <t>Return Stops</t>
  </si>
  <si>
    <t>Total Number of Stops</t>
  </si>
  <si>
    <t>Purpose</t>
  </si>
  <si>
    <t>Exisiting</t>
  </si>
  <si>
    <t>New Constants</t>
  </si>
  <si>
    <t>Outbound Stops</t>
  </si>
  <si>
    <t>outbound_inbound</t>
  </si>
  <si>
    <t>ind_maint</t>
  </si>
  <si>
    <t>social</t>
  </si>
  <si>
    <t>ind_disc</t>
  </si>
  <si>
    <t>0 out, 0 in</t>
  </si>
  <si>
    <t>0 out, 1 in</t>
  </si>
  <si>
    <t>0 out, 2 in</t>
  </si>
  <si>
    <t>0 out, 3 in</t>
  </si>
  <si>
    <t>0 out, 4 in</t>
  </si>
  <si>
    <t>1 out, 0 in</t>
  </si>
  <si>
    <t>1 out, 1 in</t>
  </si>
  <si>
    <t>1 out, 2 in</t>
  </si>
  <si>
    <t>1 out, 3 in</t>
  </si>
  <si>
    <t>1 out, 4 in</t>
  </si>
  <si>
    <t>2 out, 0 in</t>
  </si>
  <si>
    <t>2 out, 1 in</t>
  </si>
  <si>
    <t>2 out, 2 in</t>
  </si>
  <si>
    <t>2 out, 3 in</t>
  </si>
  <si>
    <t>2 out, 4 in</t>
  </si>
  <si>
    <t>3 out, 0 in</t>
  </si>
  <si>
    <t>3 out, 1 in</t>
  </si>
  <si>
    <t>3 out, 2 in</t>
  </si>
  <si>
    <t>3 out, 3 in</t>
  </si>
  <si>
    <t>3 out, 4 in</t>
  </si>
  <si>
    <t>4 out, 0 in</t>
  </si>
  <si>
    <t>4 out, 1 in</t>
  </si>
  <si>
    <t>4 out, 2 in</t>
  </si>
  <si>
    <t>4 out, 3 in</t>
  </si>
  <si>
    <t>4 out, 4 in</t>
  </si>
  <si>
    <t>Source: M:/Development/Travel Model One/Calibration/Version 1.7/2023_BATS_Summaries/pipeline_mt_20261008_NoMon_rmo/ctramp_2023/BATS_Summaries/12_stop_freq_summary_BATS.csv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</si>
</sst>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sz val="9"/>
      <color rgb="FFFF0000"/>
      <name val="Arial"/>
      <family val="2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7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3" fontId="4" fillId="0" borderId="0" xfId="0" applyNumberFormat="1" applyFont="1" applyAlignment="1">
      <alignment vertical="center"/>
    </xf>
    <xf numFmtId="3" fontId="0" fillId="0" borderId="0" xfId="0" applyNumberFormat="1"/>
    <xf numFmtId="3" fontId="5" fillId="0" borderId="0" xfId="0" applyNumberFormat="1" applyFont="1" applyAlignment="1">
      <alignment vertical="center"/>
    </xf>
    <xf numFmtId="43" fontId="0" fillId="0" borderId="1" xfId="1" applyFont="1" applyBorder="1"/>
    <xf numFmtId="43" fontId="0" fillId="0" borderId="2" xfId="1" applyFont="1" applyBorder="1"/>
    <xf numFmtId="43" fontId="0" fillId="0" borderId="3" xfId="1" applyFont="1" applyBorder="1"/>
    <xf numFmtId="43" fontId="0" fillId="0" borderId="4" xfId="1" applyFont="1" applyBorder="1"/>
    <xf numFmtId="43" fontId="0" fillId="0" borderId="0" xfId="1" applyFont="1" applyBorder="1"/>
    <xf numFmtId="43" fontId="0" fillId="0" borderId="5" xfId="1" applyFont="1" applyBorder="1"/>
    <xf numFmtId="43" fontId="0" fillId="0" borderId="6" xfId="1" applyFont="1" applyBorder="1"/>
    <xf numFmtId="43" fontId="0" fillId="0" borderId="7" xfId="1" applyFont="1" applyBorder="1"/>
    <xf numFmtId="43" fontId="0" fillId="0" borderId="8" xfId="1" applyFont="1" applyBorder="1"/>
    <xf numFmtId="43" fontId="0" fillId="0" borderId="0" xfId="1" applyFont="1"/>
    <xf numFmtId="165" fontId="0" fillId="0" borderId="1" xfId="2" applyNumberFormat="1" applyFont="1" applyBorder="1"/>
    <xf numFmtId="165" fontId="0" fillId="0" borderId="2" xfId="2" applyNumberFormat="1" applyFont="1" applyBorder="1"/>
    <xf numFmtId="165" fontId="0" fillId="0" borderId="3" xfId="2" applyNumberFormat="1" applyFont="1" applyBorder="1"/>
    <xf numFmtId="165" fontId="0" fillId="0" borderId="4" xfId="2" applyNumberFormat="1" applyFont="1" applyBorder="1"/>
    <xf numFmtId="165" fontId="0" fillId="0" borderId="0" xfId="2" applyNumberFormat="1" applyFont="1" applyBorder="1"/>
    <xf numFmtId="165" fontId="0" fillId="0" borderId="5" xfId="2" applyNumberFormat="1" applyFont="1" applyBorder="1"/>
    <xf numFmtId="165" fontId="0" fillId="0" borderId="6" xfId="2" applyNumberFormat="1" applyFont="1" applyBorder="1"/>
    <xf numFmtId="165" fontId="0" fillId="0" borderId="7" xfId="2" applyNumberFormat="1" applyFont="1" applyBorder="1"/>
    <xf numFmtId="165" fontId="0" fillId="0" borderId="8" xfId="2" applyNumberFormat="1" applyFont="1" applyBorder="1"/>
    <xf numFmtId="165" fontId="0" fillId="0" borderId="0" xfId="2" applyNumberFormat="1" applyFont="1"/>
    <xf numFmtId="164" fontId="0" fillId="0" borderId="0" xfId="1" applyNumberFormat="1" applyFont="1"/>
    <xf numFmtId="9" fontId="0" fillId="0" borderId="1" xfId="2" applyFont="1" applyBorder="1"/>
    <xf numFmtId="9" fontId="0" fillId="0" borderId="2" xfId="2" applyFont="1" applyBorder="1"/>
    <xf numFmtId="9" fontId="0" fillId="0" borderId="3" xfId="2" applyFont="1" applyBorder="1"/>
    <xf numFmtId="9" fontId="0" fillId="0" borderId="4" xfId="2" applyFont="1" applyBorder="1"/>
    <xf numFmtId="9" fontId="0" fillId="0" borderId="0" xfId="2" applyFont="1"/>
    <xf numFmtId="9" fontId="0" fillId="0" borderId="5" xfId="2" applyFont="1" applyBorder="1"/>
    <xf numFmtId="9" fontId="0" fillId="0" borderId="6" xfId="2" applyFont="1" applyBorder="1"/>
    <xf numFmtId="9" fontId="0" fillId="0" borderId="7" xfId="2" applyFont="1" applyBorder="1"/>
    <xf numFmtId="9" fontId="0" fillId="0" borderId="8" xfId="2" applyFont="1" applyBorder="1"/>
    <xf numFmtId="0" fontId="6" fillId="0" borderId="0" xfId="0" applyFont="1"/>
  </cellXfs>
  <cellStyles count="3">
    <cellStyle name="Comma" xfId="1" builtinId="3"/>
    <cellStyle name="Normal" xfId="0" builtinId="0"/>
    <cellStyle name="Percent" xfId="2" builtinId="5"/>
  </cellStyles>
  <dxfs count="1">
    <dxf>
      <font>
        <strike val="0"/>
        <color rgb="FFFF0000"/>
      </font>
    </dxf>
  </dxfs>
  <tableStyles count="0" defaultTableStyle="TableStyleMedium2" defaultPivotStyle="PivotStyleLight16"/>
  <colors>
    <mruColors>
      <color rgb="FF9BBB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C16C7-D53F-4ABF-B88B-9DADB18E0496}">
  <dimension ref="A2:AM66"/>
  <sheetViews>
    <sheetView topLeftCell="L16" workbookViewId="0">
      <selection activeCell="AR41" sqref="AR41"/>
    </sheetView>
  </sheetViews>
  <sheetFormatPr defaultRowHeight="15" x14ac:dyDescent="0.25"/>
  <cols>
    <col min="3" max="3" width="14.42578125" bestFit="1" customWidth="1"/>
    <col min="4" max="4" width="11.7109375" bestFit="1" customWidth="1"/>
    <col min="5" max="5" width="12.7109375" bestFit="1" customWidth="1"/>
    <col min="6" max="6" width="14.42578125" bestFit="1" customWidth="1"/>
    <col min="7" max="7" width="13.28515625" bestFit="1" customWidth="1"/>
    <col min="8" max="9" width="12.7109375" bestFit="1" customWidth="1"/>
    <col min="10" max="10" width="14.42578125" bestFit="1" customWidth="1"/>
    <col min="11" max="13" width="12.7109375" bestFit="1" customWidth="1"/>
  </cols>
  <sheetData>
    <row r="2" spans="1:39" x14ac:dyDescent="0.25">
      <c r="A2" s="12"/>
      <c r="B2" s="12"/>
      <c r="C2" s="12" t="s">
        <v>46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 t="s">
        <v>40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 t="s">
        <v>47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</row>
    <row r="3" spans="1:39" x14ac:dyDescent="0.25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P3" t="s">
        <v>0</v>
      </c>
      <c r="Q3" t="s">
        <v>1</v>
      </c>
      <c r="R3" t="s">
        <v>2</v>
      </c>
      <c r="S3" t="s">
        <v>3</v>
      </c>
      <c r="T3" t="s">
        <v>4</v>
      </c>
      <c r="U3" t="s">
        <v>5</v>
      </c>
      <c r="V3" t="s">
        <v>6</v>
      </c>
      <c r="W3" t="s">
        <v>7</v>
      </c>
      <c r="X3" t="s">
        <v>8</v>
      </c>
      <c r="Y3" t="s">
        <v>9</v>
      </c>
      <c r="Z3" t="s">
        <v>10</v>
      </c>
      <c r="AC3" t="s">
        <v>0</v>
      </c>
      <c r="AD3" t="s">
        <v>1</v>
      </c>
      <c r="AE3" t="s">
        <v>2</v>
      </c>
      <c r="AF3" t="s">
        <v>3</v>
      </c>
      <c r="AG3" t="s">
        <v>4</v>
      </c>
      <c r="AH3" t="s">
        <v>5</v>
      </c>
      <c r="AI3" t="s">
        <v>6</v>
      </c>
      <c r="AJ3" t="s">
        <v>7</v>
      </c>
      <c r="AK3" t="s">
        <v>8</v>
      </c>
      <c r="AL3" t="s">
        <v>9</v>
      </c>
      <c r="AM3" t="s">
        <v>10</v>
      </c>
    </row>
    <row r="4" spans="1:39" x14ac:dyDescent="0.25">
      <c r="B4" t="s">
        <v>31</v>
      </c>
      <c r="C4" s="43">
        <f>SUM('BATS 2023'!Q4:Q7)</f>
        <v>19346</v>
      </c>
      <c r="D4" s="44">
        <f>SUM('BATS 2023'!R4:R7)</f>
        <v>440</v>
      </c>
      <c r="E4" s="44">
        <f>SUM('BATS 2023'!S4:S7)</f>
        <v>2368</v>
      </c>
      <c r="F4" s="44">
        <f>SUM('BATS 2023'!T4:T7)</f>
        <v>11754</v>
      </c>
      <c r="G4" s="44">
        <f>SUM('BATS 2023'!U4:U7)</f>
        <v>12910</v>
      </c>
      <c r="H4" s="44">
        <f>SUM('BATS 2023'!V4:V7)</f>
        <v>8324</v>
      </c>
      <c r="I4" s="44">
        <f>SUM('BATS 2023'!W4:W7)</f>
        <v>9598</v>
      </c>
      <c r="J4" s="44">
        <f>SUM('BATS 2023'!X4:X7)</f>
        <v>27932</v>
      </c>
      <c r="K4" s="44">
        <f>SUM('BATS 2023'!Y4:Y7)</f>
        <v>3450</v>
      </c>
      <c r="L4" s="44">
        <f>SUM('BATS 2023'!Z4:Z7)</f>
        <v>3560</v>
      </c>
      <c r="M4" s="45">
        <f>SUM('BATS 2023'!AA4:AA7)</f>
        <v>36074</v>
      </c>
      <c r="O4" t="s">
        <v>31</v>
      </c>
      <c r="P4" s="43">
        <f>SUM(modeldata!C4:C7)</f>
        <v>0</v>
      </c>
      <c r="Q4" s="44">
        <f>SUM(modeldata!D4:D7)</f>
        <v>0</v>
      </c>
      <c r="R4" s="44">
        <f>SUM(modeldata!E4:E7)</f>
        <v>0</v>
      </c>
      <c r="S4" s="44">
        <f>SUM(modeldata!F4:F7)</f>
        <v>0</v>
      </c>
      <c r="T4" s="44">
        <f>SUM(modeldata!G4:G7)</f>
        <v>0</v>
      </c>
      <c r="U4" s="44">
        <f>SUM(modeldata!H4:H7)</f>
        <v>0</v>
      </c>
      <c r="V4" s="44">
        <f>SUM(modeldata!I4:I7)</f>
        <v>0</v>
      </c>
      <c r="W4" s="44">
        <f>SUM(modeldata!J4:J7)</f>
        <v>0</v>
      </c>
      <c r="X4" s="44">
        <f>SUM(modeldata!K4:K7)</f>
        <v>0</v>
      </c>
      <c r="Y4" s="44">
        <f>SUM(modeldata!L4:L7)</f>
        <v>0</v>
      </c>
      <c r="Z4" s="45">
        <f>SUM(modeldata!M4:M7)</f>
        <v>0</v>
      </c>
      <c r="AB4" t="s">
        <v>31</v>
      </c>
      <c r="AC4" s="3">
        <f>P4-C4</f>
        <v>-19346</v>
      </c>
      <c r="AD4" s="4">
        <f t="shared" ref="AD4:AM5" si="0">Q4-D4</f>
        <v>-440</v>
      </c>
      <c r="AE4" s="4">
        <f t="shared" si="0"/>
        <v>-2368</v>
      </c>
      <c r="AF4" s="4">
        <f t="shared" si="0"/>
        <v>-11754</v>
      </c>
      <c r="AG4" s="4">
        <f t="shared" si="0"/>
        <v>-12910</v>
      </c>
      <c r="AH4" s="4">
        <f t="shared" si="0"/>
        <v>-8324</v>
      </c>
      <c r="AI4" s="4">
        <f t="shared" si="0"/>
        <v>-9598</v>
      </c>
      <c r="AJ4" s="4">
        <f t="shared" si="0"/>
        <v>-27932</v>
      </c>
      <c r="AK4" s="4">
        <f t="shared" si="0"/>
        <v>-3450</v>
      </c>
      <c r="AL4" s="4">
        <f t="shared" si="0"/>
        <v>-3560</v>
      </c>
      <c r="AM4" s="5">
        <f t="shared" si="0"/>
        <v>-36074</v>
      </c>
    </row>
    <row r="5" spans="1:39" x14ac:dyDescent="0.25">
      <c r="B5" t="s">
        <v>32</v>
      </c>
      <c r="C5" s="46">
        <f>SUM('BATS 2023'!Q8:Q11)</f>
        <v>4680</v>
      </c>
      <c r="D5" s="47">
        <f>SUM('BATS 2023'!R8:R11)</f>
        <v>94</v>
      </c>
      <c r="E5" s="47">
        <f>SUM('BATS 2023'!S8:S11)</f>
        <v>222</v>
      </c>
      <c r="F5" s="47">
        <f>SUM('BATS 2023'!T8:T11)</f>
        <v>896</v>
      </c>
      <c r="G5" s="47">
        <f>SUM('BATS 2023'!U8:U11)</f>
        <v>4774</v>
      </c>
      <c r="H5" s="47">
        <f>SUM('BATS 2023'!V8:V11)</f>
        <v>1704</v>
      </c>
      <c r="I5" s="47">
        <f>SUM('BATS 2023'!W8:W11)</f>
        <v>3174</v>
      </c>
      <c r="J5" s="47">
        <f>SUM('BATS 2023'!X8:X11)</f>
        <v>3548</v>
      </c>
      <c r="K5" s="47">
        <f>SUM('BATS 2023'!Y8:Y11)</f>
        <v>480</v>
      </c>
      <c r="L5" s="47">
        <f>SUM('BATS 2023'!Z8:Z11)</f>
        <v>344</v>
      </c>
      <c r="M5" s="48">
        <f>SUM('BATS 2023'!AA8:AA11)</f>
        <v>6942</v>
      </c>
      <c r="O5" t="s">
        <v>32</v>
      </c>
      <c r="P5" s="46">
        <f>SUM(modeldata!C8:C11)</f>
        <v>0</v>
      </c>
      <c r="Q5" s="52">
        <f>SUM(modeldata!D8:D11)</f>
        <v>0</v>
      </c>
      <c r="R5" s="52">
        <f>SUM(modeldata!E8:E11)</f>
        <v>0</v>
      </c>
      <c r="S5" s="52">
        <f>SUM(modeldata!F8:F11)</f>
        <v>0</v>
      </c>
      <c r="T5" s="52">
        <f>SUM(modeldata!G8:G11)</f>
        <v>0</v>
      </c>
      <c r="U5" s="52">
        <f>SUM(modeldata!H8:H11)</f>
        <v>0</v>
      </c>
      <c r="V5" s="52">
        <f>SUM(modeldata!I8:I11)</f>
        <v>0</v>
      </c>
      <c r="W5" s="52">
        <f>SUM(modeldata!J8:J11)</f>
        <v>0</v>
      </c>
      <c r="X5" s="52">
        <f>SUM(modeldata!K8:K11)</f>
        <v>0</v>
      </c>
      <c r="Y5" s="52">
        <f>SUM(modeldata!L8:L11)</f>
        <v>0</v>
      </c>
      <c r="Z5" s="48">
        <f>SUM(modeldata!M8:M11)</f>
        <v>0</v>
      </c>
      <c r="AB5" t="s">
        <v>32</v>
      </c>
      <c r="AC5" s="6">
        <f>P5-C5</f>
        <v>-4680</v>
      </c>
      <c r="AD5">
        <f t="shared" si="0"/>
        <v>-94</v>
      </c>
      <c r="AE5">
        <f t="shared" si="0"/>
        <v>-222</v>
      </c>
      <c r="AF5">
        <f t="shared" si="0"/>
        <v>-896</v>
      </c>
      <c r="AG5">
        <f t="shared" si="0"/>
        <v>-4774</v>
      </c>
      <c r="AH5">
        <f t="shared" si="0"/>
        <v>-1704</v>
      </c>
      <c r="AI5">
        <f t="shared" si="0"/>
        <v>-3174</v>
      </c>
      <c r="AJ5">
        <f t="shared" si="0"/>
        <v>-3548</v>
      </c>
      <c r="AK5">
        <f t="shared" si="0"/>
        <v>-480</v>
      </c>
      <c r="AL5">
        <f t="shared" si="0"/>
        <v>-344</v>
      </c>
      <c r="AM5" s="7">
        <f t="shared" si="0"/>
        <v>-6942</v>
      </c>
    </row>
    <row r="6" spans="1:39" x14ac:dyDescent="0.25">
      <c r="B6" t="s">
        <v>33</v>
      </c>
      <c r="C6" s="46">
        <f>SUM('BATS 2023'!Q12:Q15)</f>
        <v>1862</v>
      </c>
      <c r="D6" s="47">
        <f>SUM('BATS 2023'!R12:R15)</f>
        <v>24</v>
      </c>
      <c r="E6" s="47">
        <f>SUM('BATS 2023'!S12:S15)</f>
        <v>44</v>
      </c>
      <c r="F6" s="47">
        <f>SUM('BATS 2023'!T12:T15)</f>
        <v>228</v>
      </c>
      <c r="G6" s="47">
        <f>SUM('BATS 2023'!U12:U15)</f>
        <v>2048</v>
      </c>
      <c r="H6" s="47">
        <f>SUM('BATS 2023'!V12:V15)</f>
        <v>598</v>
      </c>
      <c r="I6" s="47">
        <f>SUM('BATS 2023'!W12:W15)</f>
        <v>1306</v>
      </c>
      <c r="J6" s="47">
        <f>SUM('BATS 2023'!X12:X15)</f>
        <v>1756</v>
      </c>
      <c r="K6" s="47">
        <f>SUM('BATS 2023'!Y12:Y15)</f>
        <v>212</v>
      </c>
      <c r="L6" s="47">
        <f>SUM('BATS 2023'!Z12:Z15)</f>
        <v>82</v>
      </c>
      <c r="M6" s="48">
        <f>SUM('BATS 2023'!AA12:AA15)</f>
        <v>2620</v>
      </c>
      <c r="O6" t="s">
        <v>33</v>
      </c>
      <c r="P6" s="46">
        <f>SUM(modeldata!C12:C15)</f>
        <v>0</v>
      </c>
      <c r="Q6" s="52">
        <f>SUM(modeldata!D12:D15)</f>
        <v>0</v>
      </c>
      <c r="R6" s="52">
        <f>SUM(modeldata!E12:E15)</f>
        <v>0</v>
      </c>
      <c r="S6" s="52">
        <f>SUM(modeldata!F12:F15)</f>
        <v>0</v>
      </c>
      <c r="T6" s="52">
        <f>SUM(modeldata!G12:G15)</f>
        <v>0</v>
      </c>
      <c r="U6" s="52">
        <f>SUM(modeldata!H12:H15)</f>
        <v>0</v>
      </c>
      <c r="V6" s="52">
        <f>SUM(modeldata!I12:I15)</f>
        <v>0</v>
      </c>
      <c r="W6" s="52">
        <f>SUM(modeldata!J12:J15)</f>
        <v>0</v>
      </c>
      <c r="X6" s="52">
        <f>SUM(modeldata!K12:K15)</f>
        <v>0</v>
      </c>
      <c r="Y6" s="52">
        <f>SUM(modeldata!L12:L15)</f>
        <v>0</v>
      </c>
      <c r="Z6" s="48">
        <f>SUM(modeldata!M12:M15)</f>
        <v>0</v>
      </c>
      <c r="AB6" t="s">
        <v>33</v>
      </c>
      <c r="AC6" s="6">
        <f t="shared" ref="AC6:AC8" si="1">P6-C6</f>
        <v>-1862</v>
      </c>
      <c r="AD6">
        <f t="shared" ref="AD6:AD8" si="2">Q6-D6</f>
        <v>-24</v>
      </c>
      <c r="AE6">
        <f t="shared" ref="AE6:AE8" si="3">R6-E6</f>
        <v>-44</v>
      </c>
      <c r="AF6">
        <f t="shared" ref="AF6:AF8" si="4">S6-F6</f>
        <v>-228</v>
      </c>
      <c r="AG6">
        <f t="shared" ref="AG6:AG8" si="5">T6-G6</f>
        <v>-2048</v>
      </c>
      <c r="AH6">
        <f t="shared" ref="AH6:AH8" si="6">U6-H6</f>
        <v>-598</v>
      </c>
      <c r="AI6">
        <f t="shared" ref="AI6:AI8" si="7">V6-I6</f>
        <v>-1306</v>
      </c>
      <c r="AJ6">
        <f t="shared" ref="AJ6:AJ8" si="8">W6-J6</f>
        <v>-1756</v>
      </c>
      <c r="AK6">
        <f t="shared" ref="AK6:AK8" si="9">X6-K6</f>
        <v>-212</v>
      </c>
      <c r="AL6">
        <f t="shared" ref="AL6:AL8" si="10">Y6-L6</f>
        <v>-82</v>
      </c>
      <c r="AM6" s="7">
        <f t="shared" ref="AM6:AM8" si="11">Z6-M6</f>
        <v>-2620</v>
      </c>
    </row>
    <row r="7" spans="1:39" x14ac:dyDescent="0.25">
      <c r="B7" t="s">
        <v>34</v>
      </c>
      <c r="C7" s="49">
        <f>SUM('BATS 2023'!Q16:Q19)</f>
        <v>1316</v>
      </c>
      <c r="D7" s="50">
        <f>SUM('BATS 2023'!R16:R19)</f>
        <v>24</v>
      </c>
      <c r="E7" s="50">
        <f>SUM('BATS 2023'!S16:S19)</f>
        <v>16</v>
      </c>
      <c r="F7" s="50">
        <f>SUM('BATS 2023'!T16:T19)</f>
        <v>92</v>
      </c>
      <c r="G7" s="50">
        <f>SUM('BATS 2023'!U16:U19)</f>
        <v>1648</v>
      </c>
      <c r="H7" s="50">
        <f>SUM('BATS 2023'!V16:V19)</f>
        <v>392</v>
      </c>
      <c r="I7" s="50">
        <f>SUM('BATS 2023'!W16:W19)</f>
        <v>1266</v>
      </c>
      <c r="J7" s="50">
        <f>SUM('BATS 2023'!X16:X19)</f>
        <v>1056</v>
      </c>
      <c r="K7" s="50">
        <f>SUM('BATS 2023'!Y16:Y19)</f>
        <v>192</v>
      </c>
      <c r="L7" s="50">
        <f>SUM('BATS 2023'!Z16:Z19)</f>
        <v>62</v>
      </c>
      <c r="M7" s="51">
        <f>SUM('BATS 2023'!AA16:AA19)</f>
        <v>1270</v>
      </c>
      <c r="O7" t="s">
        <v>34</v>
      </c>
      <c r="P7" s="49">
        <f>SUM(modeldata!C16:C19)</f>
        <v>0</v>
      </c>
      <c r="Q7" s="50">
        <f>SUM(modeldata!D16:D19)</f>
        <v>0</v>
      </c>
      <c r="R7" s="50">
        <f>SUM(modeldata!E16:E19)</f>
        <v>0</v>
      </c>
      <c r="S7" s="50">
        <f>SUM(modeldata!F16:F19)</f>
        <v>0</v>
      </c>
      <c r="T7" s="50">
        <f>SUM(modeldata!G16:G19)</f>
        <v>0</v>
      </c>
      <c r="U7" s="50">
        <f>SUM(modeldata!H16:H19)</f>
        <v>0</v>
      </c>
      <c r="V7" s="50">
        <f>SUM(modeldata!I16:I19)</f>
        <v>0</v>
      </c>
      <c r="W7" s="50">
        <f>SUM(modeldata!J16:J19)</f>
        <v>0</v>
      </c>
      <c r="X7" s="50">
        <f>SUM(modeldata!K16:K19)</f>
        <v>0</v>
      </c>
      <c r="Y7" s="50">
        <f>SUM(modeldata!L16:L19)</f>
        <v>0</v>
      </c>
      <c r="Z7" s="51">
        <f>SUM(modeldata!M16:M19)</f>
        <v>0</v>
      </c>
      <c r="AB7" t="s">
        <v>34</v>
      </c>
      <c r="AC7" s="8">
        <f t="shared" si="1"/>
        <v>-1316</v>
      </c>
      <c r="AD7" s="9">
        <f t="shared" si="2"/>
        <v>-24</v>
      </c>
      <c r="AE7" s="9">
        <f t="shared" si="3"/>
        <v>-16</v>
      </c>
      <c r="AF7" s="9">
        <f t="shared" si="4"/>
        <v>-92</v>
      </c>
      <c r="AG7" s="9">
        <f t="shared" si="5"/>
        <v>-1648</v>
      </c>
      <c r="AH7" s="9">
        <f t="shared" si="6"/>
        <v>-392</v>
      </c>
      <c r="AI7" s="9">
        <f t="shared" si="7"/>
        <v>-1266</v>
      </c>
      <c r="AJ7" s="9">
        <f t="shared" si="8"/>
        <v>-1056</v>
      </c>
      <c r="AK7" s="9">
        <f t="shared" si="9"/>
        <v>-192</v>
      </c>
      <c r="AL7" s="9">
        <f t="shared" si="10"/>
        <v>-62</v>
      </c>
      <c r="AM7" s="10">
        <f t="shared" si="11"/>
        <v>-1270</v>
      </c>
    </row>
    <row r="8" spans="1:39" x14ac:dyDescent="0.25">
      <c r="B8" t="s">
        <v>39</v>
      </c>
      <c r="C8" s="52">
        <f>SUM(C4:C7)</f>
        <v>27204</v>
      </c>
      <c r="D8" s="52">
        <f t="shared" ref="D8:M8" si="12">SUM(D4:D7)</f>
        <v>582</v>
      </c>
      <c r="E8" s="52">
        <f t="shared" si="12"/>
        <v>2650</v>
      </c>
      <c r="F8" s="52">
        <f t="shared" si="12"/>
        <v>12970</v>
      </c>
      <c r="G8" s="52">
        <f t="shared" si="12"/>
        <v>21380</v>
      </c>
      <c r="H8" s="52">
        <f t="shared" si="12"/>
        <v>11018</v>
      </c>
      <c r="I8" s="52">
        <f t="shared" si="12"/>
        <v>15344</v>
      </c>
      <c r="J8" s="52">
        <f t="shared" si="12"/>
        <v>34292</v>
      </c>
      <c r="K8" s="52">
        <f t="shared" si="12"/>
        <v>4334</v>
      </c>
      <c r="L8" s="52">
        <f t="shared" si="12"/>
        <v>4048</v>
      </c>
      <c r="M8" s="52">
        <f t="shared" si="12"/>
        <v>46906</v>
      </c>
      <c r="O8" t="s">
        <v>39</v>
      </c>
      <c r="P8" s="52">
        <f>SUM(P4:P7)</f>
        <v>0</v>
      </c>
      <c r="Q8" s="52">
        <f t="shared" ref="Q8" si="13">SUM(Q4:Q7)</f>
        <v>0</v>
      </c>
      <c r="R8" s="52">
        <f t="shared" ref="R8" si="14">SUM(R4:R7)</f>
        <v>0</v>
      </c>
      <c r="S8" s="52">
        <f t="shared" ref="S8" si="15">SUM(S4:S7)</f>
        <v>0</v>
      </c>
      <c r="T8" s="52">
        <f t="shared" ref="T8" si="16">SUM(T4:T7)</f>
        <v>0</v>
      </c>
      <c r="U8" s="52">
        <f t="shared" ref="U8" si="17">SUM(U4:U7)</f>
        <v>0</v>
      </c>
      <c r="V8" s="52">
        <f t="shared" ref="V8" si="18">SUM(V4:V7)</f>
        <v>0</v>
      </c>
      <c r="W8" s="52">
        <f t="shared" ref="W8" si="19">SUM(W4:W7)</f>
        <v>0</v>
      </c>
      <c r="X8" s="52">
        <f t="shared" ref="X8" si="20">SUM(X4:X7)</f>
        <v>0</v>
      </c>
      <c r="Y8" s="52">
        <f t="shared" ref="Y8" si="21">SUM(Y4:Y7)</f>
        <v>0</v>
      </c>
      <c r="Z8" s="52">
        <f t="shared" ref="Z8" si="22">SUM(Z4:Z7)</f>
        <v>0</v>
      </c>
      <c r="AB8" t="s">
        <v>39</v>
      </c>
      <c r="AC8">
        <f t="shared" si="1"/>
        <v>-27204</v>
      </c>
      <c r="AD8">
        <f t="shared" si="2"/>
        <v>-582</v>
      </c>
      <c r="AE8">
        <f t="shared" si="3"/>
        <v>-2650</v>
      </c>
      <c r="AF8">
        <f t="shared" si="4"/>
        <v>-12970</v>
      </c>
      <c r="AG8">
        <f t="shared" si="5"/>
        <v>-21380</v>
      </c>
      <c r="AH8">
        <f t="shared" si="6"/>
        <v>-11018</v>
      </c>
      <c r="AI8">
        <f t="shared" si="7"/>
        <v>-15344</v>
      </c>
      <c r="AJ8">
        <f t="shared" si="8"/>
        <v>-34292</v>
      </c>
      <c r="AK8">
        <f t="shared" si="9"/>
        <v>-4334</v>
      </c>
      <c r="AL8">
        <f t="shared" si="10"/>
        <v>-4048</v>
      </c>
      <c r="AM8">
        <f t="shared" si="11"/>
        <v>-46906</v>
      </c>
    </row>
    <row r="9" spans="1:39" x14ac:dyDescent="0.25"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spans="1:39" x14ac:dyDescent="0.25">
      <c r="B10" t="s">
        <v>27</v>
      </c>
      <c r="C10" s="43">
        <f>SUM('BATS 2023'!Q4,'BATS 2023'!Q8,'BATS 2023'!Q12,'BATS 2023'!Q16)</f>
        <v>17838</v>
      </c>
      <c r="D10" s="44">
        <f>SUM('BATS 2023'!R4,'BATS 2023'!R8,'BATS 2023'!R12,'BATS 2023'!R16)</f>
        <v>430</v>
      </c>
      <c r="E10" s="44">
        <f>SUM('BATS 2023'!S4,'BATS 2023'!S8,'BATS 2023'!S12,'BATS 2023'!S16)</f>
        <v>2102</v>
      </c>
      <c r="F10" s="44">
        <f>SUM('BATS 2023'!T4,'BATS 2023'!T8,'BATS 2023'!T12,'BATS 2023'!T16)</f>
        <v>11578</v>
      </c>
      <c r="G10" s="44">
        <f>SUM('BATS 2023'!U4,'BATS 2023'!U8,'BATS 2023'!U12,'BATS 2023'!U16)</f>
        <v>15402</v>
      </c>
      <c r="H10" s="44">
        <f>SUM('BATS 2023'!V4,'BATS 2023'!V8,'BATS 2023'!V12,'BATS 2023'!V16)</f>
        <v>7714</v>
      </c>
      <c r="I10" s="44">
        <f>SUM('BATS 2023'!W4,'BATS 2023'!W8,'BATS 2023'!W12,'BATS 2023'!W16)</f>
        <v>11286</v>
      </c>
      <c r="J10" s="44">
        <f>SUM('BATS 2023'!X4,'BATS 2023'!X8,'BATS 2023'!X12,'BATS 2023'!X16)</f>
        <v>29070</v>
      </c>
      <c r="K10" s="44">
        <f>SUM('BATS 2023'!Y4,'BATS 2023'!Y8,'BATS 2023'!Y12,'BATS 2023'!Y16)</f>
        <v>3536</v>
      </c>
      <c r="L10" s="44">
        <f>SUM('BATS 2023'!Z4,'BATS 2023'!Z8,'BATS 2023'!Z12,'BATS 2023'!Z16)</f>
        <v>3704</v>
      </c>
      <c r="M10" s="45">
        <f>SUM('BATS 2023'!AA4,'BATS 2023'!AA8,'BATS 2023'!AA12,'BATS 2023'!AA16)</f>
        <v>37348</v>
      </c>
      <c r="O10" t="s">
        <v>27</v>
      </c>
      <c r="P10" s="43">
        <f>modeldata!C4+modeldata!C8+modeldata!C12+modeldata!C16</f>
        <v>0</v>
      </c>
      <c r="Q10" s="44">
        <f>modeldata!D4+modeldata!D8+modeldata!D12+modeldata!D16</f>
        <v>0</v>
      </c>
      <c r="R10" s="44">
        <f>modeldata!E4+modeldata!E8+modeldata!E12+modeldata!E16</f>
        <v>0</v>
      </c>
      <c r="S10" s="44">
        <f>modeldata!F4+modeldata!F8+modeldata!F12+modeldata!F16</f>
        <v>0</v>
      </c>
      <c r="T10" s="44">
        <f>modeldata!G4+modeldata!G8+modeldata!G12+modeldata!G16</f>
        <v>0</v>
      </c>
      <c r="U10" s="44">
        <f>modeldata!H4+modeldata!H8+modeldata!H12+modeldata!H16</f>
        <v>0</v>
      </c>
      <c r="V10" s="44">
        <f>modeldata!I4+modeldata!I8+modeldata!I12+modeldata!I16</f>
        <v>0</v>
      </c>
      <c r="W10" s="44">
        <f>modeldata!J4+modeldata!J8+modeldata!J12+modeldata!J16</f>
        <v>0</v>
      </c>
      <c r="X10" s="44">
        <f>modeldata!K4+modeldata!K8+modeldata!K12+modeldata!K16</f>
        <v>0</v>
      </c>
      <c r="Y10" s="44">
        <f>modeldata!L4+modeldata!L8+modeldata!L12+modeldata!L16</f>
        <v>0</v>
      </c>
      <c r="Z10" s="45">
        <f>modeldata!M4+modeldata!M8+modeldata!M12+modeldata!M16</f>
        <v>0</v>
      </c>
      <c r="AB10" t="s">
        <v>27</v>
      </c>
      <c r="AC10" s="3">
        <f>P10-C10</f>
        <v>-17838</v>
      </c>
      <c r="AD10" s="4">
        <f t="shared" ref="AD10:AD14" si="23">Q10-D10</f>
        <v>-430</v>
      </c>
      <c r="AE10" s="4">
        <f t="shared" ref="AE10:AE14" si="24">R10-E10</f>
        <v>-2102</v>
      </c>
      <c r="AF10" s="4">
        <f t="shared" ref="AF10:AF14" si="25">S10-F10</f>
        <v>-11578</v>
      </c>
      <c r="AG10" s="4">
        <f t="shared" ref="AG10:AG14" si="26">T10-G10</f>
        <v>-15402</v>
      </c>
      <c r="AH10" s="4">
        <f t="shared" ref="AH10:AH14" si="27">U10-H10</f>
        <v>-7714</v>
      </c>
      <c r="AI10" s="4">
        <f t="shared" ref="AI10:AI14" si="28">V10-I10</f>
        <v>-11286</v>
      </c>
      <c r="AJ10" s="4">
        <f t="shared" ref="AJ10:AJ14" si="29">W10-J10</f>
        <v>-29070</v>
      </c>
      <c r="AK10" s="4">
        <f t="shared" ref="AK10:AK14" si="30">X10-K10</f>
        <v>-3536</v>
      </c>
      <c r="AL10" s="4">
        <f t="shared" ref="AL10:AL14" si="31">Y10-L10</f>
        <v>-3704</v>
      </c>
      <c r="AM10" s="5">
        <f t="shared" ref="AM10:AM14" si="32">Z10-M10</f>
        <v>-37348</v>
      </c>
    </row>
    <row r="11" spans="1:39" x14ac:dyDescent="0.25">
      <c r="B11" t="s">
        <v>28</v>
      </c>
      <c r="C11" s="46">
        <f>SUM('BATS 2023'!Q5,'BATS 2023'!Q9,'BATS 2023'!Q13,'BATS 2023'!Q17)</f>
        <v>5898</v>
      </c>
      <c r="D11" s="47">
        <f>SUM('BATS 2023'!R5,'BATS 2023'!R9,'BATS 2023'!R13,'BATS 2023'!R17)</f>
        <v>110</v>
      </c>
      <c r="E11" s="47">
        <f>SUM('BATS 2023'!S5,'BATS 2023'!S9,'BATS 2023'!S13,'BATS 2023'!S17)</f>
        <v>372</v>
      </c>
      <c r="F11" s="47">
        <f>SUM('BATS 2023'!T5,'BATS 2023'!T9,'BATS 2023'!T13,'BATS 2023'!T17)</f>
        <v>1192</v>
      </c>
      <c r="G11" s="47">
        <f>SUM('BATS 2023'!U5,'BATS 2023'!U9,'BATS 2023'!U13,'BATS 2023'!U17)</f>
        <v>4014</v>
      </c>
      <c r="H11" s="47">
        <f>SUM('BATS 2023'!V5,'BATS 2023'!V9,'BATS 2023'!V13,'BATS 2023'!V17)</f>
        <v>2246</v>
      </c>
      <c r="I11" s="47">
        <f>SUM('BATS 2023'!W5,'BATS 2023'!W9,'BATS 2023'!W13,'BATS 2023'!W17)</f>
        <v>2636</v>
      </c>
      <c r="J11" s="47">
        <f>SUM('BATS 2023'!X5,'BATS 2023'!X9,'BATS 2023'!X13,'BATS 2023'!X17)</f>
        <v>3682</v>
      </c>
      <c r="K11" s="47">
        <f>SUM('BATS 2023'!Y5,'BATS 2023'!Y9,'BATS 2023'!Y13,'BATS 2023'!Y17)</f>
        <v>552</v>
      </c>
      <c r="L11" s="47">
        <f>SUM('BATS 2023'!Z5,'BATS 2023'!Z9,'BATS 2023'!Z13,'BATS 2023'!Z17)</f>
        <v>274</v>
      </c>
      <c r="M11" s="48">
        <f>SUM('BATS 2023'!AA5,'BATS 2023'!AA9,'BATS 2023'!AA13,'BATS 2023'!AA17)</f>
        <v>7002</v>
      </c>
      <c r="O11" t="s">
        <v>28</v>
      </c>
      <c r="P11" s="46">
        <f>modeldata!C5+modeldata!C9+modeldata!C13+modeldata!C17</f>
        <v>0</v>
      </c>
      <c r="Q11" s="52">
        <f>modeldata!D5+modeldata!D9+modeldata!D13+modeldata!D17</f>
        <v>0</v>
      </c>
      <c r="R11" s="52">
        <f>modeldata!E5+modeldata!E9+modeldata!E13+modeldata!E17</f>
        <v>0</v>
      </c>
      <c r="S11" s="52">
        <f>modeldata!F5+modeldata!F9+modeldata!F13+modeldata!F17</f>
        <v>0</v>
      </c>
      <c r="T11" s="52">
        <f>modeldata!G5+modeldata!G9+modeldata!G13+modeldata!G17</f>
        <v>0</v>
      </c>
      <c r="U11" s="52">
        <f>modeldata!H5+modeldata!H9+modeldata!H13+modeldata!H17</f>
        <v>0</v>
      </c>
      <c r="V11" s="52">
        <f>modeldata!I5+modeldata!I9+modeldata!I13+modeldata!I17</f>
        <v>0</v>
      </c>
      <c r="W11" s="52">
        <f>modeldata!J5+modeldata!J9+modeldata!J13+modeldata!J17</f>
        <v>0</v>
      </c>
      <c r="X11" s="52">
        <f>modeldata!K5+modeldata!K9+modeldata!K13+modeldata!K17</f>
        <v>0</v>
      </c>
      <c r="Y11" s="52">
        <f>modeldata!L5+modeldata!L9+modeldata!L13+modeldata!L17</f>
        <v>0</v>
      </c>
      <c r="Z11" s="48">
        <f>modeldata!M5+modeldata!M9+modeldata!M13+modeldata!M17</f>
        <v>0</v>
      </c>
      <c r="AB11" t="s">
        <v>28</v>
      </c>
      <c r="AC11" s="6">
        <f>P11-C11</f>
        <v>-5898</v>
      </c>
      <c r="AD11">
        <f t="shared" si="23"/>
        <v>-110</v>
      </c>
      <c r="AE11">
        <f t="shared" si="24"/>
        <v>-372</v>
      </c>
      <c r="AF11">
        <f t="shared" si="25"/>
        <v>-1192</v>
      </c>
      <c r="AG11">
        <f t="shared" si="26"/>
        <v>-4014</v>
      </c>
      <c r="AH11">
        <f t="shared" si="27"/>
        <v>-2246</v>
      </c>
      <c r="AI11">
        <f t="shared" si="28"/>
        <v>-2636</v>
      </c>
      <c r="AJ11">
        <f t="shared" si="29"/>
        <v>-3682</v>
      </c>
      <c r="AK11">
        <f t="shared" si="30"/>
        <v>-552</v>
      </c>
      <c r="AL11">
        <f t="shared" si="31"/>
        <v>-274</v>
      </c>
      <c r="AM11" s="7">
        <f t="shared" si="32"/>
        <v>-7002</v>
      </c>
    </row>
    <row r="12" spans="1:39" x14ac:dyDescent="0.25">
      <c r="B12" t="s">
        <v>29</v>
      </c>
      <c r="C12" s="46">
        <f>SUM('BATS 2023'!Q6,'BATS 2023'!Q10,'BATS 2023'!Q14,'BATS 2023'!Q18)</f>
        <v>2110</v>
      </c>
      <c r="D12" s="47">
        <f>SUM('BATS 2023'!R6,'BATS 2023'!R10,'BATS 2023'!R14,'BATS 2023'!R18)</f>
        <v>34</v>
      </c>
      <c r="E12" s="47">
        <f>SUM('BATS 2023'!S6,'BATS 2023'!S10,'BATS 2023'!S14,'BATS 2023'!S18)</f>
        <v>120</v>
      </c>
      <c r="F12" s="47">
        <f>SUM('BATS 2023'!T6,'BATS 2023'!T10,'BATS 2023'!T14,'BATS 2023'!T18)</f>
        <v>130</v>
      </c>
      <c r="G12" s="47">
        <f>SUM('BATS 2023'!U6,'BATS 2023'!U10,'BATS 2023'!U14,'BATS 2023'!U18)</f>
        <v>1260</v>
      </c>
      <c r="H12" s="47">
        <f>SUM('BATS 2023'!V6,'BATS 2023'!V10,'BATS 2023'!V14,'BATS 2023'!V18)</f>
        <v>594</v>
      </c>
      <c r="I12" s="47">
        <f>SUM('BATS 2023'!W6,'BATS 2023'!W10,'BATS 2023'!W14,'BATS 2023'!W18)</f>
        <v>800</v>
      </c>
      <c r="J12" s="47">
        <f>SUM('BATS 2023'!X6,'BATS 2023'!X10,'BATS 2023'!X14,'BATS 2023'!X18)</f>
        <v>1022</v>
      </c>
      <c r="K12" s="47">
        <f>SUM('BATS 2023'!Y6,'BATS 2023'!Y10,'BATS 2023'!Y14,'BATS 2023'!Y18)</f>
        <v>144</v>
      </c>
      <c r="L12" s="47">
        <f>SUM('BATS 2023'!Z6,'BATS 2023'!Z10,'BATS 2023'!Z14,'BATS 2023'!Z18)</f>
        <v>46</v>
      </c>
      <c r="M12" s="48">
        <f>SUM('BATS 2023'!AA6,'BATS 2023'!AA10,'BATS 2023'!AA14,'BATS 2023'!AA18)</f>
        <v>1854</v>
      </c>
      <c r="O12" t="s">
        <v>29</v>
      </c>
      <c r="P12" s="46">
        <f>modeldata!C6+modeldata!C10+modeldata!C14+modeldata!C18</f>
        <v>0</v>
      </c>
      <c r="Q12" s="52">
        <f>modeldata!D6+modeldata!D10+modeldata!D14+modeldata!D18</f>
        <v>0</v>
      </c>
      <c r="R12" s="52">
        <f>modeldata!E6+modeldata!E10+modeldata!E14+modeldata!E18</f>
        <v>0</v>
      </c>
      <c r="S12" s="52">
        <f>modeldata!F6+modeldata!F10+modeldata!F14+modeldata!F18</f>
        <v>0</v>
      </c>
      <c r="T12" s="52">
        <f>modeldata!G6+modeldata!G10+modeldata!G14+modeldata!G18</f>
        <v>0</v>
      </c>
      <c r="U12" s="52">
        <f>modeldata!H6+modeldata!H10+modeldata!H14+modeldata!H18</f>
        <v>0</v>
      </c>
      <c r="V12" s="52">
        <f>modeldata!I6+modeldata!I10+modeldata!I14+modeldata!I18</f>
        <v>0</v>
      </c>
      <c r="W12" s="52">
        <f>modeldata!J6+modeldata!J10+modeldata!J14+modeldata!J18</f>
        <v>0</v>
      </c>
      <c r="X12" s="52">
        <f>modeldata!K6+modeldata!K10+modeldata!K14+modeldata!K18</f>
        <v>0</v>
      </c>
      <c r="Y12" s="52">
        <f>modeldata!L6+modeldata!L10+modeldata!L14+modeldata!L18</f>
        <v>0</v>
      </c>
      <c r="Z12" s="48">
        <f>modeldata!M6+modeldata!M10+modeldata!M14+modeldata!M18</f>
        <v>0</v>
      </c>
      <c r="AB12" t="s">
        <v>29</v>
      </c>
      <c r="AC12" s="6">
        <f t="shared" ref="AC12:AC14" si="33">P12-C12</f>
        <v>-2110</v>
      </c>
      <c r="AD12">
        <f t="shared" si="23"/>
        <v>-34</v>
      </c>
      <c r="AE12">
        <f t="shared" si="24"/>
        <v>-120</v>
      </c>
      <c r="AF12">
        <f t="shared" si="25"/>
        <v>-130</v>
      </c>
      <c r="AG12">
        <f t="shared" si="26"/>
        <v>-1260</v>
      </c>
      <c r="AH12">
        <f t="shared" si="27"/>
        <v>-594</v>
      </c>
      <c r="AI12">
        <f t="shared" si="28"/>
        <v>-800</v>
      </c>
      <c r="AJ12">
        <f t="shared" si="29"/>
        <v>-1022</v>
      </c>
      <c r="AK12">
        <f t="shared" si="30"/>
        <v>-144</v>
      </c>
      <c r="AL12">
        <f t="shared" si="31"/>
        <v>-46</v>
      </c>
      <c r="AM12" s="7">
        <f t="shared" si="32"/>
        <v>-1854</v>
      </c>
    </row>
    <row r="13" spans="1:39" x14ac:dyDescent="0.25">
      <c r="B13" t="s">
        <v>30</v>
      </c>
      <c r="C13" s="49">
        <f>SUM('BATS 2023'!Q7,'BATS 2023'!Q11,'BATS 2023'!Q15,'BATS 2023'!Q19)</f>
        <v>1358</v>
      </c>
      <c r="D13" s="50">
        <f>SUM('BATS 2023'!R7,'BATS 2023'!R11,'BATS 2023'!R15,'BATS 2023'!R19)</f>
        <v>8</v>
      </c>
      <c r="E13" s="50">
        <f>SUM('BATS 2023'!S7,'BATS 2023'!S11,'BATS 2023'!S15,'BATS 2023'!S19)</f>
        <v>56</v>
      </c>
      <c r="F13" s="50">
        <f>SUM('BATS 2023'!T7,'BATS 2023'!T11,'BATS 2023'!T15,'BATS 2023'!T19)</f>
        <v>70</v>
      </c>
      <c r="G13" s="50">
        <f>SUM('BATS 2023'!U7,'BATS 2023'!U11,'BATS 2023'!U15,'BATS 2023'!U19)</f>
        <v>704</v>
      </c>
      <c r="H13" s="50">
        <f>SUM('BATS 2023'!V7,'BATS 2023'!V11,'BATS 2023'!V15,'BATS 2023'!V19)</f>
        <v>464</v>
      </c>
      <c r="I13" s="50">
        <f>SUM('BATS 2023'!W7,'BATS 2023'!W11,'BATS 2023'!W15,'BATS 2023'!W19)</f>
        <v>622</v>
      </c>
      <c r="J13" s="50">
        <f>SUM('BATS 2023'!X7,'BATS 2023'!X11,'BATS 2023'!X15,'BATS 2023'!X19)</f>
        <v>518</v>
      </c>
      <c r="K13" s="50">
        <f>SUM('BATS 2023'!Y7,'BATS 2023'!Y11,'BATS 2023'!Y15,'BATS 2023'!Y19)</f>
        <v>102</v>
      </c>
      <c r="L13" s="50">
        <f>SUM('BATS 2023'!Z7,'BATS 2023'!Z11,'BATS 2023'!Z15,'BATS 2023'!Z19)</f>
        <v>24</v>
      </c>
      <c r="M13" s="51">
        <f>SUM('BATS 2023'!AA7,'BATS 2023'!AA11,'BATS 2023'!AA15,'BATS 2023'!AA19)</f>
        <v>702</v>
      </c>
      <c r="O13" t="s">
        <v>30</v>
      </c>
      <c r="P13" s="49">
        <f>modeldata!C7+modeldata!C11+modeldata!C15+modeldata!C19</f>
        <v>0</v>
      </c>
      <c r="Q13" s="50">
        <f>modeldata!D7+modeldata!D11+modeldata!D15+modeldata!D19</f>
        <v>0</v>
      </c>
      <c r="R13" s="50">
        <f>modeldata!E7+modeldata!E11+modeldata!E15+modeldata!E19</f>
        <v>0</v>
      </c>
      <c r="S13" s="50">
        <f>modeldata!F7+modeldata!F11+modeldata!F15+modeldata!F19</f>
        <v>0</v>
      </c>
      <c r="T13" s="50">
        <f>modeldata!G7+modeldata!G11+modeldata!G15+modeldata!G19</f>
        <v>0</v>
      </c>
      <c r="U13" s="50">
        <f>modeldata!H7+modeldata!H11+modeldata!H15+modeldata!H19</f>
        <v>0</v>
      </c>
      <c r="V13" s="50">
        <f>modeldata!I7+modeldata!I11+modeldata!I15+modeldata!I19</f>
        <v>0</v>
      </c>
      <c r="W13" s="50">
        <f>modeldata!J7+modeldata!J11+modeldata!J15+modeldata!J19</f>
        <v>0</v>
      </c>
      <c r="X13" s="50">
        <f>modeldata!K7+modeldata!K11+modeldata!K15+modeldata!K19</f>
        <v>0</v>
      </c>
      <c r="Y13" s="50">
        <f>modeldata!L7+modeldata!L11+modeldata!L15+modeldata!L19</f>
        <v>0</v>
      </c>
      <c r="Z13" s="51">
        <f>modeldata!M7+modeldata!M11+modeldata!M15+modeldata!M19</f>
        <v>0</v>
      </c>
      <c r="AB13" t="s">
        <v>30</v>
      </c>
      <c r="AC13" s="8">
        <f t="shared" si="33"/>
        <v>-1358</v>
      </c>
      <c r="AD13" s="9">
        <f t="shared" si="23"/>
        <v>-8</v>
      </c>
      <c r="AE13" s="9">
        <f t="shared" si="24"/>
        <v>-56</v>
      </c>
      <c r="AF13" s="9">
        <f t="shared" si="25"/>
        <v>-70</v>
      </c>
      <c r="AG13" s="9">
        <f t="shared" si="26"/>
        <v>-704</v>
      </c>
      <c r="AH13" s="9">
        <f t="shared" si="27"/>
        <v>-464</v>
      </c>
      <c r="AI13" s="9">
        <f t="shared" si="28"/>
        <v>-622</v>
      </c>
      <c r="AJ13" s="9">
        <f t="shared" si="29"/>
        <v>-518</v>
      </c>
      <c r="AK13" s="9">
        <f t="shared" si="30"/>
        <v>-102</v>
      </c>
      <c r="AL13" s="9">
        <f t="shared" si="31"/>
        <v>-24</v>
      </c>
      <c r="AM13" s="10">
        <f t="shared" si="32"/>
        <v>-702</v>
      </c>
    </row>
    <row r="14" spans="1:39" x14ac:dyDescent="0.25">
      <c r="B14" t="s">
        <v>39</v>
      </c>
      <c r="C14" s="52">
        <f>SUM(C10:C13)</f>
        <v>27204</v>
      </c>
      <c r="D14" s="52">
        <f t="shared" ref="D14:M14" si="34">SUM(D10:D13)</f>
        <v>582</v>
      </c>
      <c r="E14" s="52">
        <f t="shared" si="34"/>
        <v>2650</v>
      </c>
      <c r="F14" s="52">
        <f t="shared" si="34"/>
        <v>12970</v>
      </c>
      <c r="G14" s="52">
        <f t="shared" si="34"/>
        <v>21380</v>
      </c>
      <c r="H14" s="52">
        <f t="shared" si="34"/>
        <v>11018</v>
      </c>
      <c r="I14" s="52">
        <f t="shared" si="34"/>
        <v>15344</v>
      </c>
      <c r="J14" s="52">
        <f t="shared" si="34"/>
        <v>34292</v>
      </c>
      <c r="K14" s="52">
        <f t="shared" si="34"/>
        <v>4334</v>
      </c>
      <c r="L14" s="52">
        <f t="shared" si="34"/>
        <v>4048</v>
      </c>
      <c r="M14" s="52">
        <f t="shared" si="34"/>
        <v>46906</v>
      </c>
      <c r="O14" t="s">
        <v>39</v>
      </c>
      <c r="P14" s="52">
        <f>SUM(P10:P13)</f>
        <v>0</v>
      </c>
      <c r="Q14" s="52">
        <f t="shared" ref="Q14" si="35">SUM(Q10:Q13)</f>
        <v>0</v>
      </c>
      <c r="R14" s="52">
        <f t="shared" ref="R14" si="36">SUM(R10:R13)</f>
        <v>0</v>
      </c>
      <c r="S14" s="52">
        <f t="shared" ref="S14" si="37">SUM(S10:S13)</f>
        <v>0</v>
      </c>
      <c r="T14" s="52">
        <f t="shared" ref="T14" si="38">SUM(T10:T13)</f>
        <v>0</v>
      </c>
      <c r="U14" s="52">
        <f t="shared" ref="U14" si="39">SUM(U10:U13)</f>
        <v>0</v>
      </c>
      <c r="V14" s="52">
        <f t="shared" ref="V14" si="40">SUM(V10:V13)</f>
        <v>0</v>
      </c>
      <c r="W14" s="52">
        <f t="shared" ref="W14" si="41">SUM(W10:W13)</f>
        <v>0</v>
      </c>
      <c r="X14" s="52">
        <f t="shared" ref="X14" si="42">SUM(X10:X13)</f>
        <v>0</v>
      </c>
      <c r="Y14" s="52">
        <f t="shared" ref="Y14" si="43">SUM(Y10:Y13)</f>
        <v>0</v>
      </c>
      <c r="Z14" s="52">
        <f t="shared" ref="Z14" si="44">SUM(Z10:Z13)</f>
        <v>0</v>
      </c>
      <c r="AB14" t="s">
        <v>39</v>
      </c>
      <c r="AC14">
        <f t="shared" si="33"/>
        <v>-27204</v>
      </c>
      <c r="AD14">
        <f t="shared" si="23"/>
        <v>-582</v>
      </c>
      <c r="AE14">
        <f t="shared" si="24"/>
        <v>-2650</v>
      </c>
      <c r="AF14">
        <f t="shared" si="25"/>
        <v>-12970</v>
      </c>
      <c r="AG14">
        <f t="shared" si="26"/>
        <v>-21380</v>
      </c>
      <c r="AH14">
        <f t="shared" si="27"/>
        <v>-11018</v>
      </c>
      <c r="AI14">
        <f t="shared" si="28"/>
        <v>-15344</v>
      </c>
      <c r="AJ14">
        <f t="shared" si="29"/>
        <v>-34292</v>
      </c>
      <c r="AK14">
        <f t="shared" si="30"/>
        <v>-4334</v>
      </c>
      <c r="AL14">
        <f t="shared" si="31"/>
        <v>-4048</v>
      </c>
      <c r="AM14">
        <f t="shared" si="32"/>
        <v>-46906</v>
      </c>
    </row>
    <row r="15" spans="1:39" x14ac:dyDescent="0.25"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spans="1:39" x14ac:dyDescent="0.25">
      <c r="B16" t="s">
        <v>41</v>
      </c>
      <c r="C16" s="43">
        <f>'BATS 2023'!Q4</f>
        <v>13536</v>
      </c>
      <c r="D16" s="44">
        <f>'BATS 2023'!R4</f>
        <v>328</v>
      </c>
      <c r="E16" s="44">
        <f>'BATS 2023'!S4</f>
        <v>1936</v>
      </c>
      <c r="F16" s="44">
        <f>'BATS 2023'!T4</f>
        <v>10630</v>
      </c>
      <c r="G16" s="44">
        <f>'BATS 2023'!U4</f>
        <v>9868</v>
      </c>
      <c r="H16" s="44">
        <f>'BATS 2023'!V4</f>
        <v>6004</v>
      </c>
      <c r="I16" s="44">
        <f>'BATS 2023'!W4</f>
        <v>7624</v>
      </c>
      <c r="J16" s="44">
        <f>'BATS 2023'!X4</f>
        <v>24698</v>
      </c>
      <c r="K16" s="44">
        <f>'BATS 2023'!Y4</f>
        <v>2954</v>
      </c>
      <c r="L16" s="44">
        <f>'BATS 2023'!Z4</f>
        <v>3334</v>
      </c>
      <c r="M16" s="45">
        <f>'BATS 2023'!AA4</f>
        <v>29986</v>
      </c>
      <c r="O16" t="s">
        <v>41</v>
      </c>
      <c r="P16" s="43">
        <f>modeldata!C4</f>
        <v>0</v>
      </c>
      <c r="Q16" s="44">
        <f>modeldata!D4</f>
        <v>0</v>
      </c>
      <c r="R16" s="44">
        <f>modeldata!E4</f>
        <v>0</v>
      </c>
      <c r="S16" s="44">
        <f>modeldata!F4</f>
        <v>0</v>
      </c>
      <c r="T16" s="44">
        <f>modeldata!G4</f>
        <v>0</v>
      </c>
      <c r="U16" s="44">
        <f>modeldata!H4</f>
        <v>0</v>
      </c>
      <c r="V16" s="44">
        <f>modeldata!I4</f>
        <v>0</v>
      </c>
      <c r="W16" s="44">
        <f>modeldata!J4</f>
        <v>0</v>
      </c>
      <c r="X16" s="44">
        <f>modeldata!K4</f>
        <v>0</v>
      </c>
      <c r="Y16" s="44">
        <f>modeldata!L4</f>
        <v>0</v>
      </c>
      <c r="Z16" s="45">
        <f>modeldata!M4</f>
        <v>0</v>
      </c>
      <c r="AB16" t="s">
        <v>41</v>
      </c>
      <c r="AC16" s="3">
        <f>P16-C16</f>
        <v>-13536</v>
      </c>
      <c r="AD16" s="4">
        <f t="shared" ref="AD16:AD20" si="45">Q16-D16</f>
        <v>-328</v>
      </c>
      <c r="AE16" s="4">
        <f t="shared" ref="AE16:AE20" si="46">R16-E16</f>
        <v>-1936</v>
      </c>
      <c r="AF16" s="4">
        <f t="shared" ref="AF16:AF20" si="47">S16-F16</f>
        <v>-10630</v>
      </c>
      <c r="AG16" s="4">
        <f t="shared" ref="AG16:AG20" si="48">T16-G16</f>
        <v>-9868</v>
      </c>
      <c r="AH16" s="4">
        <f t="shared" ref="AH16:AH20" si="49">U16-H16</f>
        <v>-6004</v>
      </c>
      <c r="AI16" s="4">
        <f t="shared" ref="AI16:AI20" si="50">V16-I16</f>
        <v>-7624</v>
      </c>
      <c r="AJ16" s="4">
        <f t="shared" ref="AJ16:AJ20" si="51">W16-J16</f>
        <v>-24698</v>
      </c>
      <c r="AK16" s="4">
        <f t="shared" ref="AK16:AK20" si="52">X16-K16</f>
        <v>-2954</v>
      </c>
      <c r="AL16" s="4">
        <f t="shared" ref="AL16:AL20" si="53">Y16-L16</f>
        <v>-3334</v>
      </c>
      <c r="AM16" s="5">
        <f t="shared" ref="AM16:AM20" si="54">Z16-M16</f>
        <v>-29986</v>
      </c>
    </row>
    <row r="17" spans="1:39" x14ac:dyDescent="0.25">
      <c r="B17" t="s">
        <v>35</v>
      </c>
      <c r="C17" s="46">
        <f>'BATS 2023'!Q5+'BATS 2023'!Q8</f>
        <v>6512</v>
      </c>
      <c r="D17" s="47">
        <f>'BATS 2023'!R5+'BATS 2023'!R8</f>
        <v>166</v>
      </c>
      <c r="E17" s="47">
        <f>'BATS 2023'!S5+'BATS 2023'!S8</f>
        <v>442</v>
      </c>
      <c r="F17" s="47">
        <f>'BATS 2023'!T5+'BATS 2023'!T8</f>
        <v>1704</v>
      </c>
      <c r="G17" s="47">
        <f>'BATS 2023'!U5+'BATS 2023'!U8</f>
        <v>5386</v>
      </c>
      <c r="H17" s="47">
        <f>'BATS 2023'!V5+'BATS 2023'!V8</f>
        <v>2674</v>
      </c>
      <c r="I17" s="47">
        <f>'BATS 2023'!W5+'BATS 2023'!W8</f>
        <v>3444</v>
      </c>
      <c r="J17" s="47">
        <f>'BATS 2023'!X5+'BATS 2023'!X8</f>
        <v>4744</v>
      </c>
      <c r="K17" s="47">
        <f>'BATS 2023'!Y5+'BATS 2023'!Y8</f>
        <v>676</v>
      </c>
      <c r="L17" s="47">
        <f>'BATS 2023'!Z5+'BATS 2023'!Z8</f>
        <v>474</v>
      </c>
      <c r="M17" s="48">
        <f>'BATS 2023'!AA5+'BATS 2023'!AA8</f>
        <v>9286</v>
      </c>
      <c r="O17" t="s">
        <v>35</v>
      </c>
      <c r="P17" s="46">
        <f>modeldata!C5+modeldata!C8</f>
        <v>0</v>
      </c>
      <c r="Q17" s="52">
        <f>modeldata!D5+modeldata!D8</f>
        <v>0</v>
      </c>
      <c r="R17" s="52">
        <f>modeldata!E5+modeldata!E8</f>
        <v>0</v>
      </c>
      <c r="S17" s="52">
        <f>modeldata!F5+modeldata!F8</f>
        <v>0</v>
      </c>
      <c r="T17" s="52">
        <f>modeldata!G5+modeldata!G8</f>
        <v>0</v>
      </c>
      <c r="U17" s="52">
        <f>modeldata!H5+modeldata!H8</f>
        <v>0</v>
      </c>
      <c r="V17" s="52">
        <f>modeldata!I5+modeldata!I8</f>
        <v>0</v>
      </c>
      <c r="W17" s="52">
        <f>modeldata!J5+modeldata!J8</f>
        <v>0</v>
      </c>
      <c r="X17" s="52">
        <f>modeldata!K5+modeldata!K8</f>
        <v>0</v>
      </c>
      <c r="Y17" s="52">
        <f>modeldata!L5+modeldata!L8</f>
        <v>0</v>
      </c>
      <c r="Z17" s="48">
        <f>modeldata!M5+modeldata!M8</f>
        <v>0</v>
      </c>
      <c r="AB17" t="s">
        <v>35</v>
      </c>
      <c r="AC17" s="6">
        <f>P17-C17</f>
        <v>-6512</v>
      </c>
      <c r="AD17">
        <f t="shared" si="45"/>
        <v>-166</v>
      </c>
      <c r="AE17">
        <f t="shared" si="46"/>
        <v>-442</v>
      </c>
      <c r="AF17">
        <f t="shared" si="47"/>
        <v>-1704</v>
      </c>
      <c r="AG17">
        <f t="shared" si="48"/>
        <v>-5386</v>
      </c>
      <c r="AH17">
        <f t="shared" si="49"/>
        <v>-2674</v>
      </c>
      <c r="AI17">
        <f t="shared" si="50"/>
        <v>-3444</v>
      </c>
      <c r="AJ17">
        <f t="shared" si="51"/>
        <v>-4744</v>
      </c>
      <c r="AK17">
        <f t="shared" si="52"/>
        <v>-676</v>
      </c>
      <c r="AL17">
        <f t="shared" si="53"/>
        <v>-474</v>
      </c>
      <c r="AM17" s="7">
        <f t="shared" si="54"/>
        <v>-9286</v>
      </c>
    </row>
    <row r="18" spans="1:39" x14ac:dyDescent="0.25">
      <c r="B18" t="s">
        <v>36</v>
      </c>
      <c r="C18" s="46">
        <f>SUM('BATS 2023'!Q6,'BATS 2023'!Q12,'BATS 2023'!Q9)</f>
        <v>3440</v>
      </c>
      <c r="D18" s="47">
        <f>SUM('BATS 2023'!R6,'BATS 2023'!R12,'BATS 2023'!R9)</f>
        <v>40</v>
      </c>
      <c r="E18" s="47">
        <f>SUM('BATS 2023'!S6,'BATS 2023'!S12,'BATS 2023'!S9)</f>
        <v>156</v>
      </c>
      <c r="F18" s="47">
        <f>SUM('BATS 2023'!T6,'BATS 2023'!T12,'BATS 2023'!T9)</f>
        <v>406</v>
      </c>
      <c r="G18" s="47">
        <f>SUM('BATS 2023'!U6,'BATS 2023'!U12,'BATS 2023'!U9)</f>
        <v>2858</v>
      </c>
      <c r="H18" s="47">
        <f>SUM('BATS 2023'!V6,'BATS 2023'!V12,'BATS 2023'!V9)</f>
        <v>1272</v>
      </c>
      <c r="I18" s="47">
        <f>SUM('BATS 2023'!W6,'BATS 2023'!W12,'BATS 2023'!W9)</f>
        <v>1844</v>
      </c>
      <c r="J18" s="47">
        <f>SUM('BATS 2023'!X6,'BATS 2023'!X12,'BATS 2023'!X9)</f>
        <v>2696</v>
      </c>
      <c r="K18" s="47">
        <f>SUM('BATS 2023'!Y6,'BATS 2023'!Y12,'BATS 2023'!Y9)</f>
        <v>350</v>
      </c>
      <c r="L18" s="47">
        <f>SUM('BATS 2023'!Z6,'BATS 2023'!Z12,'BATS 2023'!Z9)</f>
        <v>132</v>
      </c>
      <c r="M18" s="48">
        <f>SUM('BATS 2023'!AA6,'BATS 2023'!AA12,'BATS 2023'!AA9)</f>
        <v>4416</v>
      </c>
      <c r="O18" t="s">
        <v>36</v>
      </c>
      <c r="P18" s="46">
        <f>modeldata!C6+modeldata!C9+modeldata!C12</f>
        <v>0</v>
      </c>
      <c r="Q18" s="52">
        <f>modeldata!D6+modeldata!D9+modeldata!D12</f>
        <v>0</v>
      </c>
      <c r="R18" s="52">
        <f>modeldata!E6+modeldata!E9+modeldata!E12</f>
        <v>0</v>
      </c>
      <c r="S18" s="52">
        <f>modeldata!F6+modeldata!F9+modeldata!F12</f>
        <v>0</v>
      </c>
      <c r="T18" s="52">
        <f>modeldata!G6+modeldata!G9+modeldata!G12</f>
        <v>0</v>
      </c>
      <c r="U18" s="52">
        <f>modeldata!H6+modeldata!H9+modeldata!H12</f>
        <v>0</v>
      </c>
      <c r="V18" s="52">
        <f>modeldata!I6+modeldata!I9+modeldata!I12</f>
        <v>0</v>
      </c>
      <c r="W18" s="52">
        <f>modeldata!J6+modeldata!J9+modeldata!J12</f>
        <v>0</v>
      </c>
      <c r="X18" s="52">
        <f>modeldata!K6+modeldata!K9+modeldata!K12</f>
        <v>0</v>
      </c>
      <c r="Y18" s="52">
        <f>modeldata!L6+modeldata!L9+modeldata!L12</f>
        <v>0</v>
      </c>
      <c r="Z18" s="48">
        <f>modeldata!M6+modeldata!M9+modeldata!M12</f>
        <v>0</v>
      </c>
      <c r="AB18" t="s">
        <v>36</v>
      </c>
      <c r="AC18" s="6">
        <f t="shared" ref="AC18:AC20" si="55">P18-C18</f>
        <v>-3440</v>
      </c>
      <c r="AD18">
        <f t="shared" si="45"/>
        <v>-40</v>
      </c>
      <c r="AE18">
        <f t="shared" si="46"/>
        <v>-156</v>
      </c>
      <c r="AF18">
        <f t="shared" si="47"/>
        <v>-406</v>
      </c>
      <c r="AG18">
        <f t="shared" si="48"/>
        <v>-2858</v>
      </c>
      <c r="AH18">
        <f t="shared" si="49"/>
        <v>-1272</v>
      </c>
      <c r="AI18">
        <f t="shared" si="50"/>
        <v>-1844</v>
      </c>
      <c r="AJ18">
        <f t="shared" si="51"/>
        <v>-2696</v>
      </c>
      <c r="AK18">
        <f t="shared" si="52"/>
        <v>-350</v>
      </c>
      <c r="AL18">
        <f t="shared" si="53"/>
        <v>-132</v>
      </c>
      <c r="AM18" s="7">
        <f t="shared" si="54"/>
        <v>-4416</v>
      </c>
    </row>
    <row r="19" spans="1:39" x14ac:dyDescent="0.25">
      <c r="B19" t="s">
        <v>37</v>
      </c>
      <c r="C19" s="46">
        <f>SUM('BATS 2023'!Q7,'BATS 2023'!Q10,'BATS 2023'!Q13,'BATS 2023'!Q16)</f>
        <v>2368</v>
      </c>
      <c r="D19" s="47">
        <f>SUM('BATS 2023'!R7,'BATS 2023'!R10,'BATS 2023'!R13,'BATS 2023'!R16)</f>
        <v>36</v>
      </c>
      <c r="E19" s="47">
        <f>SUM('BATS 2023'!S7,'BATS 2023'!S10,'BATS 2023'!S13,'BATS 2023'!S16)</f>
        <v>86</v>
      </c>
      <c r="F19" s="47">
        <f>SUM('BATS 2023'!T7,'BATS 2023'!T10,'BATS 2023'!T13,'BATS 2023'!T16)</f>
        <v>172</v>
      </c>
      <c r="G19" s="47">
        <f>SUM('BATS 2023'!U7,'BATS 2023'!U10,'BATS 2023'!U13,'BATS 2023'!U16)</f>
        <v>2184</v>
      </c>
      <c r="H19" s="47">
        <f>SUM('BATS 2023'!V7,'BATS 2023'!V10,'BATS 2023'!V13,'BATS 2023'!V16)</f>
        <v>736</v>
      </c>
      <c r="I19" s="47">
        <f>SUM('BATS 2023'!W7,'BATS 2023'!W10,'BATS 2023'!W13,'BATS 2023'!W16)</f>
        <v>1564</v>
      </c>
      <c r="J19" s="47">
        <f>SUM('BATS 2023'!X7,'BATS 2023'!X10,'BATS 2023'!X13,'BATS 2023'!X16)</f>
        <v>1512</v>
      </c>
      <c r="K19" s="47">
        <f>SUM('BATS 2023'!Y7,'BATS 2023'!Y10,'BATS 2023'!Y13,'BATS 2023'!Y16)</f>
        <v>240</v>
      </c>
      <c r="L19" s="47">
        <f>SUM('BATS 2023'!Z7,'BATS 2023'!Z10,'BATS 2023'!Z13,'BATS 2023'!Z16)</f>
        <v>66</v>
      </c>
      <c r="M19" s="48">
        <f>SUM('BATS 2023'!AA7,'BATS 2023'!AA10,'BATS 2023'!AA13,'BATS 2023'!AA16)</f>
        <v>2374</v>
      </c>
      <c r="O19" t="s">
        <v>37</v>
      </c>
      <c r="P19" s="46">
        <f>modeldata!C7+modeldata!C10+modeldata!C13+modeldata!C16</f>
        <v>0</v>
      </c>
      <c r="Q19" s="52">
        <f>modeldata!D7+modeldata!D10+modeldata!D13+modeldata!D16</f>
        <v>0</v>
      </c>
      <c r="R19" s="52">
        <f>modeldata!E7+modeldata!E10+modeldata!E13+modeldata!E16</f>
        <v>0</v>
      </c>
      <c r="S19" s="52">
        <f>modeldata!F7+modeldata!F10+modeldata!F13+modeldata!F16</f>
        <v>0</v>
      </c>
      <c r="T19" s="52">
        <f>modeldata!G7+modeldata!G10+modeldata!G13+modeldata!G16</f>
        <v>0</v>
      </c>
      <c r="U19" s="52">
        <f>modeldata!H7+modeldata!H10+modeldata!H13+modeldata!H16</f>
        <v>0</v>
      </c>
      <c r="V19" s="52">
        <f>modeldata!I7+modeldata!I10+modeldata!I13+modeldata!I16</f>
        <v>0</v>
      </c>
      <c r="W19" s="52">
        <f>modeldata!J7+modeldata!J10+modeldata!J13+modeldata!J16</f>
        <v>0</v>
      </c>
      <c r="X19" s="52">
        <f>modeldata!K7+modeldata!K10+modeldata!K13+modeldata!K16</f>
        <v>0</v>
      </c>
      <c r="Y19" s="52">
        <f>modeldata!L7+modeldata!L10+modeldata!L13+modeldata!L16</f>
        <v>0</v>
      </c>
      <c r="Z19" s="48">
        <f>modeldata!M7+modeldata!M10+modeldata!M13+modeldata!M16</f>
        <v>0</v>
      </c>
      <c r="AB19" t="s">
        <v>37</v>
      </c>
      <c r="AC19" s="6">
        <f t="shared" si="55"/>
        <v>-2368</v>
      </c>
      <c r="AD19">
        <f t="shared" si="45"/>
        <v>-36</v>
      </c>
      <c r="AE19">
        <f t="shared" si="46"/>
        <v>-86</v>
      </c>
      <c r="AF19">
        <f t="shared" si="47"/>
        <v>-172</v>
      </c>
      <c r="AG19">
        <f t="shared" si="48"/>
        <v>-2184</v>
      </c>
      <c r="AH19">
        <f t="shared" si="49"/>
        <v>-736</v>
      </c>
      <c r="AI19">
        <f t="shared" si="50"/>
        <v>-1564</v>
      </c>
      <c r="AJ19">
        <f t="shared" si="51"/>
        <v>-1512</v>
      </c>
      <c r="AK19">
        <f t="shared" si="52"/>
        <v>-240</v>
      </c>
      <c r="AL19">
        <f t="shared" si="53"/>
        <v>-66</v>
      </c>
      <c r="AM19" s="7">
        <f t="shared" si="54"/>
        <v>-2374</v>
      </c>
    </row>
    <row r="20" spans="1:39" x14ac:dyDescent="0.25">
      <c r="B20" t="s">
        <v>42</v>
      </c>
      <c r="C20" s="46">
        <f>SUM('BATS 2023'!Q11,'BATS 2023'!Q14,'BATS 2023'!Q17)</f>
        <v>846</v>
      </c>
      <c r="D20" s="47">
        <f>SUM('BATS 2023'!R11,'BATS 2023'!R14,'BATS 2023'!R17)</f>
        <v>2</v>
      </c>
      <c r="E20" s="47">
        <f>SUM('BATS 2023'!S11,'BATS 2023'!S14,'BATS 2023'!S17)</f>
        <v>26</v>
      </c>
      <c r="F20" s="47">
        <f>SUM('BATS 2023'!T11,'BATS 2023'!T14,'BATS 2023'!T17)</f>
        <v>38</v>
      </c>
      <c r="G20" s="47">
        <f>SUM('BATS 2023'!U11,'BATS 2023'!U14,'BATS 2023'!U17)</f>
        <v>714</v>
      </c>
      <c r="H20" s="47">
        <f>SUM('BATS 2023'!V11,'BATS 2023'!V14,'BATS 2023'!V17)</f>
        <v>226</v>
      </c>
      <c r="I20" s="47">
        <f>SUM('BATS 2023'!W11,'BATS 2023'!W14,'BATS 2023'!W17)</f>
        <v>576</v>
      </c>
      <c r="J20" s="47">
        <f>SUM('BATS 2023'!X11,'BATS 2023'!X14,'BATS 2023'!X17)</f>
        <v>430</v>
      </c>
      <c r="K20" s="47">
        <f>SUM('BATS 2023'!Y11,'BATS 2023'!Y14,'BATS 2023'!Y17)</f>
        <v>58</v>
      </c>
      <c r="L20" s="47">
        <f>SUM('BATS 2023'!Z11,'BATS 2023'!Z14,'BATS 2023'!Z17)</f>
        <v>22</v>
      </c>
      <c r="M20" s="48">
        <f>SUM('BATS 2023'!AA11,'BATS 2023'!AA14,'BATS 2023'!AA17)</f>
        <v>702</v>
      </c>
      <c r="O20" t="s">
        <v>42</v>
      </c>
      <c r="P20" s="46">
        <f>modeldata!C11+modeldata!C14+modeldata!C17</f>
        <v>0</v>
      </c>
      <c r="Q20" s="52">
        <f>modeldata!D11+modeldata!D14+modeldata!D17</f>
        <v>0</v>
      </c>
      <c r="R20" s="52">
        <f>modeldata!E11+modeldata!E14+modeldata!E17</f>
        <v>0</v>
      </c>
      <c r="S20" s="52">
        <f>modeldata!F11+modeldata!F14+modeldata!F17</f>
        <v>0</v>
      </c>
      <c r="T20" s="52">
        <f>modeldata!G11+modeldata!G14+modeldata!G17</f>
        <v>0</v>
      </c>
      <c r="U20" s="52">
        <f>modeldata!H11+modeldata!H14+modeldata!H17</f>
        <v>0</v>
      </c>
      <c r="V20" s="52">
        <f>modeldata!I11+modeldata!I14+modeldata!I17</f>
        <v>0</v>
      </c>
      <c r="W20" s="52">
        <f>modeldata!J11+modeldata!J14+modeldata!J17</f>
        <v>0</v>
      </c>
      <c r="X20" s="52">
        <f>modeldata!K11+modeldata!K14+modeldata!K17</f>
        <v>0</v>
      </c>
      <c r="Y20" s="52">
        <f>modeldata!L11+modeldata!L14+modeldata!L17</f>
        <v>0</v>
      </c>
      <c r="Z20" s="48">
        <f>modeldata!M11+modeldata!M14+modeldata!M17</f>
        <v>0</v>
      </c>
      <c r="AB20" t="s">
        <v>42</v>
      </c>
      <c r="AC20" s="6">
        <f t="shared" si="55"/>
        <v>-846</v>
      </c>
      <c r="AD20">
        <f t="shared" si="45"/>
        <v>-2</v>
      </c>
      <c r="AE20">
        <f t="shared" si="46"/>
        <v>-26</v>
      </c>
      <c r="AF20">
        <f t="shared" si="47"/>
        <v>-38</v>
      </c>
      <c r="AG20">
        <f t="shared" si="48"/>
        <v>-714</v>
      </c>
      <c r="AH20">
        <f t="shared" si="49"/>
        <v>-226</v>
      </c>
      <c r="AI20">
        <f t="shared" si="50"/>
        <v>-576</v>
      </c>
      <c r="AJ20">
        <f t="shared" si="51"/>
        <v>-430</v>
      </c>
      <c r="AK20">
        <f t="shared" si="52"/>
        <v>-58</v>
      </c>
      <c r="AL20">
        <f t="shared" si="53"/>
        <v>-22</v>
      </c>
      <c r="AM20" s="7">
        <f t="shared" si="54"/>
        <v>-702</v>
      </c>
    </row>
    <row r="21" spans="1:39" x14ac:dyDescent="0.25">
      <c r="B21" t="s">
        <v>43</v>
      </c>
      <c r="C21" s="46">
        <f>SUM('BATS 2023'!Q15,'BATS 2023'!Q18)</f>
        <v>348</v>
      </c>
      <c r="D21" s="47">
        <f>SUM('BATS 2023'!R15,'BATS 2023'!R18)</f>
        <v>6</v>
      </c>
      <c r="E21" s="47">
        <f>SUM('BATS 2023'!S15,'BATS 2023'!S18)</f>
        <v>2</v>
      </c>
      <c r="F21" s="47">
        <f>SUM('BATS 2023'!T15,'BATS 2023'!T18)</f>
        <v>14</v>
      </c>
      <c r="G21" s="47">
        <f>SUM('BATS 2023'!U15,'BATS 2023'!U18)</f>
        <v>270</v>
      </c>
      <c r="H21" s="47">
        <f>SUM('BATS 2023'!V15,'BATS 2023'!V18)</f>
        <v>64</v>
      </c>
      <c r="I21" s="47">
        <f>SUM('BATS 2023'!W15,'BATS 2023'!W18)</f>
        <v>194</v>
      </c>
      <c r="J21" s="47">
        <f>SUM('BATS 2023'!X15,'BATS 2023'!X18)</f>
        <v>156</v>
      </c>
      <c r="K21" s="47">
        <f>SUM('BATS 2023'!Y15,'BATS 2023'!Y18)</f>
        <v>38</v>
      </c>
      <c r="L21" s="47">
        <f>SUM('BATS 2023'!Z15,'BATS 2023'!Z18)</f>
        <v>12</v>
      </c>
      <c r="M21" s="48">
        <f>SUM('BATS 2023'!AA15,'BATS 2023'!AA18)</f>
        <v>92</v>
      </c>
      <c r="O21" t="s">
        <v>43</v>
      </c>
      <c r="P21" s="46">
        <f>modeldata!C15+modeldata!C18</f>
        <v>0</v>
      </c>
      <c r="Q21" s="52">
        <f>modeldata!D15+modeldata!D18</f>
        <v>0</v>
      </c>
      <c r="R21" s="52">
        <f>modeldata!E15+modeldata!E18</f>
        <v>0</v>
      </c>
      <c r="S21" s="52">
        <f>modeldata!F15+modeldata!F18</f>
        <v>0</v>
      </c>
      <c r="T21" s="52">
        <f>modeldata!G15+modeldata!G18</f>
        <v>0</v>
      </c>
      <c r="U21" s="52">
        <f>modeldata!H15+modeldata!H18</f>
        <v>0</v>
      </c>
      <c r="V21" s="52">
        <f>modeldata!I15+modeldata!I18</f>
        <v>0</v>
      </c>
      <c r="W21" s="52">
        <f>modeldata!J15+modeldata!J18</f>
        <v>0</v>
      </c>
      <c r="X21" s="52">
        <f>modeldata!K15+modeldata!K18</f>
        <v>0</v>
      </c>
      <c r="Y21" s="52">
        <f>modeldata!L15+modeldata!L18</f>
        <v>0</v>
      </c>
      <c r="Z21" s="48">
        <f>modeldata!M15+modeldata!M18</f>
        <v>0</v>
      </c>
      <c r="AB21" t="s">
        <v>43</v>
      </c>
      <c r="AC21" s="6">
        <f>P21-C21</f>
        <v>-348</v>
      </c>
      <c r="AD21">
        <f t="shared" ref="AD21:AD23" si="56">Q21-D21</f>
        <v>-6</v>
      </c>
      <c r="AE21">
        <f t="shared" ref="AE21:AE23" si="57">R21-E21</f>
        <v>-2</v>
      </c>
      <c r="AF21">
        <f t="shared" ref="AF21:AF23" si="58">S21-F21</f>
        <v>-14</v>
      </c>
      <c r="AG21">
        <f t="shared" ref="AG21:AG23" si="59">T21-G21</f>
        <v>-270</v>
      </c>
      <c r="AH21">
        <f t="shared" ref="AH21:AH23" si="60">U21-H21</f>
        <v>-64</v>
      </c>
      <c r="AI21">
        <f t="shared" ref="AI21:AI23" si="61">V21-I21</f>
        <v>-194</v>
      </c>
      <c r="AJ21">
        <f t="shared" ref="AJ21:AJ23" si="62">W21-J21</f>
        <v>-156</v>
      </c>
      <c r="AK21">
        <f t="shared" ref="AK21:AK23" si="63">X21-K21</f>
        <v>-38</v>
      </c>
      <c r="AL21">
        <f t="shared" ref="AL21:AL23" si="64">Y21-L21</f>
        <v>-12</v>
      </c>
      <c r="AM21" s="7">
        <f t="shared" ref="AM21:AM23" si="65">Z21-M21</f>
        <v>-92</v>
      </c>
    </row>
    <row r="22" spans="1:39" x14ac:dyDescent="0.25">
      <c r="B22" t="s">
        <v>38</v>
      </c>
      <c r="C22" s="49">
        <f>'BATS 2023'!Q19</f>
        <v>154</v>
      </c>
      <c r="D22" s="50">
        <f>'BATS 2023'!R19</f>
        <v>4</v>
      </c>
      <c r="E22" s="50">
        <f>'BATS 2023'!S19</f>
        <v>2</v>
      </c>
      <c r="F22" s="50">
        <f>'BATS 2023'!T19</f>
        <v>6</v>
      </c>
      <c r="G22" s="50">
        <f>'BATS 2023'!U19</f>
        <v>100</v>
      </c>
      <c r="H22" s="50">
        <f>'BATS 2023'!V19</f>
        <v>42</v>
      </c>
      <c r="I22" s="50">
        <f>'BATS 2023'!W19</f>
        <v>98</v>
      </c>
      <c r="J22" s="50">
        <f>'BATS 2023'!X19</f>
        <v>56</v>
      </c>
      <c r="K22" s="50">
        <f>'BATS 2023'!Y19</f>
        <v>18</v>
      </c>
      <c r="L22" s="50">
        <f>'BATS 2023'!Z19</f>
        <v>8</v>
      </c>
      <c r="M22" s="51">
        <f>'BATS 2023'!AA19</f>
        <v>50</v>
      </c>
      <c r="O22" t="s">
        <v>38</v>
      </c>
      <c r="P22" s="49">
        <f>modeldata!C19</f>
        <v>0</v>
      </c>
      <c r="Q22" s="50">
        <f>modeldata!D19</f>
        <v>0</v>
      </c>
      <c r="R22" s="50">
        <f>modeldata!E19</f>
        <v>0</v>
      </c>
      <c r="S22" s="50">
        <f>modeldata!F19</f>
        <v>0</v>
      </c>
      <c r="T22" s="50">
        <f>modeldata!G19</f>
        <v>0</v>
      </c>
      <c r="U22" s="50">
        <f>modeldata!H19</f>
        <v>0</v>
      </c>
      <c r="V22" s="50">
        <f>modeldata!I19</f>
        <v>0</v>
      </c>
      <c r="W22" s="50">
        <f>modeldata!J19</f>
        <v>0</v>
      </c>
      <c r="X22" s="50">
        <f>modeldata!K19</f>
        <v>0</v>
      </c>
      <c r="Y22" s="50">
        <f>modeldata!L19</f>
        <v>0</v>
      </c>
      <c r="Z22" s="51">
        <f>modeldata!M19</f>
        <v>0</v>
      </c>
      <c r="AB22" t="s">
        <v>38</v>
      </c>
      <c r="AC22" s="8">
        <f>P22-C22</f>
        <v>-154</v>
      </c>
      <c r="AD22" s="9">
        <f t="shared" si="56"/>
        <v>-4</v>
      </c>
      <c r="AE22" s="9">
        <f t="shared" si="57"/>
        <v>-2</v>
      </c>
      <c r="AF22" s="9">
        <f t="shared" si="58"/>
        <v>-6</v>
      </c>
      <c r="AG22" s="9">
        <f t="shared" si="59"/>
        <v>-100</v>
      </c>
      <c r="AH22" s="9">
        <f t="shared" si="60"/>
        <v>-42</v>
      </c>
      <c r="AI22" s="9">
        <f t="shared" si="61"/>
        <v>-98</v>
      </c>
      <c r="AJ22" s="9">
        <f t="shared" si="62"/>
        <v>-56</v>
      </c>
      <c r="AK22" s="9">
        <f t="shared" si="63"/>
        <v>-18</v>
      </c>
      <c r="AL22" s="9">
        <f t="shared" si="64"/>
        <v>-8</v>
      </c>
      <c r="AM22" s="10">
        <f t="shared" si="65"/>
        <v>-50</v>
      </c>
    </row>
    <row r="23" spans="1:39" x14ac:dyDescent="0.25">
      <c r="B23" t="s">
        <v>39</v>
      </c>
      <c r="C23" s="52">
        <f>SUM(C16:C22)</f>
        <v>27204</v>
      </c>
      <c r="D23" s="52">
        <f t="shared" ref="D23:M23" si="66">SUM(D16:D22)</f>
        <v>582</v>
      </c>
      <c r="E23" s="52">
        <f t="shared" si="66"/>
        <v>2650</v>
      </c>
      <c r="F23" s="52">
        <f t="shared" si="66"/>
        <v>12970</v>
      </c>
      <c r="G23" s="52">
        <f t="shared" si="66"/>
        <v>21380</v>
      </c>
      <c r="H23" s="52">
        <f t="shared" si="66"/>
        <v>11018</v>
      </c>
      <c r="I23" s="52">
        <f t="shared" si="66"/>
        <v>15344</v>
      </c>
      <c r="J23" s="52">
        <f t="shared" si="66"/>
        <v>34292</v>
      </c>
      <c r="K23" s="52">
        <f t="shared" si="66"/>
        <v>4334</v>
      </c>
      <c r="L23" s="52">
        <f t="shared" si="66"/>
        <v>4048</v>
      </c>
      <c r="M23" s="52">
        <f t="shared" si="66"/>
        <v>46906</v>
      </c>
      <c r="O23" t="s">
        <v>39</v>
      </c>
      <c r="P23" s="52">
        <f>SUM(P16:P22)</f>
        <v>0</v>
      </c>
      <c r="Q23" s="52">
        <f t="shared" ref="Q23" si="67">SUM(Q16:Q22)</f>
        <v>0</v>
      </c>
      <c r="R23" s="52">
        <f t="shared" ref="R23" si="68">SUM(R16:R22)</f>
        <v>0</v>
      </c>
      <c r="S23" s="52">
        <f t="shared" ref="S23" si="69">SUM(S16:S22)</f>
        <v>0</v>
      </c>
      <c r="T23" s="52">
        <f t="shared" ref="T23" si="70">SUM(T16:T22)</f>
        <v>0</v>
      </c>
      <c r="U23" s="52">
        <f t="shared" ref="U23" si="71">SUM(U16:U22)</f>
        <v>0</v>
      </c>
      <c r="V23" s="52">
        <f t="shared" ref="V23" si="72">SUM(V16:V22)</f>
        <v>0</v>
      </c>
      <c r="W23" s="52">
        <f t="shared" ref="W23" si="73">SUM(W16:W22)</f>
        <v>0</v>
      </c>
      <c r="X23" s="52">
        <f t="shared" ref="X23" si="74">SUM(X16:X22)</f>
        <v>0</v>
      </c>
      <c r="Y23" s="52">
        <f t="shared" ref="Y23" si="75">SUM(Y16:Y22)</f>
        <v>0</v>
      </c>
      <c r="Z23" s="52">
        <f t="shared" ref="Z23" si="76">SUM(Z16:Z22)</f>
        <v>0</v>
      </c>
      <c r="AB23" t="s">
        <v>39</v>
      </c>
      <c r="AC23">
        <f t="shared" ref="AC23" si="77">P23-C23</f>
        <v>-27204</v>
      </c>
      <c r="AD23">
        <f t="shared" si="56"/>
        <v>-582</v>
      </c>
      <c r="AE23">
        <f t="shared" si="57"/>
        <v>-2650</v>
      </c>
      <c r="AF23">
        <f t="shared" si="58"/>
        <v>-12970</v>
      </c>
      <c r="AG23">
        <f t="shared" si="59"/>
        <v>-21380</v>
      </c>
      <c r="AH23">
        <f t="shared" si="60"/>
        <v>-11018</v>
      </c>
      <c r="AI23">
        <f t="shared" si="61"/>
        <v>-15344</v>
      </c>
      <c r="AJ23">
        <f t="shared" si="62"/>
        <v>-34292</v>
      </c>
      <c r="AK23">
        <f t="shared" si="63"/>
        <v>-4334</v>
      </c>
      <c r="AL23">
        <f t="shared" si="64"/>
        <v>-4048</v>
      </c>
      <c r="AM23">
        <f t="shared" si="65"/>
        <v>-46906</v>
      </c>
    </row>
    <row r="25" spans="1:39" x14ac:dyDescent="0.25">
      <c r="A25" s="12"/>
      <c r="B25" s="12" t="s">
        <v>44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 t="s">
        <v>45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 t="s">
        <v>47</v>
      </c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</row>
    <row r="26" spans="1:39" x14ac:dyDescent="0.25">
      <c r="C26" t="s">
        <v>0</v>
      </c>
      <c r="D26" t="s">
        <v>1</v>
      </c>
      <c r="E26" t="s">
        <v>2</v>
      </c>
      <c r="F26" t="s">
        <v>3</v>
      </c>
      <c r="G26" t="s">
        <v>4</v>
      </c>
      <c r="H26" t="s">
        <v>5</v>
      </c>
      <c r="I26" t="s">
        <v>6</v>
      </c>
      <c r="J26" t="s">
        <v>7</v>
      </c>
      <c r="K26" t="s">
        <v>8</v>
      </c>
      <c r="L26" t="s">
        <v>9</v>
      </c>
      <c r="M26" t="s">
        <v>10</v>
      </c>
      <c r="P26" t="s">
        <v>0</v>
      </c>
      <c r="Q26" t="s">
        <v>1</v>
      </c>
      <c r="R26" t="s">
        <v>2</v>
      </c>
      <c r="S26" t="s">
        <v>3</v>
      </c>
      <c r="T26" t="s">
        <v>4</v>
      </c>
      <c r="U26" t="s">
        <v>5</v>
      </c>
      <c r="V26" t="s">
        <v>6</v>
      </c>
      <c r="W26" t="s">
        <v>7</v>
      </c>
      <c r="X26" t="s">
        <v>8</v>
      </c>
      <c r="Y26" t="s">
        <v>9</v>
      </c>
      <c r="Z26" t="s">
        <v>10</v>
      </c>
      <c r="AC26" t="s">
        <v>0</v>
      </c>
      <c r="AD26" t="s">
        <v>1</v>
      </c>
      <c r="AE26" t="s">
        <v>2</v>
      </c>
      <c r="AF26" t="s">
        <v>3</v>
      </c>
      <c r="AG26" t="s">
        <v>4</v>
      </c>
      <c r="AH26" t="s">
        <v>5</v>
      </c>
      <c r="AI26" t="s">
        <v>6</v>
      </c>
      <c r="AJ26" t="s">
        <v>7</v>
      </c>
      <c r="AK26" t="s">
        <v>8</v>
      </c>
      <c r="AL26" t="s">
        <v>9</v>
      </c>
      <c r="AM26" t="s">
        <v>10</v>
      </c>
    </row>
    <row r="27" spans="1:39" x14ac:dyDescent="0.25">
      <c r="B27" t="s">
        <v>31</v>
      </c>
      <c r="C27" s="53">
        <f t="shared" ref="C27:M27" si="78">C4/C$8</f>
        <v>0.71114541979120716</v>
      </c>
      <c r="D27" s="54">
        <f t="shared" si="78"/>
        <v>0.75601374570446733</v>
      </c>
      <c r="E27" s="54">
        <f t="shared" si="78"/>
        <v>0.8935849056603774</v>
      </c>
      <c r="F27" s="54">
        <f t="shared" si="78"/>
        <v>0.90624518118735542</v>
      </c>
      <c r="G27" s="54">
        <f t="shared" si="78"/>
        <v>0.60383536014967254</v>
      </c>
      <c r="H27" s="54">
        <f t="shared" si="78"/>
        <v>0.75549101470321289</v>
      </c>
      <c r="I27" s="54">
        <f t="shared" si="78"/>
        <v>0.62552137643378525</v>
      </c>
      <c r="J27" s="54">
        <f t="shared" si="78"/>
        <v>0.81453400209961502</v>
      </c>
      <c r="K27" s="54">
        <f t="shared" si="78"/>
        <v>0.79603137978772498</v>
      </c>
      <c r="L27" s="54">
        <f t="shared" si="78"/>
        <v>0.87944664031620556</v>
      </c>
      <c r="M27" s="55">
        <f t="shared" si="78"/>
        <v>0.76907005500362424</v>
      </c>
      <c r="O27" t="s">
        <v>31</v>
      </c>
      <c r="P27" s="64" t="e">
        <f>P4/P$8</f>
        <v>#DIV/0!</v>
      </c>
      <c r="Q27" s="65" t="e">
        <f t="shared" ref="Q27:Z27" si="79">Q4/Q$8</f>
        <v>#DIV/0!</v>
      </c>
      <c r="R27" s="65" t="e">
        <f t="shared" si="79"/>
        <v>#DIV/0!</v>
      </c>
      <c r="S27" s="65" t="e">
        <f t="shared" si="79"/>
        <v>#DIV/0!</v>
      </c>
      <c r="T27" s="65" t="e">
        <f t="shared" si="79"/>
        <v>#DIV/0!</v>
      </c>
      <c r="U27" s="65" t="e">
        <f t="shared" si="79"/>
        <v>#DIV/0!</v>
      </c>
      <c r="V27" s="65" t="e">
        <f t="shared" si="79"/>
        <v>#DIV/0!</v>
      </c>
      <c r="W27" s="65" t="e">
        <f t="shared" si="79"/>
        <v>#DIV/0!</v>
      </c>
      <c r="X27" s="65" t="e">
        <f t="shared" si="79"/>
        <v>#DIV/0!</v>
      </c>
      <c r="Y27" s="65" t="e">
        <f t="shared" si="79"/>
        <v>#DIV/0!</v>
      </c>
      <c r="Z27" s="66" t="e">
        <f t="shared" si="79"/>
        <v>#DIV/0!</v>
      </c>
      <c r="AB27" t="s">
        <v>31</v>
      </c>
      <c r="AC27" s="64" t="e">
        <f>P27-C27</f>
        <v>#DIV/0!</v>
      </c>
      <c r="AD27" s="65" t="e">
        <f t="shared" ref="AD27:AD31" si="80">Q27-D27</f>
        <v>#DIV/0!</v>
      </c>
      <c r="AE27" s="65" t="e">
        <f t="shared" ref="AE27:AE31" si="81">R27-E27</f>
        <v>#DIV/0!</v>
      </c>
      <c r="AF27" s="65" t="e">
        <f t="shared" ref="AF27:AF31" si="82">S27-F27</f>
        <v>#DIV/0!</v>
      </c>
      <c r="AG27" s="65" t="e">
        <f t="shared" ref="AG27:AG31" si="83">T27-G27</f>
        <v>#DIV/0!</v>
      </c>
      <c r="AH27" s="65" t="e">
        <f t="shared" ref="AH27:AH31" si="84">U27-H27</f>
        <v>#DIV/0!</v>
      </c>
      <c r="AI27" s="65" t="e">
        <f t="shared" ref="AI27:AI31" si="85">V27-I27</f>
        <v>#DIV/0!</v>
      </c>
      <c r="AJ27" s="65" t="e">
        <f t="shared" ref="AJ27:AJ31" si="86">W27-J27</f>
        <v>#DIV/0!</v>
      </c>
      <c r="AK27" s="65" t="e">
        <f t="shared" ref="AK27:AK31" si="87">X27-K27</f>
        <v>#DIV/0!</v>
      </c>
      <c r="AL27" s="65" t="e">
        <f t="shared" ref="AL27:AL31" si="88">Y27-L27</f>
        <v>#DIV/0!</v>
      </c>
      <c r="AM27" s="66" t="e">
        <f t="shared" ref="AM27:AM31" si="89">Z27-M27</f>
        <v>#DIV/0!</v>
      </c>
    </row>
    <row r="28" spans="1:39" x14ac:dyDescent="0.25">
      <c r="B28" t="s">
        <v>32</v>
      </c>
      <c r="C28" s="56">
        <f t="shared" ref="C28:M28" si="90">C5/C$8</f>
        <v>0.17203352448169387</v>
      </c>
      <c r="D28" s="57">
        <f t="shared" si="90"/>
        <v>0.16151202749140894</v>
      </c>
      <c r="E28" s="57">
        <f t="shared" si="90"/>
        <v>8.3773584905660378E-2</v>
      </c>
      <c r="F28" s="57">
        <f t="shared" si="90"/>
        <v>6.9082498072474949E-2</v>
      </c>
      <c r="G28" s="57">
        <f t="shared" si="90"/>
        <v>0.22329279700654817</v>
      </c>
      <c r="H28" s="57">
        <f t="shared" si="90"/>
        <v>0.15465601742603013</v>
      </c>
      <c r="I28" s="57">
        <f t="shared" si="90"/>
        <v>0.2068561001042753</v>
      </c>
      <c r="J28" s="57">
        <f t="shared" si="90"/>
        <v>0.10346436486644116</v>
      </c>
      <c r="K28" s="57">
        <f t="shared" si="90"/>
        <v>0.11075219197046608</v>
      </c>
      <c r="L28" s="57">
        <f t="shared" si="90"/>
        <v>8.4980237154150193E-2</v>
      </c>
      <c r="M28" s="58">
        <f t="shared" si="90"/>
        <v>0.14799812390738926</v>
      </c>
      <c r="O28" t="s">
        <v>32</v>
      </c>
      <c r="P28" s="67" t="e">
        <f t="shared" ref="P28:P30" si="91">P5/P$8</f>
        <v>#DIV/0!</v>
      </c>
      <c r="Q28" s="68" t="e">
        <f t="shared" ref="Q28:Z28" si="92">Q5/Q$8</f>
        <v>#DIV/0!</v>
      </c>
      <c r="R28" s="68" t="e">
        <f t="shared" si="92"/>
        <v>#DIV/0!</v>
      </c>
      <c r="S28" s="68" t="e">
        <f t="shared" si="92"/>
        <v>#DIV/0!</v>
      </c>
      <c r="T28" s="68" t="e">
        <f t="shared" si="92"/>
        <v>#DIV/0!</v>
      </c>
      <c r="U28" s="68" t="e">
        <f t="shared" si="92"/>
        <v>#DIV/0!</v>
      </c>
      <c r="V28" s="68" t="e">
        <f t="shared" si="92"/>
        <v>#DIV/0!</v>
      </c>
      <c r="W28" s="68" t="e">
        <f t="shared" si="92"/>
        <v>#DIV/0!</v>
      </c>
      <c r="X28" s="68" t="e">
        <f t="shared" si="92"/>
        <v>#DIV/0!</v>
      </c>
      <c r="Y28" s="68" t="e">
        <f t="shared" si="92"/>
        <v>#DIV/0!</v>
      </c>
      <c r="Z28" s="69" t="e">
        <f t="shared" si="92"/>
        <v>#DIV/0!</v>
      </c>
      <c r="AB28" t="s">
        <v>32</v>
      </c>
      <c r="AC28" s="67" t="e">
        <f>P28-C28</f>
        <v>#DIV/0!</v>
      </c>
      <c r="AD28" s="68" t="e">
        <f t="shared" si="80"/>
        <v>#DIV/0!</v>
      </c>
      <c r="AE28" s="68" t="e">
        <f t="shared" si="81"/>
        <v>#DIV/0!</v>
      </c>
      <c r="AF28" s="68" t="e">
        <f t="shared" si="82"/>
        <v>#DIV/0!</v>
      </c>
      <c r="AG28" s="68" t="e">
        <f t="shared" si="83"/>
        <v>#DIV/0!</v>
      </c>
      <c r="AH28" s="68" t="e">
        <f t="shared" si="84"/>
        <v>#DIV/0!</v>
      </c>
      <c r="AI28" s="68" t="e">
        <f t="shared" si="85"/>
        <v>#DIV/0!</v>
      </c>
      <c r="AJ28" s="68" t="e">
        <f t="shared" si="86"/>
        <v>#DIV/0!</v>
      </c>
      <c r="AK28" s="68" t="e">
        <f t="shared" si="87"/>
        <v>#DIV/0!</v>
      </c>
      <c r="AL28" s="68" t="e">
        <f t="shared" si="88"/>
        <v>#DIV/0!</v>
      </c>
      <c r="AM28" s="69" t="e">
        <f t="shared" si="89"/>
        <v>#DIV/0!</v>
      </c>
    </row>
    <row r="29" spans="1:39" x14ac:dyDescent="0.25">
      <c r="B29" t="s">
        <v>33</v>
      </c>
      <c r="C29" s="56">
        <f t="shared" ref="C29:M29" si="93">C6/C$8</f>
        <v>6.8445816791648281E-2</v>
      </c>
      <c r="D29" s="57">
        <f t="shared" si="93"/>
        <v>4.1237113402061855E-2</v>
      </c>
      <c r="E29" s="57">
        <f t="shared" si="93"/>
        <v>1.6603773584905661E-2</v>
      </c>
      <c r="F29" s="57">
        <f t="shared" si="93"/>
        <v>1.7579028527370855E-2</v>
      </c>
      <c r="G29" s="57">
        <f t="shared" si="93"/>
        <v>9.5790458372310566E-2</v>
      </c>
      <c r="H29" s="57">
        <f t="shared" si="93"/>
        <v>5.4274823016881468E-2</v>
      </c>
      <c r="I29" s="57">
        <f t="shared" si="93"/>
        <v>8.5114702815432736E-2</v>
      </c>
      <c r="J29" s="57">
        <f t="shared" si="93"/>
        <v>5.1207278665577977E-2</v>
      </c>
      <c r="K29" s="57">
        <f t="shared" si="93"/>
        <v>4.8915551453622523E-2</v>
      </c>
      <c r="L29" s="57">
        <f t="shared" si="93"/>
        <v>2.0256916996047432E-2</v>
      </c>
      <c r="M29" s="58">
        <f t="shared" si="93"/>
        <v>5.585639363834051E-2</v>
      </c>
      <c r="O29" t="s">
        <v>33</v>
      </c>
      <c r="P29" s="67" t="e">
        <f t="shared" si="91"/>
        <v>#DIV/0!</v>
      </c>
      <c r="Q29" s="68" t="e">
        <f t="shared" ref="Q29:Z29" si="94">Q6/Q$8</f>
        <v>#DIV/0!</v>
      </c>
      <c r="R29" s="68" t="e">
        <f t="shared" si="94"/>
        <v>#DIV/0!</v>
      </c>
      <c r="S29" s="68" t="e">
        <f t="shared" si="94"/>
        <v>#DIV/0!</v>
      </c>
      <c r="T29" s="68" t="e">
        <f t="shared" si="94"/>
        <v>#DIV/0!</v>
      </c>
      <c r="U29" s="68" t="e">
        <f t="shared" si="94"/>
        <v>#DIV/0!</v>
      </c>
      <c r="V29" s="68" t="e">
        <f t="shared" si="94"/>
        <v>#DIV/0!</v>
      </c>
      <c r="W29" s="68" t="e">
        <f t="shared" si="94"/>
        <v>#DIV/0!</v>
      </c>
      <c r="X29" s="68" t="e">
        <f t="shared" si="94"/>
        <v>#DIV/0!</v>
      </c>
      <c r="Y29" s="68" t="e">
        <f t="shared" si="94"/>
        <v>#DIV/0!</v>
      </c>
      <c r="Z29" s="69" t="e">
        <f t="shared" si="94"/>
        <v>#DIV/0!</v>
      </c>
      <c r="AB29" t="s">
        <v>33</v>
      </c>
      <c r="AC29" s="67" t="e">
        <f t="shared" ref="AC29:AC31" si="95">P29-C29</f>
        <v>#DIV/0!</v>
      </c>
      <c r="AD29" s="68" t="e">
        <f t="shared" si="80"/>
        <v>#DIV/0!</v>
      </c>
      <c r="AE29" s="68" t="e">
        <f t="shared" si="81"/>
        <v>#DIV/0!</v>
      </c>
      <c r="AF29" s="68" t="e">
        <f t="shared" si="82"/>
        <v>#DIV/0!</v>
      </c>
      <c r="AG29" s="68" t="e">
        <f t="shared" si="83"/>
        <v>#DIV/0!</v>
      </c>
      <c r="AH29" s="68" t="e">
        <f t="shared" si="84"/>
        <v>#DIV/0!</v>
      </c>
      <c r="AI29" s="68" t="e">
        <f t="shared" si="85"/>
        <v>#DIV/0!</v>
      </c>
      <c r="AJ29" s="68" t="e">
        <f t="shared" si="86"/>
        <v>#DIV/0!</v>
      </c>
      <c r="AK29" s="68" t="e">
        <f t="shared" si="87"/>
        <v>#DIV/0!</v>
      </c>
      <c r="AL29" s="68" t="e">
        <f t="shared" si="88"/>
        <v>#DIV/0!</v>
      </c>
      <c r="AM29" s="69" t="e">
        <f t="shared" si="89"/>
        <v>#DIV/0!</v>
      </c>
    </row>
    <row r="30" spans="1:39" x14ac:dyDescent="0.25">
      <c r="B30" t="s">
        <v>34</v>
      </c>
      <c r="C30" s="59">
        <f t="shared" ref="C30:M30" si="96">C7/C$8</f>
        <v>4.8375238935450669E-2</v>
      </c>
      <c r="D30" s="60">
        <f t="shared" si="96"/>
        <v>4.1237113402061855E-2</v>
      </c>
      <c r="E30" s="60">
        <f t="shared" si="96"/>
        <v>6.0377358490566035E-3</v>
      </c>
      <c r="F30" s="60">
        <f t="shared" si="96"/>
        <v>7.0932922127987666E-3</v>
      </c>
      <c r="G30" s="60">
        <f t="shared" si="96"/>
        <v>7.7081384471468659E-2</v>
      </c>
      <c r="H30" s="60">
        <f t="shared" si="96"/>
        <v>3.5578144853875476E-2</v>
      </c>
      <c r="I30" s="60">
        <f t="shared" si="96"/>
        <v>8.2507820646506774E-2</v>
      </c>
      <c r="J30" s="60">
        <f t="shared" si="96"/>
        <v>3.0794354368365799E-2</v>
      </c>
      <c r="K30" s="60">
        <f t="shared" si="96"/>
        <v>4.4300876788186436E-2</v>
      </c>
      <c r="L30" s="60">
        <f t="shared" si="96"/>
        <v>1.5316205533596838E-2</v>
      </c>
      <c r="M30" s="61">
        <f t="shared" si="96"/>
        <v>2.7075427450645971E-2</v>
      </c>
      <c r="O30" t="s">
        <v>34</v>
      </c>
      <c r="P30" s="70" t="e">
        <f t="shared" si="91"/>
        <v>#DIV/0!</v>
      </c>
      <c r="Q30" s="71" t="e">
        <f t="shared" ref="Q30:Z30" si="97">Q7/Q$8</f>
        <v>#DIV/0!</v>
      </c>
      <c r="R30" s="71" t="e">
        <f t="shared" si="97"/>
        <v>#DIV/0!</v>
      </c>
      <c r="S30" s="71" t="e">
        <f t="shared" si="97"/>
        <v>#DIV/0!</v>
      </c>
      <c r="T30" s="71" t="e">
        <f t="shared" si="97"/>
        <v>#DIV/0!</v>
      </c>
      <c r="U30" s="71" t="e">
        <f t="shared" si="97"/>
        <v>#DIV/0!</v>
      </c>
      <c r="V30" s="71" t="e">
        <f t="shared" si="97"/>
        <v>#DIV/0!</v>
      </c>
      <c r="W30" s="71" t="e">
        <f t="shared" si="97"/>
        <v>#DIV/0!</v>
      </c>
      <c r="X30" s="71" t="e">
        <f t="shared" si="97"/>
        <v>#DIV/0!</v>
      </c>
      <c r="Y30" s="71" t="e">
        <f t="shared" si="97"/>
        <v>#DIV/0!</v>
      </c>
      <c r="Z30" s="72" t="e">
        <f t="shared" si="97"/>
        <v>#DIV/0!</v>
      </c>
      <c r="AB30" t="s">
        <v>34</v>
      </c>
      <c r="AC30" s="70" t="e">
        <f t="shared" si="95"/>
        <v>#DIV/0!</v>
      </c>
      <c r="AD30" s="71" t="e">
        <f t="shared" si="80"/>
        <v>#DIV/0!</v>
      </c>
      <c r="AE30" s="71" t="e">
        <f t="shared" si="81"/>
        <v>#DIV/0!</v>
      </c>
      <c r="AF30" s="71" t="e">
        <f t="shared" si="82"/>
        <v>#DIV/0!</v>
      </c>
      <c r="AG30" s="71" t="e">
        <f t="shared" si="83"/>
        <v>#DIV/0!</v>
      </c>
      <c r="AH30" s="71" t="e">
        <f t="shared" si="84"/>
        <v>#DIV/0!</v>
      </c>
      <c r="AI30" s="71" t="e">
        <f t="shared" si="85"/>
        <v>#DIV/0!</v>
      </c>
      <c r="AJ30" s="71" t="e">
        <f t="shared" si="86"/>
        <v>#DIV/0!</v>
      </c>
      <c r="AK30" s="71" t="e">
        <f t="shared" si="87"/>
        <v>#DIV/0!</v>
      </c>
      <c r="AL30" s="71" t="e">
        <f t="shared" si="88"/>
        <v>#DIV/0!</v>
      </c>
      <c r="AM30" s="72" t="e">
        <f t="shared" si="89"/>
        <v>#DIV/0!</v>
      </c>
    </row>
    <row r="31" spans="1:39" x14ac:dyDescent="0.25">
      <c r="B31" t="s">
        <v>39</v>
      </c>
      <c r="C31" s="62">
        <f t="shared" ref="C31:M31" si="98">C8/C$8</f>
        <v>1</v>
      </c>
      <c r="D31" s="62">
        <f t="shared" si="98"/>
        <v>1</v>
      </c>
      <c r="E31" s="62">
        <f t="shared" si="98"/>
        <v>1</v>
      </c>
      <c r="F31" s="62">
        <f t="shared" si="98"/>
        <v>1</v>
      </c>
      <c r="G31" s="62">
        <f t="shared" si="98"/>
        <v>1</v>
      </c>
      <c r="H31" s="62">
        <f t="shared" si="98"/>
        <v>1</v>
      </c>
      <c r="I31" s="62">
        <f t="shared" si="98"/>
        <v>1</v>
      </c>
      <c r="J31" s="62">
        <f t="shared" si="98"/>
        <v>1</v>
      </c>
      <c r="K31" s="62">
        <f t="shared" si="98"/>
        <v>1</v>
      </c>
      <c r="L31" s="62">
        <f t="shared" si="98"/>
        <v>1</v>
      </c>
      <c r="M31" s="62">
        <f t="shared" si="98"/>
        <v>1</v>
      </c>
      <c r="O31" t="s">
        <v>39</v>
      </c>
      <c r="P31" s="68" t="e">
        <f>P8/P$8</f>
        <v>#DIV/0!</v>
      </c>
      <c r="Q31" s="68" t="e">
        <f t="shared" ref="Q31:Z31" si="99">Q8/Q$8</f>
        <v>#DIV/0!</v>
      </c>
      <c r="R31" s="68" t="e">
        <f t="shared" si="99"/>
        <v>#DIV/0!</v>
      </c>
      <c r="S31" s="68" t="e">
        <f t="shared" si="99"/>
        <v>#DIV/0!</v>
      </c>
      <c r="T31" s="68" t="e">
        <f t="shared" si="99"/>
        <v>#DIV/0!</v>
      </c>
      <c r="U31" s="68" t="e">
        <f t="shared" si="99"/>
        <v>#DIV/0!</v>
      </c>
      <c r="V31" s="68" t="e">
        <f t="shared" si="99"/>
        <v>#DIV/0!</v>
      </c>
      <c r="W31" s="68" t="e">
        <f t="shared" si="99"/>
        <v>#DIV/0!</v>
      </c>
      <c r="X31" s="68" t="e">
        <f t="shared" si="99"/>
        <v>#DIV/0!</v>
      </c>
      <c r="Y31" s="68" t="e">
        <f t="shared" si="99"/>
        <v>#DIV/0!</v>
      </c>
      <c r="Z31" s="68" t="e">
        <f t="shared" si="99"/>
        <v>#DIV/0!</v>
      </c>
      <c r="AB31" t="s">
        <v>39</v>
      </c>
      <c r="AC31" s="68" t="e">
        <f t="shared" si="95"/>
        <v>#DIV/0!</v>
      </c>
      <c r="AD31" s="68" t="e">
        <f t="shared" si="80"/>
        <v>#DIV/0!</v>
      </c>
      <c r="AE31" s="68" t="e">
        <f t="shared" si="81"/>
        <v>#DIV/0!</v>
      </c>
      <c r="AF31" s="68" t="e">
        <f t="shared" si="82"/>
        <v>#DIV/0!</v>
      </c>
      <c r="AG31" s="68" t="e">
        <f t="shared" si="83"/>
        <v>#DIV/0!</v>
      </c>
      <c r="AH31" s="68" t="e">
        <f t="shared" si="84"/>
        <v>#DIV/0!</v>
      </c>
      <c r="AI31" s="68" t="e">
        <f t="shared" si="85"/>
        <v>#DIV/0!</v>
      </c>
      <c r="AJ31" s="68" t="e">
        <f t="shared" si="86"/>
        <v>#DIV/0!</v>
      </c>
      <c r="AK31" s="68" t="e">
        <f t="shared" si="87"/>
        <v>#DIV/0!</v>
      </c>
      <c r="AL31" s="68" t="e">
        <f t="shared" si="88"/>
        <v>#DIV/0!</v>
      </c>
      <c r="AM31" s="68" t="e">
        <f t="shared" si="89"/>
        <v>#DIV/0!</v>
      </c>
    </row>
    <row r="32" spans="1:39" x14ac:dyDescent="0.25"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</row>
    <row r="33" spans="2:39" x14ac:dyDescent="0.25">
      <c r="B33" t="s">
        <v>27</v>
      </c>
      <c r="C33" s="53">
        <f t="shared" ref="C33:M33" si="100">C10/C$14</f>
        <v>0.65571239523599467</v>
      </c>
      <c r="D33" s="54">
        <f t="shared" si="100"/>
        <v>0.73883161512027495</v>
      </c>
      <c r="E33" s="54">
        <f t="shared" si="100"/>
        <v>0.79320754716981134</v>
      </c>
      <c r="F33" s="54">
        <f t="shared" si="100"/>
        <v>0.89267540478026219</v>
      </c>
      <c r="G33" s="54">
        <f t="shared" si="100"/>
        <v>0.72039289055191769</v>
      </c>
      <c r="H33" s="54">
        <f t="shared" si="100"/>
        <v>0.70012706480304954</v>
      </c>
      <c r="I33" s="54">
        <f t="shared" si="100"/>
        <v>0.73553180396246087</v>
      </c>
      <c r="J33" s="54">
        <f t="shared" si="100"/>
        <v>0.84771958474279718</v>
      </c>
      <c r="K33" s="54">
        <f t="shared" si="100"/>
        <v>0.81587448084910019</v>
      </c>
      <c r="L33" s="54">
        <f t="shared" si="100"/>
        <v>0.91501976284584985</v>
      </c>
      <c r="M33" s="55">
        <f t="shared" si="100"/>
        <v>0.79623075939112264</v>
      </c>
      <c r="O33" t="s">
        <v>27</v>
      </c>
      <c r="P33" s="64" t="e">
        <f>P10/P$14</f>
        <v>#DIV/0!</v>
      </c>
      <c r="Q33" s="65" t="e">
        <f t="shared" ref="Q33:Z33" si="101">Q10/Q$14</f>
        <v>#DIV/0!</v>
      </c>
      <c r="R33" s="65" t="e">
        <f t="shared" si="101"/>
        <v>#DIV/0!</v>
      </c>
      <c r="S33" s="65" t="e">
        <f t="shared" si="101"/>
        <v>#DIV/0!</v>
      </c>
      <c r="T33" s="65" t="e">
        <f t="shared" si="101"/>
        <v>#DIV/0!</v>
      </c>
      <c r="U33" s="65" t="e">
        <f t="shared" si="101"/>
        <v>#DIV/0!</v>
      </c>
      <c r="V33" s="65" t="e">
        <f t="shared" si="101"/>
        <v>#DIV/0!</v>
      </c>
      <c r="W33" s="65" t="e">
        <f t="shared" si="101"/>
        <v>#DIV/0!</v>
      </c>
      <c r="X33" s="65" t="e">
        <f t="shared" si="101"/>
        <v>#DIV/0!</v>
      </c>
      <c r="Y33" s="65" t="e">
        <f t="shared" si="101"/>
        <v>#DIV/0!</v>
      </c>
      <c r="Z33" s="66" t="e">
        <f t="shared" si="101"/>
        <v>#DIV/0!</v>
      </c>
      <c r="AB33" t="s">
        <v>27</v>
      </c>
      <c r="AC33" s="64" t="e">
        <f>P33-C33</f>
        <v>#DIV/0!</v>
      </c>
      <c r="AD33" s="65" t="e">
        <f t="shared" ref="AD33:AD37" si="102">Q33-D33</f>
        <v>#DIV/0!</v>
      </c>
      <c r="AE33" s="65" t="e">
        <f t="shared" ref="AE33:AE37" si="103">R33-E33</f>
        <v>#DIV/0!</v>
      </c>
      <c r="AF33" s="65" t="e">
        <f t="shared" ref="AF33:AF37" si="104">S33-F33</f>
        <v>#DIV/0!</v>
      </c>
      <c r="AG33" s="65" t="e">
        <f t="shared" ref="AG33:AG37" si="105">T33-G33</f>
        <v>#DIV/0!</v>
      </c>
      <c r="AH33" s="65" t="e">
        <f t="shared" ref="AH33:AH37" si="106">U33-H33</f>
        <v>#DIV/0!</v>
      </c>
      <c r="AI33" s="65" t="e">
        <f t="shared" ref="AI33:AI37" si="107">V33-I33</f>
        <v>#DIV/0!</v>
      </c>
      <c r="AJ33" s="65" t="e">
        <f t="shared" ref="AJ33:AJ37" si="108">W33-J33</f>
        <v>#DIV/0!</v>
      </c>
      <c r="AK33" s="65" t="e">
        <f t="shared" ref="AK33:AK37" si="109">X33-K33</f>
        <v>#DIV/0!</v>
      </c>
      <c r="AL33" s="65" t="e">
        <f t="shared" ref="AL33:AL37" si="110">Y33-L33</f>
        <v>#DIV/0!</v>
      </c>
      <c r="AM33" s="66" t="e">
        <f t="shared" ref="AM33:AM37" si="111">Z33-M33</f>
        <v>#DIV/0!</v>
      </c>
    </row>
    <row r="34" spans="2:39" x14ac:dyDescent="0.25">
      <c r="B34" t="s">
        <v>28</v>
      </c>
      <c r="C34" s="56">
        <f t="shared" ref="C34:M34" si="112">C11/C$14</f>
        <v>0.21680635200705778</v>
      </c>
      <c r="D34" s="57">
        <f t="shared" si="112"/>
        <v>0.18900343642611683</v>
      </c>
      <c r="E34" s="57">
        <f t="shared" si="112"/>
        <v>0.14037735849056604</v>
      </c>
      <c r="F34" s="57">
        <f t="shared" si="112"/>
        <v>9.1904394757131844E-2</v>
      </c>
      <c r="G34" s="57">
        <f t="shared" si="112"/>
        <v>0.18774555659494854</v>
      </c>
      <c r="H34" s="57">
        <f t="shared" si="112"/>
        <v>0.20384824832092938</v>
      </c>
      <c r="I34" s="57">
        <f t="shared" si="112"/>
        <v>0.17179353493222108</v>
      </c>
      <c r="J34" s="57">
        <f t="shared" si="112"/>
        <v>0.10737198180333606</v>
      </c>
      <c r="K34" s="57">
        <f t="shared" si="112"/>
        <v>0.12736502076603601</v>
      </c>
      <c r="L34" s="57">
        <f t="shared" si="112"/>
        <v>6.768774703557312E-2</v>
      </c>
      <c r="M34" s="58">
        <f t="shared" si="112"/>
        <v>0.14927727796017567</v>
      </c>
      <c r="O34" t="s">
        <v>28</v>
      </c>
      <c r="P34" s="67" t="e">
        <f t="shared" ref="P34:P36" si="113">P11/P$14</f>
        <v>#DIV/0!</v>
      </c>
      <c r="Q34" s="68" t="e">
        <f t="shared" ref="Q34:Z34" si="114">Q11/Q$14</f>
        <v>#DIV/0!</v>
      </c>
      <c r="R34" s="68" t="e">
        <f t="shared" si="114"/>
        <v>#DIV/0!</v>
      </c>
      <c r="S34" s="68" t="e">
        <f t="shared" si="114"/>
        <v>#DIV/0!</v>
      </c>
      <c r="T34" s="68" t="e">
        <f t="shared" si="114"/>
        <v>#DIV/0!</v>
      </c>
      <c r="U34" s="68" t="e">
        <f t="shared" si="114"/>
        <v>#DIV/0!</v>
      </c>
      <c r="V34" s="68" t="e">
        <f t="shared" si="114"/>
        <v>#DIV/0!</v>
      </c>
      <c r="W34" s="68" t="e">
        <f t="shared" si="114"/>
        <v>#DIV/0!</v>
      </c>
      <c r="X34" s="68" t="e">
        <f t="shared" si="114"/>
        <v>#DIV/0!</v>
      </c>
      <c r="Y34" s="68" t="e">
        <f t="shared" si="114"/>
        <v>#DIV/0!</v>
      </c>
      <c r="Z34" s="69" t="e">
        <f t="shared" si="114"/>
        <v>#DIV/0!</v>
      </c>
      <c r="AB34" t="s">
        <v>28</v>
      </c>
      <c r="AC34" s="67" t="e">
        <f>P34-C34</f>
        <v>#DIV/0!</v>
      </c>
      <c r="AD34" s="68" t="e">
        <f t="shared" si="102"/>
        <v>#DIV/0!</v>
      </c>
      <c r="AE34" s="68" t="e">
        <f t="shared" si="103"/>
        <v>#DIV/0!</v>
      </c>
      <c r="AF34" s="68" t="e">
        <f t="shared" si="104"/>
        <v>#DIV/0!</v>
      </c>
      <c r="AG34" s="68" t="e">
        <f t="shared" si="105"/>
        <v>#DIV/0!</v>
      </c>
      <c r="AH34" s="68" t="e">
        <f t="shared" si="106"/>
        <v>#DIV/0!</v>
      </c>
      <c r="AI34" s="68" t="e">
        <f t="shared" si="107"/>
        <v>#DIV/0!</v>
      </c>
      <c r="AJ34" s="68" t="e">
        <f t="shared" si="108"/>
        <v>#DIV/0!</v>
      </c>
      <c r="AK34" s="68" t="e">
        <f t="shared" si="109"/>
        <v>#DIV/0!</v>
      </c>
      <c r="AL34" s="68" t="e">
        <f t="shared" si="110"/>
        <v>#DIV/0!</v>
      </c>
      <c r="AM34" s="69" t="e">
        <f t="shared" si="111"/>
        <v>#DIV/0!</v>
      </c>
    </row>
    <row r="35" spans="2:39" x14ac:dyDescent="0.25">
      <c r="B35" t="s">
        <v>29</v>
      </c>
      <c r="C35" s="56">
        <f t="shared" ref="C35:M35" si="115">C12/C$14</f>
        <v>7.7562123217173942E-2</v>
      </c>
      <c r="D35" s="57">
        <f t="shared" si="115"/>
        <v>5.8419243986254296E-2</v>
      </c>
      <c r="E35" s="57">
        <f t="shared" si="115"/>
        <v>4.5283018867924525E-2</v>
      </c>
      <c r="F35" s="57">
        <f t="shared" si="115"/>
        <v>1.0023130300693909E-2</v>
      </c>
      <c r="G35" s="57">
        <f t="shared" si="115"/>
        <v>5.8933582787652011E-2</v>
      </c>
      <c r="H35" s="57">
        <f t="shared" si="115"/>
        <v>5.3911780722454165E-2</v>
      </c>
      <c r="I35" s="57">
        <f t="shared" si="115"/>
        <v>5.213764337851929E-2</v>
      </c>
      <c r="J35" s="57">
        <f t="shared" si="115"/>
        <v>2.980286947392978E-2</v>
      </c>
      <c r="K35" s="57">
        <f t="shared" si="115"/>
        <v>3.3225657591139823E-2</v>
      </c>
      <c r="L35" s="57">
        <f t="shared" si="115"/>
        <v>1.1363636363636364E-2</v>
      </c>
      <c r="M35" s="58">
        <f t="shared" si="115"/>
        <v>3.9525860231100496E-2</v>
      </c>
      <c r="O35" t="s">
        <v>29</v>
      </c>
      <c r="P35" s="67" t="e">
        <f t="shared" si="113"/>
        <v>#DIV/0!</v>
      </c>
      <c r="Q35" s="68" t="e">
        <f t="shared" ref="Q35:Z35" si="116">Q12/Q$14</f>
        <v>#DIV/0!</v>
      </c>
      <c r="R35" s="68" t="e">
        <f t="shared" si="116"/>
        <v>#DIV/0!</v>
      </c>
      <c r="S35" s="68" t="e">
        <f t="shared" si="116"/>
        <v>#DIV/0!</v>
      </c>
      <c r="T35" s="68" t="e">
        <f t="shared" si="116"/>
        <v>#DIV/0!</v>
      </c>
      <c r="U35" s="68" t="e">
        <f t="shared" si="116"/>
        <v>#DIV/0!</v>
      </c>
      <c r="V35" s="68" t="e">
        <f t="shared" si="116"/>
        <v>#DIV/0!</v>
      </c>
      <c r="W35" s="68" t="e">
        <f t="shared" si="116"/>
        <v>#DIV/0!</v>
      </c>
      <c r="X35" s="68" t="e">
        <f t="shared" si="116"/>
        <v>#DIV/0!</v>
      </c>
      <c r="Y35" s="68" t="e">
        <f t="shared" si="116"/>
        <v>#DIV/0!</v>
      </c>
      <c r="Z35" s="69" t="e">
        <f t="shared" si="116"/>
        <v>#DIV/0!</v>
      </c>
      <c r="AB35" t="s">
        <v>29</v>
      </c>
      <c r="AC35" s="67" t="e">
        <f t="shared" ref="AC35:AC37" si="117">P35-C35</f>
        <v>#DIV/0!</v>
      </c>
      <c r="AD35" s="68" t="e">
        <f t="shared" si="102"/>
        <v>#DIV/0!</v>
      </c>
      <c r="AE35" s="68" t="e">
        <f t="shared" si="103"/>
        <v>#DIV/0!</v>
      </c>
      <c r="AF35" s="68" t="e">
        <f t="shared" si="104"/>
        <v>#DIV/0!</v>
      </c>
      <c r="AG35" s="68" t="e">
        <f t="shared" si="105"/>
        <v>#DIV/0!</v>
      </c>
      <c r="AH35" s="68" t="e">
        <f t="shared" si="106"/>
        <v>#DIV/0!</v>
      </c>
      <c r="AI35" s="68" t="e">
        <f t="shared" si="107"/>
        <v>#DIV/0!</v>
      </c>
      <c r="AJ35" s="68" t="e">
        <f t="shared" si="108"/>
        <v>#DIV/0!</v>
      </c>
      <c r="AK35" s="68" t="e">
        <f t="shared" si="109"/>
        <v>#DIV/0!</v>
      </c>
      <c r="AL35" s="68" t="e">
        <f t="shared" si="110"/>
        <v>#DIV/0!</v>
      </c>
      <c r="AM35" s="69" t="e">
        <f t="shared" si="111"/>
        <v>#DIV/0!</v>
      </c>
    </row>
    <row r="36" spans="2:39" x14ac:dyDescent="0.25">
      <c r="B36" t="s">
        <v>30</v>
      </c>
      <c r="C36" s="59">
        <f t="shared" ref="C36:M36" si="118">C13/C$14</f>
        <v>4.9919129539773566E-2</v>
      </c>
      <c r="D36" s="60">
        <f t="shared" si="118"/>
        <v>1.3745704467353952E-2</v>
      </c>
      <c r="E36" s="60">
        <f t="shared" si="118"/>
        <v>2.1132075471698115E-2</v>
      </c>
      <c r="F36" s="60">
        <f t="shared" si="118"/>
        <v>5.3970701619121047E-3</v>
      </c>
      <c r="G36" s="60">
        <f t="shared" si="118"/>
        <v>3.292797006548176E-2</v>
      </c>
      <c r="H36" s="60">
        <f t="shared" si="118"/>
        <v>4.2112906153566894E-2</v>
      </c>
      <c r="I36" s="60">
        <f t="shared" si="118"/>
        <v>4.0537017726798748E-2</v>
      </c>
      <c r="J36" s="60">
        <f t="shared" si="118"/>
        <v>1.5105563979937012E-2</v>
      </c>
      <c r="K36" s="60">
        <f t="shared" si="118"/>
        <v>2.3534840793724043E-2</v>
      </c>
      <c r="L36" s="60">
        <f t="shared" si="118"/>
        <v>5.9288537549407111E-3</v>
      </c>
      <c r="M36" s="61">
        <f t="shared" si="118"/>
        <v>1.496610241760116E-2</v>
      </c>
      <c r="O36" t="s">
        <v>30</v>
      </c>
      <c r="P36" s="70" t="e">
        <f t="shared" si="113"/>
        <v>#DIV/0!</v>
      </c>
      <c r="Q36" s="71" t="e">
        <f t="shared" ref="Q36:Z36" si="119">Q13/Q$14</f>
        <v>#DIV/0!</v>
      </c>
      <c r="R36" s="71" t="e">
        <f t="shared" si="119"/>
        <v>#DIV/0!</v>
      </c>
      <c r="S36" s="71" t="e">
        <f t="shared" si="119"/>
        <v>#DIV/0!</v>
      </c>
      <c r="T36" s="71" t="e">
        <f t="shared" si="119"/>
        <v>#DIV/0!</v>
      </c>
      <c r="U36" s="71" t="e">
        <f t="shared" si="119"/>
        <v>#DIV/0!</v>
      </c>
      <c r="V36" s="71" t="e">
        <f t="shared" si="119"/>
        <v>#DIV/0!</v>
      </c>
      <c r="W36" s="71" t="e">
        <f t="shared" si="119"/>
        <v>#DIV/0!</v>
      </c>
      <c r="X36" s="71" t="e">
        <f t="shared" si="119"/>
        <v>#DIV/0!</v>
      </c>
      <c r="Y36" s="71" t="e">
        <f t="shared" si="119"/>
        <v>#DIV/0!</v>
      </c>
      <c r="Z36" s="72" t="e">
        <f t="shared" si="119"/>
        <v>#DIV/0!</v>
      </c>
      <c r="AB36" t="s">
        <v>30</v>
      </c>
      <c r="AC36" s="70" t="e">
        <f t="shared" si="117"/>
        <v>#DIV/0!</v>
      </c>
      <c r="AD36" s="71" t="e">
        <f t="shared" si="102"/>
        <v>#DIV/0!</v>
      </c>
      <c r="AE36" s="71" t="e">
        <f t="shared" si="103"/>
        <v>#DIV/0!</v>
      </c>
      <c r="AF36" s="71" t="e">
        <f t="shared" si="104"/>
        <v>#DIV/0!</v>
      </c>
      <c r="AG36" s="71" t="e">
        <f t="shared" si="105"/>
        <v>#DIV/0!</v>
      </c>
      <c r="AH36" s="71" t="e">
        <f t="shared" si="106"/>
        <v>#DIV/0!</v>
      </c>
      <c r="AI36" s="71" t="e">
        <f t="shared" si="107"/>
        <v>#DIV/0!</v>
      </c>
      <c r="AJ36" s="71" t="e">
        <f t="shared" si="108"/>
        <v>#DIV/0!</v>
      </c>
      <c r="AK36" s="71" t="e">
        <f t="shared" si="109"/>
        <v>#DIV/0!</v>
      </c>
      <c r="AL36" s="71" t="e">
        <f t="shared" si="110"/>
        <v>#DIV/0!</v>
      </c>
      <c r="AM36" s="72" t="e">
        <f t="shared" si="111"/>
        <v>#DIV/0!</v>
      </c>
    </row>
    <row r="37" spans="2:39" x14ac:dyDescent="0.25">
      <c r="B37" t="s">
        <v>39</v>
      </c>
      <c r="C37" s="62">
        <f t="shared" ref="C37:M37" si="120">C14/C$14</f>
        <v>1</v>
      </c>
      <c r="D37" s="62">
        <f t="shared" si="120"/>
        <v>1</v>
      </c>
      <c r="E37" s="62">
        <f t="shared" si="120"/>
        <v>1</v>
      </c>
      <c r="F37" s="62">
        <f t="shared" si="120"/>
        <v>1</v>
      </c>
      <c r="G37" s="62">
        <f t="shared" si="120"/>
        <v>1</v>
      </c>
      <c r="H37" s="62">
        <f t="shared" si="120"/>
        <v>1</v>
      </c>
      <c r="I37" s="62">
        <f t="shared" si="120"/>
        <v>1</v>
      </c>
      <c r="J37" s="62">
        <f t="shared" si="120"/>
        <v>1</v>
      </c>
      <c r="K37" s="62">
        <f t="shared" si="120"/>
        <v>1</v>
      </c>
      <c r="L37" s="62">
        <f t="shared" si="120"/>
        <v>1</v>
      </c>
      <c r="M37" s="62">
        <f t="shared" si="120"/>
        <v>1</v>
      </c>
      <c r="O37" t="s">
        <v>39</v>
      </c>
      <c r="P37" s="68" t="e">
        <f>P14/P$14</f>
        <v>#DIV/0!</v>
      </c>
      <c r="Q37" s="68" t="e">
        <f t="shared" ref="Q37:Z37" si="121">Q14/Q$14</f>
        <v>#DIV/0!</v>
      </c>
      <c r="R37" s="68" t="e">
        <f t="shared" si="121"/>
        <v>#DIV/0!</v>
      </c>
      <c r="S37" s="68" t="e">
        <f t="shared" si="121"/>
        <v>#DIV/0!</v>
      </c>
      <c r="T37" s="68" t="e">
        <f t="shared" si="121"/>
        <v>#DIV/0!</v>
      </c>
      <c r="U37" s="68" t="e">
        <f t="shared" si="121"/>
        <v>#DIV/0!</v>
      </c>
      <c r="V37" s="68" t="e">
        <f t="shared" si="121"/>
        <v>#DIV/0!</v>
      </c>
      <c r="W37" s="68" t="e">
        <f t="shared" si="121"/>
        <v>#DIV/0!</v>
      </c>
      <c r="X37" s="68" t="e">
        <f t="shared" si="121"/>
        <v>#DIV/0!</v>
      </c>
      <c r="Y37" s="68" t="e">
        <f t="shared" si="121"/>
        <v>#DIV/0!</v>
      </c>
      <c r="Z37" s="68" t="e">
        <f t="shared" si="121"/>
        <v>#DIV/0!</v>
      </c>
      <c r="AB37" t="s">
        <v>39</v>
      </c>
      <c r="AC37" s="68" t="e">
        <f t="shared" si="117"/>
        <v>#DIV/0!</v>
      </c>
      <c r="AD37" s="68" t="e">
        <f t="shared" si="102"/>
        <v>#DIV/0!</v>
      </c>
      <c r="AE37" s="68" t="e">
        <f t="shared" si="103"/>
        <v>#DIV/0!</v>
      </c>
      <c r="AF37" s="68" t="e">
        <f t="shared" si="104"/>
        <v>#DIV/0!</v>
      </c>
      <c r="AG37" s="68" t="e">
        <f t="shared" si="105"/>
        <v>#DIV/0!</v>
      </c>
      <c r="AH37" s="68" t="e">
        <f t="shared" si="106"/>
        <v>#DIV/0!</v>
      </c>
      <c r="AI37" s="68" t="e">
        <f t="shared" si="107"/>
        <v>#DIV/0!</v>
      </c>
      <c r="AJ37" s="68" t="e">
        <f t="shared" si="108"/>
        <v>#DIV/0!</v>
      </c>
      <c r="AK37" s="68" t="e">
        <f t="shared" si="109"/>
        <v>#DIV/0!</v>
      </c>
      <c r="AL37" s="68" t="e">
        <f t="shared" si="110"/>
        <v>#DIV/0!</v>
      </c>
      <c r="AM37" s="68" t="e">
        <f t="shared" si="111"/>
        <v>#DIV/0!</v>
      </c>
    </row>
    <row r="38" spans="2:39" x14ac:dyDescent="0.25"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</row>
    <row r="39" spans="2:39" x14ac:dyDescent="0.25">
      <c r="B39" t="s">
        <v>41</v>
      </c>
      <c r="C39" s="53">
        <f t="shared" ref="C39:M39" si="122">C16/C$23</f>
        <v>0.49757388619320686</v>
      </c>
      <c r="D39" s="54">
        <f t="shared" si="122"/>
        <v>0.56357388316151202</v>
      </c>
      <c r="E39" s="54">
        <f t="shared" si="122"/>
        <v>0.73056603773584905</v>
      </c>
      <c r="F39" s="54">
        <f t="shared" si="122"/>
        <v>0.81958365458750959</v>
      </c>
      <c r="G39" s="54">
        <f t="shared" si="122"/>
        <v>0.46155285313376987</v>
      </c>
      <c r="H39" s="54">
        <f t="shared" si="122"/>
        <v>0.54492648393537846</v>
      </c>
      <c r="I39" s="54">
        <f t="shared" si="122"/>
        <v>0.49687174139728885</v>
      </c>
      <c r="J39" s="54">
        <f t="shared" si="122"/>
        <v>0.72022629184649478</v>
      </c>
      <c r="K39" s="54">
        <f t="shared" si="122"/>
        <v>0.68158744808491001</v>
      </c>
      <c r="L39" s="54">
        <f t="shared" si="122"/>
        <v>0.8236166007905138</v>
      </c>
      <c r="M39" s="55">
        <f t="shared" si="122"/>
        <v>0.63927855711422843</v>
      </c>
      <c r="O39" t="s">
        <v>41</v>
      </c>
      <c r="P39" s="64" t="e">
        <f>P16/P$23</f>
        <v>#DIV/0!</v>
      </c>
      <c r="Q39" s="65" t="e">
        <f t="shared" ref="Q39:Z39" si="123">Q16/Q$23</f>
        <v>#DIV/0!</v>
      </c>
      <c r="R39" s="65" t="e">
        <f t="shared" si="123"/>
        <v>#DIV/0!</v>
      </c>
      <c r="S39" s="65" t="e">
        <f t="shared" si="123"/>
        <v>#DIV/0!</v>
      </c>
      <c r="T39" s="65" t="e">
        <f t="shared" si="123"/>
        <v>#DIV/0!</v>
      </c>
      <c r="U39" s="65" t="e">
        <f t="shared" si="123"/>
        <v>#DIV/0!</v>
      </c>
      <c r="V39" s="65" t="e">
        <f t="shared" si="123"/>
        <v>#DIV/0!</v>
      </c>
      <c r="W39" s="65" t="e">
        <f t="shared" si="123"/>
        <v>#DIV/0!</v>
      </c>
      <c r="X39" s="65" t="e">
        <f t="shared" si="123"/>
        <v>#DIV/0!</v>
      </c>
      <c r="Y39" s="65" t="e">
        <f t="shared" si="123"/>
        <v>#DIV/0!</v>
      </c>
      <c r="Z39" s="66" t="e">
        <f t="shared" si="123"/>
        <v>#DIV/0!</v>
      </c>
      <c r="AB39" t="s">
        <v>41</v>
      </c>
      <c r="AC39" s="64" t="e">
        <f>P39-C39</f>
        <v>#DIV/0!</v>
      </c>
      <c r="AD39" s="65" t="e">
        <f t="shared" ref="AD39:AD46" si="124">Q39-D39</f>
        <v>#DIV/0!</v>
      </c>
      <c r="AE39" s="65" t="e">
        <f t="shared" ref="AE39:AE46" si="125">R39-E39</f>
        <v>#DIV/0!</v>
      </c>
      <c r="AF39" s="65" t="e">
        <f t="shared" ref="AF39:AF46" si="126">S39-F39</f>
        <v>#DIV/0!</v>
      </c>
      <c r="AG39" s="65" t="e">
        <f t="shared" ref="AG39:AG46" si="127">T39-G39</f>
        <v>#DIV/0!</v>
      </c>
      <c r="AH39" s="65" t="e">
        <f t="shared" ref="AH39:AH46" si="128">U39-H39</f>
        <v>#DIV/0!</v>
      </c>
      <c r="AI39" s="65" t="e">
        <f t="shared" ref="AI39:AI46" si="129">V39-I39</f>
        <v>#DIV/0!</v>
      </c>
      <c r="AJ39" s="65" t="e">
        <f t="shared" ref="AJ39:AJ46" si="130">W39-J39</f>
        <v>#DIV/0!</v>
      </c>
      <c r="AK39" s="65" t="e">
        <f t="shared" ref="AK39:AK46" si="131">X39-K39</f>
        <v>#DIV/0!</v>
      </c>
      <c r="AL39" s="65" t="e">
        <f t="shared" ref="AL39:AL46" si="132">Y39-L39</f>
        <v>#DIV/0!</v>
      </c>
      <c r="AM39" s="66" t="e">
        <f t="shared" ref="AM39:AM46" si="133">Z39-M39</f>
        <v>#DIV/0!</v>
      </c>
    </row>
    <row r="40" spans="2:39" x14ac:dyDescent="0.25">
      <c r="B40" t="s">
        <v>35</v>
      </c>
      <c r="C40" s="56">
        <f t="shared" ref="C40:M40" si="134">C17/C$23</f>
        <v>0.23937656227025436</v>
      </c>
      <c r="D40" s="57">
        <f t="shared" si="134"/>
        <v>0.28522336769759449</v>
      </c>
      <c r="E40" s="57">
        <f t="shared" si="134"/>
        <v>0.16679245283018868</v>
      </c>
      <c r="F40" s="57">
        <f t="shared" si="134"/>
        <v>0.13138010794140323</v>
      </c>
      <c r="G40" s="57">
        <f t="shared" si="134"/>
        <v>0.25191768007483628</v>
      </c>
      <c r="H40" s="57">
        <f t="shared" si="134"/>
        <v>0.24269377382465057</v>
      </c>
      <c r="I40" s="57">
        <f t="shared" si="134"/>
        <v>0.22445255474452555</v>
      </c>
      <c r="J40" s="57">
        <f t="shared" si="134"/>
        <v>0.13834130409424938</v>
      </c>
      <c r="K40" s="57">
        <f t="shared" si="134"/>
        <v>0.15597600369173972</v>
      </c>
      <c r="L40" s="57">
        <f t="shared" si="134"/>
        <v>0.11709486166007906</v>
      </c>
      <c r="M40" s="58">
        <f t="shared" si="134"/>
        <v>0.1979704089029122</v>
      </c>
      <c r="O40" t="s">
        <v>35</v>
      </c>
      <c r="P40" s="67" t="e">
        <f t="shared" ref="P40:P45" si="135">P17/P$23</f>
        <v>#DIV/0!</v>
      </c>
      <c r="Q40" s="68" t="e">
        <f t="shared" ref="Q40:Z40" si="136">Q17/Q$23</f>
        <v>#DIV/0!</v>
      </c>
      <c r="R40" s="68" t="e">
        <f t="shared" si="136"/>
        <v>#DIV/0!</v>
      </c>
      <c r="S40" s="68" t="e">
        <f t="shared" si="136"/>
        <v>#DIV/0!</v>
      </c>
      <c r="T40" s="68" t="e">
        <f t="shared" si="136"/>
        <v>#DIV/0!</v>
      </c>
      <c r="U40" s="68" t="e">
        <f t="shared" si="136"/>
        <v>#DIV/0!</v>
      </c>
      <c r="V40" s="68" t="e">
        <f t="shared" si="136"/>
        <v>#DIV/0!</v>
      </c>
      <c r="W40" s="68" t="e">
        <f t="shared" si="136"/>
        <v>#DIV/0!</v>
      </c>
      <c r="X40" s="68" t="e">
        <f t="shared" si="136"/>
        <v>#DIV/0!</v>
      </c>
      <c r="Y40" s="68" t="e">
        <f t="shared" si="136"/>
        <v>#DIV/0!</v>
      </c>
      <c r="Z40" s="69" t="e">
        <f t="shared" si="136"/>
        <v>#DIV/0!</v>
      </c>
      <c r="AB40" t="s">
        <v>35</v>
      </c>
      <c r="AC40" s="67" t="e">
        <f>P40-C40</f>
        <v>#DIV/0!</v>
      </c>
      <c r="AD40" s="68" t="e">
        <f t="shared" si="124"/>
        <v>#DIV/0!</v>
      </c>
      <c r="AE40" s="68" t="e">
        <f t="shared" si="125"/>
        <v>#DIV/0!</v>
      </c>
      <c r="AF40" s="68" t="e">
        <f t="shared" si="126"/>
        <v>#DIV/0!</v>
      </c>
      <c r="AG40" s="68" t="e">
        <f t="shared" si="127"/>
        <v>#DIV/0!</v>
      </c>
      <c r="AH40" s="68" t="e">
        <f t="shared" si="128"/>
        <v>#DIV/0!</v>
      </c>
      <c r="AI40" s="68" t="e">
        <f t="shared" si="129"/>
        <v>#DIV/0!</v>
      </c>
      <c r="AJ40" s="68" t="e">
        <f t="shared" si="130"/>
        <v>#DIV/0!</v>
      </c>
      <c r="AK40" s="68" t="e">
        <f t="shared" si="131"/>
        <v>#DIV/0!</v>
      </c>
      <c r="AL40" s="68" t="e">
        <f t="shared" si="132"/>
        <v>#DIV/0!</v>
      </c>
      <c r="AM40" s="69" t="e">
        <f t="shared" si="133"/>
        <v>#DIV/0!</v>
      </c>
    </row>
    <row r="41" spans="2:39" x14ac:dyDescent="0.25">
      <c r="B41" t="s">
        <v>36</v>
      </c>
      <c r="C41" s="56">
        <f t="shared" ref="C41:M41" si="137">C18/C$23</f>
        <v>0.12645199235406557</v>
      </c>
      <c r="D41" s="57">
        <f t="shared" si="137"/>
        <v>6.8728522336769765E-2</v>
      </c>
      <c r="E41" s="57">
        <f t="shared" si="137"/>
        <v>5.8867924528301883E-2</v>
      </c>
      <c r="F41" s="57">
        <f t="shared" si="137"/>
        <v>3.130300693909021E-2</v>
      </c>
      <c r="G41" s="57">
        <f t="shared" si="137"/>
        <v>0.13367633302151544</v>
      </c>
      <c r="H41" s="57">
        <f t="shared" si="137"/>
        <v>0.11544744962788164</v>
      </c>
      <c r="I41" s="57">
        <f t="shared" si="137"/>
        <v>0.12017726798748697</v>
      </c>
      <c r="J41" s="57">
        <f t="shared" si="137"/>
        <v>7.8618919864691467E-2</v>
      </c>
      <c r="K41" s="57">
        <f t="shared" si="137"/>
        <v>8.0756806645131518E-2</v>
      </c>
      <c r="L41" s="57">
        <f t="shared" si="137"/>
        <v>3.2608695652173912E-2</v>
      </c>
      <c r="M41" s="58">
        <f t="shared" si="137"/>
        <v>9.4145738285080799E-2</v>
      </c>
      <c r="O41" t="s">
        <v>36</v>
      </c>
      <c r="P41" s="67" t="e">
        <f t="shared" si="135"/>
        <v>#DIV/0!</v>
      </c>
      <c r="Q41" s="68" t="e">
        <f t="shared" ref="Q41:Z41" si="138">Q18/Q$23</f>
        <v>#DIV/0!</v>
      </c>
      <c r="R41" s="68" t="e">
        <f t="shared" si="138"/>
        <v>#DIV/0!</v>
      </c>
      <c r="S41" s="68" t="e">
        <f t="shared" si="138"/>
        <v>#DIV/0!</v>
      </c>
      <c r="T41" s="68" t="e">
        <f t="shared" si="138"/>
        <v>#DIV/0!</v>
      </c>
      <c r="U41" s="68" t="e">
        <f t="shared" si="138"/>
        <v>#DIV/0!</v>
      </c>
      <c r="V41" s="68" t="e">
        <f t="shared" si="138"/>
        <v>#DIV/0!</v>
      </c>
      <c r="W41" s="68" t="e">
        <f t="shared" si="138"/>
        <v>#DIV/0!</v>
      </c>
      <c r="X41" s="68" t="e">
        <f t="shared" si="138"/>
        <v>#DIV/0!</v>
      </c>
      <c r="Y41" s="68" t="e">
        <f t="shared" si="138"/>
        <v>#DIV/0!</v>
      </c>
      <c r="Z41" s="69" t="e">
        <f t="shared" si="138"/>
        <v>#DIV/0!</v>
      </c>
      <c r="AB41" t="s">
        <v>36</v>
      </c>
      <c r="AC41" s="67" t="e">
        <f t="shared" ref="AC41:AC43" si="139">P41-C41</f>
        <v>#DIV/0!</v>
      </c>
      <c r="AD41" s="68" t="e">
        <f t="shared" si="124"/>
        <v>#DIV/0!</v>
      </c>
      <c r="AE41" s="68" t="e">
        <f t="shared" si="125"/>
        <v>#DIV/0!</v>
      </c>
      <c r="AF41" s="68" t="e">
        <f t="shared" si="126"/>
        <v>#DIV/0!</v>
      </c>
      <c r="AG41" s="68" t="e">
        <f t="shared" si="127"/>
        <v>#DIV/0!</v>
      </c>
      <c r="AH41" s="68" t="e">
        <f t="shared" si="128"/>
        <v>#DIV/0!</v>
      </c>
      <c r="AI41" s="68" t="e">
        <f t="shared" si="129"/>
        <v>#DIV/0!</v>
      </c>
      <c r="AJ41" s="68" t="e">
        <f t="shared" si="130"/>
        <v>#DIV/0!</v>
      </c>
      <c r="AK41" s="68" t="e">
        <f t="shared" si="131"/>
        <v>#DIV/0!</v>
      </c>
      <c r="AL41" s="68" t="e">
        <f t="shared" si="132"/>
        <v>#DIV/0!</v>
      </c>
      <c r="AM41" s="69" t="e">
        <f t="shared" si="133"/>
        <v>#DIV/0!</v>
      </c>
    </row>
    <row r="42" spans="2:39" x14ac:dyDescent="0.25">
      <c r="B42" t="s">
        <v>37</v>
      </c>
      <c r="C42" s="56">
        <f t="shared" ref="C42:M42" si="140">C19/C$23</f>
        <v>8.7046022643728863E-2</v>
      </c>
      <c r="D42" s="57">
        <f t="shared" si="140"/>
        <v>6.1855670103092786E-2</v>
      </c>
      <c r="E42" s="57">
        <f t="shared" si="140"/>
        <v>3.2452830188679248E-2</v>
      </c>
      <c r="F42" s="57">
        <f t="shared" si="140"/>
        <v>1.3261372397841172E-2</v>
      </c>
      <c r="G42" s="57">
        <f t="shared" si="140"/>
        <v>0.10215154349859681</v>
      </c>
      <c r="H42" s="57">
        <f t="shared" si="140"/>
        <v>6.6799782174623346E-2</v>
      </c>
      <c r="I42" s="57">
        <f t="shared" si="140"/>
        <v>0.10192909280500521</v>
      </c>
      <c r="J42" s="57">
        <f t="shared" si="140"/>
        <v>4.4091916481978306E-2</v>
      </c>
      <c r="K42" s="57">
        <f t="shared" si="140"/>
        <v>5.5376095985233041E-2</v>
      </c>
      <c r="L42" s="57">
        <f t="shared" si="140"/>
        <v>1.6304347826086956E-2</v>
      </c>
      <c r="M42" s="58">
        <f t="shared" si="140"/>
        <v>5.0611862021916171E-2</v>
      </c>
      <c r="O42" t="s">
        <v>37</v>
      </c>
      <c r="P42" s="67" t="e">
        <f t="shared" si="135"/>
        <v>#DIV/0!</v>
      </c>
      <c r="Q42" s="68" t="e">
        <f t="shared" ref="Q42:Z42" si="141">Q19/Q$23</f>
        <v>#DIV/0!</v>
      </c>
      <c r="R42" s="68" t="e">
        <f t="shared" si="141"/>
        <v>#DIV/0!</v>
      </c>
      <c r="S42" s="68" t="e">
        <f t="shared" si="141"/>
        <v>#DIV/0!</v>
      </c>
      <c r="T42" s="68" t="e">
        <f t="shared" si="141"/>
        <v>#DIV/0!</v>
      </c>
      <c r="U42" s="68" t="e">
        <f t="shared" si="141"/>
        <v>#DIV/0!</v>
      </c>
      <c r="V42" s="68" t="e">
        <f t="shared" si="141"/>
        <v>#DIV/0!</v>
      </c>
      <c r="W42" s="68" t="e">
        <f t="shared" si="141"/>
        <v>#DIV/0!</v>
      </c>
      <c r="X42" s="68" t="e">
        <f t="shared" si="141"/>
        <v>#DIV/0!</v>
      </c>
      <c r="Y42" s="68" t="e">
        <f t="shared" si="141"/>
        <v>#DIV/0!</v>
      </c>
      <c r="Z42" s="69" t="e">
        <f t="shared" si="141"/>
        <v>#DIV/0!</v>
      </c>
      <c r="AB42" t="s">
        <v>37</v>
      </c>
      <c r="AC42" s="67" t="e">
        <f t="shared" si="139"/>
        <v>#DIV/0!</v>
      </c>
      <c r="AD42" s="68" t="e">
        <f t="shared" si="124"/>
        <v>#DIV/0!</v>
      </c>
      <c r="AE42" s="68" t="e">
        <f t="shared" si="125"/>
        <v>#DIV/0!</v>
      </c>
      <c r="AF42" s="68" t="e">
        <f t="shared" si="126"/>
        <v>#DIV/0!</v>
      </c>
      <c r="AG42" s="68" t="e">
        <f t="shared" si="127"/>
        <v>#DIV/0!</v>
      </c>
      <c r="AH42" s="68" t="e">
        <f t="shared" si="128"/>
        <v>#DIV/0!</v>
      </c>
      <c r="AI42" s="68" t="e">
        <f t="shared" si="129"/>
        <v>#DIV/0!</v>
      </c>
      <c r="AJ42" s="68" t="e">
        <f t="shared" si="130"/>
        <v>#DIV/0!</v>
      </c>
      <c r="AK42" s="68" t="e">
        <f t="shared" si="131"/>
        <v>#DIV/0!</v>
      </c>
      <c r="AL42" s="68" t="e">
        <f t="shared" si="132"/>
        <v>#DIV/0!</v>
      </c>
      <c r="AM42" s="69" t="e">
        <f t="shared" si="133"/>
        <v>#DIV/0!</v>
      </c>
    </row>
    <row r="43" spans="2:39" x14ac:dyDescent="0.25">
      <c r="B43" t="s">
        <v>42</v>
      </c>
      <c r="C43" s="56">
        <f t="shared" ref="C43:M43" si="142">C20/C$23</f>
        <v>3.1098367887075429E-2</v>
      </c>
      <c r="D43" s="57">
        <f t="shared" si="142"/>
        <v>3.4364261168384879E-3</v>
      </c>
      <c r="E43" s="57">
        <f t="shared" si="142"/>
        <v>9.8113207547169817E-3</v>
      </c>
      <c r="F43" s="57">
        <f t="shared" si="142"/>
        <v>2.9298380878951427E-3</v>
      </c>
      <c r="G43" s="57">
        <f t="shared" si="142"/>
        <v>3.3395696913002808E-2</v>
      </c>
      <c r="H43" s="57">
        <f t="shared" si="142"/>
        <v>2.0511889635142493E-2</v>
      </c>
      <c r="I43" s="57">
        <f t="shared" si="142"/>
        <v>3.7539103232533892E-2</v>
      </c>
      <c r="J43" s="57">
        <f t="shared" si="142"/>
        <v>1.2539367782573195E-2</v>
      </c>
      <c r="K43" s="57">
        <f t="shared" si="142"/>
        <v>1.3382556529764651E-2</v>
      </c>
      <c r="L43" s="57">
        <f t="shared" si="142"/>
        <v>5.434782608695652E-3</v>
      </c>
      <c r="M43" s="58">
        <f t="shared" si="142"/>
        <v>1.496610241760116E-2</v>
      </c>
      <c r="O43" t="s">
        <v>42</v>
      </c>
      <c r="P43" s="67" t="e">
        <f t="shared" si="135"/>
        <v>#DIV/0!</v>
      </c>
      <c r="Q43" s="68" t="e">
        <f t="shared" ref="Q43:Z43" si="143">Q20/Q$23</f>
        <v>#DIV/0!</v>
      </c>
      <c r="R43" s="68" t="e">
        <f t="shared" si="143"/>
        <v>#DIV/0!</v>
      </c>
      <c r="S43" s="68" t="e">
        <f t="shared" si="143"/>
        <v>#DIV/0!</v>
      </c>
      <c r="T43" s="68" t="e">
        <f t="shared" si="143"/>
        <v>#DIV/0!</v>
      </c>
      <c r="U43" s="68" t="e">
        <f t="shared" si="143"/>
        <v>#DIV/0!</v>
      </c>
      <c r="V43" s="68" t="e">
        <f t="shared" si="143"/>
        <v>#DIV/0!</v>
      </c>
      <c r="W43" s="68" t="e">
        <f t="shared" si="143"/>
        <v>#DIV/0!</v>
      </c>
      <c r="X43" s="68" t="e">
        <f t="shared" si="143"/>
        <v>#DIV/0!</v>
      </c>
      <c r="Y43" s="68" t="e">
        <f t="shared" si="143"/>
        <v>#DIV/0!</v>
      </c>
      <c r="Z43" s="69" t="e">
        <f t="shared" si="143"/>
        <v>#DIV/0!</v>
      </c>
      <c r="AB43" t="s">
        <v>42</v>
      </c>
      <c r="AC43" s="67" t="e">
        <f t="shared" si="139"/>
        <v>#DIV/0!</v>
      </c>
      <c r="AD43" s="68" t="e">
        <f t="shared" si="124"/>
        <v>#DIV/0!</v>
      </c>
      <c r="AE43" s="68" t="e">
        <f t="shared" si="125"/>
        <v>#DIV/0!</v>
      </c>
      <c r="AF43" s="68" t="e">
        <f t="shared" si="126"/>
        <v>#DIV/0!</v>
      </c>
      <c r="AG43" s="68" t="e">
        <f t="shared" si="127"/>
        <v>#DIV/0!</v>
      </c>
      <c r="AH43" s="68" t="e">
        <f t="shared" si="128"/>
        <v>#DIV/0!</v>
      </c>
      <c r="AI43" s="68" t="e">
        <f t="shared" si="129"/>
        <v>#DIV/0!</v>
      </c>
      <c r="AJ43" s="68" t="e">
        <f t="shared" si="130"/>
        <v>#DIV/0!</v>
      </c>
      <c r="AK43" s="68" t="e">
        <f t="shared" si="131"/>
        <v>#DIV/0!</v>
      </c>
      <c r="AL43" s="68" t="e">
        <f t="shared" si="132"/>
        <v>#DIV/0!</v>
      </c>
      <c r="AM43" s="69" t="e">
        <f t="shared" si="133"/>
        <v>#DIV/0!</v>
      </c>
    </row>
    <row r="44" spans="2:39" x14ac:dyDescent="0.25">
      <c r="B44" t="s">
        <v>43</v>
      </c>
      <c r="C44" s="56">
        <f t="shared" ref="C44:M44" si="144">C21/C$23</f>
        <v>1.2792236435818262E-2</v>
      </c>
      <c r="D44" s="57">
        <f t="shared" si="144"/>
        <v>1.0309278350515464E-2</v>
      </c>
      <c r="E44" s="57">
        <f t="shared" si="144"/>
        <v>7.5471698113207543E-4</v>
      </c>
      <c r="F44" s="57">
        <f t="shared" si="144"/>
        <v>1.0794140323824211E-3</v>
      </c>
      <c r="G44" s="57">
        <f t="shared" si="144"/>
        <v>1.2628624883068288E-2</v>
      </c>
      <c r="H44" s="57">
        <f t="shared" si="144"/>
        <v>5.8086767108368126E-3</v>
      </c>
      <c r="I44" s="57">
        <f t="shared" si="144"/>
        <v>1.2643378519290928E-2</v>
      </c>
      <c r="J44" s="57">
        <f t="shared" si="144"/>
        <v>4.5491659862358568E-3</v>
      </c>
      <c r="K44" s="57">
        <f t="shared" si="144"/>
        <v>8.7678818643285653E-3</v>
      </c>
      <c r="L44" s="57">
        <f t="shared" si="144"/>
        <v>2.9644268774703555E-3</v>
      </c>
      <c r="M44" s="58">
        <f t="shared" si="144"/>
        <v>1.9613695476058501E-3</v>
      </c>
      <c r="O44" t="s">
        <v>43</v>
      </c>
      <c r="P44" s="67" t="e">
        <f t="shared" si="135"/>
        <v>#DIV/0!</v>
      </c>
      <c r="Q44" s="68" t="e">
        <f t="shared" ref="Q44:Z44" si="145">Q21/Q$23</f>
        <v>#DIV/0!</v>
      </c>
      <c r="R44" s="68" t="e">
        <f t="shared" si="145"/>
        <v>#DIV/0!</v>
      </c>
      <c r="S44" s="68" t="e">
        <f t="shared" si="145"/>
        <v>#DIV/0!</v>
      </c>
      <c r="T44" s="68" t="e">
        <f t="shared" si="145"/>
        <v>#DIV/0!</v>
      </c>
      <c r="U44" s="68" t="e">
        <f t="shared" si="145"/>
        <v>#DIV/0!</v>
      </c>
      <c r="V44" s="68" t="e">
        <f t="shared" si="145"/>
        <v>#DIV/0!</v>
      </c>
      <c r="W44" s="68" t="e">
        <f t="shared" si="145"/>
        <v>#DIV/0!</v>
      </c>
      <c r="X44" s="68" t="e">
        <f t="shared" si="145"/>
        <v>#DIV/0!</v>
      </c>
      <c r="Y44" s="68" t="e">
        <f t="shared" si="145"/>
        <v>#DIV/0!</v>
      </c>
      <c r="Z44" s="69" t="e">
        <f t="shared" si="145"/>
        <v>#DIV/0!</v>
      </c>
      <c r="AB44" t="s">
        <v>43</v>
      </c>
      <c r="AC44" s="67" t="e">
        <f>P44-C44</f>
        <v>#DIV/0!</v>
      </c>
      <c r="AD44" s="68" t="e">
        <f t="shared" si="124"/>
        <v>#DIV/0!</v>
      </c>
      <c r="AE44" s="68" t="e">
        <f t="shared" si="125"/>
        <v>#DIV/0!</v>
      </c>
      <c r="AF44" s="68" t="e">
        <f t="shared" si="126"/>
        <v>#DIV/0!</v>
      </c>
      <c r="AG44" s="68" t="e">
        <f t="shared" si="127"/>
        <v>#DIV/0!</v>
      </c>
      <c r="AH44" s="68" t="e">
        <f t="shared" si="128"/>
        <v>#DIV/0!</v>
      </c>
      <c r="AI44" s="68" t="e">
        <f t="shared" si="129"/>
        <v>#DIV/0!</v>
      </c>
      <c r="AJ44" s="68" t="e">
        <f t="shared" si="130"/>
        <v>#DIV/0!</v>
      </c>
      <c r="AK44" s="68" t="e">
        <f t="shared" si="131"/>
        <v>#DIV/0!</v>
      </c>
      <c r="AL44" s="68" t="e">
        <f t="shared" si="132"/>
        <v>#DIV/0!</v>
      </c>
      <c r="AM44" s="69" t="e">
        <f t="shared" si="133"/>
        <v>#DIV/0!</v>
      </c>
    </row>
    <row r="45" spans="2:39" x14ac:dyDescent="0.25">
      <c r="B45" t="s">
        <v>38</v>
      </c>
      <c r="C45" s="59">
        <f t="shared" ref="C45:M45" si="146">C22/C$23</f>
        <v>5.6609322158506104E-3</v>
      </c>
      <c r="D45" s="60">
        <f t="shared" si="146"/>
        <v>6.8728522336769758E-3</v>
      </c>
      <c r="E45" s="60">
        <f t="shared" si="146"/>
        <v>7.5471698113207543E-4</v>
      </c>
      <c r="F45" s="60">
        <f t="shared" si="146"/>
        <v>4.6260601387818041E-4</v>
      </c>
      <c r="G45" s="60">
        <f t="shared" si="146"/>
        <v>4.6772684752104769E-3</v>
      </c>
      <c r="H45" s="60">
        <f t="shared" si="146"/>
        <v>3.8119440914866584E-3</v>
      </c>
      <c r="I45" s="60">
        <f t="shared" si="146"/>
        <v>6.3868613138686131E-3</v>
      </c>
      <c r="J45" s="60">
        <f t="shared" si="146"/>
        <v>1.6330339437769742E-3</v>
      </c>
      <c r="K45" s="60">
        <f t="shared" si="146"/>
        <v>4.1532071988924779E-3</v>
      </c>
      <c r="L45" s="60">
        <f t="shared" si="146"/>
        <v>1.976284584980237E-3</v>
      </c>
      <c r="M45" s="61">
        <f t="shared" si="146"/>
        <v>1.0659617106553532E-3</v>
      </c>
      <c r="O45" t="s">
        <v>38</v>
      </c>
      <c r="P45" s="70" t="e">
        <f t="shared" si="135"/>
        <v>#DIV/0!</v>
      </c>
      <c r="Q45" s="71" t="e">
        <f t="shared" ref="Q45:Z45" si="147">Q22/Q$23</f>
        <v>#DIV/0!</v>
      </c>
      <c r="R45" s="71" t="e">
        <f t="shared" si="147"/>
        <v>#DIV/0!</v>
      </c>
      <c r="S45" s="71" t="e">
        <f t="shared" si="147"/>
        <v>#DIV/0!</v>
      </c>
      <c r="T45" s="71" t="e">
        <f t="shared" si="147"/>
        <v>#DIV/0!</v>
      </c>
      <c r="U45" s="71" t="e">
        <f t="shared" si="147"/>
        <v>#DIV/0!</v>
      </c>
      <c r="V45" s="71" t="e">
        <f t="shared" si="147"/>
        <v>#DIV/0!</v>
      </c>
      <c r="W45" s="71" t="e">
        <f t="shared" si="147"/>
        <v>#DIV/0!</v>
      </c>
      <c r="X45" s="71" t="e">
        <f t="shared" si="147"/>
        <v>#DIV/0!</v>
      </c>
      <c r="Y45" s="71" t="e">
        <f t="shared" si="147"/>
        <v>#DIV/0!</v>
      </c>
      <c r="Z45" s="72" t="e">
        <f t="shared" si="147"/>
        <v>#DIV/0!</v>
      </c>
      <c r="AB45" t="s">
        <v>38</v>
      </c>
      <c r="AC45" s="70" t="e">
        <f>P45-C45</f>
        <v>#DIV/0!</v>
      </c>
      <c r="AD45" s="71" t="e">
        <f t="shared" si="124"/>
        <v>#DIV/0!</v>
      </c>
      <c r="AE45" s="71" t="e">
        <f t="shared" si="125"/>
        <v>#DIV/0!</v>
      </c>
      <c r="AF45" s="71" t="e">
        <f t="shared" si="126"/>
        <v>#DIV/0!</v>
      </c>
      <c r="AG45" s="71" t="e">
        <f t="shared" si="127"/>
        <v>#DIV/0!</v>
      </c>
      <c r="AH45" s="71" t="e">
        <f t="shared" si="128"/>
        <v>#DIV/0!</v>
      </c>
      <c r="AI45" s="71" t="e">
        <f t="shared" si="129"/>
        <v>#DIV/0!</v>
      </c>
      <c r="AJ45" s="71" t="e">
        <f t="shared" si="130"/>
        <v>#DIV/0!</v>
      </c>
      <c r="AK45" s="71" t="e">
        <f t="shared" si="131"/>
        <v>#DIV/0!</v>
      </c>
      <c r="AL45" s="71" t="e">
        <f t="shared" si="132"/>
        <v>#DIV/0!</v>
      </c>
      <c r="AM45" s="72" t="e">
        <f t="shared" si="133"/>
        <v>#DIV/0!</v>
      </c>
    </row>
    <row r="46" spans="2:39" x14ac:dyDescent="0.25">
      <c r="B46" t="s">
        <v>39</v>
      </c>
      <c r="C46" s="62">
        <f t="shared" ref="C46:M46" si="148">C23/C$23</f>
        <v>1</v>
      </c>
      <c r="D46" s="62">
        <f t="shared" si="148"/>
        <v>1</v>
      </c>
      <c r="E46" s="62">
        <f t="shared" si="148"/>
        <v>1</v>
      </c>
      <c r="F46" s="62">
        <f t="shared" si="148"/>
        <v>1</v>
      </c>
      <c r="G46" s="62">
        <f t="shared" si="148"/>
        <v>1</v>
      </c>
      <c r="H46" s="62">
        <f t="shared" si="148"/>
        <v>1</v>
      </c>
      <c r="I46" s="62">
        <f t="shared" si="148"/>
        <v>1</v>
      </c>
      <c r="J46" s="62">
        <f t="shared" si="148"/>
        <v>1</v>
      </c>
      <c r="K46" s="62">
        <f t="shared" si="148"/>
        <v>1</v>
      </c>
      <c r="L46" s="62">
        <f t="shared" si="148"/>
        <v>1</v>
      </c>
      <c r="M46" s="62">
        <f t="shared" si="148"/>
        <v>1</v>
      </c>
      <c r="O46" t="s">
        <v>39</v>
      </c>
      <c r="P46" s="68" t="e">
        <f>P23/P$23</f>
        <v>#DIV/0!</v>
      </c>
      <c r="Q46" s="68" t="e">
        <f t="shared" ref="Q46:Z46" si="149">Q23/Q$23</f>
        <v>#DIV/0!</v>
      </c>
      <c r="R46" s="68" t="e">
        <f t="shared" si="149"/>
        <v>#DIV/0!</v>
      </c>
      <c r="S46" s="68" t="e">
        <f t="shared" si="149"/>
        <v>#DIV/0!</v>
      </c>
      <c r="T46" s="68" t="e">
        <f t="shared" si="149"/>
        <v>#DIV/0!</v>
      </c>
      <c r="U46" s="68" t="e">
        <f t="shared" si="149"/>
        <v>#DIV/0!</v>
      </c>
      <c r="V46" s="68" t="e">
        <f t="shared" si="149"/>
        <v>#DIV/0!</v>
      </c>
      <c r="W46" s="68" t="e">
        <f t="shared" si="149"/>
        <v>#DIV/0!</v>
      </c>
      <c r="X46" s="68" t="e">
        <f t="shared" si="149"/>
        <v>#DIV/0!</v>
      </c>
      <c r="Y46" s="68" t="e">
        <f t="shared" si="149"/>
        <v>#DIV/0!</v>
      </c>
      <c r="Z46" s="68" t="e">
        <f t="shared" si="149"/>
        <v>#DIV/0!</v>
      </c>
      <c r="AB46" t="s">
        <v>39</v>
      </c>
      <c r="AC46" s="68" t="e">
        <f t="shared" ref="AC46" si="150">P46-C46</f>
        <v>#DIV/0!</v>
      </c>
      <c r="AD46" s="68" t="e">
        <f t="shared" si="124"/>
        <v>#DIV/0!</v>
      </c>
      <c r="AE46" s="68" t="e">
        <f t="shared" si="125"/>
        <v>#DIV/0!</v>
      </c>
      <c r="AF46" s="68" t="e">
        <f t="shared" si="126"/>
        <v>#DIV/0!</v>
      </c>
      <c r="AG46" s="68" t="e">
        <f t="shared" si="127"/>
        <v>#DIV/0!</v>
      </c>
      <c r="AH46" s="68" t="e">
        <f t="shared" si="128"/>
        <v>#DIV/0!</v>
      </c>
      <c r="AI46" s="68" t="e">
        <f t="shared" si="129"/>
        <v>#DIV/0!</v>
      </c>
      <c r="AJ46" s="68" t="e">
        <f t="shared" si="130"/>
        <v>#DIV/0!</v>
      </c>
      <c r="AK46" s="68" t="e">
        <f t="shared" si="131"/>
        <v>#DIV/0!</v>
      </c>
      <c r="AL46" s="68" t="e">
        <f t="shared" si="132"/>
        <v>#DIV/0!</v>
      </c>
      <c r="AM46" s="68" t="e">
        <f t="shared" si="133"/>
        <v>#DIV/0!</v>
      </c>
    </row>
    <row r="48" spans="2:39" x14ac:dyDescent="0.25">
      <c r="B48" t="s">
        <v>48</v>
      </c>
      <c r="C48" s="11"/>
    </row>
    <row r="50" spans="1:39" x14ac:dyDescent="0.25">
      <c r="B50" t="s">
        <v>49</v>
      </c>
      <c r="O50" t="s">
        <v>51</v>
      </c>
      <c r="AB50" t="s">
        <v>50</v>
      </c>
    </row>
    <row r="51" spans="1:39" x14ac:dyDescent="0.25">
      <c r="C51" t="s">
        <v>0</v>
      </c>
      <c r="D51" t="s">
        <v>1</v>
      </c>
      <c r="E51" t="s">
        <v>2</v>
      </c>
      <c r="F51" t="s">
        <v>3</v>
      </c>
      <c r="G51" t="s">
        <v>4</v>
      </c>
      <c r="H51" t="s">
        <v>5</v>
      </c>
      <c r="I51" t="s">
        <v>6</v>
      </c>
      <c r="J51" t="s">
        <v>7</v>
      </c>
      <c r="K51" t="s">
        <v>8</v>
      </c>
      <c r="L51" t="s">
        <v>9</v>
      </c>
      <c r="M51" t="s">
        <v>10</v>
      </c>
      <c r="P51" t="s">
        <v>0</v>
      </c>
      <c r="Q51" t="s">
        <v>1</v>
      </c>
      <c r="R51" t="s">
        <v>2</v>
      </c>
      <c r="S51" t="s">
        <v>3</v>
      </c>
      <c r="T51" t="s">
        <v>4</v>
      </c>
      <c r="U51" t="s">
        <v>5</v>
      </c>
      <c r="V51" t="s">
        <v>6</v>
      </c>
      <c r="W51" t="s">
        <v>7</v>
      </c>
      <c r="X51" t="s">
        <v>8</v>
      </c>
      <c r="Y51" t="s">
        <v>9</v>
      </c>
      <c r="Z51" t="s">
        <v>10</v>
      </c>
      <c r="AC51" t="s">
        <v>0</v>
      </c>
      <c r="AD51" t="s">
        <v>1</v>
      </c>
      <c r="AE51" t="s">
        <v>2</v>
      </c>
      <c r="AF51" t="s">
        <v>3</v>
      </c>
      <c r="AG51" t="s">
        <v>4</v>
      </c>
      <c r="AH51" t="s">
        <v>5</v>
      </c>
      <c r="AI51" t="s">
        <v>6</v>
      </c>
      <c r="AJ51" t="s">
        <v>7</v>
      </c>
      <c r="AK51" t="s">
        <v>8</v>
      </c>
      <c r="AL51" t="s">
        <v>9</v>
      </c>
      <c r="AM51" t="s">
        <v>10</v>
      </c>
    </row>
    <row r="52" spans="1:39" x14ac:dyDescent="0.25">
      <c r="A52" t="s">
        <v>76</v>
      </c>
      <c r="B52" s="15" t="s">
        <v>31</v>
      </c>
      <c r="C52" s="16" cm="1">
        <f t="array" ref="C52">INDEX(constants!$C$6:$R$38,MATCH(1,(constants!$A$6:$A$38=calibration!C$51)*(constants!$B$6:$B$38=calibration!$A52),0),MATCH(calibration!$B52,constants!$C$4:$R$4,0))</f>
        <v>0</v>
      </c>
      <c r="D52" s="17" cm="1">
        <f t="array" ref="D52">INDEX(constants!$C$6:$R$38,MATCH(1,(constants!$A$6:$A$38=calibration!D$51)*(constants!$B$6:$B$38=calibration!$A52),0),MATCH(calibration!$B52,constants!$C$4:$R$4,0))</f>
        <v>0</v>
      </c>
      <c r="E52" s="17" cm="1">
        <f t="array" ref="E52">INDEX(constants!$C$6:$R$38,MATCH(1,(constants!$A$6:$A$38=calibration!E$51)*(constants!$B$6:$B$38=calibration!$A52),0),MATCH(calibration!$B52,constants!$C$4:$R$4,0))</f>
        <v>0</v>
      </c>
      <c r="F52" s="17" cm="1">
        <f t="array" ref="F52">INDEX(constants!$C$6:$R$38,MATCH(1,(constants!$A$6:$A$38=calibration!F$51)*(constants!$B$6:$B$38=calibration!$A52),0),MATCH(calibration!$B52,constants!$C$4:$R$4,0))</f>
        <v>0</v>
      </c>
      <c r="G52" s="17" cm="1">
        <f t="array" ref="G52">INDEX(constants!$C$6:$R$38,MATCH(1,(constants!$A$6:$A$38=calibration!G$51)*(constants!$B$6:$B$38=calibration!$A52),0),MATCH(calibration!$B52,constants!$C$4:$R$4,0))</f>
        <v>0</v>
      </c>
      <c r="H52" s="17" cm="1">
        <f t="array" ref="H52">INDEX(constants!$C$6:$R$38,MATCH(1,(constants!$A$6:$A$38=calibration!H$51)*(constants!$B$6:$B$38=calibration!$A52),0),MATCH(calibration!$B52,constants!$C$4:$R$4,0))</f>
        <v>0</v>
      </c>
      <c r="I52" s="17" cm="1">
        <f t="array" ref="I52">INDEX(constants!$C$6:$R$38,MATCH(1,(constants!$A$6:$A$38=calibration!I$51)*(constants!$B$6:$B$38=calibration!$A52),0),MATCH(calibration!$B52,constants!$C$4:$R$4,0))</f>
        <v>0</v>
      </c>
      <c r="J52" s="17" cm="1">
        <f t="array" ref="J52">INDEX(constants!$C$6:$R$38,MATCH(1,(constants!$A$6:$A$38=calibration!J$51)*(constants!$B$6:$B$38=calibration!$A52),0),MATCH(calibration!$B52,constants!$C$4:$R$4,0))</f>
        <v>0</v>
      </c>
      <c r="K52" s="17" cm="1">
        <f t="array" ref="K52">INDEX(constants!$C$6:$R$38,MATCH(1,(constants!$A$6:$A$38=calibration!K$51)*(constants!$B$6:$B$38=calibration!$A52),0),MATCH(calibration!$B52,constants!$C$4:$R$4,0))</f>
        <v>0</v>
      </c>
      <c r="L52" s="17" cm="1">
        <f t="array" ref="L52">INDEX(constants!$C$6:$R$38,MATCH(1,(constants!$A$6:$A$38=calibration!L$51)*(constants!$B$6:$B$38=calibration!$A52),0),MATCH(calibration!$B52,constants!$C$4:$R$4,0))</f>
        <v>0</v>
      </c>
      <c r="M52" s="18" cm="1">
        <f t="array" ref="M52">INDEX(constants!$C$6:$R$38,MATCH(1,(constants!$A$6:$A$38=calibration!M$51)*(constants!$B$6:$B$38=calibration!$A52),0),MATCH(calibration!$B52,constants!$C$4:$R$4,0))</f>
        <v>0</v>
      </c>
      <c r="O52" s="15" t="s">
        <v>31</v>
      </c>
      <c r="P52" s="16" t="e">
        <f>$C$48*LN(C27/P27)</f>
        <v>#DIV/0!</v>
      </c>
      <c r="Q52" s="17" t="e">
        <f t="shared" ref="Q52:Z52" si="151">$C$48*LN(D27/Q27)</f>
        <v>#DIV/0!</v>
      </c>
      <c r="R52" s="17" t="e">
        <f t="shared" si="151"/>
        <v>#DIV/0!</v>
      </c>
      <c r="S52" s="17" t="e">
        <f t="shared" si="151"/>
        <v>#DIV/0!</v>
      </c>
      <c r="T52" s="17" t="e">
        <f t="shared" si="151"/>
        <v>#DIV/0!</v>
      </c>
      <c r="U52" s="17" t="e">
        <f t="shared" si="151"/>
        <v>#DIV/0!</v>
      </c>
      <c r="V52" s="17" t="e">
        <f t="shared" si="151"/>
        <v>#DIV/0!</v>
      </c>
      <c r="W52" s="17" t="e">
        <f t="shared" si="151"/>
        <v>#DIV/0!</v>
      </c>
      <c r="X52" s="17" t="e">
        <f t="shared" si="151"/>
        <v>#DIV/0!</v>
      </c>
      <c r="Y52" s="17" t="e">
        <f t="shared" si="151"/>
        <v>#DIV/0!</v>
      </c>
      <c r="Z52" s="18" t="e">
        <f t="shared" si="151"/>
        <v>#DIV/0!</v>
      </c>
      <c r="AB52" s="15" t="s">
        <v>31</v>
      </c>
      <c r="AC52" s="16"/>
      <c r="AD52" s="17"/>
      <c r="AE52" s="17"/>
      <c r="AF52" s="17"/>
      <c r="AG52" s="17"/>
      <c r="AH52" s="17"/>
      <c r="AI52" s="17"/>
      <c r="AJ52" s="17"/>
      <c r="AK52" s="17"/>
      <c r="AL52" s="17"/>
      <c r="AM52" s="18"/>
    </row>
    <row r="53" spans="1:39" x14ac:dyDescent="0.25">
      <c r="A53" t="s">
        <v>76</v>
      </c>
      <c r="B53" s="15" t="s">
        <v>32</v>
      </c>
      <c r="C53" s="19" cm="1">
        <f t="array" ref="C53">INDEX(constants!$C$6:$R$38,MATCH(1,(constants!$A$6:$A$38=calibration!C$51)*(constants!$B$6:$B$38=calibration!$A53),0),MATCH(calibration!$B53,constants!$C$4:$R$4,0))</f>
        <v>0</v>
      </c>
      <c r="D53" s="15" cm="1">
        <f t="array" ref="D53">INDEX(constants!$C$6:$R$38,MATCH(1,(constants!$A$6:$A$38=calibration!D$51)*(constants!$B$6:$B$38=calibration!$A53),0),MATCH(calibration!$B53,constants!$C$4:$R$4,0))</f>
        <v>0</v>
      </c>
      <c r="E53" s="15" cm="1">
        <f t="array" ref="E53">INDEX(constants!$C$6:$R$38,MATCH(1,(constants!$A$6:$A$38=calibration!E$51)*(constants!$B$6:$B$38=calibration!$A53),0),MATCH(calibration!$B53,constants!$C$4:$R$4,0))</f>
        <v>0</v>
      </c>
      <c r="F53" s="15" cm="1">
        <f t="array" ref="F53">INDEX(constants!$C$6:$R$38,MATCH(1,(constants!$A$6:$A$38=calibration!F$51)*(constants!$B$6:$B$38=calibration!$A53),0),MATCH(calibration!$B53,constants!$C$4:$R$4,0))</f>
        <v>0</v>
      </c>
      <c r="G53" s="15" cm="1">
        <f t="array" ref="G53">INDEX(constants!$C$6:$R$38,MATCH(1,(constants!$A$6:$A$38=calibration!G$51)*(constants!$B$6:$B$38=calibration!$A53),0),MATCH(calibration!$B53,constants!$C$4:$R$4,0))</f>
        <v>0</v>
      </c>
      <c r="H53" s="15" cm="1">
        <f t="array" ref="H53">INDEX(constants!$C$6:$R$38,MATCH(1,(constants!$A$6:$A$38=calibration!H$51)*(constants!$B$6:$B$38=calibration!$A53),0),MATCH(calibration!$B53,constants!$C$4:$R$4,0))</f>
        <v>0</v>
      </c>
      <c r="I53" s="15" cm="1">
        <f t="array" ref="I53">INDEX(constants!$C$6:$R$38,MATCH(1,(constants!$A$6:$A$38=calibration!I$51)*(constants!$B$6:$B$38=calibration!$A53),0),MATCH(calibration!$B53,constants!$C$4:$R$4,0))</f>
        <v>0</v>
      </c>
      <c r="J53" s="15" cm="1">
        <f t="array" ref="J53">INDEX(constants!$C$6:$R$38,MATCH(1,(constants!$A$6:$A$38=calibration!J$51)*(constants!$B$6:$B$38=calibration!$A53),0),MATCH(calibration!$B53,constants!$C$4:$R$4,0))</f>
        <v>0</v>
      </c>
      <c r="K53" s="15" cm="1">
        <f t="array" ref="K53">INDEX(constants!$C$6:$R$38,MATCH(1,(constants!$A$6:$A$38=calibration!K$51)*(constants!$B$6:$B$38=calibration!$A53),0),MATCH(calibration!$B53,constants!$C$4:$R$4,0))</f>
        <v>0</v>
      </c>
      <c r="L53" s="15" cm="1">
        <f t="array" ref="L53">INDEX(constants!$C$6:$R$38,MATCH(1,(constants!$A$6:$A$38=calibration!L$51)*(constants!$B$6:$B$38=calibration!$A53),0),MATCH(calibration!$B53,constants!$C$4:$R$4,0))</f>
        <v>0</v>
      </c>
      <c r="M53" s="20" cm="1">
        <f t="array" ref="M53">INDEX(constants!$C$6:$R$38,MATCH(1,(constants!$A$6:$A$38=calibration!M$51)*(constants!$B$6:$B$38=calibration!$A53),0),MATCH(calibration!$B53,constants!$C$4:$R$4,0))</f>
        <v>0</v>
      </c>
      <c r="O53" s="15" t="s">
        <v>32</v>
      </c>
      <c r="P53" s="19" t="e">
        <f>$C$48*LN(C28/P28)</f>
        <v>#DIV/0!</v>
      </c>
      <c r="Q53" s="15" t="e">
        <f t="shared" ref="Q53:Z53" si="152">$C$48*LN(D28/Q28)</f>
        <v>#DIV/0!</v>
      </c>
      <c r="R53" s="15" t="e">
        <f t="shared" si="152"/>
        <v>#DIV/0!</v>
      </c>
      <c r="S53" s="15" t="e">
        <f t="shared" si="152"/>
        <v>#DIV/0!</v>
      </c>
      <c r="T53" s="15" t="e">
        <f t="shared" si="152"/>
        <v>#DIV/0!</v>
      </c>
      <c r="U53" s="15" t="e">
        <f t="shared" si="152"/>
        <v>#DIV/0!</v>
      </c>
      <c r="V53" s="15" t="e">
        <f t="shared" si="152"/>
        <v>#DIV/0!</v>
      </c>
      <c r="W53" s="15" t="e">
        <f t="shared" si="152"/>
        <v>#DIV/0!</v>
      </c>
      <c r="X53" s="15" t="e">
        <f t="shared" si="152"/>
        <v>#DIV/0!</v>
      </c>
      <c r="Y53" s="15" t="e">
        <f t="shared" si="152"/>
        <v>#DIV/0!</v>
      </c>
      <c r="Z53" s="20" t="e">
        <f t="shared" si="152"/>
        <v>#DIV/0!</v>
      </c>
      <c r="AB53" s="15" t="s">
        <v>32</v>
      </c>
      <c r="AC53" s="19" t="e">
        <f>C53+P53-$P$52</f>
        <v>#DIV/0!</v>
      </c>
      <c r="AD53" s="15" t="e">
        <f>D53+Q53-$Q$52</f>
        <v>#DIV/0!</v>
      </c>
      <c r="AE53" s="15" t="e">
        <f t="shared" ref="AE53:AM55" si="153">E53+R53-$Q$52</f>
        <v>#DIV/0!</v>
      </c>
      <c r="AF53" s="15" t="e">
        <f t="shared" si="153"/>
        <v>#DIV/0!</v>
      </c>
      <c r="AG53" s="15" t="e">
        <f t="shared" si="153"/>
        <v>#DIV/0!</v>
      </c>
      <c r="AH53" s="15" t="e">
        <f t="shared" si="153"/>
        <v>#DIV/0!</v>
      </c>
      <c r="AI53" s="15" t="e">
        <f t="shared" si="153"/>
        <v>#DIV/0!</v>
      </c>
      <c r="AJ53" s="15" t="e">
        <f t="shared" si="153"/>
        <v>#DIV/0!</v>
      </c>
      <c r="AK53" s="15" t="e">
        <f t="shared" si="153"/>
        <v>#DIV/0!</v>
      </c>
      <c r="AL53" s="15" t="e">
        <f t="shared" si="153"/>
        <v>#DIV/0!</v>
      </c>
      <c r="AM53" s="15" t="e">
        <f t="shared" si="153"/>
        <v>#DIV/0!</v>
      </c>
    </row>
    <row r="54" spans="1:39" x14ac:dyDescent="0.25">
      <c r="A54" t="s">
        <v>76</v>
      </c>
      <c r="B54" s="15" t="s">
        <v>33</v>
      </c>
      <c r="C54" s="19" cm="1">
        <f t="array" ref="C54">INDEX(constants!$C$6:$R$38,MATCH(1,(constants!$A$6:$A$38=calibration!C$51)*(constants!$B$6:$B$38=calibration!$A54),0),MATCH(calibration!$B54,constants!$C$4:$R$4,0))</f>
        <v>0</v>
      </c>
      <c r="D54" s="15" cm="1">
        <f t="array" ref="D54">INDEX(constants!$C$6:$R$38,MATCH(1,(constants!$A$6:$A$38=calibration!D$51)*(constants!$B$6:$B$38=calibration!$A54),0),MATCH(calibration!$B54,constants!$C$4:$R$4,0))</f>
        <v>0</v>
      </c>
      <c r="E54" s="15" cm="1">
        <f t="array" ref="E54">INDEX(constants!$C$6:$R$38,MATCH(1,(constants!$A$6:$A$38=calibration!E$51)*(constants!$B$6:$B$38=calibration!$A54),0),MATCH(calibration!$B54,constants!$C$4:$R$4,0))</f>
        <v>0</v>
      </c>
      <c r="F54" s="15" cm="1">
        <f t="array" ref="F54">INDEX(constants!$C$6:$R$38,MATCH(1,(constants!$A$6:$A$38=calibration!F$51)*(constants!$B$6:$B$38=calibration!$A54),0),MATCH(calibration!$B54,constants!$C$4:$R$4,0))</f>
        <v>0</v>
      </c>
      <c r="G54" s="15" cm="1">
        <f t="array" ref="G54">INDEX(constants!$C$6:$R$38,MATCH(1,(constants!$A$6:$A$38=calibration!G$51)*(constants!$B$6:$B$38=calibration!$A54),0),MATCH(calibration!$B54,constants!$C$4:$R$4,0))</f>
        <v>0</v>
      </c>
      <c r="H54" s="15" cm="1">
        <f t="array" ref="H54">INDEX(constants!$C$6:$R$38,MATCH(1,(constants!$A$6:$A$38=calibration!H$51)*(constants!$B$6:$B$38=calibration!$A54),0),MATCH(calibration!$B54,constants!$C$4:$R$4,0))</f>
        <v>0</v>
      </c>
      <c r="I54" s="15" cm="1">
        <f t="array" ref="I54">INDEX(constants!$C$6:$R$38,MATCH(1,(constants!$A$6:$A$38=calibration!I$51)*(constants!$B$6:$B$38=calibration!$A54),0),MATCH(calibration!$B54,constants!$C$4:$R$4,0))</f>
        <v>0</v>
      </c>
      <c r="J54" s="15" cm="1">
        <f t="array" ref="J54">INDEX(constants!$C$6:$R$38,MATCH(1,(constants!$A$6:$A$38=calibration!J$51)*(constants!$B$6:$B$38=calibration!$A54),0),MATCH(calibration!$B54,constants!$C$4:$R$4,0))</f>
        <v>0</v>
      </c>
      <c r="K54" s="15" cm="1">
        <f t="array" ref="K54">INDEX(constants!$C$6:$R$38,MATCH(1,(constants!$A$6:$A$38=calibration!K$51)*(constants!$B$6:$B$38=calibration!$A54),0),MATCH(calibration!$B54,constants!$C$4:$R$4,0))</f>
        <v>0</v>
      </c>
      <c r="L54" s="15" cm="1">
        <f t="array" ref="L54">INDEX(constants!$C$6:$R$38,MATCH(1,(constants!$A$6:$A$38=calibration!L$51)*(constants!$B$6:$B$38=calibration!$A54),0),MATCH(calibration!$B54,constants!$C$4:$R$4,0))</f>
        <v>0</v>
      </c>
      <c r="M54" s="20" cm="1">
        <f t="array" ref="M54">INDEX(constants!$C$6:$R$38,MATCH(1,(constants!$A$6:$A$38=calibration!M$51)*(constants!$B$6:$B$38=calibration!$A54),0),MATCH(calibration!$B54,constants!$C$4:$R$4,0))</f>
        <v>0</v>
      </c>
      <c r="O54" s="15" t="s">
        <v>33</v>
      </c>
      <c r="P54" s="19" t="e">
        <f>$C$48*LN(C29/P29)</f>
        <v>#DIV/0!</v>
      </c>
      <c r="Q54" s="15" t="e">
        <f t="shared" ref="Q54:Z54" si="154">$C$48*LN(D29/Q29)</f>
        <v>#DIV/0!</v>
      </c>
      <c r="R54" s="15" t="e">
        <f t="shared" si="154"/>
        <v>#DIV/0!</v>
      </c>
      <c r="S54" s="15" t="e">
        <f t="shared" si="154"/>
        <v>#DIV/0!</v>
      </c>
      <c r="T54" s="15" t="e">
        <f t="shared" si="154"/>
        <v>#DIV/0!</v>
      </c>
      <c r="U54" s="15" t="e">
        <f t="shared" si="154"/>
        <v>#DIV/0!</v>
      </c>
      <c r="V54" s="15" t="e">
        <f t="shared" si="154"/>
        <v>#DIV/0!</v>
      </c>
      <c r="W54" s="15" t="e">
        <f t="shared" si="154"/>
        <v>#DIV/0!</v>
      </c>
      <c r="X54" s="15" t="e">
        <f t="shared" si="154"/>
        <v>#DIV/0!</v>
      </c>
      <c r="Y54" s="15" t="e">
        <f t="shared" si="154"/>
        <v>#DIV/0!</v>
      </c>
      <c r="Z54" s="20" t="e">
        <f t="shared" si="154"/>
        <v>#DIV/0!</v>
      </c>
      <c r="AB54" s="15" t="s">
        <v>33</v>
      </c>
      <c r="AC54" s="19" t="e">
        <f t="shared" ref="AC54:AC55" si="155">C54+P54-$P$52</f>
        <v>#DIV/0!</v>
      </c>
      <c r="AD54" s="15" t="e">
        <f>D54+Q54-$Q$52</f>
        <v>#DIV/0!</v>
      </c>
      <c r="AE54" s="15" t="e">
        <f t="shared" si="153"/>
        <v>#DIV/0!</v>
      </c>
      <c r="AF54" s="15" t="e">
        <f t="shared" si="153"/>
        <v>#DIV/0!</v>
      </c>
      <c r="AG54" s="15" t="e">
        <f t="shared" si="153"/>
        <v>#DIV/0!</v>
      </c>
      <c r="AH54" s="15" t="e">
        <f t="shared" si="153"/>
        <v>#DIV/0!</v>
      </c>
      <c r="AI54" s="15" t="e">
        <f t="shared" si="153"/>
        <v>#DIV/0!</v>
      </c>
      <c r="AJ54" s="15" t="e">
        <f t="shared" si="153"/>
        <v>#DIV/0!</v>
      </c>
      <c r="AK54" s="15" t="e">
        <f t="shared" si="153"/>
        <v>#DIV/0!</v>
      </c>
      <c r="AL54" s="15" t="e">
        <f t="shared" si="153"/>
        <v>#DIV/0!</v>
      </c>
      <c r="AM54" s="15" t="e">
        <f t="shared" si="153"/>
        <v>#DIV/0!</v>
      </c>
    </row>
    <row r="55" spans="1:39" x14ac:dyDescent="0.25">
      <c r="A55" t="s">
        <v>76</v>
      </c>
      <c r="B55" s="15" t="s">
        <v>34</v>
      </c>
      <c r="C55" s="21" cm="1">
        <f t="array" ref="C55">INDEX(constants!$C$6:$R$38,MATCH(1,(constants!$A$6:$A$38=calibration!C$51)*(constants!$B$6:$B$38=calibration!$A55),0),MATCH(calibration!$B55,constants!$C$4:$R$4,0))</f>
        <v>0</v>
      </c>
      <c r="D55" s="22" cm="1">
        <f t="array" ref="D55">INDEX(constants!$C$6:$R$38,MATCH(1,(constants!$A$6:$A$38=calibration!D$51)*(constants!$B$6:$B$38=calibration!$A55),0),MATCH(calibration!$B55,constants!$C$4:$R$4,0))</f>
        <v>0</v>
      </c>
      <c r="E55" s="22" cm="1">
        <f t="array" ref="E55">INDEX(constants!$C$6:$R$38,MATCH(1,(constants!$A$6:$A$38=calibration!E$51)*(constants!$B$6:$B$38=calibration!$A55),0),MATCH(calibration!$B55,constants!$C$4:$R$4,0))</f>
        <v>0</v>
      </c>
      <c r="F55" s="22" cm="1">
        <f t="array" ref="F55">INDEX(constants!$C$6:$R$38,MATCH(1,(constants!$A$6:$A$38=calibration!F$51)*(constants!$B$6:$B$38=calibration!$A55),0),MATCH(calibration!$B55,constants!$C$4:$R$4,0))</f>
        <v>0</v>
      </c>
      <c r="G55" s="22" cm="1">
        <f t="array" ref="G55">INDEX(constants!$C$6:$R$38,MATCH(1,(constants!$A$6:$A$38=calibration!G$51)*(constants!$B$6:$B$38=calibration!$A55),0),MATCH(calibration!$B55,constants!$C$4:$R$4,0))</f>
        <v>0</v>
      </c>
      <c r="H55" s="22" cm="1">
        <f t="array" ref="H55">INDEX(constants!$C$6:$R$38,MATCH(1,(constants!$A$6:$A$38=calibration!H$51)*(constants!$B$6:$B$38=calibration!$A55),0),MATCH(calibration!$B55,constants!$C$4:$R$4,0))</f>
        <v>0</v>
      </c>
      <c r="I55" s="22" cm="1">
        <f t="array" ref="I55">INDEX(constants!$C$6:$R$38,MATCH(1,(constants!$A$6:$A$38=calibration!I$51)*(constants!$B$6:$B$38=calibration!$A55),0),MATCH(calibration!$B55,constants!$C$4:$R$4,0))</f>
        <v>0</v>
      </c>
      <c r="J55" s="22" cm="1">
        <f t="array" ref="J55">INDEX(constants!$C$6:$R$38,MATCH(1,(constants!$A$6:$A$38=calibration!J$51)*(constants!$B$6:$B$38=calibration!$A55),0),MATCH(calibration!$B55,constants!$C$4:$R$4,0))</f>
        <v>0</v>
      </c>
      <c r="K55" s="22" cm="1">
        <f t="array" ref="K55">INDEX(constants!$C$6:$R$38,MATCH(1,(constants!$A$6:$A$38=calibration!K$51)*(constants!$B$6:$B$38=calibration!$A55),0),MATCH(calibration!$B55,constants!$C$4:$R$4,0))</f>
        <v>0</v>
      </c>
      <c r="L55" s="22" cm="1">
        <f t="array" ref="L55">INDEX(constants!$C$6:$R$38,MATCH(1,(constants!$A$6:$A$38=calibration!L$51)*(constants!$B$6:$B$38=calibration!$A55),0),MATCH(calibration!$B55,constants!$C$4:$R$4,0))</f>
        <v>0</v>
      </c>
      <c r="M55" s="23" cm="1">
        <f t="array" ref="M55">INDEX(constants!$C$6:$R$38,MATCH(1,(constants!$A$6:$A$38=calibration!M$51)*(constants!$B$6:$B$38=calibration!$A55),0),MATCH(calibration!$B55,constants!$C$4:$R$4,0))</f>
        <v>0</v>
      </c>
      <c r="O55" s="15" t="s">
        <v>34</v>
      </c>
      <c r="P55" s="21" t="e">
        <f>$C$48*LN(C30/P30)</f>
        <v>#DIV/0!</v>
      </c>
      <c r="Q55" s="22" t="e">
        <f t="shared" ref="Q55:Z55" si="156">$C$48*LN(D30/Q30)</f>
        <v>#DIV/0!</v>
      </c>
      <c r="R55" s="22" t="e">
        <f t="shared" si="156"/>
        <v>#DIV/0!</v>
      </c>
      <c r="S55" s="22" t="e">
        <f t="shared" si="156"/>
        <v>#DIV/0!</v>
      </c>
      <c r="T55" s="22" t="e">
        <f t="shared" si="156"/>
        <v>#DIV/0!</v>
      </c>
      <c r="U55" s="22" t="e">
        <f t="shared" si="156"/>
        <v>#DIV/0!</v>
      </c>
      <c r="V55" s="22" t="e">
        <f t="shared" si="156"/>
        <v>#DIV/0!</v>
      </c>
      <c r="W55" s="22" t="e">
        <f t="shared" si="156"/>
        <v>#DIV/0!</v>
      </c>
      <c r="X55" s="22" t="e">
        <f t="shared" si="156"/>
        <v>#DIV/0!</v>
      </c>
      <c r="Y55" s="22" t="e">
        <f t="shared" si="156"/>
        <v>#DIV/0!</v>
      </c>
      <c r="Z55" s="23" t="e">
        <f t="shared" si="156"/>
        <v>#DIV/0!</v>
      </c>
      <c r="AB55" s="15" t="s">
        <v>34</v>
      </c>
      <c r="AC55" s="19" t="e">
        <f t="shared" si="155"/>
        <v>#DIV/0!</v>
      </c>
      <c r="AD55" s="15" t="e">
        <f>D55+Q55-$Q$52</f>
        <v>#DIV/0!</v>
      </c>
      <c r="AE55" s="15" t="e">
        <f t="shared" si="153"/>
        <v>#DIV/0!</v>
      </c>
      <c r="AF55" s="15" t="e">
        <f t="shared" si="153"/>
        <v>#DIV/0!</v>
      </c>
      <c r="AG55" s="15" t="e">
        <f t="shared" si="153"/>
        <v>#DIV/0!</v>
      </c>
      <c r="AH55" s="15" t="e">
        <f t="shared" si="153"/>
        <v>#DIV/0!</v>
      </c>
      <c r="AI55" s="15" t="e">
        <f t="shared" si="153"/>
        <v>#DIV/0!</v>
      </c>
      <c r="AJ55" s="15" t="e">
        <f t="shared" si="153"/>
        <v>#DIV/0!</v>
      </c>
      <c r="AK55" s="15" t="e">
        <f t="shared" si="153"/>
        <v>#DIV/0!</v>
      </c>
      <c r="AL55" s="15" t="e">
        <f t="shared" si="153"/>
        <v>#DIV/0!</v>
      </c>
      <c r="AM55" s="15" t="e">
        <f t="shared" si="153"/>
        <v>#DIV/0!</v>
      </c>
    </row>
    <row r="56" spans="1:39" x14ac:dyDescent="0.25">
      <c r="A56" t="s">
        <v>71</v>
      </c>
      <c r="B56" s="13" t="s">
        <v>27</v>
      </c>
      <c r="C56" s="24" cm="1">
        <f t="array" ref="C56">INDEX(constants!$C$6:$R$38,MATCH(1,(constants!$A$6:$A$38=calibration!C$51)*(constants!$B$6:$B$38=calibration!$A56),0),MATCH(calibration!$B56,constants!$C$5:$R$5,0))</f>
        <v>0</v>
      </c>
      <c r="D56" s="25" cm="1">
        <f t="array" ref="D56">INDEX(constants!$C$6:$R$38,MATCH(1,(constants!$A$6:$A$38=calibration!D$51)*(constants!$B$6:$B$38=calibration!$A56),0),MATCH(calibration!$B56,constants!$C$5:$R$5,0))</f>
        <v>0</v>
      </c>
      <c r="E56" s="25" cm="1">
        <f t="array" ref="E56">INDEX(constants!$C$6:$R$38,MATCH(1,(constants!$A$6:$A$38=calibration!E$51)*(constants!$B$6:$B$38=calibration!$A56),0),MATCH(calibration!$B56,constants!$C$5:$R$5,0))</f>
        <v>0</v>
      </c>
      <c r="F56" s="25" cm="1">
        <f t="array" ref="F56">INDEX(constants!$C$6:$R$38,MATCH(1,(constants!$A$6:$A$38=calibration!F$51)*(constants!$B$6:$B$38=calibration!$A56),0),MATCH(calibration!$B56,constants!$C$5:$R$5,0))</f>
        <v>0</v>
      </c>
      <c r="G56" s="25" cm="1">
        <f t="array" ref="G56">INDEX(constants!$C$6:$R$38,MATCH(1,(constants!$A$6:$A$38=calibration!G$51)*(constants!$B$6:$B$38=calibration!$A56),0),MATCH(calibration!$B56,constants!$C$5:$R$5,0))</f>
        <v>0</v>
      </c>
      <c r="H56" s="25" cm="1">
        <f t="array" ref="H56">INDEX(constants!$C$6:$R$38,MATCH(1,(constants!$A$6:$A$38=calibration!H$51)*(constants!$B$6:$B$38=calibration!$A56),0),MATCH(calibration!$B56,constants!$C$5:$R$5,0))</f>
        <v>0</v>
      </c>
      <c r="I56" s="25" cm="1">
        <f t="array" ref="I56">INDEX(constants!$C$6:$R$38,MATCH(1,(constants!$A$6:$A$38=calibration!I$51)*(constants!$B$6:$B$38=calibration!$A56),0),MATCH(calibration!$B56,constants!$C$5:$R$5,0))</f>
        <v>0</v>
      </c>
      <c r="J56" s="25" cm="1">
        <f t="array" ref="J56">INDEX(constants!$C$6:$R$38,MATCH(1,(constants!$A$6:$A$38=calibration!J$51)*(constants!$B$6:$B$38=calibration!$A56),0),MATCH(calibration!$B56,constants!$C$5:$R$5,0))</f>
        <v>0</v>
      </c>
      <c r="K56" s="25" cm="1">
        <f t="array" ref="K56">INDEX(constants!$C$6:$R$38,MATCH(1,(constants!$A$6:$A$38=calibration!K$51)*(constants!$B$6:$B$38=calibration!$A56),0),MATCH(calibration!$B56,constants!$C$5:$R$5,0))</f>
        <v>0</v>
      </c>
      <c r="L56" s="25" cm="1">
        <f t="array" ref="L56">INDEX(constants!$C$6:$R$38,MATCH(1,(constants!$A$6:$A$38=calibration!L$51)*(constants!$B$6:$B$38=calibration!$A56),0),MATCH(calibration!$B56,constants!$C$5:$R$5,0))</f>
        <v>0</v>
      </c>
      <c r="M56" s="26" cm="1">
        <f t="array" ref="M56">INDEX(constants!$C$6:$R$38,MATCH(1,(constants!$A$6:$A$38=calibration!M$51)*(constants!$B$6:$B$38=calibration!$A56),0),MATCH(calibration!$B56,constants!$C$5:$R$5,0))</f>
        <v>0</v>
      </c>
      <c r="O56" s="13" t="s">
        <v>27</v>
      </c>
      <c r="P56" s="24" t="e">
        <f>$C$48*LN(C33/P33)</f>
        <v>#DIV/0!</v>
      </c>
      <c r="Q56" s="25" t="e">
        <f t="shared" ref="Q56:Z56" si="157">$C$48*LN(D33/Q33)</f>
        <v>#DIV/0!</v>
      </c>
      <c r="R56" s="25" t="e">
        <f t="shared" si="157"/>
        <v>#DIV/0!</v>
      </c>
      <c r="S56" s="25" t="e">
        <f t="shared" si="157"/>
        <v>#DIV/0!</v>
      </c>
      <c r="T56" s="25" t="e">
        <f t="shared" si="157"/>
        <v>#DIV/0!</v>
      </c>
      <c r="U56" s="25" t="e">
        <f t="shared" si="157"/>
        <v>#DIV/0!</v>
      </c>
      <c r="V56" s="25" t="e">
        <f t="shared" si="157"/>
        <v>#DIV/0!</v>
      </c>
      <c r="W56" s="25" t="e">
        <f t="shared" si="157"/>
        <v>#DIV/0!</v>
      </c>
      <c r="X56" s="25" t="e">
        <f t="shared" si="157"/>
        <v>#DIV/0!</v>
      </c>
      <c r="Y56" s="25" t="e">
        <f t="shared" si="157"/>
        <v>#DIV/0!</v>
      </c>
      <c r="Z56" s="26" t="e">
        <f t="shared" si="157"/>
        <v>#DIV/0!</v>
      </c>
      <c r="AB56" s="13" t="s">
        <v>27</v>
      </c>
      <c r="AC56" s="24"/>
      <c r="AD56" s="25"/>
      <c r="AE56" s="25"/>
      <c r="AF56" s="25"/>
      <c r="AG56" s="25"/>
      <c r="AH56" s="25"/>
      <c r="AI56" s="25"/>
      <c r="AJ56" s="25"/>
      <c r="AK56" s="25"/>
      <c r="AL56" s="25"/>
      <c r="AM56" s="26"/>
    </row>
    <row r="57" spans="1:39" x14ac:dyDescent="0.25">
      <c r="A57" t="s">
        <v>71</v>
      </c>
      <c r="B57" s="13" t="s">
        <v>28</v>
      </c>
      <c r="C57" s="27" cm="1">
        <f t="array" ref="C57">INDEX(constants!$C$6:$R$38,MATCH(1,(constants!$A$6:$A$38=calibration!C$51)*(constants!$B$6:$B$38=calibration!$A57),0),MATCH(calibration!$B57,constants!$C$5:$R$5,0))</f>
        <v>0</v>
      </c>
      <c r="D57" s="13" cm="1">
        <f t="array" ref="D57">INDEX(constants!$C$6:$R$38,MATCH(1,(constants!$A$6:$A$38=calibration!D$51)*(constants!$B$6:$B$38=calibration!$A57),0),MATCH(calibration!$B57,constants!$C$5:$R$5,0))</f>
        <v>0</v>
      </c>
      <c r="E57" s="13" cm="1">
        <f t="array" ref="E57">INDEX(constants!$C$6:$R$38,MATCH(1,(constants!$A$6:$A$38=calibration!E$51)*(constants!$B$6:$B$38=calibration!$A57),0),MATCH(calibration!$B57,constants!$C$5:$R$5,0))</f>
        <v>0</v>
      </c>
      <c r="F57" s="13" cm="1">
        <f t="array" ref="F57">INDEX(constants!$C$6:$R$38,MATCH(1,(constants!$A$6:$A$38=calibration!F$51)*(constants!$B$6:$B$38=calibration!$A57),0),MATCH(calibration!$B57,constants!$C$5:$R$5,0))</f>
        <v>0</v>
      </c>
      <c r="G57" s="13" cm="1">
        <f t="array" ref="G57">INDEX(constants!$C$6:$R$38,MATCH(1,(constants!$A$6:$A$38=calibration!G$51)*(constants!$B$6:$B$38=calibration!$A57),0),MATCH(calibration!$B57,constants!$C$5:$R$5,0))</f>
        <v>0</v>
      </c>
      <c r="H57" s="13" cm="1">
        <f t="array" ref="H57">INDEX(constants!$C$6:$R$38,MATCH(1,(constants!$A$6:$A$38=calibration!H$51)*(constants!$B$6:$B$38=calibration!$A57),0),MATCH(calibration!$B57,constants!$C$5:$R$5,0))</f>
        <v>0</v>
      </c>
      <c r="I57" s="13" cm="1">
        <f t="array" ref="I57">INDEX(constants!$C$6:$R$38,MATCH(1,(constants!$A$6:$A$38=calibration!I$51)*(constants!$B$6:$B$38=calibration!$A57),0),MATCH(calibration!$B57,constants!$C$5:$R$5,0))</f>
        <v>0</v>
      </c>
      <c r="J57" s="13" cm="1">
        <f t="array" ref="J57">INDEX(constants!$C$6:$R$38,MATCH(1,(constants!$A$6:$A$38=calibration!J$51)*(constants!$B$6:$B$38=calibration!$A57),0),MATCH(calibration!$B57,constants!$C$5:$R$5,0))</f>
        <v>0</v>
      </c>
      <c r="K57" s="13" cm="1">
        <f t="array" ref="K57">INDEX(constants!$C$6:$R$38,MATCH(1,(constants!$A$6:$A$38=calibration!K$51)*(constants!$B$6:$B$38=calibration!$A57),0),MATCH(calibration!$B57,constants!$C$5:$R$5,0))</f>
        <v>0</v>
      </c>
      <c r="L57" s="13" cm="1">
        <f t="array" ref="L57">INDEX(constants!$C$6:$R$38,MATCH(1,(constants!$A$6:$A$38=calibration!L$51)*(constants!$B$6:$B$38=calibration!$A57),0),MATCH(calibration!$B57,constants!$C$5:$R$5,0))</f>
        <v>0</v>
      </c>
      <c r="M57" s="28" cm="1">
        <f t="array" ref="M57">INDEX(constants!$C$6:$R$38,MATCH(1,(constants!$A$6:$A$38=calibration!M$51)*(constants!$B$6:$B$38=calibration!$A57),0),MATCH(calibration!$B57,constants!$C$5:$R$5,0))</f>
        <v>0</v>
      </c>
      <c r="O57" s="13" t="s">
        <v>28</v>
      </c>
      <c r="P57" s="27" t="e">
        <f>$C$48*LN(C34/P34)</f>
        <v>#DIV/0!</v>
      </c>
      <c r="Q57" s="13" t="e">
        <f t="shared" ref="Q57:Z57" si="158">$C$48*LN(D34/Q34)</f>
        <v>#DIV/0!</v>
      </c>
      <c r="R57" s="13" t="e">
        <f t="shared" si="158"/>
        <v>#DIV/0!</v>
      </c>
      <c r="S57" s="13" t="e">
        <f t="shared" si="158"/>
        <v>#DIV/0!</v>
      </c>
      <c r="T57" s="13" t="e">
        <f t="shared" si="158"/>
        <v>#DIV/0!</v>
      </c>
      <c r="U57" s="13" t="e">
        <f t="shared" si="158"/>
        <v>#DIV/0!</v>
      </c>
      <c r="V57" s="13" t="e">
        <f t="shared" si="158"/>
        <v>#DIV/0!</v>
      </c>
      <c r="W57" s="13" t="e">
        <f t="shared" si="158"/>
        <v>#DIV/0!</v>
      </c>
      <c r="X57" s="13" t="e">
        <f t="shared" si="158"/>
        <v>#DIV/0!</v>
      </c>
      <c r="Y57" s="13" t="e">
        <f t="shared" si="158"/>
        <v>#DIV/0!</v>
      </c>
      <c r="Z57" s="28" t="e">
        <f t="shared" si="158"/>
        <v>#DIV/0!</v>
      </c>
      <c r="AB57" s="13" t="s">
        <v>28</v>
      </c>
      <c r="AC57" s="27" t="e">
        <f t="shared" ref="AC57:AC58" si="159">C57+P57-$P$52</f>
        <v>#DIV/0!</v>
      </c>
      <c r="AD57" s="13" t="e">
        <f>D57+Q57-$Q$52</f>
        <v>#DIV/0!</v>
      </c>
      <c r="AE57" s="13" t="e">
        <f t="shared" ref="AE57:AE58" si="160">E57+R57-$Q$52</f>
        <v>#DIV/0!</v>
      </c>
      <c r="AF57" s="13" t="e">
        <f t="shared" ref="AF57:AF58" si="161">F57+S57-$Q$52</f>
        <v>#DIV/0!</v>
      </c>
      <c r="AG57" s="13" t="e">
        <f t="shared" ref="AG57:AG58" si="162">G57+T57-$Q$52</f>
        <v>#DIV/0!</v>
      </c>
      <c r="AH57" s="13" t="e">
        <f t="shared" ref="AH57:AH58" si="163">H57+U57-$Q$52</f>
        <v>#DIV/0!</v>
      </c>
      <c r="AI57" s="13" t="e">
        <f t="shared" ref="AI57:AI58" si="164">I57+V57-$Q$52</f>
        <v>#DIV/0!</v>
      </c>
      <c r="AJ57" s="13" t="e">
        <f t="shared" ref="AJ57:AJ58" si="165">J57+W57-$Q$52</f>
        <v>#DIV/0!</v>
      </c>
      <c r="AK57" s="13" t="e">
        <f t="shared" ref="AK57:AK58" si="166">K57+X57-$Q$52</f>
        <v>#DIV/0!</v>
      </c>
      <c r="AL57" s="13" t="e">
        <f t="shared" ref="AL57:AL58" si="167">L57+Y57-$Q$52</f>
        <v>#DIV/0!</v>
      </c>
      <c r="AM57" s="28" t="e">
        <f t="shared" ref="AM57:AM58" si="168">M57+Z57-$Q$52</f>
        <v>#DIV/0!</v>
      </c>
    </row>
    <row r="58" spans="1:39" x14ac:dyDescent="0.25">
      <c r="A58" t="s">
        <v>71</v>
      </c>
      <c r="B58" s="13" t="s">
        <v>29</v>
      </c>
      <c r="C58" s="27" cm="1">
        <f t="array" ref="C58">INDEX(constants!$C$6:$R$38,MATCH(1,(constants!$A$6:$A$38=calibration!C$51)*(constants!$B$6:$B$38=calibration!$A58),0),MATCH(calibration!$B58,constants!$C$5:$R$5,0))</f>
        <v>0</v>
      </c>
      <c r="D58" s="13" cm="1">
        <f t="array" ref="D58">INDEX(constants!$C$6:$R$38,MATCH(1,(constants!$A$6:$A$38=calibration!D$51)*(constants!$B$6:$B$38=calibration!$A58),0),MATCH(calibration!$B58,constants!$C$5:$R$5,0))</f>
        <v>0</v>
      </c>
      <c r="E58" s="13" cm="1">
        <f t="array" ref="E58">INDEX(constants!$C$6:$R$38,MATCH(1,(constants!$A$6:$A$38=calibration!E$51)*(constants!$B$6:$B$38=calibration!$A58),0),MATCH(calibration!$B58,constants!$C$5:$R$5,0))</f>
        <v>0</v>
      </c>
      <c r="F58" s="13" cm="1">
        <f t="array" ref="F58">INDEX(constants!$C$6:$R$38,MATCH(1,(constants!$A$6:$A$38=calibration!F$51)*(constants!$B$6:$B$38=calibration!$A58),0),MATCH(calibration!$B58,constants!$C$5:$R$5,0))</f>
        <v>0</v>
      </c>
      <c r="G58" s="13" cm="1">
        <f t="array" ref="G58">INDEX(constants!$C$6:$R$38,MATCH(1,(constants!$A$6:$A$38=calibration!G$51)*(constants!$B$6:$B$38=calibration!$A58),0),MATCH(calibration!$B58,constants!$C$5:$R$5,0))</f>
        <v>0</v>
      </c>
      <c r="H58" s="13" cm="1">
        <f t="array" ref="H58">INDEX(constants!$C$6:$R$38,MATCH(1,(constants!$A$6:$A$38=calibration!H$51)*(constants!$B$6:$B$38=calibration!$A58),0),MATCH(calibration!$B58,constants!$C$5:$R$5,0))</f>
        <v>0</v>
      </c>
      <c r="I58" s="13" cm="1">
        <f t="array" ref="I58">INDEX(constants!$C$6:$R$38,MATCH(1,(constants!$A$6:$A$38=calibration!I$51)*(constants!$B$6:$B$38=calibration!$A58),0),MATCH(calibration!$B58,constants!$C$5:$R$5,0))</f>
        <v>0</v>
      </c>
      <c r="J58" s="13" cm="1">
        <f t="array" ref="J58">INDEX(constants!$C$6:$R$38,MATCH(1,(constants!$A$6:$A$38=calibration!J$51)*(constants!$B$6:$B$38=calibration!$A58),0),MATCH(calibration!$B58,constants!$C$5:$R$5,0))</f>
        <v>0</v>
      </c>
      <c r="K58" s="13" cm="1">
        <f t="array" ref="K58">INDEX(constants!$C$6:$R$38,MATCH(1,(constants!$A$6:$A$38=calibration!K$51)*(constants!$B$6:$B$38=calibration!$A58),0),MATCH(calibration!$B58,constants!$C$5:$R$5,0))</f>
        <v>0</v>
      </c>
      <c r="L58" s="13" cm="1">
        <f t="array" ref="L58">INDEX(constants!$C$6:$R$38,MATCH(1,(constants!$A$6:$A$38=calibration!L$51)*(constants!$B$6:$B$38=calibration!$A58),0),MATCH(calibration!$B58,constants!$C$5:$R$5,0))</f>
        <v>0</v>
      </c>
      <c r="M58" s="28" cm="1">
        <f t="array" ref="M58">INDEX(constants!$C$6:$R$38,MATCH(1,(constants!$A$6:$A$38=calibration!M$51)*(constants!$B$6:$B$38=calibration!$A58),0),MATCH(calibration!$B58,constants!$C$5:$R$5,0))</f>
        <v>0</v>
      </c>
      <c r="O58" s="13" t="s">
        <v>29</v>
      </c>
      <c r="P58" s="27" t="e">
        <f>$C$48*LN(C35/P35)</f>
        <v>#DIV/0!</v>
      </c>
      <c r="Q58" s="13" t="e">
        <f t="shared" ref="Q58:Z58" si="169">$C$48*LN(D35/Q35)</f>
        <v>#DIV/0!</v>
      </c>
      <c r="R58" s="13" t="e">
        <f t="shared" si="169"/>
        <v>#DIV/0!</v>
      </c>
      <c r="S58" s="13" t="e">
        <f t="shared" si="169"/>
        <v>#DIV/0!</v>
      </c>
      <c r="T58" s="13" t="e">
        <f t="shared" si="169"/>
        <v>#DIV/0!</v>
      </c>
      <c r="U58" s="13" t="e">
        <f t="shared" si="169"/>
        <v>#DIV/0!</v>
      </c>
      <c r="V58" s="13" t="e">
        <f t="shared" si="169"/>
        <v>#DIV/0!</v>
      </c>
      <c r="W58" s="13" t="e">
        <f t="shared" si="169"/>
        <v>#DIV/0!</v>
      </c>
      <c r="X58" s="13" t="e">
        <f t="shared" si="169"/>
        <v>#DIV/0!</v>
      </c>
      <c r="Y58" s="13" t="e">
        <f t="shared" si="169"/>
        <v>#DIV/0!</v>
      </c>
      <c r="Z58" s="28" t="e">
        <f t="shared" si="169"/>
        <v>#DIV/0!</v>
      </c>
      <c r="AB58" s="13" t="s">
        <v>29</v>
      </c>
      <c r="AC58" s="27" t="e">
        <f t="shared" si="159"/>
        <v>#DIV/0!</v>
      </c>
      <c r="AD58" s="13" t="e">
        <f>D58+Q58-$Q$52</f>
        <v>#DIV/0!</v>
      </c>
      <c r="AE58" s="13" t="e">
        <f t="shared" si="160"/>
        <v>#DIV/0!</v>
      </c>
      <c r="AF58" s="13" t="e">
        <f t="shared" si="161"/>
        <v>#DIV/0!</v>
      </c>
      <c r="AG58" s="13" t="e">
        <f t="shared" si="162"/>
        <v>#DIV/0!</v>
      </c>
      <c r="AH58" s="13" t="e">
        <f t="shared" si="163"/>
        <v>#DIV/0!</v>
      </c>
      <c r="AI58" s="13" t="e">
        <f t="shared" si="164"/>
        <v>#DIV/0!</v>
      </c>
      <c r="AJ58" s="13" t="e">
        <f t="shared" si="165"/>
        <v>#DIV/0!</v>
      </c>
      <c r="AK58" s="13" t="e">
        <f t="shared" si="166"/>
        <v>#DIV/0!</v>
      </c>
      <c r="AL58" s="13" t="e">
        <f t="shared" si="167"/>
        <v>#DIV/0!</v>
      </c>
      <c r="AM58" s="28" t="e">
        <f t="shared" si="168"/>
        <v>#DIV/0!</v>
      </c>
    </row>
    <row r="59" spans="1:39" x14ac:dyDescent="0.25">
      <c r="A59" t="s">
        <v>71</v>
      </c>
      <c r="B59" s="13" t="s">
        <v>30</v>
      </c>
      <c r="C59" s="29" cm="1">
        <f t="array" ref="C59">INDEX(constants!$C$6:$R$38,MATCH(1,(constants!$A$6:$A$38=calibration!C$51)*(constants!$B$6:$B$38=calibration!$A59),0),MATCH(calibration!$B59,constants!$C$5:$R$5,0))</f>
        <v>0</v>
      </c>
      <c r="D59" s="30" cm="1">
        <f t="array" ref="D59">INDEX(constants!$C$6:$R$38,MATCH(1,(constants!$A$6:$A$38=calibration!D$51)*(constants!$B$6:$B$38=calibration!$A59),0),MATCH(calibration!$B59,constants!$C$5:$R$5,0))</f>
        <v>0</v>
      </c>
      <c r="E59" s="30" cm="1">
        <f t="array" ref="E59">INDEX(constants!$C$6:$R$38,MATCH(1,(constants!$A$6:$A$38=calibration!E$51)*(constants!$B$6:$B$38=calibration!$A59),0),MATCH(calibration!$B59,constants!$C$5:$R$5,0))</f>
        <v>0</v>
      </c>
      <c r="F59" s="30" cm="1">
        <f t="array" ref="F59">INDEX(constants!$C$6:$R$38,MATCH(1,(constants!$A$6:$A$38=calibration!F$51)*(constants!$B$6:$B$38=calibration!$A59),0),MATCH(calibration!$B59,constants!$C$5:$R$5,0))</f>
        <v>0</v>
      </c>
      <c r="G59" s="30" cm="1">
        <f t="array" ref="G59">INDEX(constants!$C$6:$R$38,MATCH(1,(constants!$A$6:$A$38=calibration!G$51)*(constants!$B$6:$B$38=calibration!$A59),0),MATCH(calibration!$B59,constants!$C$5:$R$5,0))</f>
        <v>0</v>
      </c>
      <c r="H59" s="30" cm="1">
        <f t="array" ref="H59">INDEX(constants!$C$6:$R$38,MATCH(1,(constants!$A$6:$A$38=calibration!H$51)*(constants!$B$6:$B$38=calibration!$A59),0),MATCH(calibration!$B59,constants!$C$5:$R$5,0))</f>
        <v>0</v>
      </c>
      <c r="I59" s="30" cm="1">
        <f t="array" ref="I59">INDEX(constants!$C$6:$R$38,MATCH(1,(constants!$A$6:$A$38=calibration!I$51)*(constants!$B$6:$B$38=calibration!$A59),0),MATCH(calibration!$B59,constants!$C$5:$R$5,0))</f>
        <v>0</v>
      </c>
      <c r="J59" s="30" cm="1">
        <f t="array" ref="J59">INDEX(constants!$C$6:$R$38,MATCH(1,(constants!$A$6:$A$38=calibration!J$51)*(constants!$B$6:$B$38=calibration!$A59),0),MATCH(calibration!$B59,constants!$C$5:$R$5,0))</f>
        <v>0</v>
      </c>
      <c r="K59" s="30" cm="1">
        <f t="array" ref="K59">INDEX(constants!$C$6:$R$38,MATCH(1,(constants!$A$6:$A$38=calibration!K$51)*(constants!$B$6:$B$38=calibration!$A59),0),MATCH(calibration!$B59,constants!$C$5:$R$5,0))</f>
        <v>0</v>
      </c>
      <c r="L59" s="30" cm="1">
        <f t="array" ref="L59">INDEX(constants!$C$6:$R$38,MATCH(1,(constants!$A$6:$A$38=calibration!L$51)*(constants!$B$6:$B$38=calibration!$A59),0),MATCH(calibration!$B59,constants!$C$5:$R$5,0))</f>
        <v>0</v>
      </c>
      <c r="M59" s="31" cm="1">
        <f t="array" ref="M59">INDEX(constants!$C$6:$R$38,MATCH(1,(constants!$A$6:$A$38=calibration!M$51)*(constants!$B$6:$B$38=calibration!$A59),0),MATCH(calibration!$B59,constants!$C$5:$R$5,0))</f>
        <v>0</v>
      </c>
      <c r="O59" s="13" t="s">
        <v>30</v>
      </c>
      <c r="P59" s="29" t="e">
        <f>$C$48*LN(C36/P36)</f>
        <v>#DIV/0!</v>
      </c>
      <c r="Q59" s="30" t="e">
        <f t="shared" ref="Q59:Z59" si="170">$C$48*LN(D36/Q36)</f>
        <v>#DIV/0!</v>
      </c>
      <c r="R59" s="30" t="e">
        <f t="shared" si="170"/>
        <v>#DIV/0!</v>
      </c>
      <c r="S59" s="30" t="e">
        <f t="shared" si="170"/>
        <v>#DIV/0!</v>
      </c>
      <c r="T59" s="30" t="e">
        <f t="shared" si="170"/>
        <v>#DIV/0!</v>
      </c>
      <c r="U59" s="30" t="e">
        <f t="shared" si="170"/>
        <v>#DIV/0!</v>
      </c>
      <c r="V59" s="30" t="e">
        <f t="shared" si="170"/>
        <v>#DIV/0!</v>
      </c>
      <c r="W59" s="30" t="e">
        <f t="shared" si="170"/>
        <v>#DIV/0!</v>
      </c>
      <c r="X59" s="30" t="e">
        <f t="shared" si="170"/>
        <v>#DIV/0!</v>
      </c>
      <c r="Y59" s="30" t="e">
        <f t="shared" si="170"/>
        <v>#DIV/0!</v>
      </c>
      <c r="Z59" s="31" t="e">
        <f t="shared" si="170"/>
        <v>#DIV/0!</v>
      </c>
      <c r="AB59" s="13" t="s">
        <v>30</v>
      </c>
      <c r="AC59" s="29" t="e">
        <f t="shared" ref="AC59" si="171">C59+P59-$P$52</f>
        <v>#DIV/0!</v>
      </c>
      <c r="AD59" s="30" t="e">
        <f>D59+Q59-$Q$52</f>
        <v>#DIV/0!</v>
      </c>
      <c r="AE59" s="30" t="e">
        <f t="shared" ref="AE59" si="172">E59+R59-$Q$52</f>
        <v>#DIV/0!</v>
      </c>
      <c r="AF59" s="30" t="e">
        <f t="shared" ref="AF59" si="173">F59+S59-$Q$52</f>
        <v>#DIV/0!</v>
      </c>
      <c r="AG59" s="30" t="e">
        <f t="shared" ref="AG59" si="174">G59+T59-$Q$52</f>
        <v>#DIV/0!</v>
      </c>
      <c r="AH59" s="30" t="e">
        <f t="shared" ref="AH59" si="175">H59+U59-$Q$52</f>
        <v>#DIV/0!</v>
      </c>
      <c r="AI59" s="30" t="e">
        <f t="shared" ref="AI59" si="176">I59+V59-$Q$52</f>
        <v>#DIV/0!</v>
      </c>
      <c r="AJ59" s="30" t="e">
        <f t="shared" ref="AJ59" si="177">J59+W59-$Q$52</f>
        <v>#DIV/0!</v>
      </c>
      <c r="AK59" s="30" t="e">
        <f t="shared" ref="AK59" si="178">K59+X59-$Q$52</f>
        <v>#DIV/0!</v>
      </c>
      <c r="AL59" s="30" t="e">
        <f t="shared" ref="AL59" si="179">L59+Y59-$Q$52</f>
        <v>#DIV/0!</v>
      </c>
      <c r="AM59" s="31" t="e">
        <f t="shared" ref="AM59" si="180">M59+Z59-$Q$52</f>
        <v>#DIV/0!</v>
      </c>
    </row>
    <row r="60" spans="1:39" x14ac:dyDescent="0.25">
      <c r="A60" t="s">
        <v>72</v>
      </c>
      <c r="B60" s="14" t="s">
        <v>41</v>
      </c>
      <c r="C60" s="32" cm="1">
        <f t="array" ref="C60">INDEX(constants!$C$6:$R$38,MATCH(1,(constants!$A$6:$A$38=calibration!C$51)*(constants!$B$6:$B$38=calibration!$A60),0),MATCH(calibration!$B60,constants!$C$3:$R$3,0))</f>
        <v>0</v>
      </c>
      <c r="D60" s="33" cm="1">
        <f t="array" ref="D60">INDEX(constants!$C$6:$R$38,MATCH(1,(constants!$A$6:$A$38=calibration!D$51)*(constants!$B$6:$B$38=calibration!$A60),0),MATCH(calibration!$B60,constants!$C$3:$R$3,0))</f>
        <v>0</v>
      </c>
      <c r="E60" s="33" cm="1">
        <f t="array" ref="E60">INDEX(constants!$C$6:$R$38,MATCH(1,(constants!$A$6:$A$38=calibration!E$51)*(constants!$B$6:$B$38=calibration!$A60),0),MATCH(calibration!$B60,constants!$C$3:$R$3,0))</f>
        <v>0</v>
      </c>
      <c r="F60" s="33" cm="1">
        <f t="array" ref="F60">INDEX(constants!$C$6:$R$38,MATCH(1,(constants!$A$6:$A$38=calibration!F$51)*(constants!$B$6:$B$38=calibration!$A60),0),MATCH(calibration!$B60,constants!$C$3:$R$3,0))</f>
        <v>0</v>
      </c>
      <c r="G60" s="33" cm="1">
        <f t="array" ref="G60">INDEX(constants!$C$6:$R$38,MATCH(1,(constants!$A$6:$A$38=calibration!G$51)*(constants!$B$6:$B$38=calibration!$A60),0),MATCH(calibration!$B60,constants!$C$3:$R$3,0))</f>
        <v>0</v>
      </c>
      <c r="H60" s="33" cm="1">
        <f t="array" ref="H60">INDEX(constants!$C$6:$R$38,MATCH(1,(constants!$A$6:$A$38=calibration!H$51)*(constants!$B$6:$B$38=calibration!$A60),0),MATCH(calibration!$B60,constants!$C$3:$R$3,0))</f>
        <v>0</v>
      </c>
      <c r="I60" s="33" cm="1">
        <f t="array" ref="I60">INDEX(constants!$C$6:$R$38,MATCH(1,(constants!$A$6:$A$38=calibration!I$51)*(constants!$B$6:$B$38=calibration!$A60),0),MATCH(calibration!$B60,constants!$C$3:$R$3,0))</f>
        <v>0</v>
      </c>
      <c r="J60" s="33" cm="1">
        <f t="array" ref="J60">INDEX(constants!$C$6:$R$38,MATCH(1,(constants!$A$6:$A$38=calibration!J$51)*(constants!$B$6:$B$38=calibration!$A60),0),MATCH(calibration!$B60,constants!$C$3:$R$3,0))</f>
        <v>0</v>
      </c>
      <c r="K60" s="33" cm="1">
        <f t="array" ref="K60">INDEX(constants!$C$6:$R$38,MATCH(1,(constants!$A$6:$A$38=calibration!K$51)*(constants!$B$6:$B$38=calibration!$A60),0),MATCH(calibration!$B60,constants!$C$3:$R$3,0))</f>
        <v>0</v>
      </c>
      <c r="L60" s="33" cm="1">
        <f t="array" ref="L60">INDEX(constants!$C$6:$R$38,MATCH(1,(constants!$A$6:$A$38=calibration!L$51)*(constants!$B$6:$B$38=calibration!$A60),0),MATCH(calibration!$B60,constants!$C$3:$R$3,0))</f>
        <v>0</v>
      </c>
      <c r="M60" s="34" cm="1">
        <f t="array" ref="M60">INDEX(constants!$C$6:$R$38,MATCH(1,(constants!$A$6:$A$38=calibration!M$51)*(constants!$B$6:$B$38=calibration!$A60),0),MATCH(calibration!$B60,constants!$C$3:$R$3,0))</f>
        <v>0</v>
      </c>
      <c r="O60" s="14" t="s">
        <v>41</v>
      </c>
      <c r="P60" s="32" t="e">
        <f t="shared" ref="P60:P66" si="181">$C$48*LN(C39/P39)</f>
        <v>#DIV/0!</v>
      </c>
      <c r="Q60" s="33" t="e">
        <f t="shared" ref="Q60:Z60" si="182">$C$48*LN(D39/Q39)</f>
        <v>#DIV/0!</v>
      </c>
      <c r="R60" s="33" t="e">
        <f t="shared" si="182"/>
        <v>#DIV/0!</v>
      </c>
      <c r="S60" s="33" t="e">
        <f t="shared" si="182"/>
        <v>#DIV/0!</v>
      </c>
      <c r="T60" s="33" t="e">
        <f t="shared" si="182"/>
        <v>#DIV/0!</v>
      </c>
      <c r="U60" s="33" t="e">
        <f t="shared" si="182"/>
        <v>#DIV/0!</v>
      </c>
      <c r="V60" s="33" t="e">
        <f t="shared" si="182"/>
        <v>#DIV/0!</v>
      </c>
      <c r="W60" s="33" t="e">
        <f t="shared" si="182"/>
        <v>#DIV/0!</v>
      </c>
      <c r="X60" s="33" t="e">
        <f t="shared" si="182"/>
        <v>#DIV/0!</v>
      </c>
      <c r="Y60" s="33" t="e">
        <f t="shared" si="182"/>
        <v>#DIV/0!</v>
      </c>
      <c r="Z60" s="34" t="e">
        <f t="shared" si="182"/>
        <v>#DIV/0!</v>
      </c>
      <c r="AB60" s="14" t="s">
        <v>41</v>
      </c>
      <c r="AC60" s="32"/>
      <c r="AD60" s="33"/>
      <c r="AE60" s="33"/>
      <c r="AF60" s="33"/>
      <c r="AG60" s="33"/>
      <c r="AH60" s="33"/>
      <c r="AI60" s="33"/>
      <c r="AJ60" s="33"/>
      <c r="AK60" s="33"/>
      <c r="AL60" s="33"/>
      <c r="AM60" s="34"/>
    </row>
    <row r="61" spans="1:39" x14ac:dyDescent="0.25">
      <c r="A61" t="s">
        <v>72</v>
      </c>
      <c r="B61" s="14" t="s">
        <v>35</v>
      </c>
      <c r="C61" s="35" cm="1">
        <f t="array" ref="C61">INDEX(constants!$C$6:$R$38,MATCH(1,(constants!$A$6:$A$38=calibration!C$51)*(constants!$B$6:$B$38=calibration!$A61),0),MATCH(calibration!$B61,constants!$C$3:$R$3,0))</f>
        <v>0</v>
      </c>
      <c r="D61" s="14" cm="1">
        <f t="array" ref="D61">INDEX(constants!$C$6:$R$38,MATCH(1,(constants!$A$6:$A$38=calibration!D$51)*(constants!$B$6:$B$38=calibration!$A61),0),MATCH(calibration!$B61,constants!$C$3:$R$3,0))</f>
        <v>0</v>
      </c>
      <c r="E61" s="14" cm="1">
        <f t="array" ref="E61">INDEX(constants!$C$6:$R$38,MATCH(1,(constants!$A$6:$A$38=calibration!E$51)*(constants!$B$6:$B$38=calibration!$A61),0),MATCH(calibration!$B61,constants!$C$3:$R$3,0))</f>
        <v>0</v>
      </c>
      <c r="F61" s="14" cm="1">
        <f t="array" ref="F61">INDEX(constants!$C$6:$R$38,MATCH(1,(constants!$A$6:$A$38=calibration!F$51)*(constants!$B$6:$B$38=calibration!$A61),0),MATCH(calibration!$B61,constants!$C$3:$R$3,0))</f>
        <v>0</v>
      </c>
      <c r="G61" s="14" cm="1">
        <f t="array" ref="G61">INDEX(constants!$C$6:$R$38,MATCH(1,(constants!$A$6:$A$38=calibration!G$51)*(constants!$B$6:$B$38=calibration!$A61),0),MATCH(calibration!$B61,constants!$C$3:$R$3,0))</f>
        <v>0</v>
      </c>
      <c r="H61" s="14" cm="1">
        <f t="array" ref="H61">INDEX(constants!$C$6:$R$38,MATCH(1,(constants!$A$6:$A$38=calibration!H$51)*(constants!$B$6:$B$38=calibration!$A61),0),MATCH(calibration!$B61,constants!$C$3:$R$3,0))</f>
        <v>0</v>
      </c>
      <c r="I61" s="14" cm="1">
        <f t="array" ref="I61">INDEX(constants!$C$6:$R$38,MATCH(1,(constants!$A$6:$A$38=calibration!I$51)*(constants!$B$6:$B$38=calibration!$A61),0),MATCH(calibration!$B61,constants!$C$3:$R$3,0))</f>
        <v>0</v>
      </c>
      <c r="J61" s="14" cm="1">
        <f t="array" ref="J61">INDEX(constants!$C$6:$R$38,MATCH(1,(constants!$A$6:$A$38=calibration!J$51)*(constants!$B$6:$B$38=calibration!$A61),0),MATCH(calibration!$B61,constants!$C$3:$R$3,0))</f>
        <v>0</v>
      </c>
      <c r="K61" s="14" cm="1">
        <f t="array" ref="K61">INDEX(constants!$C$6:$R$38,MATCH(1,(constants!$A$6:$A$38=calibration!K$51)*(constants!$B$6:$B$38=calibration!$A61),0),MATCH(calibration!$B61,constants!$C$3:$R$3,0))</f>
        <v>0</v>
      </c>
      <c r="L61" s="14" cm="1">
        <f t="array" ref="L61">INDEX(constants!$C$6:$R$38,MATCH(1,(constants!$A$6:$A$38=calibration!L$51)*(constants!$B$6:$B$38=calibration!$A61),0),MATCH(calibration!$B61,constants!$C$3:$R$3,0))</f>
        <v>0</v>
      </c>
      <c r="M61" s="36" cm="1">
        <f t="array" ref="M61">INDEX(constants!$C$6:$R$38,MATCH(1,(constants!$A$6:$A$38=calibration!M$51)*(constants!$B$6:$B$38=calibration!$A61),0),MATCH(calibration!$B61,constants!$C$3:$R$3,0))</f>
        <v>0</v>
      </c>
      <c r="O61" s="14" t="s">
        <v>35</v>
      </c>
      <c r="P61" s="35" t="e">
        <f t="shared" si="181"/>
        <v>#DIV/0!</v>
      </c>
      <c r="Q61" s="14" t="e">
        <f t="shared" ref="Q61:Z61" si="183">$C$48*LN(D40/Q40)</f>
        <v>#DIV/0!</v>
      </c>
      <c r="R61" s="14" t="e">
        <f t="shared" si="183"/>
        <v>#DIV/0!</v>
      </c>
      <c r="S61" s="14" t="e">
        <f t="shared" si="183"/>
        <v>#DIV/0!</v>
      </c>
      <c r="T61" s="14" t="e">
        <f t="shared" si="183"/>
        <v>#DIV/0!</v>
      </c>
      <c r="U61" s="14" t="e">
        <f t="shared" si="183"/>
        <v>#DIV/0!</v>
      </c>
      <c r="V61" s="14" t="e">
        <f t="shared" si="183"/>
        <v>#DIV/0!</v>
      </c>
      <c r="W61" s="14" t="e">
        <f t="shared" si="183"/>
        <v>#DIV/0!</v>
      </c>
      <c r="X61" s="14" t="e">
        <f t="shared" si="183"/>
        <v>#DIV/0!</v>
      </c>
      <c r="Y61" s="14" t="e">
        <f t="shared" si="183"/>
        <v>#DIV/0!</v>
      </c>
      <c r="Z61" s="36" t="e">
        <f t="shared" si="183"/>
        <v>#DIV/0!</v>
      </c>
      <c r="AB61" s="14" t="s">
        <v>35</v>
      </c>
      <c r="AC61" s="35"/>
      <c r="AD61" s="14"/>
      <c r="AE61" s="14"/>
      <c r="AF61" s="14"/>
      <c r="AG61" s="14"/>
      <c r="AH61" s="14"/>
      <c r="AI61" s="14"/>
      <c r="AJ61" s="14"/>
      <c r="AK61" s="14"/>
      <c r="AL61" s="14"/>
      <c r="AM61" s="36"/>
    </row>
    <row r="62" spans="1:39" x14ac:dyDescent="0.25">
      <c r="A62" t="s">
        <v>72</v>
      </c>
      <c r="B62" s="14" t="s">
        <v>36</v>
      </c>
      <c r="C62" s="35" cm="1">
        <f t="array" ref="C62">INDEX(constants!$C$6:$R$38,MATCH(1,(constants!$A$6:$A$38=calibration!C$51)*(constants!$B$6:$B$38=calibration!$A62),0),MATCH(calibration!$B62,constants!$C$3:$R$3,0))</f>
        <v>0</v>
      </c>
      <c r="D62" s="14" cm="1">
        <f t="array" ref="D62">INDEX(constants!$C$6:$R$38,MATCH(1,(constants!$A$6:$A$38=calibration!D$51)*(constants!$B$6:$B$38=calibration!$A62),0),MATCH(calibration!$B62,constants!$C$3:$R$3,0))</f>
        <v>0</v>
      </c>
      <c r="E62" s="14" cm="1">
        <f t="array" ref="E62">INDEX(constants!$C$6:$R$38,MATCH(1,(constants!$A$6:$A$38=calibration!E$51)*(constants!$B$6:$B$38=calibration!$A62),0),MATCH(calibration!$B62,constants!$C$3:$R$3,0))</f>
        <v>0</v>
      </c>
      <c r="F62" s="14" cm="1">
        <f t="array" ref="F62">INDEX(constants!$C$6:$R$38,MATCH(1,(constants!$A$6:$A$38=calibration!F$51)*(constants!$B$6:$B$38=calibration!$A62),0),MATCH(calibration!$B62,constants!$C$3:$R$3,0))</f>
        <v>0</v>
      </c>
      <c r="G62" s="14" cm="1">
        <f t="array" ref="G62">INDEX(constants!$C$6:$R$38,MATCH(1,(constants!$A$6:$A$38=calibration!G$51)*(constants!$B$6:$B$38=calibration!$A62),0),MATCH(calibration!$B62,constants!$C$3:$R$3,0))</f>
        <v>0</v>
      </c>
      <c r="H62" s="14" cm="1">
        <f t="array" ref="H62">INDEX(constants!$C$6:$R$38,MATCH(1,(constants!$A$6:$A$38=calibration!H$51)*(constants!$B$6:$B$38=calibration!$A62),0),MATCH(calibration!$B62,constants!$C$3:$R$3,0))</f>
        <v>0</v>
      </c>
      <c r="I62" s="14" cm="1">
        <f t="array" ref="I62">INDEX(constants!$C$6:$R$38,MATCH(1,(constants!$A$6:$A$38=calibration!I$51)*(constants!$B$6:$B$38=calibration!$A62),0),MATCH(calibration!$B62,constants!$C$3:$R$3,0))</f>
        <v>0</v>
      </c>
      <c r="J62" s="14" cm="1">
        <f t="array" ref="J62">INDEX(constants!$C$6:$R$38,MATCH(1,(constants!$A$6:$A$38=calibration!J$51)*(constants!$B$6:$B$38=calibration!$A62),0),MATCH(calibration!$B62,constants!$C$3:$R$3,0))</f>
        <v>0</v>
      </c>
      <c r="K62" s="14" cm="1">
        <f t="array" ref="K62">INDEX(constants!$C$6:$R$38,MATCH(1,(constants!$A$6:$A$38=calibration!K$51)*(constants!$B$6:$B$38=calibration!$A62),0),MATCH(calibration!$B62,constants!$C$3:$R$3,0))</f>
        <v>0</v>
      </c>
      <c r="L62" s="14" cm="1">
        <f t="array" ref="L62">INDEX(constants!$C$6:$R$38,MATCH(1,(constants!$A$6:$A$38=calibration!L$51)*(constants!$B$6:$B$38=calibration!$A62),0),MATCH(calibration!$B62,constants!$C$3:$R$3,0))</f>
        <v>0</v>
      </c>
      <c r="M62" s="36" cm="1">
        <f t="array" ref="M62">INDEX(constants!$C$6:$R$38,MATCH(1,(constants!$A$6:$A$38=calibration!M$51)*(constants!$B$6:$B$38=calibration!$A62),0),MATCH(calibration!$B62,constants!$C$3:$R$3,0))</f>
        <v>0</v>
      </c>
      <c r="O62" s="14" t="s">
        <v>36</v>
      </c>
      <c r="P62" s="35" t="e">
        <f t="shared" si="181"/>
        <v>#DIV/0!</v>
      </c>
      <c r="Q62" s="14" t="e">
        <f t="shared" ref="Q62:Z62" si="184">$C$48*LN(D41/Q41)</f>
        <v>#DIV/0!</v>
      </c>
      <c r="R62" s="14" t="e">
        <f t="shared" si="184"/>
        <v>#DIV/0!</v>
      </c>
      <c r="S62" s="14" t="e">
        <f t="shared" si="184"/>
        <v>#DIV/0!</v>
      </c>
      <c r="T62" s="14" t="e">
        <f t="shared" si="184"/>
        <v>#DIV/0!</v>
      </c>
      <c r="U62" s="14" t="e">
        <f t="shared" si="184"/>
        <v>#DIV/0!</v>
      </c>
      <c r="V62" s="14" t="e">
        <f t="shared" si="184"/>
        <v>#DIV/0!</v>
      </c>
      <c r="W62" s="14" t="e">
        <f t="shared" si="184"/>
        <v>#DIV/0!</v>
      </c>
      <c r="X62" s="14" t="e">
        <f t="shared" si="184"/>
        <v>#DIV/0!</v>
      </c>
      <c r="Y62" s="14" t="e">
        <f t="shared" si="184"/>
        <v>#DIV/0!</v>
      </c>
      <c r="Z62" s="36" t="e">
        <f t="shared" si="184"/>
        <v>#DIV/0!</v>
      </c>
      <c r="AB62" s="14" t="s">
        <v>36</v>
      </c>
      <c r="AC62" s="35" t="e">
        <f t="shared" ref="AC62:AC66" si="185">C62+P62-$P$60</f>
        <v>#DIV/0!</v>
      </c>
      <c r="AD62" s="14" t="e">
        <f t="shared" ref="AD62:AD66" si="186">D62+Q62-$P$60</f>
        <v>#DIV/0!</v>
      </c>
      <c r="AE62" s="14" t="e">
        <f t="shared" ref="AE62:AE66" si="187">E62+R62-$P$60</f>
        <v>#DIV/0!</v>
      </c>
      <c r="AF62" s="14" t="e">
        <f t="shared" ref="AF62:AF66" si="188">F62+S62-$P$60</f>
        <v>#DIV/0!</v>
      </c>
      <c r="AG62" s="14" t="e">
        <f t="shared" ref="AG62:AG66" si="189">G62+T62-$P$60</f>
        <v>#DIV/0!</v>
      </c>
      <c r="AH62" s="14" t="e">
        <f t="shared" ref="AH62:AH66" si="190">H62+U62-$P$60</f>
        <v>#DIV/0!</v>
      </c>
      <c r="AI62" s="14" t="e">
        <f t="shared" ref="AI62:AI66" si="191">I62+V62-$P$60</f>
        <v>#DIV/0!</v>
      </c>
      <c r="AJ62" s="14" t="e">
        <f t="shared" ref="AJ62:AJ66" si="192">J62+W62-$P$60</f>
        <v>#DIV/0!</v>
      </c>
      <c r="AK62" s="14" t="e">
        <f t="shared" ref="AK62:AK66" si="193">K62+X62-$P$60</f>
        <v>#DIV/0!</v>
      </c>
      <c r="AL62" s="14" t="e">
        <f t="shared" ref="AL62:AL66" si="194">L62+Y62-$P$60</f>
        <v>#DIV/0!</v>
      </c>
      <c r="AM62" s="36" t="e">
        <f t="shared" ref="AM62:AM66" si="195">M62+Z62-$P$60</f>
        <v>#DIV/0!</v>
      </c>
    </row>
    <row r="63" spans="1:39" x14ac:dyDescent="0.25">
      <c r="A63" t="s">
        <v>72</v>
      </c>
      <c r="B63" s="14" t="s">
        <v>37</v>
      </c>
      <c r="C63" s="35" cm="1">
        <f t="array" ref="C63">INDEX(constants!$C$6:$R$38,MATCH(1,(constants!$A$6:$A$38=calibration!C$51)*(constants!$B$6:$B$38=calibration!$A63),0),MATCH(calibration!$B63,constants!$C$3:$R$3,0))</f>
        <v>0</v>
      </c>
      <c r="D63" s="14" cm="1">
        <f t="array" ref="D63">INDEX(constants!$C$6:$R$38,MATCH(1,(constants!$A$6:$A$38=calibration!D$51)*(constants!$B$6:$B$38=calibration!$A63),0),MATCH(calibration!$B63,constants!$C$3:$R$3,0))</f>
        <v>0</v>
      </c>
      <c r="E63" s="14" cm="1">
        <f t="array" ref="E63">INDEX(constants!$C$6:$R$38,MATCH(1,(constants!$A$6:$A$38=calibration!E$51)*(constants!$B$6:$B$38=calibration!$A63),0),MATCH(calibration!$B63,constants!$C$3:$R$3,0))</f>
        <v>0</v>
      </c>
      <c r="F63" s="14" cm="1">
        <f t="array" ref="F63">INDEX(constants!$C$6:$R$38,MATCH(1,(constants!$A$6:$A$38=calibration!F$51)*(constants!$B$6:$B$38=calibration!$A63),0),MATCH(calibration!$B63,constants!$C$3:$R$3,0))</f>
        <v>0</v>
      </c>
      <c r="G63" s="14" cm="1">
        <f t="array" ref="G63">INDEX(constants!$C$6:$R$38,MATCH(1,(constants!$A$6:$A$38=calibration!G$51)*(constants!$B$6:$B$38=calibration!$A63),0),MATCH(calibration!$B63,constants!$C$3:$R$3,0))</f>
        <v>0</v>
      </c>
      <c r="H63" s="14" cm="1">
        <f t="array" ref="H63">INDEX(constants!$C$6:$R$38,MATCH(1,(constants!$A$6:$A$38=calibration!H$51)*(constants!$B$6:$B$38=calibration!$A63),0),MATCH(calibration!$B63,constants!$C$3:$R$3,0))</f>
        <v>0</v>
      </c>
      <c r="I63" s="14" cm="1">
        <f t="array" ref="I63">INDEX(constants!$C$6:$R$38,MATCH(1,(constants!$A$6:$A$38=calibration!I$51)*(constants!$B$6:$B$38=calibration!$A63),0),MATCH(calibration!$B63,constants!$C$3:$R$3,0))</f>
        <v>0</v>
      </c>
      <c r="J63" s="14" cm="1">
        <f t="array" ref="J63">INDEX(constants!$C$6:$R$38,MATCH(1,(constants!$A$6:$A$38=calibration!J$51)*(constants!$B$6:$B$38=calibration!$A63),0),MATCH(calibration!$B63,constants!$C$3:$R$3,0))</f>
        <v>0</v>
      </c>
      <c r="K63" s="14" cm="1">
        <f t="array" ref="K63">INDEX(constants!$C$6:$R$38,MATCH(1,(constants!$A$6:$A$38=calibration!K$51)*(constants!$B$6:$B$38=calibration!$A63),0),MATCH(calibration!$B63,constants!$C$3:$R$3,0))</f>
        <v>0</v>
      </c>
      <c r="L63" s="14" cm="1">
        <f t="array" ref="L63">INDEX(constants!$C$6:$R$38,MATCH(1,(constants!$A$6:$A$38=calibration!L$51)*(constants!$B$6:$B$38=calibration!$A63),0),MATCH(calibration!$B63,constants!$C$3:$R$3,0))</f>
        <v>0</v>
      </c>
      <c r="M63" s="36" cm="1">
        <f t="array" ref="M63">INDEX(constants!$C$6:$R$38,MATCH(1,(constants!$A$6:$A$38=calibration!M$51)*(constants!$B$6:$B$38=calibration!$A63),0),MATCH(calibration!$B63,constants!$C$3:$R$3,0))</f>
        <v>0</v>
      </c>
      <c r="O63" s="14" t="s">
        <v>37</v>
      </c>
      <c r="P63" s="35" t="e">
        <f t="shared" si="181"/>
        <v>#DIV/0!</v>
      </c>
      <c r="Q63" s="14" t="e">
        <f t="shared" ref="Q63:Z63" si="196">$C$48*LN(D42/Q42)</f>
        <v>#DIV/0!</v>
      </c>
      <c r="R63" s="14" t="e">
        <f t="shared" si="196"/>
        <v>#DIV/0!</v>
      </c>
      <c r="S63" s="14" t="e">
        <f t="shared" si="196"/>
        <v>#DIV/0!</v>
      </c>
      <c r="T63" s="14" t="e">
        <f t="shared" si="196"/>
        <v>#DIV/0!</v>
      </c>
      <c r="U63" s="14" t="e">
        <f t="shared" si="196"/>
        <v>#DIV/0!</v>
      </c>
      <c r="V63" s="14" t="e">
        <f t="shared" si="196"/>
        <v>#DIV/0!</v>
      </c>
      <c r="W63" s="14" t="e">
        <f t="shared" si="196"/>
        <v>#DIV/0!</v>
      </c>
      <c r="X63" s="14" t="e">
        <f t="shared" si="196"/>
        <v>#DIV/0!</v>
      </c>
      <c r="Y63" s="14" t="e">
        <f t="shared" si="196"/>
        <v>#DIV/0!</v>
      </c>
      <c r="Z63" s="36" t="e">
        <f t="shared" si="196"/>
        <v>#DIV/0!</v>
      </c>
      <c r="AB63" s="14" t="s">
        <v>37</v>
      </c>
      <c r="AC63" s="35" t="e">
        <f t="shared" si="185"/>
        <v>#DIV/0!</v>
      </c>
      <c r="AD63" s="14" t="e">
        <f t="shared" si="186"/>
        <v>#DIV/0!</v>
      </c>
      <c r="AE63" s="14" t="e">
        <f t="shared" si="187"/>
        <v>#DIV/0!</v>
      </c>
      <c r="AF63" s="14" t="e">
        <f t="shared" si="188"/>
        <v>#DIV/0!</v>
      </c>
      <c r="AG63" s="14" t="e">
        <f t="shared" si="189"/>
        <v>#DIV/0!</v>
      </c>
      <c r="AH63" s="14" t="e">
        <f t="shared" si="190"/>
        <v>#DIV/0!</v>
      </c>
      <c r="AI63" s="14" t="e">
        <f t="shared" si="191"/>
        <v>#DIV/0!</v>
      </c>
      <c r="AJ63" s="14" t="e">
        <f t="shared" si="192"/>
        <v>#DIV/0!</v>
      </c>
      <c r="AK63" s="14" t="e">
        <f t="shared" si="193"/>
        <v>#DIV/0!</v>
      </c>
      <c r="AL63" s="14" t="e">
        <f t="shared" si="194"/>
        <v>#DIV/0!</v>
      </c>
      <c r="AM63" s="36" t="e">
        <f t="shared" si="195"/>
        <v>#DIV/0!</v>
      </c>
    </row>
    <row r="64" spans="1:39" x14ac:dyDescent="0.25">
      <c r="A64" t="s">
        <v>72</v>
      </c>
      <c r="B64" s="14" t="s">
        <v>68</v>
      </c>
      <c r="C64" s="35" cm="1">
        <f t="array" ref="C64">INDEX(constants!$C$6:$R$38,MATCH(1,(constants!$A$6:$A$38=calibration!C$51)*(constants!$B$6:$B$38=calibration!$A64),0),MATCH(calibration!$B64,constants!$C$3:$R$3,0))</f>
        <v>0</v>
      </c>
      <c r="D64" s="14" cm="1">
        <f t="array" ref="D64">INDEX(constants!$C$6:$R$38,MATCH(1,(constants!$A$6:$A$38=calibration!D$51)*(constants!$B$6:$B$38=calibration!$A64),0),MATCH(calibration!$B64,constants!$C$3:$R$3,0))</f>
        <v>0</v>
      </c>
      <c r="E64" s="14" cm="1">
        <f t="array" ref="E64">INDEX(constants!$C$6:$R$38,MATCH(1,(constants!$A$6:$A$38=calibration!E$51)*(constants!$B$6:$B$38=calibration!$A64),0),MATCH(calibration!$B64,constants!$C$3:$R$3,0))</f>
        <v>0</v>
      </c>
      <c r="F64" s="14" cm="1">
        <f t="array" ref="F64">INDEX(constants!$C$6:$R$38,MATCH(1,(constants!$A$6:$A$38=calibration!F$51)*(constants!$B$6:$B$38=calibration!$A64),0),MATCH(calibration!$B64,constants!$C$3:$R$3,0))</f>
        <v>0</v>
      </c>
      <c r="G64" s="14" cm="1">
        <f t="array" ref="G64">INDEX(constants!$C$6:$R$38,MATCH(1,(constants!$A$6:$A$38=calibration!G$51)*(constants!$B$6:$B$38=calibration!$A64),0),MATCH(calibration!$B64,constants!$C$3:$R$3,0))</f>
        <v>0</v>
      </c>
      <c r="H64" s="14" cm="1">
        <f t="array" ref="H64">INDEX(constants!$C$6:$R$38,MATCH(1,(constants!$A$6:$A$38=calibration!H$51)*(constants!$B$6:$B$38=calibration!$A64),0),MATCH(calibration!$B64,constants!$C$3:$R$3,0))</f>
        <v>0</v>
      </c>
      <c r="I64" s="14" cm="1">
        <f t="array" ref="I64">INDEX(constants!$C$6:$R$38,MATCH(1,(constants!$A$6:$A$38=calibration!I$51)*(constants!$B$6:$B$38=calibration!$A64),0),MATCH(calibration!$B64,constants!$C$3:$R$3,0))</f>
        <v>0</v>
      </c>
      <c r="J64" s="14" cm="1">
        <f t="array" ref="J64">INDEX(constants!$C$6:$R$38,MATCH(1,(constants!$A$6:$A$38=calibration!J$51)*(constants!$B$6:$B$38=calibration!$A64),0),MATCH(calibration!$B64,constants!$C$3:$R$3,0))</f>
        <v>0</v>
      </c>
      <c r="K64" s="14" cm="1">
        <f t="array" ref="K64">INDEX(constants!$C$6:$R$38,MATCH(1,(constants!$A$6:$A$38=calibration!K$51)*(constants!$B$6:$B$38=calibration!$A64),0),MATCH(calibration!$B64,constants!$C$3:$R$3,0))</f>
        <v>0</v>
      </c>
      <c r="L64" s="14" cm="1">
        <f t="array" ref="L64">INDEX(constants!$C$6:$R$38,MATCH(1,(constants!$A$6:$A$38=calibration!L$51)*(constants!$B$6:$B$38=calibration!$A64),0),MATCH(calibration!$B64,constants!$C$3:$R$3,0))</f>
        <v>0</v>
      </c>
      <c r="M64" s="36" cm="1">
        <f t="array" ref="M64">INDEX(constants!$C$6:$R$38,MATCH(1,(constants!$A$6:$A$38=calibration!M$51)*(constants!$B$6:$B$38=calibration!$A64),0),MATCH(calibration!$B64,constants!$C$3:$R$3,0))</f>
        <v>0</v>
      </c>
      <c r="O64" s="14" t="s">
        <v>42</v>
      </c>
      <c r="P64" s="35" t="e">
        <f t="shared" si="181"/>
        <v>#DIV/0!</v>
      </c>
      <c r="Q64" s="14" t="e">
        <f t="shared" ref="Q64:Z64" si="197">$C$48*LN(D43/Q43)</f>
        <v>#DIV/0!</v>
      </c>
      <c r="R64" s="14" t="e">
        <f t="shared" si="197"/>
        <v>#DIV/0!</v>
      </c>
      <c r="S64" s="14" t="e">
        <f t="shared" si="197"/>
        <v>#DIV/0!</v>
      </c>
      <c r="T64" s="14" t="e">
        <f t="shared" si="197"/>
        <v>#DIV/0!</v>
      </c>
      <c r="U64" s="14" t="e">
        <f t="shared" si="197"/>
        <v>#DIV/0!</v>
      </c>
      <c r="V64" s="14" t="e">
        <f t="shared" si="197"/>
        <v>#DIV/0!</v>
      </c>
      <c r="W64" s="14" t="e">
        <f t="shared" si="197"/>
        <v>#DIV/0!</v>
      </c>
      <c r="X64" s="14" t="e">
        <f t="shared" si="197"/>
        <v>#DIV/0!</v>
      </c>
      <c r="Y64" s="14" t="e">
        <f t="shared" si="197"/>
        <v>#DIV/0!</v>
      </c>
      <c r="Z64" s="36" t="e">
        <f t="shared" si="197"/>
        <v>#DIV/0!</v>
      </c>
      <c r="AB64" s="14" t="s">
        <v>68</v>
      </c>
      <c r="AC64" s="35" t="e">
        <f t="shared" si="185"/>
        <v>#DIV/0!</v>
      </c>
      <c r="AD64" s="14" t="e">
        <f t="shared" si="186"/>
        <v>#DIV/0!</v>
      </c>
      <c r="AE64" s="14" t="e">
        <f t="shared" si="187"/>
        <v>#DIV/0!</v>
      </c>
      <c r="AF64" s="14" t="e">
        <f t="shared" si="188"/>
        <v>#DIV/0!</v>
      </c>
      <c r="AG64" s="14" t="e">
        <f t="shared" si="189"/>
        <v>#DIV/0!</v>
      </c>
      <c r="AH64" s="14" t="e">
        <f t="shared" si="190"/>
        <v>#DIV/0!</v>
      </c>
      <c r="AI64" s="14" t="e">
        <f t="shared" si="191"/>
        <v>#DIV/0!</v>
      </c>
      <c r="AJ64" s="14" t="e">
        <f t="shared" si="192"/>
        <v>#DIV/0!</v>
      </c>
      <c r="AK64" s="14" t="e">
        <f t="shared" si="193"/>
        <v>#DIV/0!</v>
      </c>
      <c r="AL64" s="14" t="e">
        <f t="shared" si="194"/>
        <v>#DIV/0!</v>
      </c>
      <c r="AM64" s="36" t="e">
        <f t="shared" si="195"/>
        <v>#DIV/0!</v>
      </c>
    </row>
    <row r="65" spans="1:39" x14ac:dyDescent="0.25">
      <c r="A65" t="s">
        <v>72</v>
      </c>
      <c r="B65" s="14" t="s">
        <v>69</v>
      </c>
      <c r="C65" s="35" cm="1">
        <f t="array" ref="C65">INDEX(constants!$C$6:$R$38,MATCH(1,(constants!$A$6:$A$38=calibration!C$51)*(constants!$B$6:$B$38=calibration!$A65),0),MATCH(calibration!$B65,constants!$C$3:$R$3,0))</f>
        <v>0</v>
      </c>
      <c r="D65" s="14" cm="1">
        <f t="array" ref="D65">INDEX(constants!$C$6:$R$38,MATCH(1,(constants!$A$6:$A$38=calibration!D$51)*(constants!$B$6:$B$38=calibration!$A65),0),MATCH(calibration!$B65,constants!$C$3:$R$3,0))</f>
        <v>0</v>
      </c>
      <c r="E65" s="14" cm="1">
        <f t="array" ref="E65">INDEX(constants!$C$6:$R$38,MATCH(1,(constants!$A$6:$A$38=calibration!E$51)*(constants!$B$6:$B$38=calibration!$A65),0),MATCH(calibration!$B65,constants!$C$3:$R$3,0))</f>
        <v>0</v>
      </c>
      <c r="F65" s="14" cm="1">
        <f t="array" ref="F65">INDEX(constants!$C$6:$R$38,MATCH(1,(constants!$A$6:$A$38=calibration!F$51)*(constants!$B$6:$B$38=calibration!$A65),0),MATCH(calibration!$B65,constants!$C$3:$R$3,0))</f>
        <v>0</v>
      </c>
      <c r="G65" s="14" cm="1">
        <f t="array" ref="G65">INDEX(constants!$C$6:$R$38,MATCH(1,(constants!$A$6:$A$38=calibration!G$51)*(constants!$B$6:$B$38=calibration!$A65),0),MATCH(calibration!$B65,constants!$C$3:$R$3,0))</f>
        <v>0</v>
      </c>
      <c r="H65" s="14" cm="1">
        <f t="array" ref="H65">INDEX(constants!$C$6:$R$38,MATCH(1,(constants!$A$6:$A$38=calibration!H$51)*(constants!$B$6:$B$38=calibration!$A65),0),MATCH(calibration!$B65,constants!$C$3:$R$3,0))</f>
        <v>0</v>
      </c>
      <c r="I65" s="14" cm="1">
        <f t="array" ref="I65">INDEX(constants!$C$6:$R$38,MATCH(1,(constants!$A$6:$A$38=calibration!I$51)*(constants!$B$6:$B$38=calibration!$A65),0),MATCH(calibration!$B65,constants!$C$3:$R$3,0))</f>
        <v>0</v>
      </c>
      <c r="J65" s="14" cm="1">
        <f t="array" ref="J65">INDEX(constants!$C$6:$R$38,MATCH(1,(constants!$A$6:$A$38=calibration!J$51)*(constants!$B$6:$B$38=calibration!$A65),0),MATCH(calibration!$B65,constants!$C$3:$R$3,0))</f>
        <v>0</v>
      </c>
      <c r="K65" s="14" cm="1">
        <f t="array" ref="K65">INDEX(constants!$C$6:$R$38,MATCH(1,(constants!$A$6:$A$38=calibration!K$51)*(constants!$B$6:$B$38=calibration!$A65),0),MATCH(calibration!$B65,constants!$C$3:$R$3,0))</f>
        <v>0</v>
      </c>
      <c r="L65" s="14" cm="1">
        <f t="array" ref="L65">INDEX(constants!$C$6:$R$38,MATCH(1,(constants!$A$6:$A$38=calibration!L$51)*(constants!$B$6:$B$38=calibration!$A65),0),MATCH(calibration!$B65,constants!$C$3:$R$3,0))</f>
        <v>0</v>
      </c>
      <c r="M65" s="36" cm="1">
        <f t="array" ref="M65">INDEX(constants!$C$6:$R$38,MATCH(1,(constants!$A$6:$A$38=calibration!M$51)*(constants!$B$6:$B$38=calibration!$A65),0),MATCH(calibration!$B65,constants!$C$3:$R$3,0))</f>
        <v>0</v>
      </c>
      <c r="O65" s="14" t="s">
        <v>43</v>
      </c>
      <c r="P65" s="35" t="e">
        <f t="shared" si="181"/>
        <v>#DIV/0!</v>
      </c>
      <c r="Q65" s="14" t="e">
        <f t="shared" ref="Q65:Z65" si="198">$C$48*LN(D44/Q44)</f>
        <v>#DIV/0!</v>
      </c>
      <c r="R65" s="14" t="e">
        <f t="shared" si="198"/>
        <v>#DIV/0!</v>
      </c>
      <c r="S65" s="14" t="e">
        <f t="shared" si="198"/>
        <v>#DIV/0!</v>
      </c>
      <c r="T65" s="14" t="e">
        <f t="shared" si="198"/>
        <v>#DIV/0!</v>
      </c>
      <c r="U65" s="14" t="e">
        <f t="shared" si="198"/>
        <v>#DIV/0!</v>
      </c>
      <c r="V65" s="14" t="e">
        <f t="shared" si="198"/>
        <v>#DIV/0!</v>
      </c>
      <c r="W65" s="14" t="e">
        <f t="shared" si="198"/>
        <v>#DIV/0!</v>
      </c>
      <c r="X65" s="14" t="e">
        <f t="shared" si="198"/>
        <v>#DIV/0!</v>
      </c>
      <c r="Y65" s="14" t="e">
        <f t="shared" si="198"/>
        <v>#DIV/0!</v>
      </c>
      <c r="Z65" s="36" t="e">
        <f t="shared" si="198"/>
        <v>#DIV/0!</v>
      </c>
      <c r="AB65" s="14" t="s">
        <v>69</v>
      </c>
      <c r="AC65" s="35" t="e">
        <f t="shared" si="185"/>
        <v>#DIV/0!</v>
      </c>
      <c r="AD65" s="14" t="e">
        <f t="shared" si="186"/>
        <v>#DIV/0!</v>
      </c>
      <c r="AE65" s="14" t="e">
        <f t="shared" si="187"/>
        <v>#DIV/0!</v>
      </c>
      <c r="AF65" s="14" t="e">
        <f t="shared" si="188"/>
        <v>#DIV/0!</v>
      </c>
      <c r="AG65" s="14" t="e">
        <f t="shared" si="189"/>
        <v>#DIV/0!</v>
      </c>
      <c r="AH65" s="14" t="e">
        <f t="shared" si="190"/>
        <v>#DIV/0!</v>
      </c>
      <c r="AI65" s="14" t="e">
        <f t="shared" si="191"/>
        <v>#DIV/0!</v>
      </c>
      <c r="AJ65" s="14" t="e">
        <f t="shared" si="192"/>
        <v>#DIV/0!</v>
      </c>
      <c r="AK65" s="14" t="e">
        <f t="shared" si="193"/>
        <v>#DIV/0!</v>
      </c>
      <c r="AL65" s="14" t="e">
        <f t="shared" si="194"/>
        <v>#DIV/0!</v>
      </c>
      <c r="AM65" s="36" t="e">
        <f t="shared" si="195"/>
        <v>#DIV/0!</v>
      </c>
    </row>
    <row r="66" spans="1:39" x14ac:dyDescent="0.25">
      <c r="A66" t="s">
        <v>72</v>
      </c>
      <c r="B66" s="14" t="s">
        <v>38</v>
      </c>
      <c r="C66" s="37" cm="1">
        <f t="array" ref="C66">INDEX(constants!$C$6:$R$38,MATCH(1,(constants!$A$6:$A$38=calibration!C$51)*(constants!$B$6:$B$38=calibration!$A66),0),MATCH(calibration!$B66,constants!$C$3:$R$3,0))</f>
        <v>0</v>
      </c>
      <c r="D66" s="38" cm="1">
        <f t="array" ref="D66">INDEX(constants!$C$6:$R$38,MATCH(1,(constants!$A$6:$A$38=calibration!D$51)*(constants!$B$6:$B$38=calibration!$A66),0),MATCH(calibration!$B66,constants!$C$3:$R$3,0))</f>
        <v>0</v>
      </c>
      <c r="E66" s="38" cm="1">
        <f t="array" ref="E66">INDEX(constants!$C$6:$R$38,MATCH(1,(constants!$A$6:$A$38=calibration!E$51)*(constants!$B$6:$B$38=calibration!$A66),0),MATCH(calibration!$B66,constants!$C$3:$R$3,0))</f>
        <v>0</v>
      </c>
      <c r="F66" s="38" cm="1">
        <f t="array" ref="F66">INDEX(constants!$C$6:$R$38,MATCH(1,(constants!$A$6:$A$38=calibration!F$51)*(constants!$B$6:$B$38=calibration!$A66),0),MATCH(calibration!$B66,constants!$C$3:$R$3,0))</f>
        <v>0</v>
      </c>
      <c r="G66" s="38" cm="1">
        <f t="array" ref="G66">INDEX(constants!$C$6:$R$38,MATCH(1,(constants!$A$6:$A$38=calibration!G$51)*(constants!$B$6:$B$38=calibration!$A66),0),MATCH(calibration!$B66,constants!$C$3:$R$3,0))</f>
        <v>0</v>
      </c>
      <c r="H66" s="38" cm="1">
        <f t="array" ref="H66">INDEX(constants!$C$6:$R$38,MATCH(1,(constants!$A$6:$A$38=calibration!H$51)*(constants!$B$6:$B$38=calibration!$A66),0),MATCH(calibration!$B66,constants!$C$3:$R$3,0))</f>
        <v>0</v>
      </c>
      <c r="I66" s="38" cm="1">
        <f t="array" ref="I66">INDEX(constants!$C$6:$R$38,MATCH(1,(constants!$A$6:$A$38=calibration!I$51)*(constants!$B$6:$B$38=calibration!$A66),0),MATCH(calibration!$B66,constants!$C$3:$R$3,0))</f>
        <v>0</v>
      </c>
      <c r="J66" s="38" cm="1">
        <f t="array" ref="J66">INDEX(constants!$C$6:$R$38,MATCH(1,(constants!$A$6:$A$38=calibration!J$51)*(constants!$B$6:$B$38=calibration!$A66),0),MATCH(calibration!$B66,constants!$C$3:$R$3,0))</f>
        <v>0</v>
      </c>
      <c r="K66" s="38" cm="1">
        <f t="array" ref="K66">INDEX(constants!$C$6:$R$38,MATCH(1,(constants!$A$6:$A$38=calibration!K$51)*(constants!$B$6:$B$38=calibration!$A66),0),MATCH(calibration!$B66,constants!$C$3:$R$3,0))</f>
        <v>0</v>
      </c>
      <c r="L66" s="38" cm="1">
        <f t="array" ref="L66">INDEX(constants!$C$6:$R$38,MATCH(1,(constants!$A$6:$A$38=calibration!L$51)*(constants!$B$6:$B$38=calibration!$A66),0),MATCH(calibration!$B66,constants!$C$3:$R$3,0))</f>
        <v>0</v>
      </c>
      <c r="M66" s="39" cm="1">
        <f t="array" ref="M66">INDEX(constants!$C$6:$R$38,MATCH(1,(constants!$A$6:$A$38=calibration!M$51)*(constants!$B$6:$B$38=calibration!$A66),0),MATCH(calibration!$B66,constants!$C$3:$R$3,0))</f>
        <v>0</v>
      </c>
      <c r="O66" s="14" t="s">
        <v>38</v>
      </c>
      <c r="P66" s="37" t="e">
        <f t="shared" si="181"/>
        <v>#DIV/0!</v>
      </c>
      <c r="Q66" s="38" t="e">
        <f t="shared" ref="Q66:Z66" si="199">$C$48*LN(D45/Q45)</f>
        <v>#DIV/0!</v>
      </c>
      <c r="R66" s="38" t="e">
        <f t="shared" si="199"/>
        <v>#DIV/0!</v>
      </c>
      <c r="S66" s="38" t="e">
        <f t="shared" si="199"/>
        <v>#DIV/0!</v>
      </c>
      <c r="T66" s="38" t="e">
        <f t="shared" si="199"/>
        <v>#DIV/0!</v>
      </c>
      <c r="U66" s="38" t="e">
        <f t="shared" si="199"/>
        <v>#DIV/0!</v>
      </c>
      <c r="V66" s="38" t="e">
        <f t="shared" si="199"/>
        <v>#DIV/0!</v>
      </c>
      <c r="W66" s="38" t="e">
        <f t="shared" si="199"/>
        <v>#DIV/0!</v>
      </c>
      <c r="X66" s="38" t="e">
        <f t="shared" si="199"/>
        <v>#DIV/0!</v>
      </c>
      <c r="Y66" s="38" t="e">
        <f t="shared" si="199"/>
        <v>#DIV/0!</v>
      </c>
      <c r="Z66" s="39" t="e">
        <f t="shared" si="199"/>
        <v>#DIV/0!</v>
      </c>
      <c r="AB66" s="14" t="s">
        <v>38</v>
      </c>
      <c r="AC66" s="37" t="e">
        <f t="shared" si="185"/>
        <v>#DIV/0!</v>
      </c>
      <c r="AD66" s="38" t="e">
        <f t="shared" si="186"/>
        <v>#DIV/0!</v>
      </c>
      <c r="AE66" s="38" t="e">
        <f t="shared" si="187"/>
        <v>#DIV/0!</v>
      </c>
      <c r="AF66" s="38" t="e">
        <f t="shared" si="188"/>
        <v>#DIV/0!</v>
      </c>
      <c r="AG66" s="38" t="e">
        <f t="shared" si="189"/>
        <v>#DIV/0!</v>
      </c>
      <c r="AH66" s="38" t="e">
        <f t="shared" si="190"/>
        <v>#DIV/0!</v>
      </c>
      <c r="AI66" s="38" t="e">
        <f t="shared" si="191"/>
        <v>#DIV/0!</v>
      </c>
      <c r="AJ66" s="38" t="e">
        <f t="shared" si="192"/>
        <v>#DIV/0!</v>
      </c>
      <c r="AK66" s="38" t="e">
        <f t="shared" si="193"/>
        <v>#DIV/0!</v>
      </c>
      <c r="AL66" s="38" t="e">
        <f t="shared" si="194"/>
        <v>#DIV/0!</v>
      </c>
      <c r="AM66" s="39" t="e">
        <f t="shared" si="195"/>
        <v>#DIV/0!</v>
      </c>
    </row>
  </sheetData>
  <conditionalFormatting sqref="AC27:AM45">
    <cfRule type="expression" dxfId="0" priority="1">
      <formula>ABS(AC27) &gt; 10%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1A67D-DB7F-48D1-AFB6-344D1665DF25}">
  <dimension ref="A1:AH38"/>
  <sheetViews>
    <sheetView tabSelected="1" workbookViewId="0">
      <selection activeCell="Z11" sqref="Z11"/>
    </sheetView>
  </sheetViews>
  <sheetFormatPr defaultRowHeight="15" x14ac:dyDescent="0.25"/>
  <cols>
    <col min="2" max="2" width="20.7109375" bestFit="1" customWidth="1"/>
  </cols>
  <sheetData>
    <row r="1" spans="1:34" x14ac:dyDescent="0.25">
      <c r="C1" s="73" t="s">
        <v>74</v>
      </c>
      <c r="S1" s="73" t="s">
        <v>75</v>
      </c>
    </row>
    <row r="2" spans="1:34" x14ac:dyDescent="0.25"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M2" t="s">
        <v>62</v>
      </c>
      <c r="N2" t="s">
        <v>63</v>
      </c>
      <c r="O2" t="s">
        <v>64</v>
      </c>
      <c r="P2" t="s">
        <v>65</v>
      </c>
      <c r="Q2" t="s">
        <v>66</v>
      </c>
      <c r="R2" s="7" t="s">
        <v>67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  <c r="AH2" t="s">
        <v>67</v>
      </c>
    </row>
    <row r="3" spans="1:34" x14ac:dyDescent="0.25">
      <c r="C3" t="s">
        <v>41</v>
      </c>
      <c r="D3" t="s">
        <v>35</v>
      </c>
      <c r="E3" t="s">
        <v>36</v>
      </c>
      <c r="F3" t="s">
        <v>37</v>
      </c>
      <c r="G3" t="s">
        <v>35</v>
      </c>
      <c r="H3" t="s">
        <v>36</v>
      </c>
      <c r="I3" t="s">
        <v>37</v>
      </c>
      <c r="J3" t="s">
        <v>68</v>
      </c>
      <c r="K3" t="s">
        <v>36</v>
      </c>
      <c r="L3" t="s">
        <v>37</v>
      </c>
      <c r="M3" t="s">
        <v>68</v>
      </c>
      <c r="N3" t="s">
        <v>69</v>
      </c>
      <c r="O3" t="s">
        <v>37</v>
      </c>
      <c r="P3" t="s">
        <v>68</v>
      </c>
      <c r="Q3" t="s">
        <v>69</v>
      </c>
      <c r="R3" s="7" t="s">
        <v>38</v>
      </c>
      <c r="S3" t="s">
        <v>41</v>
      </c>
      <c r="T3" t="s">
        <v>35</v>
      </c>
      <c r="U3" t="s">
        <v>36</v>
      </c>
      <c r="V3" t="s">
        <v>37</v>
      </c>
      <c r="W3" t="s">
        <v>35</v>
      </c>
      <c r="X3" t="s">
        <v>36</v>
      </c>
      <c r="Y3" t="s">
        <v>37</v>
      </c>
      <c r="Z3" t="s">
        <v>68</v>
      </c>
      <c r="AA3" t="s">
        <v>36</v>
      </c>
      <c r="AB3" t="s">
        <v>37</v>
      </c>
      <c r="AC3" t="s">
        <v>68</v>
      </c>
      <c r="AD3" t="s">
        <v>69</v>
      </c>
      <c r="AE3" t="s">
        <v>37</v>
      </c>
      <c r="AF3" t="s">
        <v>68</v>
      </c>
      <c r="AG3" t="s">
        <v>69</v>
      </c>
      <c r="AH3" t="s">
        <v>38</v>
      </c>
    </row>
    <row r="4" spans="1:34" x14ac:dyDescent="0.25">
      <c r="C4" t="s">
        <v>31</v>
      </c>
      <c r="D4" t="s">
        <v>31</v>
      </c>
      <c r="E4" t="s">
        <v>31</v>
      </c>
      <c r="F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70</v>
      </c>
      <c r="L4" t="s">
        <v>70</v>
      </c>
      <c r="M4" t="s">
        <v>70</v>
      </c>
      <c r="N4" t="s">
        <v>70</v>
      </c>
      <c r="O4" t="s">
        <v>34</v>
      </c>
      <c r="P4" t="s">
        <v>34</v>
      </c>
      <c r="Q4" t="s">
        <v>34</v>
      </c>
      <c r="R4" s="7" t="s">
        <v>34</v>
      </c>
      <c r="S4" t="s">
        <v>31</v>
      </c>
      <c r="T4" t="s">
        <v>31</v>
      </c>
      <c r="U4" t="s">
        <v>31</v>
      </c>
      <c r="V4" t="s">
        <v>31</v>
      </c>
      <c r="W4" t="s">
        <v>32</v>
      </c>
      <c r="X4" t="s">
        <v>32</v>
      </c>
      <c r="Y4" t="s">
        <v>32</v>
      </c>
      <c r="Z4" t="s">
        <v>32</v>
      </c>
      <c r="AA4" t="s">
        <v>70</v>
      </c>
      <c r="AB4" t="s">
        <v>70</v>
      </c>
      <c r="AC4" t="s">
        <v>70</v>
      </c>
      <c r="AD4" t="s">
        <v>70</v>
      </c>
      <c r="AE4" t="s">
        <v>34</v>
      </c>
      <c r="AF4" t="s">
        <v>34</v>
      </c>
      <c r="AG4" t="s">
        <v>34</v>
      </c>
      <c r="AH4" t="s">
        <v>34</v>
      </c>
    </row>
    <row r="5" spans="1:34" x14ac:dyDescent="0.25">
      <c r="A5" s="73" t="s">
        <v>73</v>
      </c>
      <c r="C5" s="9" t="s">
        <v>27</v>
      </c>
      <c r="D5" s="9" t="s">
        <v>28</v>
      </c>
      <c r="E5" s="9" t="s">
        <v>29</v>
      </c>
      <c r="F5" s="9" t="s">
        <v>30</v>
      </c>
      <c r="G5" s="9" t="s">
        <v>27</v>
      </c>
      <c r="H5" s="9" t="s">
        <v>28</v>
      </c>
      <c r="I5" s="9" t="s">
        <v>29</v>
      </c>
      <c r="J5" s="9" t="s">
        <v>30</v>
      </c>
      <c r="K5" s="9" t="s">
        <v>27</v>
      </c>
      <c r="L5" s="9" t="s">
        <v>28</v>
      </c>
      <c r="M5" s="9" t="s">
        <v>29</v>
      </c>
      <c r="N5" s="9" t="s">
        <v>30</v>
      </c>
      <c r="O5" s="9" t="s">
        <v>27</v>
      </c>
      <c r="P5" s="9" t="s">
        <v>28</v>
      </c>
      <c r="Q5" s="9" t="s">
        <v>29</v>
      </c>
      <c r="R5" s="10" t="s">
        <v>30</v>
      </c>
      <c r="S5" s="9" t="s">
        <v>27</v>
      </c>
      <c r="T5" s="9" t="s">
        <v>28</v>
      </c>
      <c r="U5" s="9" t="s">
        <v>29</v>
      </c>
      <c r="V5" s="9" t="s">
        <v>30</v>
      </c>
      <c r="W5" s="9" t="s">
        <v>27</v>
      </c>
      <c r="X5" s="9" t="s">
        <v>28</v>
      </c>
      <c r="Y5" s="9" t="s">
        <v>29</v>
      </c>
      <c r="Z5" s="9" t="s">
        <v>30</v>
      </c>
      <c r="AA5" s="9" t="s">
        <v>27</v>
      </c>
      <c r="AB5" s="9" t="s">
        <v>28</v>
      </c>
      <c r="AC5" s="9" t="s">
        <v>29</v>
      </c>
      <c r="AD5" s="9" t="s">
        <v>30</v>
      </c>
      <c r="AE5" s="9" t="s">
        <v>27</v>
      </c>
      <c r="AF5" s="9" t="s">
        <v>28</v>
      </c>
      <c r="AG5" s="9" t="s">
        <v>29</v>
      </c>
      <c r="AH5" s="9" t="s">
        <v>30</v>
      </c>
    </row>
    <row r="6" spans="1:34" x14ac:dyDescent="0.25">
      <c r="A6" t="s">
        <v>0</v>
      </c>
      <c r="B6" t="s">
        <v>76</v>
      </c>
      <c r="R6" s="7"/>
      <c r="S6">
        <f>INDEX(calibration!$AC$52:$AM$66,MATCH(constants!S$4,calibration!$AB$52:$AB$66,0),MATCH(constants!$A6,calibration!$P$51:$Z$51,0))</f>
        <v>0</v>
      </c>
      <c r="T6">
        <f>INDEX(calibration!$AC$52:$AM$66,MATCH(constants!T$4,calibration!$AB$52:$AB$66,0),MATCH(constants!$A6,calibration!$P$51:$Z$51,0))</f>
        <v>0</v>
      </c>
      <c r="U6">
        <f>INDEX(calibration!$AC$52:$AM$66,MATCH(constants!U$4,calibration!$AB$52:$AB$66,0),MATCH(constants!$A6,calibration!$P$51:$Z$51,0))</f>
        <v>0</v>
      </c>
      <c r="V6">
        <f>INDEX(calibration!$AC$52:$AM$66,MATCH(constants!V$4,calibration!$AB$52:$AB$66,0),MATCH(constants!$A6,calibration!$P$51:$Z$51,0))</f>
        <v>0</v>
      </c>
      <c r="W6" t="e">
        <f>INDEX(calibration!$AC$52:$AM$66,MATCH(constants!W$4,calibration!$AB$52:$AB$66,0),MATCH(constants!$A6,calibration!$P$51:$Z$51,0))</f>
        <v>#DIV/0!</v>
      </c>
      <c r="X6" t="e">
        <f>INDEX(calibration!$AC$52:$AM$66,MATCH(constants!X$4,calibration!$AB$52:$AB$66,0),MATCH(constants!$A6,calibration!$P$51:$Z$51,0))</f>
        <v>#DIV/0!</v>
      </c>
      <c r="Y6" t="e">
        <f>INDEX(calibration!$AC$52:$AM$66,MATCH(constants!Y$4,calibration!$AB$52:$AB$66,0),MATCH(constants!$A6,calibration!$P$51:$Z$51,0))</f>
        <v>#DIV/0!</v>
      </c>
      <c r="Z6" t="e">
        <f>INDEX(calibration!$AC$52:$AM$66,MATCH(constants!Z$4,calibration!$AB$52:$AB$66,0),MATCH(constants!$A6,calibration!$P$51:$Z$51,0))</f>
        <v>#DIV/0!</v>
      </c>
      <c r="AA6" t="e">
        <f>INDEX(calibration!$AC$52:$AM$66,MATCH(constants!AA$4,calibration!$AB$52:$AB$66,0),MATCH(constants!$A6,calibration!$P$51:$Z$51,0))</f>
        <v>#DIV/0!</v>
      </c>
      <c r="AB6" t="e">
        <f>INDEX(calibration!$AC$52:$AM$66,MATCH(constants!AB$4,calibration!$AB$52:$AB$66,0),MATCH(constants!$A6,calibration!$P$51:$Z$51,0))</f>
        <v>#DIV/0!</v>
      </c>
      <c r="AC6" t="e">
        <f>INDEX(calibration!$AC$52:$AM$66,MATCH(constants!AC$4,calibration!$AB$52:$AB$66,0),MATCH(constants!$A6,calibration!$P$51:$Z$51,0))</f>
        <v>#DIV/0!</v>
      </c>
      <c r="AD6" t="e">
        <f>INDEX(calibration!$AC$52:$AM$66,MATCH(constants!AD$4,calibration!$AB$52:$AB$66,0),MATCH(constants!$A6,calibration!$P$51:$Z$51,0))</f>
        <v>#DIV/0!</v>
      </c>
      <c r="AE6" t="e">
        <f>INDEX(calibration!$AC$52:$AM$66,MATCH(constants!AE$4,calibration!$AB$52:$AB$66,0),MATCH(constants!$A6,calibration!$P$51:$Z$51,0))</f>
        <v>#DIV/0!</v>
      </c>
      <c r="AF6" t="e">
        <f>INDEX(calibration!$AC$52:$AM$66,MATCH(constants!AF$4,calibration!$AB$52:$AB$66,0),MATCH(constants!$A6,calibration!$P$51:$Z$51,0))</f>
        <v>#DIV/0!</v>
      </c>
      <c r="AG6" t="e">
        <f>INDEX(calibration!$AC$52:$AM$66,MATCH(constants!AG$4,calibration!$AB$52:$AB$66,0),MATCH(constants!$A6,calibration!$P$51:$Z$51,0))</f>
        <v>#DIV/0!</v>
      </c>
      <c r="AH6" t="e">
        <f>INDEX(calibration!$AC$52:$AM$66,MATCH(constants!AH$4,calibration!$AB$52:$AB$66,0),MATCH(constants!$A6,calibration!$P$51:$Z$51,0))</f>
        <v>#DIV/0!</v>
      </c>
    </row>
    <row r="7" spans="1:34" x14ac:dyDescent="0.25">
      <c r="A7" t="s">
        <v>0</v>
      </c>
      <c r="B7" t="s">
        <v>71</v>
      </c>
      <c r="R7" s="7"/>
      <c r="S7">
        <f>INDEX(calibration!$AC$52:$AM$66,MATCH(S$5,calibration!$AB$52:$AB$66,0),MATCH(constants!$A7,calibration!$P$51:$Z$51,0))</f>
        <v>0</v>
      </c>
      <c r="T7" t="e">
        <f>INDEX(calibration!$AC$52:$AM$66,MATCH(T$5,calibration!$AB$52:$AB$66,0),MATCH(constants!$A7,calibration!$P$51:$Z$51,0))</f>
        <v>#DIV/0!</v>
      </c>
      <c r="U7" t="e">
        <f>INDEX(calibration!$AC$52:$AM$66,MATCH(U$5,calibration!$AB$52:$AB$66,0),MATCH(constants!$A7,calibration!$P$51:$Z$51,0))</f>
        <v>#DIV/0!</v>
      </c>
      <c r="V7" t="e">
        <f>INDEX(calibration!$AC$52:$AM$66,MATCH(V$5,calibration!$AB$52:$AB$66,0),MATCH(constants!$A7,calibration!$P$51:$Z$51,0))</f>
        <v>#DIV/0!</v>
      </c>
      <c r="W7">
        <f>INDEX(calibration!$AC$52:$AM$66,MATCH(W$5,calibration!$AB$52:$AB$66,0),MATCH(constants!$A7,calibration!$P$51:$Z$51,0))</f>
        <v>0</v>
      </c>
      <c r="X7" t="e">
        <f>INDEX(calibration!$AC$52:$AM$66,MATCH(X$5,calibration!$AB$52:$AB$66,0),MATCH(constants!$A7,calibration!$P$51:$Z$51,0))</f>
        <v>#DIV/0!</v>
      </c>
      <c r="Y7" t="e">
        <f>INDEX(calibration!$AC$52:$AM$66,MATCH(Y$5,calibration!$AB$52:$AB$66,0),MATCH(constants!$A7,calibration!$P$51:$Z$51,0))</f>
        <v>#DIV/0!</v>
      </c>
      <c r="Z7" t="e">
        <f>INDEX(calibration!$AC$52:$AM$66,MATCH(Z$5,calibration!$AB$52:$AB$66,0),MATCH(constants!$A7,calibration!$P$51:$Z$51,0))</f>
        <v>#DIV/0!</v>
      </c>
      <c r="AA7">
        <f>INDEX(calibration!$AC$52:$AM$66,MATCH(AA$5,calibration!$AB$52:$AB$66,0),MATCH(constants!$A7,calibration!$P$51:$Z$51,0))</f>
        <v>0</v>
      </c>
      <c r="AB7" t="e">
        <f>INDEX(calibration!$AC$52:$AM$66,MATCH(AB$5,calibration!$AB$52:$AB$66,0),MATCH(constants!$A7,calibration!$P$51:$Z$51,0))</f>
        <v>#DIV/0!</v>
      </c>
      <c r="AC7" t="e">
        <f>INDEX(calibration!$AC$52:$AM$66,MATCH(AC$5,calibration!$AB$52:$AB$66,0),MATCH(constants!$A7,calibration!$P$51:$Z$51,0))</f>
        <v>#DIV/0!</v>
      </c>
      <c r="AD7" t="e">
        <f>INDEX(calibration!$AC$52:$AM$66,MATCH(AD$5,calibration!$AB$52:$AB$66,0),MATCH(constants!$A7,calibration!$P$51:$Z$51,0))</f>
        <v>#DIV/0!</v>
      </c>
      <c r="AE7">
        <f>INDEX(calibration!$AC$52:$AM$66,MATCH(AE$5,calibration!$AB$52:$AB$66,0),MATCH(constants!$A7,calibration!$P$51:$Z$51,0))</f>
        <v>0</v>
      </c>
      <c r="AF7" t="e">
        <f>INDEX(calibration!$AC$52:$AM$66,MATCH(AF$5,calibration!$AB$52:$AB$66,0),MATCH(constants!$A7,calibration!$P$51:$Z$51,0))</f>
        <v>#DIV/0!</v>
      </c>
      <c r="AG7" t="e">
        <f>INDEX(calibration!$AC$52:$AM$66,MATCH(AG$5,calibration!$AB$52:$AB$66,0),MATCH(constants!$A7,calibration!$P$51:$Z$51,0))</f>
        <v>#DIV/0!</v>
      </c>
      <c r="AH7" t="e">
        <f>INDEX(calibration!$AC$52:$AM$66,MATCH(AH$5,calibration!$AB$52:$AB$66,0),MATCH(constants!$A7,calibration!$P$51:$Z$51,0))</f>
        <v>#DIV/0!</v>
      </c>
    </row>
    <row r="8" spans="1:34" x14ac:dyDescent="0.25">
      <c r="A8" t="s">
        <v>0</v>
      </c>
      <c r="B8" t="s">
        <v>72</v>
      </c>
      <c r="R8" s="7"/>
      <c r="S8">
        <f>INDEX(calibration!$AC$52:$AM$66,MATCH(S$3,calibration!$AB$52:$AB$66,0),MATCH(constants!$A8,calibration!$P$51:$Z$51,0))</f>
        <v>0</v>
      </c>
      <c r="T8">
        <f>INDEX(calibration!$AC$52:$AM$66,MATCH(T$3,calibration!$AB$52:$AB$66,0),MATCH(constants!$A8,calibration!$P$51:$Z$51,0))</f>
        <v>0</v>
      </c>
      <c r="U8" t="e">
        <f>INDEX(calibration!$AC$52:$AM$66,MATCH(U$3,calibration!$AB$52:$AB$66,0),MATCH(constants!$A8,calibration!$P$51:$Z$51,0))</f>
        <v>#DIV/0!</v>
      </c>
      <c r="V8" t="e">
        <f>INDEX(calibration!$AC$52:$AM$66,MATCH(V$3,calibration!$AB$52:$AB$66,0),MATCH(constants!$A8,calibration!$P$51:$Z$51,0))</f>
        <v>#DIV/0!</v>
      </c>
      <c r="W8">
        <f>INDEX(calibration!$AC$52:$AM$66,MATCH(W$3,calibration!$AB$52:$AB$66,0),MATCH(constants!$A8,calibration!$P$51:$Z$51,0))</f>
        <v>0</v>
      </c>
      <c r="X8" t="e">
        <f>INDEX(calibration!$AC$52:$AM$66,MATCH(X$3,calibration!$AB$52:$AB$66,0),MATCH(constants!$A8,calibration!$P$51:$Z$51,0))</f>
        <v>#DIV/0!</v>
      </c>
      <c r="Y8" t="e">
        <f>INDEX(calibration!$AC$52:$AM$66,MATCH(Y$3,calibration!$AB$52:$AB$66,0),MATCH(constants!$A8,calibration!$P$51:$Z$51,0))</f>
        <v>#DIV/0!</v>
      </c>
      <c r="Z8" t="e">
        <f>INDEX(calibration!$AC$52:$AM$66,MATCH(Z$3,calibration!$AB$52:$AB$66,0),MATCH(constants!$A8,calibration!$P$51:$Z$51,0))</f>
        <v>#DIV/0!</v>
      </c>
      <c r="AA8" t="e">
        <f>INDEX(calibration!$AC$52:$AM$66,MATCH(AA$3,calibration!$AB$52:$AB$66,0),MATCH(constants!$A8,calibration!$P$51:$Z$51,0))</f>
        <v>#DIV/0!</v>
      </c>
      <c r="AB8" t="e">
        <f>INDEX(calibration!$AC$52:$AM$66,MATCH(AB$3,calibration!$AB$52:$AB$66,0),MATCH(constants!$A8,calibration!$P$51:$Z$51,0))</f>
        <v>#DIV/0!</v>
      </c>
      <c r="AC8" t="e">
        <f>INDEX(calibration!$AC$52:$AM$66,MATCH(AC$3,calibration!$AB$52:$AB$66,0),MATCH(constants!$A8,calibration!$P$51:$Z$51,0))</f>
        <v>#DIV/0!</v>
      </c>
      <c r="AD8" t="e">
        <f>INDEX(calibration!$AC$52:$AM$66,MATCH(AD$3,calibration!$AB$52:$AB$66,0),MATCH(constants!$A8,calibration!$P$51:$Z$51,0))</f>
        <v>#DIV/0!</v>
      </c>
      <c r="AE8" t="e">
        <f>INDEX(calibration!$AC$52:$AM$66,MATCH(AE$3,calibration!$AB$52:$AB$66,0),MATCH(constants!$A8,calibration!$P$51:$Z$51,0))</f>
        <v>#DIV/0!</v>
      </c>
      <c r="AF8" t="e">
        <f>INDEX(calibration!$AC$52:$AM$66,MATCH(AF$3,calibration!$AB$52:$AB$66,0),MATCH(constants!$A8,calibration!$P$51:$Z$51,0))</f>
        <v>#DIV/0!</v>
      </c>
      <c r="AG8" t="e">
        <f>INDEX(calibration!$AC$52:$AM$66,MATCH(AG$3,calibration!$AB$52:$AB$66,0),MATCH(constants!$A8,calibration!$P$51:$Z$51,0))</f>
        <v>#DIV/0!</v>
      </c>
      <c r="AH8" t="e">
        <f>INDEX(calibration!$AC$52:$AM$66,MATCH(AH$3,calibration!$AB$52:$AB$66,0),MATCH(constants!$A8,calibration!$P$51:$Z$51,0))</f>
        <v>#DIV/0!</v>
      </c>
    </row>
    <row r="9" spans="1:34" x14ac:dyDescent="0.25">
      <c r="A9" t="s">
        <v>1</v>
      </c>
      <c r="B9" t="s">
        <v>76</v>
      </c>
      <c r="R9" s="7"/>
      <c r="S9">
        <f>INDEX(calibration!$AC$52:$AM$66,MATCH(constants!S$4,calibration!$AB$52:$AB$66,0),MATCH(constants!$A9,calibration!$P$51:$Z$51,0))</f>
        <v>0</v>
      </c>
      <c r="T9">
        <f>INDEX(calibration!$AC$52:$AM$66,MATCH(constants!T$4,calibration!$AB$52:$AB$66,0),MATCH(constants!$A9,calibration!$P$51:$Z$51,0))</f>
        <v>0</v>
      </c>
      <c r="U9">
        <f>INDEX(calibration!$AC$52:$AM$66,MATCH(constants!U$4,calibration!$AB$52:$AB$66,0),MATCH(constants!$A9,calibration!$P$51:$Z$51,0))</f>
        <v>0</v>
      </c>
      <c r="V9">
        <f>INDEX(calibration!$AC$52:$AM$66,MATCH(constants!V$4,calibration!$AB$52:$AB$66,0),MATCH(constants!$A9,calibration!$P$51:$Z$51,0))</f>
        <v>0</v>
      </c>
      <c r="W9" t="e">
        <f>INDEX(calibration!$AC$52:$AM$66,MATCH(constants!W$4,calibration!$AB$52:$AB$66,0),MATCH(constants!$A9,calibration!$P$51:$Z$51,0))</f>
        <v>#DIV/0!</v>
      </c>
      <c r="X9" t="e">
        <f>INDEX(calibration!$AC$52:$AM$66,MATCH(constants!X$4,calibration!$AB$52:$AB$66,0),MATCH(constants!$A9,calibration!$P$51:$Z$51,0))</f>
        <v>#DIV/0!</v>
      </c>
      <c r="Y9" t="e">
        <f>INDEX(calibration!$AC$52:$AM$66,MATCH(constants!Y$4,calibration!$AB$52:$AB$66,0),MATCH(constants!$A9,calibration!$P$51:$Z$51,0))</f>
        <v>#DIV/0!</v>
      </c>
      <c r="Z9" t="e">
        <f>INDEX(calibration!$AC$52:$AM$66,MATCH(constants!Z$4,calibration!$AB$52:$AB$66,0),MATCH(constants!$A9,calibration!$P$51:$Z$51,0))</f>
        <v>#DIV/0!</v>
      </c>
      <c r="AA9" t="e">
        <f>INDEX(calibration!$AC$52:$AM$66,MATCH(constants!AA$4,calibration!$AB$52:$AB$66,0),MATCH(constants!$A9,calibration!$P$51:$Z$51,0))</f>
        <v>#DIV/0!</v>
      </c>
      <c r="AB9" t="e">
        <f>INDEX(calibration!$AC$52:$AM$66,MATCH(constants!AB$4,calibration!$AB$52:$AB$66,0),MATCH(constants!$A9,calibration!$P$51:$Z$51,0))</f>
        <v>#DIV/0!</v>
      </c>
      <c r="AC9" t="e">
        <f>INDEX(calibration!$AC$52:$AM$66,MATCH(constants!AC$4,calibration!$AB$52:$AB$66,0),MATCH(constants!$A9,calibration!$P$51:$Z$51,0))</f>
        <v>#DIV/0!</v>
      </c>
      <c r="AD9" t="e">
        <f>INDEX(calibration!$AC$52:$AM$66,MATCH(constants!AD$4,calibration!$AB$52:$AB$66,0),MATCH(constants!$A9,calibration!$P$51:$Z$51,0))</f>
        <v>#DIV/0!</v>
      </c>
      <c r="AE9" t="e">
        <f>INDEX(calibration!$AC$52:$AM$66,MATCH(constants!AE$4,calibration!$AB$52:$AB$66,0),MATCH(constants!$A9,calibration!$P$51:$Z$51,0))</f>
        <v>#DIV/0!</v>
      </c>
      <c r="AF9" t="e">
        <f>INDEX(calibration!$AC$52:$AM$66,MATCH(constants!AF$4,calibration!$AB$52:$AB$66,0),MATCH(constants!$A9,calibration!$P$51:$Z$51,0))</f>
        <v>#DIV/0!</v>
      </c>
      <c r="AG9" t="e">
        <f>INDEX(calibration!$AC$52:$AM$66,MATCH(constants!AG$4,calibration!$AB$52:$AB$66,0),MATCH(constants!$A9,calibration!$P$51:$Z$51,0))</f>
        <v>#DIV/0!</v>
      </c>
      <c r="AH9" t="e">
        <f>INDEX(calibration!$AC$52:$AM$66,MATCH(constants!AH$4,calibration!$AB$52:$AB$66,0),MATCH(constants!$A9,calibration!$P$51:$Z$51,0))</f>
        <v>#DIV/0!</v>
      </c>
    </row>
    <row r="10" spans="1:34" x14ac:dyDescent="0.25">
      <c r="A10" t="s">
        <v>1</v>
      </c>
      <c r="B10" t="s">
        <v>71</v>
      </c>
      <c r="R10" s="7"/>
      <c r="S10">
        <f>INDEX(calibration!$AC$52:$AM$66,MATCH(S$5,calibration!$AB$52:$AB$66,0),MATCH(constants!$A10,calibration!$P$51:$Z$51,0))</f>
        <v>0</v>
      </c>
      <c r="T10" t="e">
        <f>INDEX(calibration!$AC$52:$AM$66,MATCH(T$5,calibration!$AB$52:$AB$66,0),MATCH(constants!$A10,calibration!$P$51:$Z$51,0))</f>
        <v>#DIV/0!</v>
      </c>
      <c r="U10" t="e">
        <f>INDEX(calibration!$AC$52:$AM$66,MATCH(U$5,calibration!$AB$52:$AB$66,0),MATCH(constants!$A10,calibration!$P$51:$Z$51,0))</f>
        <v>#DIV/0!</v>
      </c>
      <c r="V10" t="e">
        <f>INDEX(calibration!$AC$52:$AM$66,MATCH(V$5,calibration!$AB$52:$AB$66,0),MATCH(constants!$A10,calibration!$P$51:$Z$51,0))</f>
        <v>#DIV/0!</v>
      </c>
      <c r="W10">
        <f>INDEX(calibration!$AC$52:$AM$66,MATCH(W$5,calibration!$AB$52:$AB$66,0),MATCH(constants!$A10,calibration!$P$51:$Z$51,0))</f>
        <v>0</v>
      </c>
      <c r="X10" t="e">
        <f>INDEX(calibration!$AC$52:$AM$66,MATCH(X$5,calibration!$AB$52:$AB$66,0),MATCH(constants!$A10,calibration!$P$51:$Z$51,0))</f>
        <v>#DIV/0!</v>
      </c>
      <c r="Y10" t="e">
        <f>INDEX(calibration!$AC$52:$AM$66,MATCH(Y$5,calibration!$AB$52:$AB$66,0),MATCH(constants!$A10,calibration!$P$51:$Z$51,0))</f>
        <v>#DIV/0!</v>
      </c>
      <c r="Z10" t="e">
        <f>INDEX(calibration!$AC$52:$AM$66,MATCH(Z$5,calibration!$AB$52:$AB$66,0),MATCH(constants!$A10,calibration!$P$51:$Z$51,0))</f>
        <v>#DIV/0!</v>
      </c>
      <c r="AA10">
        <f>INDEX(calibration!$AC$52:$AM$66,MATCH(AA$5,calibration!$AB$52:$AB$66,0),MATCH(constants!$A10,calibration!$P$51:$Z$51,0))</f>
        <v>0</v>
      </c>
      <c r="AB10" t="e">
        <f>INDEX(calibration!$AC$52:$AM$66,MATCH(AB$5,calibration!$AB$52:$AB$66,0),MATCH(constants!$A10,calibration!$P$51:$Z$51,0))</f>
        <v>#DIV/0!</v>
      </c>
      <c r="AC10" t="e">
        <f>INDEX(calibration!$AC$52:$AM$66,MATCH(AC$5,calibration!$AB$52:$AB$66,0),MATCH(constants!$A10,calibration!$P$51:$Z$51,0))</f>
        <v>#DIV/0!</v>
      </c>
      <c r="AD10" t="e">
        <f>INDEX(calibration!$AC$52:$AM$66,MATCH(AD$5,calibration!$AB$52:$AB$66,0),MATCH(constants!$A10,calibration!$P$51:$Z$51,0))</f>
        <v>#DIV/0!</v>
      </c>
      <c r="AE10">
        <f>INDEX(calibration!$AC$52:$AM$66,MATCH(AE$5,calibration!$AB$52:$AB$66,0),MATCH(constants!$A10,calibration!$P$51:$Z$51,0))</f>
        <v>0</v>
      </c>
      <c r="AF10" t="e">
        <f>INDEX(calibration!$AC$52:$AM$66,MATCH(AF$5,calibration!$AB$52:$AB$66,0),MATCH(constants!$A10,calibration!$P$51:$Z$51,0))</f>
        <v>#DIV/0!</v>
      </c>
      <c r="AG10" t="e">
        <f>INDEX(calibration!$AC$52:$AM$66,MATCH(AG$5,calibration!$AB$52:$AB$66,0),MATCH(constants!$A10,calibration!$P$51:$Z$51,0))</f>
        <v>#DIV/0!</v>
      </c>
      <c r="AH10" t="e">
        <f>INDEX(calibration!$AC$52:$AM$66,MATCH(AH$5,calibration!$AB$52:$AB$66,0),MATCH(constants!$A10,calibration!$P$51:$Z$51,0))</f>
        <v>#DIV/0!</v>
      </c>
    </row>
    <row r="11" spans="1:34" x14ac:dyDescent="0.25">
      <c r="A11" t="s">
        <v>1</v>
      </c>
      <c r="B11" t="s">
        <v>72</v>
      </c>
      <c r="R11" s="7"/>
      <c r="S11">
        <f>INDEX(calibration!$AC$52:$AM$66,MATCH(S$3,calibration!$AB$52:$AB$66,0),MATCH(constants!$A11,calibration!$P$51:$Z$51,0))</f>
        <v>0</v>
      </c>
      <c r="T11">
        <f>INDEX(calibration!$AC$52:$AM$66,MATCH(T$3,calibration!$AB$52:$AB$66,0),MATCH(constants!$A11,calibration!$P$51:$Z$51,0))</f>
        <v>0</v>
      </c>
      <c r="U11" t="e">
        <f>INDEX(calibration!$AC$52:$AM$66,MATCH(U$3,calibration!$AB$52:$AB$66,0),MATCH(constants!$A11,calibration!$P$51:$Z$51,0))</f>
        <v>#DIV/0!</v>
      </c>
      <c r="V11" t="e">
        <f>INDEX(calibration!$AC$52:$AM$66,MATCH(V$3,calibration!$AB$52:$AB$66,0),MATCH(constants!$A11,calibration!$P$51:$Z$51,0))</f>
        <v>#DIV/0!</v>
      </c>
      <c r="W11">
        <f>INDEX(calibration!$AC$52:$AM$66,MATCH(W$3,calibration!$AB$52:$AB$66,0),MATCH(constants!$A11,calibration!$P$51:$Z$51,0))</f>
        <v>0</v>
      </c>
      <c r="X11" t="e">
        <f>INDEX(calibration!$AC$52:$AM$66,MATCH(X$3,calibration!$AB$52:$AB$66,0),MATCH(constants!$A11,calibration!$P$51:$Z$51,0))</f>
        <v>#DIV/0!</v>
      </c>
      <c r="Y11" t="e">
        <f>INDEX(calibration!$AC$52:$AM$66,MATCH(Y$3,calibration!$AB$52:$AB$66,0),MATCH(constants!$A11,calibration!$P$51:$Z$51,0))</f>
        <v>#DIV/0!</v>
      </c>
      <c r="Z11" t="e">
        <f>INDEX(calibration!$AC$52:$AM$66,MATCH(Z$3,calibration!$AB$52:$AB$66,0),MATCH(constants!$A11,calibration!$P$51:$Z$51,0))</f>
        <v>#DIV/0!</v>
      </c>
      <c r="AA11" t="e">
        <f>INDEX(calibration!$AC$52:$AM$66,MATCH(AA$3,calibration!$AB$52:$AB$66,0),MATCH(constants!$A11,calibration!$P$51:$Z$51,0))</f>
        <v>#DIV/0!</v>
      </c>
      <c r="AB11" t="e">
        <f>INDEX(calibration!$AC$52:$AM$66,MATCH(AB$3,calibration!$AB$52:$AB$66,0),MATCH(constants!$A11,calibration!$P$51:$Z$51,0))</f>
        <v>#DIV/0!</v>
      </c>
      <c r="AC11" t="e">
        <f>INDEX(calibration!$AC$52:$AM$66,MATCH(AC$3,calibration!$AB$52:$AB$66,0),MATCH(constants!$A11,calibration!$P$51:$Z$51,0))</f>
        <v>#DIV/0!</v>
      </c>
      <c r="AD11" t="e">
        <f>INDEX(calibration!$AC$52:$AM$66,MATCH(AD$3,calibration!$AB$52:$AB$66,0),MATCH(constants!$A11,calibration!$P$51:$Z$51,0))</f>
        <v>#DIV/0!</v>
      </c>
      <c r="AE11" t="e">
        <f>INDEX(calibration!$AC$52:$AM$66,MATCH(AE$3,calibration!$AB$52:$AB$66,0),MATCH(constants!$A11,calibration!$P$51:$Z$51,0))</f>
        <v>#DIV/0!</v>
      </c>
      <c r="AF11" t="e">
        <f>INDEX(calibration!$AC$52:$AM$66,MATCH(AF$3,calibration!$AB$52:$AB$66,0),MATCH(constants!$A11,calibration!$P$51:$Z$51,0))</f>
        <v>#DIV/0!</v>
      </c>
      <c r="AG11" t="e">
        <f>INDEX(calibration!$AC$52:$AM$66,MATCH(AG$3,calibration!$AB$52:$AB$66,0),MATCH(constants!$A11,calibration!$P$51:$Z$51,0))</f>
        <v>#DIV/0!</v>
      </c>
      <c r="AH11" t="e">
        <f>INDEX(calibration!$AC$52:$AM$66,MATCH(AH$3,calibration!$AB$52:$AB$66,0),MATCH(constants!$A11,calibration!$P$51:$Z$51,0))</f>
        <v>#DIV/0!</v>
      </c>
    </row>
    <row r="12" spans="1:34" x14ac:dyDescent="0.25">
      <c r="A12" t="s">
        <v>2</v>
      </c>
      <c r="B12" t="s">
        <v>76</v>
      </c>
      <c r="R12" s="7"/>
      <c r="S12">
        <f>INDEX(calibration!$AC$52:$AM$66,MATCH(constants!S$4,calibration!$AB$52:$AB$66,0),MATCH(constants!$A12,calibration!$P$51:$Z$51,0))</f>
        <v>0</v>
      </c>
      <c r="T12">
        <f>INDEX(calibration!$AC$52:$AM$66,MATCH(constants!T$4,calibration!$AB$52:$AB$66,0),MATCH(constants!$A12,calibration!$P$51:$Z$51,0))</f>
        <v>0</v>
      </c>
      <c r="U12">
        <f>INDEX(calibration!$AC$52:$AM$66,MATCH(constants!U$4,calibration!$AB$52:$AB$66,0),MATCH(constants!$A12,calibration!$P$51:$Z$51,0))</f>
        <v>0</v>
      </c>
      <c r="V12">
        <f>INDEX(calibration!$AC$52:$AM$66,MATCH(constants!V$4,calibration!$AB$52:$AB$66,0),MATCH(constants!$A12,calibration!$P$51:$Z$51,0))</f>
        <v>0</v>
      </c>
      <c r="W12" t="e">
        <f>INDEX(calibration!$AC$52:$AM$66,MATCH(constants!W$4,calibration!$AB$52:$AB$66,0),MATCH(constants!$A12,calibration!$P$51:$Z$51,0))</f>
        <v>#DIV/0!</v>
      </c>
      <c r="X12" t="e">
        <f>INDEX(calibration!$AC$52:$AM$66,MATCH(constants!X$4,calibration!$AB$52:$AB$66,0),MATCH(constants!$A12,calibration!$P$51:$Z$51,0))</f>
        <v>#DIV/0!</v>
      </c>
      <c r="Y12" t="e">
        <f>INDEX(calibration!$AC$52:$AM$66,MATCH(constants!Y$4,calibration!$AB$52:$AB$66,0),MATCH(constants!$A12,calibration!$P$51:$Z$51,0))</f>
        <v>#DIV/0!</v>
      </c>
      <c r="Z12" t="e">
        <f>INDEX(calibration!$AC$52:$AM$66,MATCH(constants!Z$4,calibration!$AB$52:$AB$66,0),MATCH(constants!$A12,calibration!$P$51:$Z$51,0))</f>
        <v>#DIV/0!</v>
      </c>
      <c r="AA12" t="e">
        <f>INDEX(calibration!$AC$52:$AM$66,MATCH(constants!AA$4,calibration!$AB$52:$AB$66,0),MATCH(constants!$A12,calibration!$P$51:$Z$51,0))</f>
        <v>#DIV/0!</v>
      </c>
      <c r="AB12" t="e">
        <f>INDEX(calibration!$AC$52:$AM$66,MATCH(constants!AB$4,calibration!$AB$52:$AB$66,0),MATCH(constants!$A12,calibration!$P$51:$Z$51,0))</f>
        <v>#DIV/0!</v>
      </c>
      <c r="AC12" t="e">
        <f>INDEX(calibration!$AC$52:$AM$66,MATCH(constants!AC$4,calibration!$AB$52:$AB$66,0),MATCH(constants!$A12,calibration!$P$51:$Z$51,0))</f>
        <v>#DIV/0!</v>
      </c>
      <c r="AD12" t="e">
        <f>INDEX(calibration!$AC$52:$AM$66,MATCH(constants!AD$4,calibration!$AB$52:$AB$66,0),MATCH(constants!$A12,calibration!$P$51:$Z$51,0))</f>
        <v>#DIV/0!</v>
      </c>
      <c r="AE12" t="e">
        <f>INDEX(calibration!$AC$52:$AM$66,MATCH(constants!AE$4,calibration!$AB$52:$AB$66,0),MATCH(constants!$A12,calibration!$P$51:$Z$51,0))</f>
        <v>#DIV/0!</v>
      </c>
      <c r="AF12" t="e">
        <f>INDEX(calibration!$AC$52:$AM$66,MATCH(constants!AF$4,calibration!$AB$52:$AB$66,0),MATCH(constants!$A12,calibration!$P$51:$Z$51,0))</f>
        <v>#DIV/0!</v>
      </c>
      <c r="AG12" t="e">
        <f>INDEX(calibration!$AC$52:$AM$66,MATCH(constants!AG$4,calibration!$AB$52:$AB$66,0),MATCH(constants!$A12,calibration!$P$51:$Z$51,0))</f>
        <v>#DIV/0!</v>
      </c>
      <c r="AH12" t="e">
        <f>INDEX(calibration!$AC$52:$AM$66,MATCH(constants!AH$4,calibration!$AB$52:$AB$66,0),MATCH(constants!$A12,calibration!$P$51:$Z$51,0))</f>
        <v>#DIV/0!</v>
      </c>
    </row>
    <row r="13" spans="1:34" x14ac:dyDescent="0.25">
      <c r="A13" t="s">
        <v>2</v>
      </c>
      <c r="B13" t="s">
        <v>71</v>
      </c>
      <c r="R13" s="7"/>
      <c r="S13">
        <f>INDEX(calibration!$AC$52:$AM$66,MATCH(S$5,calibration!$AB$52:$AB$66,0),MATCH(constants!$A13,calibration!$P$51:$Z$51,0))</f>
        <v>0</v>
      </c>
      <c r="T13" t="e">
        <f>INDEX(calibration!$AC$52:$AM$66,MATCH(T$5,calibration!$AB$52:$AB$66,0),MATCH(constants!$A13,calibration!$P$51:$Z$51,0))</f>
        <v>#DIV/0!</v>
      </c>
      <c r="U13" t="e">
        <f>INDEX(calibration!$AC$52:$AM$66,MATCH(U$5,calibration!$AB$52:$AB$66,0),MATCH(constants!$A13,calibration!$P$51:$Z$51,0))</f>
        <v>#DIV/0!</v>
      </c>
      <c r="V13" t="e">
        <f>INDEX(calibration!$AC$52:$AM$66,MATCH(V$5,calibration!$AB$52:$AB$66,0),MATCH(constants!$A13,calibration!$P$51:$Z$51,0))</f>
        <v>#DIV/0!</v>
      </c>
      <c r="W13">
        <f>INDEX(calibration!$AC$52:$AM$66,MATCH(W$5,calibration!$AB$52:$AB$66,0),MATCH(constants!$A13,calibration!$P$51:$Z$51,0))</f>
        <v>0</v>
      </c>
      <c r="X13" t="e">
        <f>INDEX(calibration!$AC$52:$AM$66,MATCH(X$5,calibration!$AB$52:$AB$66,0),MATCH(constants!$A13,calibration!$P$51:$Z$51,0))</f>
        <v>#DIV/0!</v>
      </c>
      <c r="Y13" t="e">
        <f>INDEX(calibration!$AC$52:$AM$66,MATCH(Y$5,calibration!$AB$52:$AB$66,0),MATCH(constants!$A13,calibration!$P$51:$Z$51,0))</f>
        <v>#DIV/0!</v>
      </c>
      <c r="Z13" t="e">
        <f>INDEX(calibration!$AC$52:$AM$66,MATCH(Z$5,calibration!$AB$52:$AB$66,0),MATCH(constants!$A13,calibration!$P$51:$Z$51,0))</f>
        <v>#DIV/0!</v>
      </c>
      <c r="AA13">
        <f>INDEX(calibration!$AC$52:$AM$66,MATCH(AA$5,calibration!$AB$52:$AB$66,0),MATCH(constants!$A13,calibration!$P$51:$Z$51,0))</f>
        <v>0</v>
      </c>
      <c r="AB13" t="e">
        <f>INDEX(calibration!$AC$52:$AM$66,MATCH(AB$5,calibration!$AB$52:$AB$66,0),MATCH(constants!$A13,calibration!$P$51:$Z$51,0))</f>
        <v>#DIV/0!</v>
      </c>
      <c r="AC13" t="e">
        <f>INDEX(calibration!$AC$52:$AM$66,MATCH(AC$5,calibration!$AB$52:$AB$66,0),MATCH(constants!$A13,calibration!$P$51:$Z$51,0))</f>
        <v>#DIV/0!</v>
      </c>
      <c r="AD13" t="e">
        <f>INDEX(calibration!$AC$52:$AM$66,MATCH(AD$5,calibration!$AB$52:$AB$66,0),MATCH(constants!$A13,calibration!$P$51:$Z$51,0))</f>
        <v>#DIV/0!</v>
      </c>
      <c r="AE13">
        <f>INDEX(calibration!$AC$52:$AM$66,MATCH(AE$5,calibration!$AB$52:$AB$66,0),MATCH(constants!$A13,calibration!$P$51:$Z$51,0))</f>
        <v>0</v>
      </c>
      <c r="AF13" t="e">
        <f>INDEX(calibration!$AC$52:$AM$66,MATCH(AF$5,calibration!$AB$52:$AB$66,0),MATCH(constants!$A13,calibration!$P$51:$Z$51,0))</f>
        <v>#DIV/0!</v>
      </c>
      <c r="AG13" t="e">
        <f>INDEX(calibration!$AC$52:$AM$66,MATCH(AG$5,calibration!$AB$52:$AB$66,0),MATCH(constants!$A13,calibration!$P$51:$Z$51,0))</f>
        <v>#DIV/0!</v>
      </c>
      <c r="AH13" t="e">
        <f>INDEX(calibration!$AC$52:$AM$66,MATCH(AH$5,calibration!$AB$52:$AB$66,0),MATCH(constants!$A13,calibration!$P$51:$Z$51,0))</f>
        <v>#DIV/0!</v>
      </c>
    </row>
    <row r="14" spans="1:34" x14ac:dyDescent="0.25">
      <c r="A14" t="s">
        <v>2</v>
      </c>
      <c r="B14" t="s">
        <v>72</v>
      </c>
      <c r="R14" s="7"/>
      <c r="S14">
        <f>INDEX(calibration!$AC$52:$AM$66,MATCH(S$3,calibration!$AB$52:$AB$66,0),MATCH(constants!$A14,calibration!$P$51:$Z$51,0))</f>
        <v>0</v>
      </c>
      <c r="T14">
        <f>INDEX(calibration!$AC$52:$AM$66,MATCH(T$3,calibration!$AB$52:$AB$66,0),MATCH(constants!$A14,calibration!$P$51:$Z$51,0))</f>
        <v>0</v>
      </c>
      <c r="U14" t="e">
        <f>INDEX(calibration!$AC$52:$AM$66,MATCH(U$3,calibration!$AB$52:$AB$66,0),MATCH(constants!$A14,calibration!$P$51:$Z$51,0))</f>
        <v>#DIV/0!</v>
      </c>
      <c r="V14" t="e">
        <f>INDEX(calibration!$AC$52:$AM$66,MATCH(V$3,calibration!$AB$52:$AB$66,0),MATCH(constants!$A14,calibration!$P$51:$Z$51,0))</f>
        <v>#DIV/0!</v>
      </c>
      <c r="W14">
        <f>INDEX(calibration!$AC$52:$AM$66,MATCH(W$3,calibration!$AB$52:$AB$66,0),MATCH(constants!$A14,calibration!$P$51:$Z$51,0))</f>
        <v>0</v>
      </c>
      <c r="X14" t="e">
        <f>INDEX(calibration!$AC$52:$AM$66,MATCH(X$3,calibration!$AB$52:$AB$66,0),MATCH(constants!$A14,calibration!$P$51:$Z$51,0))</f>
        <v>#DIV/0!</v>
      </c>
      <c r="Y14" t="e">
        <f>INDEX(calibration!$AC$52:$AM$66,MATCH(Y$3,calibration!$AB$52:$AB$66,0),MATCH(constants!$A14,calibration!$P$51:$Z$51,0))</f>
        <v>#DIV/0!</v>
      </c>
      <c r="Z14" t="e">
        <f>INDEX(calibration!$AC$52:$AM$66,MATCH(Z$3,calibration!$AB$52:$AB$66,0),MATCH(constants!$A14,calibration!$P$51:$Z$51,0))</f>
        <v>#DIV/0!</v>
      </c>
      <c r="AA14" t="e">
        <f>INDEX(calibration!$AC$52:$AM$66,MATCH(AA$3,calibration!$AB$52:$AB$66,0),MATCH(constants!$A14,calibration!$P$51:$Z$51,0))</f>
        <v>#DIV/0!</v>
      </c>
      <c r="AB14" t="e">
        <f>INDEX(calibration!$AC$52:$AM$66,MATCH(AB$3,calibration!$AB$52:$AB$66,0),MATCH(constants!$A14,calibration!$P$51:$Z$51,0))</f>
        <v>#DIV/0!</v>
      </c>
      <c r="AC14" t="e">
        <f>INDEX(calibration!$AC$52:$AM$66,MATCH(AC$3,calibration!$AB$52:$AB$66,0),MATCH(constants!$A14,calibration!$P$51:$Z$51,0))</f>
        <v>#DIV/0!</v>
      </c>
      <c r="AD14" t="e">
        <f>INDEX(calibration!$AC$52:$AM$66,MATCH(AD$3,calibration!$AB$52:$AB$66,0),MATCH(constants!$A14,calibration!$P$51:$Z$51,0))</f>
        <v>#DIV/0!</v>
      </c>
      <c r="AE14" t="e">
        <f>INDEX(calibration!$AC$52:$AM$66,MATCH(AE$3,calibration!$AB$52:$AB$66,0),MATCH(constants!$A14,calibration!$P$51:$Z$51,0))</f>
        <v>#DIV/0!</v>
      </c>
      <c r="AF14" t="e">
        <f>INDEX(calibration!$AC$52:$AM$66,MATCH(AF$3,calibration!$AB$52:$AB$66,0),MATCH(constants!$A14,calibration!$P$51:$Z$51,0))</f>
        <v>#DIV/0!</v>
      </c>
      <c r="AG14" t="e">
        <f>INDEX(calibration!$AC$52:$AM$66,MATCH(AG$3,calibration!$AB$52:$AB$66,0),MATCH(constants!$A14,calibration!$P$51:$Z$51,0))</f>
        <v>#DIV/0!</v>
      </c>
      <c r="AH14" t="e">
        <f>INDEX(calibration!$AC$52:$AM$66,MATCH(AH$3,calibration!$AB$52:$AB$66,0),MATCH(constants!$A14,calibration!$P$51:$Z$51,0))</f>
        <v>#DIV/0!</v>
      </c>
    </row>
    <row r="15" spans="1:34" x14ac:dyDescent="0.25">
      <c r="A15" t="s">
        <v>3</v>
      </c>
      <c r="B15" t="s">
        <v>76</v>
      </c>
      <c r="R15" s="7"/>
      <c r="S15">
        <f>INDEX(calibration!$AC$52:$AM$66,MATCH(constants!S$4,calibration!$AB$52:$AB$66,0),MATCH(constants!$A15,calibration!$P$51:$Z$51,0))</f>
        <v>0</v>
      </c>
      <c r="T15">
        <f>INDEX(calibration!$AC$52:$AM$66,MATCH(constants!T$4,calibration!$AB$52:$AB$66,0),MATCH(constants!$A15,calibration!$P$51:$Z$51,0))</f>
        <v>0</v>
      </c>
      <c r="U15">
        <f>INDEX(calibration!$AC$52:$AM$66,MATCH(constants!U$4,calibration!$AB$52:$AB$66,0),MATCH(constants!$A15,calibration!$P$51:$Z$51,0))</f>
        <v>0</v>
      </c>
      <c r="V15">
        <f>INDEX(calibration!$AC$52:$AM$66,MATCH(constants!V$4,calibration!$AB$52:$AB$66,0),MATCH(constants!$A15,calibration!$P$51:$Z$51,0))</f>
        <v>0</v>
      </c>
      <c r="W15" t="e">
        <f>INDEX(calibration!$AC$52:$AM$66,MATCH(constants!W$4,calibration!$AB$52:$AB$66,0),MATCH(constants!$A15,calibration!$P$51:$Z$51,0))</f>
        <v>#DIV/0!</v>
      </c>
      <c r="X15" t="e">
        <f>INDEX(calibration!$AC$52:$AM$66,MATCH(constants!X$4,calibration!$AB$52:$AB$66,0),MATCH(constants!$A15,calibration!$P$51:$Z$51,0))</f>
        <v>#DIV/0!</v>
      </c>
      <c r="Y15" t="e">
        <f>INDEX(calibration!$AC$52:$AM$66,MATCH(constants!Y$4,calibration!$AB$52:$AB$66,0),MATCH(constants!$A15,calibration!$P$51:$Z$51,0))</f>
        <v>#DIV/0!</v>
      </c>
      <c r="Z15" t="e">
        <f>INDEX(calibration!$AC$52:$AM$66,MATCH(constants!Z$4,calibration!$AB$52:$AB$66,0),MATCH(constants!$A15,calibration!$P$51:$Z$51,0))</f>
        <v>#DIV/0!</v>
      </c>
      <c r="AA15" t="e">
        <f>INDEX(calibration!$AC$52:$AM$66,MATCH(constants!AA$4,calibration!$AB$52:$AB$66,0),MATCH(constants!$A15,calibration!$P$51:$Z$51,0))</f>
        <v>#DIV/0!</v>
      </c>
      <c r="AB15" t="e">
        <f>INDEX(calibration!$AC$52:$AM$66,MATCH(constants!AB$4,calibration!$AB$52:$AB$66,0),MATCH(constants!$A15,calibration!$P$51:$Z$51,0))</f>
        <v>#DIV/0!</v>
      </c>
      <c r="AC15" t="e">
        <f>INDEX(calibration!$AC$52:$AM$66,MATCH(constants!AC$4,calibration!$AB$52:$AB$66,0),MATCH(constants!$A15,calibration!$P$51:$Z$51,0))</f>
        <v>#DIV/0!</v>
      </c>
      <c r="AD15" t="e">
        <f>INDEX(calibration!$AC$52:$AM$66,MATCH(constants!AD$4,calibration!$AB$52:$AB$66,0),MATCH(constants!$A15,calibration!$P$51:$Z$51,0))</f>
        <v>#DIV/0!</v>
      </c>
      <c r="AE15" t="e">
        <f>INDEX(calibration!$AC$52:$AM$66,MATCH(constants!AE$4,calibration!$AB$52:$AB$66,0),MATCH(constants!$A15,calibration!$P$51:$Z$51,0))</f>
        <v>#DIV/0!</v>
      </c>
      <c r="AF15" t="e">
        <f>INDEX(calibration!$AC$52:$AM$66,MATCH(constants!AF$4,calibration!$AB$52:$AB$66,0),MATCH(constants!$A15,calibration!$P$51:$Z$51,0))</f>
        <v>#DIV/0!</v>
      </c>
      <c r="AG15" t="e">
        <f>INDEX(calibration!$AC$52:$AM$66,MATCH(constants!AG$4,calibration!$AB$52:$AB$66,0),MATCH(constants!$A15,calibration!$P$51:$Z$51,0))</f>
        <v>#DIV/0!</v>
      </c>
      <c r="AH15" t="e">
        <f>INDEX(calibration!$AC$52:$AM$66,MATCH(constants!AH$4,calibration!$AB$52:$AB$66,0),MATCH(constants!$A15,calibration!$P$51:$Z$51,0))</f>
        <v>#DIV/0!</v>
      </c>
    </row>
    <row r="16" spans="1:34" x14ac:dyDescent="0.25">
      <c r="A16" t="s">
        <v>3</v>
      </c>
      <c r="B16" t="s">
        <v>71</v>
      </c>
      <c r="R16" s="7"/>
      <c r="S16">
        <f>INDEX(calibration!$AC$52:$AM$66,MATCH(S$5,calibration!$AB$52:$AB$66,0),MATCH(constants!$A16,calibration!$P$51:$Z$51,0))</f>
        <v>0</v>
      </c>
      <c r="T16" t="e">
        <f>INDEX(calibration!$AC$52:$AM$66,MATCH(T$5,calibration!$AB$52:$AB$66,0),MATCH(constants!$A16,calibration!$P$51:$Z$51,0))</f>
        <v>#DIV/0!</v>
      </c>
      <c r="U16" t="e">
        <f>INDEX(calibration!$AC$52:$AM$66,MATCH(U$5,calibration!$AB$52:$AB$66,0),MATCH(constants!$A16,calibration!$P$51:$Z$51,0))</f>
        <v>#DIV/0!</v>
      </c>
      <c r="V16" t="e">
        <f>INDEX(calibration!$AC$52:$AM$66,MATCH(V$5,calibration!$AB$52:$AB$66,0),MATCH(constants!$A16,calibration!$P$51:$Z$51,0))</f>
        <v>#DIV/0!</v>
      </c>
      <c r="W16">
        <f>INDEX(calibration!$AC$52:$AM$66,MATCH(W$5,calibration!$AB$52:$AB$66,0),MATCH(constants!$A16,calibration!$P$51:$Z$51,0))</f>
        <v>0</v>
      </c>
      <c r="X16" t="e">
        <f>INDEX(calibration!$AC$52:$AM$66,MATCH(X$5,calibration!$AB$52:$AB$66,0),MATCH(constants!$A16,calibration!$P$51:$Z$51,0))</f>
        <v>#DIV/0!</v>
      </c>
      <c r="Y16" t="e">
        <f>INDEX(calibration!$AC$52:$AM$66,MATCH(Y$5,calibration!$AB$52:$AB$66,0),MATCH(constants!$A16,calibration!$P$51:$Z$51,0))</f>
        <v>#DIV/0!</v>
      </c>
      <c r="Z16" t="e">
        <f>INDEX(calibration!$AC$52:$AM$66,MATCH(Z$5,calibration!$AB$52:$AB$66,0),MATCH(constants!$A16,calibration!$P$51:$Z$51,0))</f>
        <v>#DIV/0!</v>
      </c>
      <c r="AA16">
        <f>INDEX(calibration!$AC$52:$AM$66,MATCH(AA$5,calibration!$AB$52:$AB$66,0),MATCH(constants!$A16,calibration!$P$51:$Z$51,0))</f>
        <v>0</v>
      </c>
      <c r="AB16" t="e">
        <f>INDEX(calibration!$AC$52:$AM$66,MATCH(AB$5,calibration!$AB$52:$AB$66,0),MATCH(constants!$A16,calibration!$P$51:$Z$51,0))</f>
        <v>#DIV/0!</v>
      </c>
      <c r="AC16" t="e">
        <f>INDEX(calibration!$AC$52:$AM$66,MATCH(AC$5,calibration!$AB$52:$AB$66,0),MATCH(constants!$A16,calibration!$P$51:$Z$51,0))</f>
        <v>#DIV/0!</v>
      </c>
      <c r="AD16" t="e">
        <f>INDEX(calibration!$AC$52:$AM$66,MATCH(AD$5,calibration!$AB$52:$AB$66,0),MATCH(constants!$A16,calibration!$P$51:$Z$51,0))</f>
        <v>#DIV/0!</v>
      </c>
      <c r="AE16">
        <f>INDEX(calibration!$AC$52:$AM$66,MATCH(AE$5,calibration!$AB$52:$AB$66,0),MATCH(constants!$A16,calibration!$P$51:$Z$51,0))</f>
        <v>0</v>
      </c>
      <c r="AF16" t="e">
        <f>INDEX(calibration!$AC$52:$AM$66,MATCH(AF$5,calibration!$AB$52:$AB$66,0),MATCH(constants!$A16,calibration!$P$51:$Z$51,0))</f>
        <v>#DIV/0!</v>
      </c>
      <c r="AG16" t="e">
        <f>INDEX(calibration!$AC$52:$AM$66,MATCH(AG$5,calibration!$AB$52:$AB$66,0),MATCH(constants!$A16,calibration!$P$51:$Z$51,0))</f>
        <v>#DIV/0!</v>
      </c>
      <c r="AH16" t="e">
        <f>INDEX(calibration!$AC$52:$AM$66,MATCH(AH$5,calibration!$AB$52:$AB$66,0),MATCH(constants!$A16,calibration!$P$51:$Z$51,0))</f>
        <v>#DIV/0!</v>
      </c>
    </row>
    <row r="17" spans="1:34" x14ac:dyDescent="0.25">
      <c r="A17" t="s">
        <v>3</v>
      </c>
      <c r="B17" t="s">
        <v>72</v>
      </c>
      <c r="R17" s="7"/>
      <c r="S17">
        <f>INDEX(calibration!$AC$52:$AM$66,MATCH(S$3,calibration!$AB$52:$AB$66,0),MATCH(constants!$A17,calibration!$P$51:$Z$51,0))</f>
        <v>0</v>
      </c>
      <c r="T17">
        <f>INDEX(calibration!$AC$52:$AM$66,MATCH(T$3,calibration!$AB$52:$AB$66,0),MATCH(constants!$A17,calibration!$P$51:$Z$51,0))</f>
        <v>0</v>
      </c>
      <c r="U17" t="e">
        <f>INDEX(calibration!$AC$52:$AM$66,MATCH(U$3,calibration!$AB$52:$AB$66,0),MATCH(constants!$A17,calibration!$P$51:$Z$51,0))</f>
        <v>#DIV/0!</v>
      </c>
      <c r="V17" t="e">
        <f>INDEX(calibration!$AC$52:$AM$66,MATCH(V$3,calibration!$AB$52:$AB$66,0),MATCH(constants!$A17,calibration!$P$51:$Z$51,0))</f>
        <v>#DIV/0!</v>
      </c>
      <c r="W17">
        <f>INDEX(calibration!$AC$52:$AM$66,MATCH(W$3,calibration!$AB$52:$AB$66,0),MATCH(constants!$A17,calibration!$P$51:$Z$51,0))</f>
        <v>0</v>
      </c>
      <c r="X17" t="e">
        <f>INDEX(calibration!$AC$52:$AM$66,MATCH(X$3,calibration!$AB$52:$AB$66,0),MATCH(constants!$A17,calibration!$P$51:$Z$51,0))</f>
        <v>#DIV/0!</v>
      </c>
      <c r="Y17" t="e">
        <f>INDEX(calibration!$AC$52:$AM$66,MATCH(Y$3,calibration!$AB$52:$AB$66,0),MATCH(constants!$A17,calibration!$P$51:$Z$51,0))</f>
        <v>#DIV/0!</v>
      </c>
      <c r="Z17" t="e">
        <f>INDEX(calibration!$AC$52:$AM$66,MATCH(Z$3,calibration!$AB$52:$AB$66,0),MATCH(constants!$A17,calibration!$P$51:$Z$51,0))</f>
        <v>#DIV/0!</v>
      </c>
      <c r="AA17" t="e">
        <f>INDEX(calibration!$AC$52:$AM$66,MATCH(AA$3,calibration!$AB$52:$AB$66,0),MATCH(constants!$A17,calibration!$P$51:$Z$51,0))</f>
        <v>#DIV/0!</v>
      </c>
      <c r="AB17" t="e">
        <f>INDEX(calibration!$AC$52:$AM$66,MATCH(AB$3,calibration!$AB$52:$AB$66,0),MATCH(constants!$A17,calibration!$P$51:$Z$51,0))</f>
        <v>#DIV/0!</v>
      </c>
      <c r="AC17" t="e">
        <f>INDEX(calibration!$AC$52:$AM$66,MATCH(AC$3,calibration!$AB$52:$AB$66,0),MATCH(constants!$A17,calibration!$P$51:$Z$51,0))</f>
        <v>#DIV/0!</v>
      </c>
      <c r="AD17" t="e">
        <f>INDEX(calibration!$AC$52:$AM$66,MATCH(AD$3,calibration!$AB$52:$AB$66,0),MATCH(constants!$A17,calibration!$P$51:$Z$51,0))</f>
        <v>#DIV/0!</v>
      </c>
      <c r="AE17" t="e">
        <f>INDEX(calibration!$AC$52:$AM$66,MATCH(AE$3,calibration!$AB$52:$AB$66,0),MATCH(constants!$A17,calibration!$P$51:$Z$51,0))</f>
        <v>#DIV/0!</v>
      </c>
      <c r="AF17" t="e">
        <f>INDEX(calibration!$AC$52:$AM$66,MATCH(AF$3,calibration!$AB$52:$AB$66,0),MATCH(constants!$A17,calibration!$P$51:$Z$51,0))</f>
        <v>#DIV/0!</v>
      </c>
      <c r="AG17" t="e">
        <f>INDEX(calibration!$AC$52:$AM$66,MATCH(AG$3,calibration!$AB$52:$AB$66,0),MATCH(constants!$A17,calibration!$P$51:$Z$51,0))</f>
        <v>#DIV/0!</v>
      </c>
      <c r="AH17" t="e">
        <f>INDEX(calibration!$AC$52:$AM$66,MATCH(AH$3,calibration!$AB$52:$AB$66,0),MATCH(constants!$A17,calibration!$P$51:$Z$51,0))</f>
        <v>#DIV/0!</v>
      </c>
    </row>
    <row r="18" spans="1:34" x14ac:dyDescent="0.25">
      <c r="A18" t="s">
        <v>4</v>
      </c>
      <c r="B18" t="s">
        <v>76</v>
      </c>
      <c r="R18" s="7"/>
      <c r="S18">
        <f>INDEX(calibration!$AC$52:$AM$66,MATCH(constants!S$4,calibration!$AB$52:$AB$66,0),MATCH(constants!$A18,calibration!$P$51:$Z$51,0))</f>
        <v>0</v>
      </c>
      <c r="T18">
        <f>INDEX(calibration!$AC$52:$AM$66,MATCH(constants!T$4,calibration!$AB$52:$AB$66,0),MATCH(constants!$A18,calibration!$P$51:$Z$51,0))</f>
        <v>0</v>
      </c>
      <c r="U18">
        <f>INDEX(calibration!$AC$52:$AM$66,MATCH(constants!U$4,calibration!$AB$52:$AB$66,0),MATCH(constants!$A18,calibration!$P$51:$Z$51,0))</f>
        <v>0</v>
      </c>
      <c r="V18">
        <f>INDEX(calibration!$AC$52:$AM$66,MATCH(constants!V$4,calibration!$AB$52:$AB$66,0),MATCH(constants!$A18,calibration!$P$51:$Z$51,0))</f>
        <v>0</v>
      </c>
      <c r="W18" t="e">
        <f>INDEX(calibration!$AC$52:$AM$66,MATCH(constants!W$4,calibration!$AB$52:$AB$66,0),MATCH(constants!$A18,calibration!$P$51:$Z$51,0))</f>
        <v>#DIV/0!</v>
      </c>
      <c r="X18" t="e">
        <f>INDEX(calibration!$AC$52:$AM$66,MATCH(constants!X$4,calibration!$AB$52:$AB$66,0),MATCH(constants!$A18,calibration!$P$51:$Z$51,0))</f>
        <v>#DIV/0!</v>
      </c>
      <c r="Y18" t="e">
        <f>INDEX(calibration!$AC$52:$AM$66,MATCH(constants!Y$4,calibration!$AB$52:$AB$66,0),MATCH(constants!$A18,calibration!$P$51:$Z$51,0))</f>
        <v>#DIV/0!</v>
      </c>
      <c r="Z18" t="e">
        <f>INDEX(calibration!$AC$52:$AM$66,MATCH(constants!Z$4,calibration!$AB$52:$AB$66,0),MATCH(constants!$A18,calibration!$P$51:$Z$51,0))</f>
        <v>#DIV/0!</v>
      </c>
      <c r="AA18" t="e">
        <f>INDEX(calibration!$AC$52:$AM$66,MATCH(constants!AA$4,calibration!$AB$52:$AB$66,0),MATCH(constants!$A18,calibration!$P$51:$Z$51,0))</f>
        <v>#DIV/0!</v>
      </c>
      <c r="AB18" t="e">
        <f>INDEX(calibration!$AC$52:$AM$66,MATCH(constants!AB$4,calibration!$AB$52:$AB$66,0),MATCH(constants!$A18,calibration!$P$51:$Z$51,0))</f>
        <v>#DIV/0!</v>
      </c>
      <c r="AC18" t="e">
        <f>INDEX(calibration!$AC$52:$AM$66,MATCH(constants!AC$4,calibration!$AB$52:$AB$66,0),MATCH(constants!$A18,calibration!$P$51:$Z$51,0))</f>
        <v>#DIV/0!</v>
      </c>
      <c r="AD18" t="e">
        <f>INDEX(calibration!$AC$52:$AM$66,MATCH(constants!AD$4,calibration!$AB$52:$AB$66,0),MATCH(constants!$A18,calibration!$P$51:$Z$51,0))</f>
        <v>#DIV/0!</v>
      </c>
      <c r="AE18" t="e">
        <f>INDEX(calibration!$AC$52:$AM$66,MATCH(constants!AE$4,calibration!$AB$52:$AB$66,0),MATCH(constants!$A18,calibration!$P$51:$Z$51,0))</f>
        <v>#DIV/0!</v>
      </c>
      <c r="AF18" t="e">
        <f>INDEX(calibration!$AC$52:$AM$66,MATCH(constants!AF$4,calibration!$AB$52:$AB$66,0),MATCH(constants!$A18,calibration!$P$51:$Z$51,0))</f>
        <v>#DIV/0!</v>
      </c>
      <c r="AG18" t="e">
        <f>INDEX(calibration!$AC$52:$AM$66,MATCH(constants!AG$4,calibration!$AB$52:$AB$66,0),MATCH(constants!$A18,calibration!$P$51:$Z$51,0))</f>
        <v>#DIV/0!</v>
      </c>
      <c r="AH18" t="e">
        <f>INDEX(calibration!$AC$52:$AM$66,MATCH(constants!AH$4,calibration!$AB$52:$AB$66,0),MATCH(constants!$A18,calibration!$P$51:$Z$51,0))</f>
        <v>#DIV/0!</v>
      </c>
    </row>
    <row r="19" spans="1:34" x14ac:dyDescent="0.25">
      <c r="A19" t="s">
        <v>4</v>
      </c>
      <c r="B19" t="s">
        <v>71</v>
      </c>
      <c r="R19" s="7"/>
      <c r="S19">
        <f>INDEX(calibration!$AC$52:$AM$66,MATCH(S$5,calibration!$AB$52:$AB$66,0),MATCH(constants!$A19,calibration!$P$51:$Z$51,0))</f>
        <v>0</v>
      </c>
      <c r="T19" t="e">
        <f>INDEX(calibration!$AC$52:$AM$66,MATCH(T$5,calibration!$AB$52:$AB$66,0),MATCH(constants!$A19,calibration!$P$51:$Z$51,0))</f>
        <v>#DIV/0!</v>
      </c>
      <c r="U19" t="e">
        <f>INDEX(calibration!$AC$52:$AM$66,MATCH(U$5,calibration!$AB$52:$AB$66,0),MATCH(constants!$A19,calibration!$P$51:$Z$51,0))</f>
        <v>#DIV/0!</v>
      </c>
      <c r="V19" t="e">
        <f>INDEX(calibration!$AC$52:$AM$66,MATCH(V$5,calibration!$AB$52:$AB$66,0),MATCH(constants!$A19,calibration!$P$51:$Z$51,0))</f>
        <v>#DIV/0!</v>
      </c>
      <c r="W19">
        <f>INDEX(calibration!$AC$52:$AM$66,MATCH(W$5,calibration!$AB$52:$AB$66,0),MATCH(constants!$A19,calibration!$P$51:$Z$51,0))</f>
        <v>0</v>
      </c>
      <c r="X19" t="e">
        <f>INDEX(calibration!$AC$52:$AM$66,MATCH(X$5,calibration!$AB$52:$AB$66,0),MATCH(constants!$A19,calibration!$P$51:$Z$51,0))</f>
        <v>#DIV/0!</v>
      </c>
      <c r="Y19" t="e">
        <f>INDEX(calibration!$AC$52:$AM$66,MATCH(Y$5,calibration!$AB$52:$AB$66,0),MATCH(constants!$A19,calibration!$P$51:$Z$51,0))</f>
        <v>#DIV/0!</v>
      </c>
      <c r="Z19" t="e">
        <f>INDEX(calibration!$AC$52:$AM$66,MATCH(Z$5,calibration!$AB$52:$AB$66,0),MATCH(constants!$A19,calibration!$P$51:$Z$51,0))</f>
        <v>#DIV/0!</v>
      </c>
      <c r="AA19">
        <f>INDEX(calibration!$AC$52:$AM$66,MATCH(AA$5,calibration!$AB$52:$AB$66,0),MATCH(constants!$A19,calibration!$P$51:$Z$51,0))</f>
        <v>0</v>
      </c>
      <c r="AB19" t="e">
        <f>INDEX(calibration!$AC$52:$AM$66,MATCH(AB$5,calibration!$AB$52:$AB$66,0),MATCH(constants!$A19,calibration!$P$51:$Z$51,0))</f>
        <v>#DIV/0!</v>
      </c>
      <c r="AC19" t="e">
        <f>INDEX(calibration!$AC$52:$AM$66,MATCH(AC$5,calibration!$AB$52:$AB$66,0),MATCH(constants!$A19,calibration!$P$51:$Z$51,0))</f>
        <v>#DIV/0!</v>
      </c>
      <c r="AD19" t="e">
        <f>INDEX(calibration!$AC$52:$AM$66,MATCH(AD$5,calibration!$AB$52:$AB$66,0),MATCH(constants!$A19,calibration!$P$51:$Z$51,0))</f>
        <v>#DIV/0!</v>
      </c>
      <c r="AE19">
        <f>INDEX(calibration!$AC$52:$AM$66,MATCH(AE$5,calibration!$AB$52:$AB$66,0),MATCH(constants!$A19,calibration!$P$51:$Z$51,0))</f>
        <v>0</v>
      </c>
      <c r="AF19" t="e">
        <f>INDEX(calibration!$AC$52:$AM$66,MATCH(AF$5,calibration!$AB$52:$AB$66,0),MATCH(constants!$A19,calibration!$P$51:$Z$51,0))</f>
        <v>#DIV/0!</v>
      </c>
      <c r="AG19" t="e">
        <f>INDEX(calibration!$AC$52:$AM$66,MATCH(AG$5,calibration!$AB$52:$AB$66,0),MATCH(constants!$A19,calibration!$P$51:$Z$51,0))</f>
        <v>#DIV/0!</v>
      </c>
      <c r="AH19" t="e">
        <f>INDEX(calibration!$AC$52:$AM$66,MATCH(AH$5,calibration!$AB$52:$AB$66,0),MATCH(constants!$A19,calibration!$P$51:$Z$51,0))</f>
        <v>#DIV/0!</v>
      </c>
    </row>
    <row r="20" spans="1:34" x14ac:dyDescent="0.25">
      <c r="A20" t="s">
        <v>4</v>
      </c>
      <c r="B20" t="s">
        <v>72</v>
      </c>
      <c r="R20" s="7"/>
      <c r="S20">
        <f>INDEX(calibration!$AC$52:$AM$66,MATCH(S$3,calibration!$AB$52:$AB$66,0),MATCH(constants!$A20,calibration!$P$51:$Z$51,0))</f>
        <v>0</v>
      </c>
      <c r="T20">
        <f>INDEX(calibration!$AC$52:$AM$66,MATCH(T$3,calibration!$AB$52:$AB$66,0),MATCH(constants!$A20,calibration!$P$51:$Z$51,0))</f>
        <v>0</v>
      </c>
      <c r="U20" t="e">
        <f>INDEX(calibration!$AC$52:$AM$66,MATCH(U$3,calibration!$AB$52:$AB$66,0),MATCH(constants!$A20,calibration!$P$51:$Z$51,0))</f>
        <v>#DIV/0!</v>
      </c>
      <c r="V20" t="e">
        <f>INDEX(calibration!$AC$52:$AM$66,MATCH(V$3,calibration!$AB$52:$AB$66,0),MATCH(constants!$A20,calibration!$P$51:$Z$51,0))</f>
        <v>#DIV/0!</v>
      </c>
      <c r="W20">
        <f>INDEX(calibration!$AC$52:$AM$66,MATCH(W$3,calibration!$AB$52:$AB$66,0),MATCH(constants!$A20,calibration!$P$51:$Z$51,0))</f>
        <v>0</v>
      </c>
      <c r="X20" t="e">
        <f>INDEX(calibration!$AC$52:$AM$66,MATCH(X$3,calibration!$AB$52:$AB$66,0),MATCH(constants!$A20,calibration!$P$51:$Z$51,0))</f>
        <v>#DIV/0!</v>
      </c>
      <c r="Y20" t="e">
        <f>INDEX(calibration!$AC$52:$AM$66,MATCH(Y$3,calibration!$AB$52:$AB$66,0),MATCH(constants!$A20,calibration!$P$51:$Z$51,0))</f>
        <v>#DIV/0!</v>
      </c>
      <c r="Z20" t="e">
        <f>INDEX(calibration!$AC$52:$AM$66,MATCH(Z$3,calibration!$AB$52:$AB$66,0),MATCH(constants!$A20,calibration!$P$51:$Z$51,0))</f>
        <v>#DIV/0!</v>
      </c>
      <c r="AA20" t="e">
        <f>INDEX(calibration!$AC$52:$AM$66,MATCH(AA$3,calibration!$AB$52:$AB$66,0),MATCH(constants!$A20,calibration!$P$51:$Z$51,0))</f>
        <v>#DIV/0!</v>
      </c>
      <c r="AB20" t="e">
        <f>INDEX(calibration!$AC$52:$AM$66,MATCH(AB$3,calibration!$AB$52:$AB$66,0),MATCH(constants!$A20,calibration!$P$51:$Z$51,0))</f>
        <v>#DIV/0!</v>
      </c>
      <c r="AC20" t="e">
        <f>INDEX(calibration!$AC$52:$AM$66,MATCH(AC$3,calibration!$AB$52:$AB$66,0),MATCH(constants!$A20,calibration!$P$51:$Z$51,0))</f>
        <v>#DIV/0!</v>
      </c>
      <c r="AD20" t="e">
        <f>INDEX(calibration!$AC$52:$AM$66,MATCH(AD$3,calibration!$AB$52:$AB$66,0),MATCH(constants!$A20,calibration!$P$51:$Z$51,0))</f>
        <v>#DIV/0!</v>
      </c>
      <c r="AE20" t="e">
        <f>INDEX(calibration!$AC$52:$AM$66,MATCH(AE$3,calibration!$AB$52:$AB$66,0),MATCH(constants!$A20,calibration!$P$51:$Z$51,0))</f>
        <v>#DIV/0!</v>
      </c>
      <c r="AF20" t="e">
        <f>INDEX(calibration!$AC$52:$AM$66,MATCH(AF$3,calibration!$AB$52:$AB$66,0),MATCH(constants!$A20,calibration!$P$51:$Z$51,0))</f>
        <v>#DIV/0!</v>
      </c>
      <c r="AG20" t="e">
        <f>INDEX(calibration!$AC$52:$AM$66,MATCH(AG$3,calibration!$AB$52:$AB$66,0),MATCH(constants!$A20,calibration!$P$51:$Z$51,0))</f>
        <v>#DIV/0!</v>
      </c>
      <c r="AH20" t="e">
        <f>INDEX(calibration!$AC$52:$AM$66,MATCH(AH$3,calibration!$AB$52:$AB$66,0),MATCH(constants!$A20,calibration!$P$51:$Z$51,0))</f>
        <v>#DIV/0!</v>
      </c>
    </row>
    <row r="21" spans="1:34" x14ac:dyDescent="0.25">
      <c r="A21" t="s">
        <v>5</v>
      </c>
      <c r="B21" t="s">
        <v>76</v>
      </c>
      <c r="R21" s="7"/>
      <c r="S21">
        <f>INDEX(calibration!$AC$52:$AM$66,MATCH(constants!S$4,calibration!$AB$52:$AB$66,0),MATCH(constants!$A21,calibration!$P$51:$Z$51,0))</f>
        <v>0</v>
      </c>
      <c r="T21">
        <f>INDEX(calibration!$AC$52:$AM$66,MATCH(constants!T$4,calibration!$AB$52:$AB$66,0),MATCH(constants!$A21,calibration!$P$51:$Z$51,0))</f>
        <v>0</v>
      </c>
      <c r="U21">
        <f>INDEX(calibration!$AC$52:$AM$66,MATCH(constants!U$4,calibration!$AB$52:$AB$66,0),MATCH(constants!$A21,calibration!$P$51:$Z$51,0))</f>
        <v>0</v>
      </c>
      <c r="V21">
        <f>INDEX(calibration!$AC$52:$AM$66,MATCH(constants!V$4,calibration!$AB$52:$AB$66,0),MATCH(constants!$A21,calibration!$P$51:$Z$51,0))</f>
        <v>0</v>
      </c>
      <c r="W21" t="e">
        <f>INDEX(calibration!$AC$52:$AM$66,MATCH(constants!W$4,calibration!$AB$52:$AB$66,0),MATCH(constants!$A21,calibration!$P$51:$Z$51,0))</f>
        <v>#DIV/0!</v>
      </c>
      <c r="X21" t="e">
        <f>INDEX(calibration!$AC$52:$AM$66,MATCH(constants!X$4,calibration!$AB$52:$AB$66,0),MATCH(constants!$A21,calibration!$P$51:$Z$51,0))</f>
        <v>#DIV/0!</v>
      </c>
      <c r="Y21" t="e">
        <f>INDEX(calibration!$AC$52:$AM$66,MATCH(constants!Y$4,calibration!$AB$52:$AB$66,0),MATCH(constants!$A21,calibration!$P$51:$Z$51,0))</f>
        <v>#DIV/0!</v>
      </c>
      <c r="Z21" t="e">
        <f>INDEX(calibration!$AC$52:$AM$66,MATCH(constants!Z$4,calibration!$AB$52:$AB$66,0),MATCH(constants!$A21,calibration!$P$51:$Z$51,0))</f>
        <v>#DIV/0!</v>
      </c>
      <c r="AA21" t="e">
        <f>INDEX(calibration!$AC$52:$AM$66,MATCH(constants!AA$4,calibration!$AB$52:$AB$66,0),MATCH(constants!$A21,calibration!$P$51:$Z$51,0))</f>
        <v>#DIV/0!</v>
      </c>
      <c r="AB21" t="e">
        <f>INDEX(calibration!$AC$52:$AM$66,MATCH(constants!AB$4,calibration!$AB$52:$AB$66,0),MATCH(constants!$A21,calibration!$P$51:$Z$51,0))</f>
        <v>#DIV/0!</v>
      </c>
      <c r="AC21" t="e">
        <f>INDEX(calibration!$AC$52:$AM$66,MATCH(constants!AC$4,calibration!$AB$52:$AB$66,0),MATCH(constants!$A21,calibration!$P$51:$Z$51,0))</f>
        <v>#DIV/0!</v>
      </c>
      <c r="AD21" t="e">
        <f>INDEX(calibration!$AC$52:$AM$66,MATCH(constants!AD$4,calibration!$AB$52:$AB$66,0),MATCH(constants!$A21,calibration!$P$51:$Z$51,0))</f>
        <v>#DIV/0!</v>
      </c>
      <c r="AE21" t="e">
        <f>INDEX(calibration!$AC$52:$AM$66,MATCH(constants!AE$4,calibration!$AB$52:$AB$66,0),MATCH(constants!$A21,calibration!$P$51:$Z$51,0))</f>
        <v>#DIV/0!</v>
      </c>
      <c r="AF21" t="e">
        <f>INDEX(calibration!$AC$52:$AM$66,MATCH(constants!AF$4,calibration!$AB$52:$AB$66,0),MATCH(constants!$A21,calibration!$P$51:$Z$51,0))</f>
        <v>#DIV/0!</v>
      </c>
      <c r="AG21" t="e">
        <f>INDEX(calibration!$AC$52:$AM$66,MATCH(constants!AG$4,calibration!$AB$52:$AB$66,0),MATCH(constants!$A21,calibration!$P$51:$Z$51,0))</f>
        <v>#DIV/0!</v>
      </c>
      <c r="AH21" t="e">
        <f>INDEX(calibration!$AC$52:$AM$66,MATCH(constants!AH$4,calibration!$AB$52:$AB$66,0),MATCH(constants!$A21,calibration!$P$51:$Z$51,0))</f>
        <v>#DIV/0!</v>
      </c>
    </row>
    <row r="22" spans="1:34" x14ac:dyDescent="0.25">
      <c r="A22" t="s">
        <v>5</v>
      </c>
      <c r="B22" t="s">
        <v>71</v>
      </c>
      <c r="R22" s="7"/>
      <c r="S22">
        <f>INDEX(calibration!$AC$52:$AM$66,MATCH(S$5,calibration!$AB$52:$AB$66,0),MATCH(constants!$A22,calibration!$P$51:$Z$51,0))</f>
        <v>0</v>
      </c>
      <c r="T22" t="e">
        <f>INDEX(calibration!$AC$52:$AM$66,MATCH(T$5,calibration!$AB$52:$AB$66,0),MATCH(constants!$A22,calibration!$P$51:$Z$51,0))</f>
        <v>#DIV/0!</v>
      </c>
      <c r="U22" t="e">
        <f>INDEX(calibration!$AC$52:$AM$66,MATCH(U$5,calibration!$AB$52:$AB$66,0),MATCH(constants!$A22,calibration!$P$51:$Z$51,0))</f>
        <v>#DIV/0!</v>
      </c>
      <c r="V22" t="e">
        <f>INDEX(calibration!$AC$52:$AM$66,MATCH(V$5,calibration!$AB$52:$AB$66,0),MATCH(constants!$A22,calibration!$P$51:$Z$51,0))</f>
        <v>#DIV/0!</v>
      </c>
      <c r="W22">
        <f>INDEX(calibration!$AC$52:$AM$66,MATCH(W$5,calibration!$AB$52:$AB$66,0),MATCH(constants!$A22,calibration!$P$51:$Z$51,0))</f>
        <v>0</v>
      </c>
      <c r="X22" t="e">
        <f>INDEX(calibration!$AC$52:$AM$66,MATCH(X$5,calibration!$AB$52:$AB$66,0),MATCH(constants!$A22,calibration!$P$51:$Z$51,0))</f>
        <v>#DIV/0!</v>
      </c>
      <c r="Y22" t="e">
        <f>INDEX(calibration!$AC$52:$AM$66,MATCH(Y$5,calibration!$AB$52:$AB$66,0),MATCH(constants!$A22,calibration!$P$51:$Z$51,0))</f>
        <v>#DIV/0!</v>
      </c>
      <c r="Z22" t="e">
        <f>INDEX(calibration!$AC$52:$AM$66,MATCH(Z$5,calibration!$AB$52:$AB$66,0),MATCH(constants!$A22,calibration!$P$51:$Z$51,0))</f>
        <v>#DIV/0!</v>
      </c>
      <c r="AA22">
        <f>INDEX(calibration!$AC$52:$AM$66,MATCH(AA$5,calibration!$AB$52:$AB$66,0),MATCH(constants!$A22,calibration!$P$51:$Z$51,0))</f>
        <v>0</v>
      </c>
      <c r="AB22" t="e">
        <f>INDEX(calibration!$AC$52:$AM$66,MATCH(AB$5,calibration!$AB$52:$AB$66,0),MATCH(constants!$A22,calibration!$P$51:$Z$51,0))</f>
        <v>#DIV/0!</v>
      </c>
      <c r="AC22" t="e">
        <f>INDEX(calibration!$AC$52:$AM$66,MATCH(AC$5,calibration!$AB$52:$AB$66,0),MATCH(constants!$A22,calibration!$P$51:$Z$51,0))</f>
        <v>#DIV/0!</v>
      </c>
      <c r="AD22" t="e">
        <f>INDEX(calibration!$AC$52:$AM$66,MATCH(AD$5,calibration!$AB$52:$AB$66,0),MATCH(constants!$A22,calibration!$P$51:$Z$51,0))</f>
        <v>#DIV/0!</v>
      </c>
      <c r="AE22">
        <f>INDEX(calibration!$AC$52:$AM$66,MATCH(AE$5,calibration!$AB$52:$AB$66,0),MATCH(constants!$A22,calibration!$P$51:$Z$51,0))</f>
        <v>0</v>
      </c>
      <c r="AF22" t="e">
        <f>INDEX(calibration!$AC$52:$AM$66,MATCH(AF$5,calibration!$AB$52:$AB$66,0),MATCH(constants!$A22,calibration!$P$51:$Z$51,0))</f>
        <v>#DIV/0!</v>
      </c>
      <c r="AG22" t="e">
        <f>INDEX(calibration!$AC$52:$AM$66,MATCH(AG$5,calibration!$AB$52:$AB$66,0),MATCH(constants!$A22,calibration!$P$51:$Z$51,0))</f>
        <v>#DIV/0!</v>
      </c>
      <c r="AH22" t="e">
        <f>INDEX(calibration!$AC$52:$AM$66,MATCH(AH$5,calibration!$AB$52:$AB$66,0),MATCH(constants!$A22,calibration!$P$51:$Z$51,0))</f>
        <v>#DIV/0!</v>
      </c>
    </row>
    <row r="23" spans="1:34" x14ac:dyDescent="0.25">
      <c r="A23" t="s">
        <v>5</v>
      </c>
      <c r="B23" t="s">
        <v>72</v>
      </c>
      <c r="R23" s="7"/>
      <c r="S23">
        <f>INDEX(calibration!$AC$52:$AM$66,MATCH(S$3,calibration!$AB$52:$AB$66,0),MATCH(constants!$A23,calibration!$P$51:$Z$51,0))</f>
        <v>0</v>
      </c>
      <c r="T23">
        <f>INDEX(calibration!$AC$52:$AM$66,MATCH(T$3,calibration!$AB$52:$AB$66,0),MATCH(constants!$A23,calibration!$P$51:$Z$51,0))</f>
        <v>0</v>
      </c>
      <c r="U23" t="e">
        <f>INDEX(calibration!$AC$52:$AM$66,MATCH(U$3,calibration!$AB$52:$AB$66,0),MATCH(constants!$A23,calibration!$P$51:$Z$51,0))</f>
        <v>#DIV/0!</v>
      </c>
      <c r="V23" t="e">
        <f>INDEX(calibration!$AC$52:$AM$66,MATCH(V$3,calibration!$AB$52:$AB$66,0),MATCH(constants!$A23,calibration!$P$51:$Z$51,0))</f>
        <v>#DIV/0!</v>
      </c>
      <c r="W23">
        <f>INDEX(calibration!$AC$52:$AM$66,MATCH(W$3,calibration!$AB$52:$AB$66,0),MATCH(constants!$A23,calibration!$P$51:$Z$51,0))</f>
        <v>0</v>
      </c>
      <c r="X23" t="e">
        <f>INDEX(calibration!$AC$52:$AM$66,MATCH(X$3,calibration!$AB$52:$AB$66,0),MATCH(constants!$A23,calibration!$P$51:$Z$51,0))</f>
        <v>#DIV/0!</v>
      </c>
      <c r="Y23" t="e">
        <f>INDEX(calibration!$AC$52:$AM$66,MATCH(Y$3,calibration!$AB$52:$AB$66,0),MATCH(constants!$A23,calibration!$P$51:$Z$51,0))</f>
        <v>#DIV/0!</v>
      </c>
      <c r="Z23" t="e">
        <f>INDEX(calibration!$AC$52:$AM$66,MATCH(Z$3,calibration!$AB$52:$AB$66,0),MATCH(constants!$A23,calibration!$P$51:$Z$51,0))</f>
        <v>#DIV/0!</v>
      </c>
      <c r="AA23" t="e">
        <f>INDEX(calibration!$AC$52:$AM$66,MATCH(AA$3,calibration!$AB$52:$AB$66,0),MATCH(constants!$A23,calibration!$P$51:$Z$51,0))</f>
        <v>#DIV/0!</v>
      </c>
      <c r="AB23" t="e">
        <f>INDEX(calibration!$AC$52:$AM$66,MATCH(AB$3,calibration!$AB$52:$AB$66,0),MATCH(constants!$A23,calibration!$P$51:$Z$51,0))</f>
        <v>#DIV/0!</v>
      </c>
      <c r="AC23" t="e">
        <f>INDEX(calibration!$AC$52:$AM$66,MATCH(AC$3,calibration!$AB$52:$AB$66,0),MATCH(constants!$A23,calibration!$P$51:$Z$51,0))</f>
        <v>#DIV/0!</v>
      </c>
      <c r="AD23" t="e">
        <f>INDEX(calibration!$AC$52:$AM$66,MATCH(AD$3,calibration!$AB$52:$AB$66,0),MATCH(constants!$A23,calibration!$P$51:$Z$51,0))</f>
        <v>#DIV/0!</v>
      </c>
      <c r="AE23" t="e">
        <f>INDEX(calibration!$AC$52:$AM$66,MATCH(AE$3,calibration!$AB$52:$AB$66,0),MATCH(constants!$A23,calibration!$P$51:$Z$51,0))</f>
        <v>#DIV/0!</v>
      </c>
      <c r="AF23" t="e">
        <f>INDEX(calibration!$AC$52:$AM$66,MATCH(AF$3,calibration!$AB$52:$AB$66,0),MATCH(constants!$A23,calibration!$P$51:$Z$51,0))</f>
        <v>#DIV/0!</v>
      </c>
      <c r="AG23" t="e">
        <f>INDEX(calibration!$AC$52:$AM$66,MATCH(AG$3,calibration!$AB$52:$AB$66,0),MATCH(constants!$A23,calibration!$P$51:$Z$51,0))</f>
        <v>#DIV/0!</v>
      </c>
      <c r="AH23" t="e">
        <f>INDEX(calibration!$AC$52:$AM$66,MATCH(AH$3,calibration!$AB$52:$AB$66,0),MATCH(constants!$A23,calibration!$P$51:$Z$51,0))</f>
        <v>#DIV/0!</v>
      </c>
    </row>
    <row r="24" spans="1:34" x14ac:dyDescent="0.25">
      <c r="A24" t="s">
        <v>6</v>
      </c>
      <c r="B24" t="s">
        <v>76</v>
      </c>
      <c r="R24" s="7"/>
      <c r="S24">
        <f>INDEX(calibration!$AC$52:$AM$66,MATCH(constants!S$4,calibration!$AB$52:$AB$66,0),MATCH(constants!$A24,calibration!$P$51:$Z$51,0))</f>
        <v>0</v>
      </c>
      <c r="T24">
        <f>INDEX(calibration!$AC$52:$AM$66,MATCH(constants!T$4,calibration!$AB$52:$AB$66,0),MATCH(constants!$A24,calibration!$P$51:$Z$51,0))</f>
        <v>0</v>
      </c>
      <c r="U24">
        <f>INDEX(calibration!$AC$52:$AM$66,MATCH(constants!U$4,calibration!$AB$52:$AB$66,0),MATCH(constants!$A24,calibration!$P$51:$Z$51,0))</f>
        <v>0</v>
      </c>
      <c r="V24">
        <f>INDEX(calibration!$AC$52:$AM$66,MATCH(constants!V$4,calibration!$AB$52:$AB$66,0),MATCH(constants!$A24,calibration!$P$51:$Z$51,0))</f>
        <v>0</v>
      </c>
      <c r="W24" t="e">
        <f>INDEX(calibration!$AC$52:$AM$66,MATCH(constants!W$4,calibration!$AB$52:$AB$66,0),MATCH(constants!$A24,calibration!$P$51:$Z$51,0))</f>
        <v>#DIV/0!</v>
      </c>
      <c r="X24" t="e">
        <f>INDEX(calibration!$AC$52:$AM$66,MATCH(constants!X$4,calibration!$AB$52:$AB$66,0),MATCH(constants!$A24,calibration!$P$51:$Z$51,0))</f>
        <v>#DIV/0!</v>
      </c>
      <c r="Y24" t="e">
        <f>INDEX(calibration!$AC$52:$AM$66,MATCH(constants!Y$4,calibration!$AB$52:$AB$66,0),MATCH(constants!$A24,calibration!$P$51:$Z$51,0))</f>
        <v>#DIV/0!</v>
      </c>
      <c r="Z24" t="e">
        <f>INDEX(calibration!$AC$52:$AM$66,MATCH(constants!Z$4,calibration!$AB$52:$AB$66,0),MATCH(constants!$A24,calibration!$P$51:$Z$51,0))</f>
        <v>#DIV/0!</v>
      </c>
      <c r="AA24" t="e">
        <f>INDEX(calibration!$AC$52:$AM$66,MATCH(constants!AA$4,calibration!$AB$52:$AB$66,0),MATCH(constants!$A24,calibration!$P$51:$Z$51,0))</f>
        <v>#DIV/0!</v>
      </c>
      <c r="AB24" t="e">
        <f>INDEX(calibration!$AC$52:$AM$66,MATCH(constants!AB$4,calibration!$AB$52:$AB$66,0),MATCH(constants!$A24,calibration!$P$51:$Z$51,0))</f>
        <v>#DIV/0!</v>
      </c>
      <c r="AC24" t="e">
        <f>INDEX(calibration!$AC$52:$AM$66,MATCH(constants!AC$4,calibration!$AB$52:$AB$66,0),MATCH(constants!$A24,calibration!$P$51:$Z$51,0))</f>
        <v>#DIV/0!</v>
      </c>
      <c r="AD24" t="e">
        <f>INDEX(calibration!$AC$52:$AM$66,MATCH(constants!AD$4,calibration!$AB$52:$AB$66,0),MATCH(constants!$A24,calibration!$P$51:$Z$51,0))</f>
        <v>#DIV/0!</v>
      </c>
      <c r="AE24" t="e">
        <f>INDEX(calibration!$AC$52:$AM$66,MATCH(constants!AE$4,calibration!$AB$52:$AB$66,0),MATCH(constants!$A24,calibration!$P$51:$Z$51,0))</f>
        <v>#DIV/0!</v>
      </c>
      <c r="AF24" t="e">
        <f>INDEX(calibration!$AC$52:$AM$66,MATCH(constants!AF$4,calibration!$AB$52:$AB$66,0),MATCH(constants!$A24,calibration!$P$51:$Z$51,0))</f>
        <v>#DIV/0!</v>
      </c>
      <c r="AG24" t="e">
        <f>INDEX(calibration!$AC$52:$AM$66,MATCH(constants!AG$4,calibration!$AB$52:$AB$66,0),MATCH(constants!$A24,calibration!$P$51:$Z$51,0))</f>
        <v>#DIV/0!</v>
      </c>
      <c r="AH24" t="e">
        <f>INDEX(calibration!$AC$52:$AM$66,MATCH(constants!AH$4,calibration!$AB$52:$AB$66,0),MATCH(constants!$A24,calibration!$P$51:$Z$51,0))</f>
        <v>#DIV/0!</v>
      </c>
    </row>
    <row r="25" spans="1:34" x14ac:dyDescent="0.25">
      <c r="A25" t="s">
        <v>6</v>
      </c>
      <c r="B25" t="s">
        <v>71</v>
      </c>
      <c r="R25" s="7"/>
      <c r="S25">
        <f>INDEX(calibration!$AC$52:$AM$66,MATCH(S$5,calibration!$AB$52:$AB$66,0),MATCH(constants!$A25,calibration!$P$51:$Z$51,0))</f>
        <v>0</v>
      </c>
      <c r="T25" t="e">
        <f>INDEX(calibration!$AC$52:$AM$66,MATCH(T$5,calibration!$AB$52:$AB$66,0),MATCH(constants!$A25,calibration!$P$51:$Z$51,0))</f>
        <v>#DIV/0!</v>
      </c>
      <c r="U25" t="e">
        <f>INDEX(calibration!$AC$52:$AM$66,MATCH(U$5,calibration!$AB$52:$AB$66,0),MATCH(constants!$A25,calibration!$P$51:$Z$51,0))</f>
        <v>#DIV/0!</v>
      </c>
      <c r="V25" t="e">
        <f>INDEX(calibration!$AC$52:$AM$66,MATCH(V$5,calibration!$AB$52:$AB$66,0),MATCH(constants!$A25,calibration!$P$51:$Z$51,0))</f>
        <v>#DIV/0!</v>
      </c>
      <c r="W25">
        <f>INDEX(calibration!$AC$52:$AM$66,MATCH(W$5,calibration!$AB$52:$AB$66,0),MATCH(constants!$A25,calibration!$P$51:$Z$51,0))</f>
        <v>0</v>
      </c>
      <c r="X25" t="e">
        <f>INDEX(calibration!$AC$52:$AM$66,MATCH(X$5,calibration!$AB$52:$AB$66,0),MATCH(constants!$A25,calibration!$P$51:$Z$51,0))</f>
        <v>#DIV/0!</v>
      </c>
      <c r="Y25" t="e">
        <f>INDEX(calibration!$AC$52:$AM$66,MATCH(Y$5,calibration!$AB$52:$AB$66,0),MATCH(constants!$A25,calibration!$P$51:$Z$51,0))</f>
        <v>#DIV/0!</v>
      </c>
      <c r="Z25" t="e">
        <f>INDEX(calibration!$AC$52:$AM$66,MATCH(Z$5,calibration!$AB$52:$AB$66,0),MATCH(constants!$A25,calibration!$P$51:$Z$51,0))</f>
        <v>#DIV/0!</v>
      </c>
      <c r="AA25">
        <f>INDEX(calibration!$AC$52:$AM$66,MATCH(AA$5,calibration!$AB$52:$AB$66,0),MATCH(constants!$A25,calibration!$P$51:$Z$51,0))</f>
        <v>0</v>
      </c>
      <c r="AB25" t="e">
        <f>INDEX(calibration!$AC$52:$AM$66,MATCH(AB$5,calibration!$AB$52:$AB$66,0),MATCH(constants!$A25,calibration!$P$51:$Z$51,0))</f>
        <v>#DIV/0!</v>
      </c>
      <c r="AC25" t="e">
        <f>INDEX(calibration!$AC$52:$AM$66,MATCH(AC$5,calibration!$AB$52:$AB$66,0),MATCH(constants!$A25,calibration!$P$51:$Z$51,0))</f>
        <v>#DIV/0!</v>
      </c>
      <c r="AD25" t="e">
        <f>INDEX(calibration!$AC$52:$AM$66,MATCH(AD$5,calibration!$AB$52:$AB$66,0),MATCH(constants!$A25,calibration!$P$51:$Z$51,0))</f>
        <v>#DIV/0!</v>
      </c>
      <c r="AE25">
        <f>INDEX(calibration!$AC$52:$AM$66,MATCH(AE$5,calibration!$AB$52:$AB$66,0),MATCH(constants!$A25,calibration!$P$51:$Z$51,0))</f>
        <v>0</v>
      </c>
      <c r="AF25" t="e">
        <f>INDEX(calibration!$AC$52:$AM$66,MATCH(AF$5,calibration!$AB$52:$AB$66,0),MATCH(constants!$A25,calibration!$P$51:$Z$51,0))</f>
        <v>#DIV/0!</v>
      </c>
      <c r="AG25" t="e">
        <f>INDEX(calibration!$AC$52:$AM$66,MATCH(AG$5,calibration!$AB$52:$AB$66,0),MATCH(constants!$A25,calibration!$P$51:$Z$51,0))</f>
        <v>#DIV/0!</v>
      </c>
      <c r="AH25" t="e">
        <f>INDEX(calibration!$AC$52:$AM$66,MATCH(AH$5,calibration!$AB$52:$AB$66,0),MATCH(constants!$A25,calibration!$P$51:$Z$51,0))</f>
        <v>#DIV/0!</v>
      </c>
    </row>
    <row r="26" spans="1:34" x14ac:dyDescent="0.25">
      <c r="A26" t="s">
        <v>6</v>
      </c>
      <c r="B26" t="s">
        <v>72</v>
      </c>
      <c r="R26" s="7"/>
      <c r="S26">
        <f>INDEX(calibration!$AC$52:$AM$66,MATCH(S$3,calibration!$AB$52:$AB$66,0),MATCH(constants!$A26,calibration!$P$51:$Z$51,0))</f>
        <v>0</v>
      </c>
      <c r="T26">
        <f>INDEX(calibration!$AC$52:$AM$66,MATCH(T$3,calibration!$AB$52:$AB$66,0),MATCH(constants!$A26,calibration!$P$51:$Z$51,0))</f>
        <v>0</v>
      </c>
      <c r="U26" t="e">
        <f>INDEX(calibration!$AC$52:$AM$66,MATCH(U$3,calibration!$AB$52:$AB$66,0),MATCH(constants!$A26,calibration!$P$51:$Z$51,0))</f>
        <v>#DIV/0!</v>
      </c>
      <c r="V26" t="e">
        <f>INDEX(calibration!$AC$52:$AM$66,MATCH(V$3,calibration!$AB$52:$AB$66,0),MATCH(constants!$A26,calibration!$P$51:$Z$51,0))</f>
        <v>#DIV/0!</v>
      </c>
      <c r="W26">
        <f>INDEX(calibration!$AC$52:$AM$66,MATCH(W$3,calibration!$AB$52:$AB$66,0),MATCH(constants!$A26,calibration!$P$51:$Z$51,0))</f>
        <v>0</v>
      </c>
      <c r="X26" t="e">
        <f>INDEX(calibration!$AC$52:$AM$66,MATCH(X$3,calibration!$AB$52:$AB$66,0),MATCH(constants!$A26,calibration!$P$51:$Z$51,0))</f>
        <v>#DIV/0!</v>
      </c>
      <c r="Y26" t="e">
        <f>INDEX(calibration!$AC$52:$AM$66,MATCH(Y$3,calibration!$AB$52:$AB$66,0),MATCH(constants!$A26,calibration!$P$51:$Z$51,0))</f>
        <v>#DIV/0!</v>
      </c>
      <c r="Z26" t="e">
        <f>INDEX(calibration!$AC$52:$AM$66,MATCH(Z$3,calibration!$AB$52:$AB$66,0),MATCH(constants!$A26,calibration!$P$51:$Z$51,0))</f>
        <v>#DIV/0!</v>
      </c>
      <c r="AA26" t="e">
        <f>INDEX(calibration!$AC$52:$AM$66,MATCH(AA$3,calibration!$AB$52:$AB$66,0),MATCH(constants!$A26,calibration!$P$51:$Z$51,0))</f>
        <v>#DIV/0!</v>
      </c>
      <c r="AB26" t="e">
        <f>INDEX(calibration!$AC$52:$AM$66,MATCH(AB$3,calibration!$AB$52:$AB$66,0),MATCH(constants!$A26,calibration!$P$51:$Z$51,0))</f>
        <v>#DIV/0!</v>
      </c>
      <c r="AC26" t="e">
        <f>INDEX(calibration!$AC$52:$AM$66,MATCH(AC$3,calibration!$AB$52:$AB$66,0),MATCH(constants!$A26,calibration!$P$51:$Z$51,0))</f>
        <v>#DIV/0!</v>
      </c>
      <c r="AD26" t="e">
        <f>INDEX(calibration!$AC$52:$AM$66,MATCH(AD$3,calibration!$AB$52:$AB$66,0),MATCH(constants!$A26,calibration!$P$51:$Z$51,0))</f>
        <v>#DIV/0!</v>
      </c>
      <c r="AE26" t="e">
        <f>INDEX(calibration!$AC$52:$AM$66,MATCH(AE$3,calibration!$AB$52:$AB$66,0),MATCH(constants!$A26,calibration!$P$51:$Z$51,0))</f>
        <v>#DIV/0!</v>
      </c>
      <c r="AF26" t="e">
        <f>INDEX(calibration!$AC$52:$AM$66,MATCH(AF$3,calibration!$AB$52:$AB$66,0),MATCH(constants!$A26,calibration!$P$51:$Z$51,0))</f>
        <v>#DIV/0!</v>
      </c>
      <c r="AG26" t="e">
        <f>INDEX(calibration!$AC$52:$AM$66,MATCH(AG$3,calibration!$AB$52:$AB$66,0),MATCH(constants!$A26,calibration!$P$51:$Z$51,0))</f>
        <v>#DIV/0!</v>
      </c>
      <c r="AH26" t="e">
        <f>INDEX(calibration!$AC$52:$AM$66,MATCH(AH$3,calibration!$AB$52:$AB$66,0),MATCH(constants!$A26,calibration!$P$51:$Z$51,0))</f>
        <v>#DIV/0!</v>
      </c>
    </row>
    <row r="27" spans="1:34" x14ac:dyDescent="0.25">
      <c r="A27" t="s">
        <v>7</v>
      </c>
      <c r="B27" t="s">
        <v>76</v>
      </c>
      <c r="R27" s="7"/>
      <c r="S27">
        <f>INDEX(calibration!$AC$52:$AM$66,MATCH(constants!S$4,calibration!$AB$52:$AB$66,0),MATCH(constants!$A27,calibration!$P$51:$Z$51,0))</f>
        <v>0</v>
      </c>
      <c r="T27">
        <f>INDEX(calibration!$AC$52:$AM$66,MATCH(constants!T$4,calibration!$AB$52:$AB$66,0),MATCH(constants!$A27,calibration!$P$51:$Z$51,0))</f>
        <v>0</v>
      </c>
      <c r="U27">
        <f>INDEX(calibration!$AC$52:$AM$66,MATCH(constants!U$4,calibration!$AB$52:$AB$66,0),MATCH(constants!$A27,calibration!$P$51:$Z$51,0))</f>
        <v>0</v>
      </c>
      <c r="V27">
        <f>INDEX(calibration!$AC$52:$AM$66,MATCH(constants!V$4,calibration!$AB$52:$AB$66,0),MATCH(constants!$A27,calibration!$P$51:$Z$51,0))</f>
        <v>0</v>
      </c>
      <c r="W27" t="e">
        <f>INDEX(calibration!$AC$52:$AM$66,MATCH(constants!W$4,calibration!$AB$52:$AB$66,0),MATCH(constants!$A27,calibration!$P$51:$Z$51,0))</f>
        <v>#DIV/0!</v>
      </c>
      <c r="X27" t="e">
        <f>INDEX(calibration!$AC$52:$AM$66,MATCH(constants!X$4,calibration!$AB$52:$AB$66,0),MATCH(constants!$A27,calibration!$P$51:$Z$51,0))</f>
        <v>#DIV/0!</v>
      </c>
      <c r="Y27" t="e">
        <f>INDEX(calibration!$AC$52:$AM$66,MATCH(constants!Y$4,calibration!$AB$52:$AB$66,0),MATCH(constants!$A27,calibration!$P$51:$Z$51,0))</f>
        <v>#DIV/0!</v>
      </c>
      <c r="Z27" t="e">
        <f>INDEX(calibration!$AC$52:$AM$66,MATCH(constants!Z$4,calibration!$AB$52:$AB$66,0),MATCH(constants!$A27,calibration!$P$51:$Z$51,0))</f>
        <v>#DIV/0!</v>
      </c>
      <c r="AA27" t="e">
        <f>INDEX(calibration!$AC$52:$AM$66,MATCH(constants!AA$4,calibration!$AB$52:$AB$66,0),MATCH(constants!$A27,calibration!$P$51:$Z$51,0))</f>
        <v>#DIV/0!</v>
      </c>
      <c r="AB27" t="e">
        <f>INDEX(calibration!$AC$52:$AM$66,MATCH(constants!AB$4,calibration!$AB$52:$AB$66,0),MATCH(constants!$A27,calibration!$P$51:$Z$51,0))</f>
        <v>#DIV/0!</v>
      </c>
      <c r="AC27" t="e">
        <f>INDEX(calibration!$AC$52:$AM$66,MATCH(constants!AC$4,calibration!$AB$52:$AB$66,0),MATCH(constants!$A27,calibration!$P$51:$Z$51,0))</f>
        <v>#DIV/0!</v>
      </c>
      <c r="AD27" t="e">
        <f>INDEX(calibration!$AC$52:$AM$66,MATCH(constants!AD$4,calibration!$AB$52:$AB$66,0),MATCH(constants!$A27,calibration!$P$51:$Z$51,0))</f>
        <v>#DIV/0!</v>
      </c>
      <c r="AE27" t="e">
        <f>INDEX(calibration!$AC$52:$AM$66,MATCH(constants!AE$4,calibration!$AB$52:$AB$66,0),MATCH(constants!$A27,calibration!$P$51:$Z$51,0))</f>
        <v>#DIV/0!</v>
      </c>
      <c r="AF27" t="e">
        <f>INDEX(calibration!$AC$52:$AM$66,MATCH(constants!AF$4,calibration!$AB$52:$AB$66,0),MATCH(constants!$A27,calibration!$P$51:$Z$51,0))</f>
        <v>#DIV/0!</v>
      </c>
      <c r="AG27" t="e">
        <f>INDEX(calibration!$AC$52:$AM$66,MATCH(constants!AG$4,calibration!$AB$52:$AB$66,0),MATCH(constants!$A27,calibration!$P$51:$Z$51,0))</f>
        <v>#DIV/0!</v>
      </c>
      <c r="AH27" t="e">
        <f>INDEX(calibration!$AC$52:$AM$66,MATCH(constants!AH$4,calibration!$AB$52:$AB$66,0),MATCH(constants!$A27,calibration!$P$51:$Z$51,0))</f>
        <v>#DIV/0!</v>
      </c>
    </row>
    <row r="28" spans="1:34" x14ac:dyDescent="0.25">
      <c r="A28" t="s">
        <v>7</v>
      </c>
      <c r="B28" t="s">
        <v>71</v>
      </c>
      <c r="R28" s="7"/>
      <c r="S28">
        <f>INDEX(calibration!$AC$52:$AM$66,MATCH(S$5,calibration!$AB$52:$AB$66,0),MATCH(constants!$A28,calibration!$P$51:$Z$51,0))</f>
        <v>0</v>
      </c>
      <c r="T28" t="e">
        <f>INDEX(calibration!$AC$52:$AM$66,MATCH(T$5,calibration!$AB$52:$AB$66,0),MATCH(constants!$A28,calibration!$P$51:$Z$51,0))</f>
        <v>#DIV/0!</v>
      </c>
      <c r="U28" t="e">
        <f>INDEX(calibration!$AC$52:$AM$66,MATCH(U$5,calibration!$AB$52:$AB$66,0),MATCH(constants!$A28,calibration!$P$51:$Z$51,0))</f>
        <v>#DIV/0!</v>
      </c>
      <c r="V28" t="e">
        <f>INDEX(calibration!$AC$52:$AM$66,MATCH(V$5,calibration!$AB$52:$AB$66,0),MATCH(constants!$A28,calibration!$P$51:$Z$51,0))</f>
        <v>#DIV/0!</v>
      </c>
      <c r="W28">
        <f>INDEX(calibration!$AC$52:$AM$66,MATCH(W$5,calibration!$AB$52:$AB$66,0),MATCH(constants!$A28,calibration!$P$51:$Z$51,0))</f>
        <v>0</v>
      </c>
      <c r="X28" t="e">
        <f>INDEX(calibration!$AC$52:$AM$66,MATCH(X$5,calibration!$AB$52:$AB$66,0),MATCH(constants!$A28,calibration!$P$51:$Z$51,0))</f>
        <v>#DIV/0!</v>
      </c>
      <c r="Y28" t="e">
        <f>INDEX(calibration!$AC$52:$AM$66,MATCH(Y$5,calibration!$AB$52:$AB$66,0),MATCH(constants!$A28,calibration!$P$51:$Z$51,0))</f>
        <v>#DIV/0!</v>
      </c>
      <c r="Z28" t="e">
        <f>INDEX(calibration!$AC$52:$AM$66,MATCH(Z$5,calibration!$AB$52:$AB$66,0),MATCH(constants!$A28,calibration!$P$51:$Z$51,0))</f>
        <v>#DIV/0!</v>
      </c>
      <c r="AA28">
        <f>INDEX(calibration!$AC$52:$AM$66,MATCH(AA$5,calibration!$AB$52:$AB$66,0),MATCH(constants!$A28,calibration!$P$51:$Z$51,0))</f>
        <v>0</v>
      </c>
      <c r="AB28" t="e">
        <f>INDEX(calibration!$AC$52:$AM$66,MATCH(AB$5,calibration!$AB$52:$AB$66,0),MATCH(constants!$A28,calibration!$P$51:$Z$51,0))</f>
        <v>#DIV/0!</v>
      </c>
      <c r="AC28" t="e">
        <f>INDEX(calibration!$AC$52:$AM$66,MATCH(AC$5,calibration!$AB$52:$AB$66,0),MATCH(constants!$A28,calibration!$P$51:$Z$51,0))</f>
        <v>#DIV/0!</v>
      </c>
      <c r="AD28" t="e">
        <f>INDEX(calibration!$AC$52:$AM$66,MATCH(AD$5,calibration!$AB$52:$AB$66,0),MATCH(constants!$A28,calibration!$P$51:$Z$51,0))</f>
        <v>#DIV/0!</v>
      </c>
      <c r="AE28">
        <f>INDEX(calibration!$AC$52:$AM$66,MATCH(AE$5,calibration!$AB$52:$AB$66,0),MATCH(constants!$A28,calibration!$P$51:$Z$51,0))</f>
        <v>0</v>
      </c>
      <c r="AF28" t="e">
        <f>INDEX(calibration!$AC$52:$AM$66,MATCH(AF$5,calibration!$AB$52:$AB$66,0),MATCH(constants!$A28,calibration!$P$51:$Z$51,0))</f>
        <v>#DIV/0!</v>
      </c>
      <c r="AG28" t="e">
        <f>INDEX(calibration!$AC$52:$AM$66,MATCH(AG$5,calibration!$AB$52:$AB$66,0),MATCH(constants!$A28,calibration!$P$51:$Z$51,0))</f>
        <v>#DIV/0!</v>
      </c>
      <c r="AH28" t="e">
        <f>INDEX(calibration!$AC$52:$AM$66,MATCH(AH$5,calibration!$AB$52:$AB$66,0),MATCH(constants!$A28,calibration!$P$51:$Z$51,0))</f>
        <v>#DIV/0!</v>
      </c>
    </row>
    <row r="29" spans="1:34" x14ac:dyDescent="0.25">
      <c r="A29" t="s">
        <v>7</v>
      </c>
      <c r="B29" t="s">
        <v>72</v>
      </c>
      <c r="R29" s="7"/>
      <c r="S29">
        <f>INDEX(calibration!$AC$52:$AM$66,MATCH(S$3,calibration!$AB$52:$AB$66,0),MATCH(constants!$A29,calibration!$P$51:$Z$51,0))</f>
        <v>0</v>
      </c>
      <c r="T29">
        <f>INDEX(calibration!$AC$52:$AM$66,MATCH(T$3,calibration!$AB$52:$AB$66,0),MATCH(constants!$A29,calibration!$P$51:$Z$51,0))</f>
        <v>0</v>
      </c>
      <c r="U29" t="e">
        <f>INDEX(calibration!$AC$52:$AM$66,MATCH(U$3,calibration!$AB$52:$AB$66,0),MATCH(constants!$A29,calibration!$P$51:$Z$51,0))</f>
        <v>#DIV/0!</v>
      </c>
      <c r="V29" t="e">
        <f>INDEX(calibration!$AC$52:$AM$66,MATCH(V$3,calibration!$AB$52:$AB$66,0),MATCH(constants!$A29,calibration!$P$51:$Z$51,0))</f>
        <v>#DIV/0!</v>
      </c>
      <c r="W29">
        <f>INDEX(calibration!$AC$52:$AM$66,MATCH(W$3,calibration!$AB$52:$AB$66,0),MATCH(constants!$A29,calibration!$P$51:$Z$51,0))</f>
        <v>0</v>
      </c>
      <c r="X29" t="e">
        <f>INDEX(calibration!$AC$52:$AM$66,MATCH(X$3,calibration!$AB$52:$AB$66,0),MATCH(constants!$A29,calibration!$P$51:$Z$51,0))</f>
        <v>#DIV/0!</v>
      </c>
      <c r="Y29" t="e">
        <f>INDEX(calibration!$AC$52:$AM$66,MATCH(Y$3,calibration!$AB$52:$AB$66,0),MATCH(constants!$A29,calibration!$P$51:$Z$51,0))</f>
        <v>#DIV/0!</v>
      </c>
      <c r="Z29" t="e">
        <f>INDEX(calibration!$AC$52:$AM$66,MATCH(Z$3,calibration!$AB$52:$AB$66,0),MATCH(constants!$A29,calibration!$P$51:$Z$51,0))</f>
        <v>#DIV/0!</v>
      </c>
      <c r="AA29" t="e">
        <f>INDEX(calibration!$AC$52:$AM$66,MATCH(AA$3,calibration!$AB$52:$AB$66,0),MATCH(constants!$A29,calibration!$P$51:$Z$51,0))</f>
        <v>#DIV/0!</v>
      </c>
      <c r="AB29" t="e">
        <f>INDEX(calibration!$AC$52:$AM$66,MATCH(AB$3,calibration!$AB$52:$AB$66,0),MATCH(constants!$A29,calibration!$P$51:$Z$51,0))</f>
        <v>#DIV/0!</v>
      </c>
      <c r="AC29" t="e">
        <f>INDEX(calibration!$AC$52:$AM$66,MATCH(AC$3,calibration!$AB$52:$AB$66,0),MATCH(constants!$A29,calibration!$P$51:$Z$51,0))</f>
        <v>#DIV/0!</v>
      </c>
      <c r="AD29" t="e">
        <f>INDEX(calibration!$AC$52:$AM$66,MATCH(AD$3,calibration!$AB$52:$AB$66,0),MATCH(constants!$A29,calibration!$P$51:$Z$51,0))</f>
        <v>#DIV/0!</v>
      </c>
      <c r="AE29" t="e">
        <f>INDEX(calibration!$AC$52:$AM$66,MATCH(AE$3,calibration!$AB$52:$AB$66,0),MATCH(constants!$A29,calibration!$P$51:$Z$51,0))</f>
        <v>#DIV/0!</v>
      </c>
      <c r="AF29" t="e">
        <f>INDEX(calibration!$AC$52:$AM$66,MATCH(AF$3,calibration!$AB$52:$AB$66,0),MATCH(constants!$A29,calibration!$P$51:$Z$51,0))</f>
        <v>#DIV/0!</v>
      </c>
      <c r="AG29" t="e">
        <f>INDEX(calibration!$AC$52:$AM$66,MATCH(AG$3,calibration!$AB$52:$AB$66,0),MATCH(constants!$A29,calibration!$P$51:$Z$51,0))</f>
        <v>#DIV/0!</v>
      </c>
      <c r="AH29" t="e">
        <f>INDEX(calibration!$AC$52:$AM$66,MATCH(AH$3,calibration!$AB$52:$AB$66,0),MATCH(constants!$A29,calibration!$P$51:$Z$51,0))</f>
        <v>#DIV/0!</v>
      </c>
    </row>
    <row r="30" spans="1:34" x14ac:dyDescent="0.25">
      <c r="A30" t="s">
        <v>8</v>
      </c>
      <c r="B30" t="s">
        <v>76</v>
      </c>
      <c r="R30" s="7"/>
      <c r="S30">
        <f>INDEX(calibration!$AC$52:$AM$66,MATCH(constants!S$4,calibration!$AB$52:$AB$66,0),MATCH(constants!$A30,calibration!$P$51:$Z$51,0))</f>
        <v>0</v>
      </c>
      <c r="T30">
        <f>INDEX(calibration!$AC$52:$AM$66,MATCH(constants!T$4,calibration!$AB$52:$AB$66,0),MATCH(constants!$A30,calibration!$P$51:$Z$51,0))</f>
        <v>0</v>
      </c>
      <c r="U30">
        <f>INDEX(calibration!$AC$52:$AM$66,MATCH(constants!U$4,calibration!$AB$52:$AB$66,0),MATCH(constants!$A30,calibration!$P$51:$Z$51,0))</f>
        <v>0</v>
      </c>
      <c r="V30">
        <f>INDEX(calibration!$AC$52:$AM$66,MATCH(constants!V$4,calibration!$AB$52:$AB$66,0),MATCH(constants!$A30,calibration!$P$51:$Z$51,0))</f>
        <v>0</v>
      </c>
      <c r="W30" t="e">
        <f>INDEX(calibration!$AC$52:$AM$66,MATCH(constants!W$4,calibration!$AB$52:$AB$66,0),MATCH(constants!$A30,calibration!$P$51:$Z$51,0))</f>
        <v>#DIV/0!</v>
      </c>
      <c r="X30" t="e">
        <f>INDEX(calibration!$AC$52:$AM$66,MATCH(constants!X$4,calibration!$AB$52:$AB$66,0),MATCH(constants!$A30,calibration!$P$51:$Z$51,0))</f>
        <v>#DIV/0!</v>
      </c>
      <c r="Y30" t="e">
        <f>INDEX(calibration!$AC$52:$AM$66,MATCH(constants!Y$4,calibration!$AB$52:$AB$66,0),MATCH(constants!$A30,calibration!$P$51:$Z$51,0))</f>
        <v>#DIV/0!</v>
      </c>
      <c r="Z30" t="e">
        <f>INDEX(calibration!$AC$52:$AM$66,MATCH(constants!Z$4,calibration!$AB$52:$AB$66,0),MATCH(constants!$A30,calibration!$P$51:$Z$51,0))</f>
        <v>#DIV/0!</v>
      </c>
      <c r="AA30" t="e">
        <f>INDEX(calibration!$AC$52:$AM$66,MATCH(constants!AA$4,calibration!$AB$52:$AB$66,0),MATCH(constants!$A30,calibration!$P$51:$Z$51,0))</f>
        <v>#DIV/0!</v>
      </c>
      <c r="AB30" t="e">
        <f>INDEX(calibration!$AC$52:$AM$66,MATCH(constants!AB$4,calibration!$AB$52:$AB$66,0),MATCH(constants!$A30,calibration!$P$51:$Z$51,0))</f>
        <v>#DIV/0!</v>
      </c>
      <c r="AC30" t="e">
        <f>INDEX(calibration!$AC$52:$AM$66,MATCH(constants!AC$4,calibration!$AB$52:$AB$66,0),MATCH(constants!$A30,calibration!$P$51:$Z$51,0))</f>
        <v>#DIV/0!</v>
      </c>
      <c r="AD30" t="e">
        <f>INDEX(calibration!$AC$52:$AM$66,MATCH(constants!AD$4,calibration!$AB$52:$AB$66,0),MATCH(constants!$A30,calibration!$P$51:$Z$51,0))</f>
        <v>#DIV/0!</v>
      </c>
      <c r="AE30" t="e">
        <f>INDEX(calibration!$AC$52:$AM$66,MATCH(constants!AE$4,calibration!$AB$52:$AB$66,0),MATCH(constants!$A30,calibration!$P$51:$Z$51,0))</f>
        <v>#DIV/0!</v>
      </c>
      <c r="AF30" t="e">
        <f>INDEX(calibration!$AC$52:$AM$66,MATCH(constants!AF$4,calibration!$AB$52:$AB$66,0),MATCH(constants!$A30,calibration!$P$51:$Z$51,0))</f>
        <v>#DIV/0!</v>
      </c>
      <c r="AG30" t="e">
        <f>INDEX(calibration!$AC$52:$AM$66,MATCH(constants!AG$4,calibration!$AB$52:$AB$66,0),MATCH(constants!$A30,calibration!$P$51:$Z$51,0))</f>
        <v>#DIV/0!</v>
      </c>
      <c r="AH30" t="e">
        <f>INDEX(calibration!$AC$52:$AM$66,MATCH(constants!AH$4,calibration!$AB$52:$AB$66,0),MATCH(constants!$A30,calibration!$P$51:$Z$51,0))</f>
        <v>#DIV/0!</v>
      </c>
    </row>
    <row r="31" spans="1:34" x14ac:dyDescent="0.25">
      <c r="A31" t="s">
        <v>8</v>
      </c>
      <c r="B31" t="s">
        <v>71</v>
      </c>
      <c r="R31" s="7"/>
      <c r="S31">
        <f>INDEX(calibration!$AC$52:$AM$66,MATCH(S$5,calibration!$AB$52:$AB$66,0),MATCH(constants!$A31,calibration!$P$51:$Z$51,0))</f>
        <v>0</v>
      </c>
      <c r="T31" t="e">
        <f>INDEX(calibration!$AC$52:$AM$66,MATCH(T$5,calibration!$AB$52:$AB$66,0),MATCH(constants!$A31,calibration!$P$51:$Z$51,0))</f>
        <v>#DIV/0!</v>
      </c>
      <c r="U31" t="e">
        <f>INDEX(calibration!$AC$52:$AM$66,MATCH(U$5,calibration!$AB$52:$AB$66,0),MATCH(constants!$A31,calibration!$P$51:$Z$51,0))</f>
        <v>#DIV/0!</v>
      </c>
      <c r="V31" t="e">
        <f>INDEX(calibration!$AC$52:$AM$66,MATCH(V$5,calibration!$AB$52:$AB$66,0),MATCH(constants!$A31,calibration!$P$51:$Z$51,0))</f>
        <v>#DIV/0!</v>
      </c>
      <c r="W31">
        <f>INDEX(calibration!$AC$52:$AM$66,MATCH(W$5,calibration!$AB$52:$AB$66,0),MATCH(constants!$A31,calibration!$P$51:$Z$51,0))</f>
        <v>0</v>
      </c>
      <c r="X31" t="e">
        <f>INDEX(calibration!$AC$52:$AM$66,MATCH(X$5,calibration!$AB$52:$AB$66,0),MATCH(constants!$A31,calibration!$P$51:$Z$51,0))</f>
        <v>#DIV/0!</v>
      </c>
      <c r="Y31" t="e">
        <f>INDEX(calibration!$AC$52:$AM$66,MATCH(Y$5,calibration!$AB$52:$AB$66,0),MATCH(constants!$A31,calibration!$P$51:$Z$51,0))</f>
        <v>#DIV/0!</v>
      </c>
      <c r="Z31" t="e">
        <f>INDEX(calibration!$AC$52:$AM$66,MATCH(Z$5,calibration!$AB$52:$AB$66,0),MATCH(constants!$A31,calibration!$P$51:$Z$51,0))</f>
        <v>#DIV/0!</v>
      </c>
      <c r="AA31">
        <f>INDEX(calibration!$AC$52:$AM$66,MATCH(AA$5,calibration!$AB$52:$AB$66,0),MATCH(constants!$A31,calibration!$P$51:$Z$51,0))</f>
        <v>0</v>
      </c>
      <c r="AB31" t="e">
        <f>INDEX(calibration!$AC$52:$AM$66,MATCH(AB$5,calibration!$AB$52:$AB$66,0),MATCH(constants!$A31,calibration!$P$51:$Z$51,0))</f>
        <v>#DIV/0!</v>
      </c>
      <c r="AC31" t="e">
        <f>INDEX(calibration!$AC$52:$AM$66,MATCH(AC$5,calibration!$AB$52:$AB$66,0),MATCH(constants!$A31,calibration!$P$51:$Z$51,0))</f>
        <v>#DIV/0!</v>
      </c>
      <c r="AD31" t="e">
        <f>INDEX(calibration!$AC$52:$AM$66,MATCH(AD$5,calibration!$AB$52:$AB$66,0),MATCH(constants!$A31,calibration!$P$51:$Z$51,0))</f>
        <v>#DIV/0!</v>
      </c>
      <c r="AE31">
        <f>INDEX(calibration!$AC$52:$AM$66,MATCH(AE$5,calibration!$AB$52:$AB$66,0),MATCH(constants!$A31,calibration!$P$51:$Z$51,0))</f>
        <v>0</v>
      </c>
      <c r="AF31" t="e">
        <f>INDEX(calibration!$AC$52:$AM$66,MATCH(AF$5,calibration!$AB$52:$AB$66,0),MATCH(constants!$A31,calibration!$P$51:$Z$51,0))</f>
        <v>#DIV/0!</v>
      </c>
      <c r="AG31" t="e">
        <f>INDEX(calibration!$AC$52:$AM$66,MATCH(AG$5,calibration!$AB$52:$AB$66,0),MATCH(constants!$A31,calibration!$P$51:$Z$51,0))</f>
        <v>#DIV/0!</v>
      </c>
      <c r="AH31" t="e">
        <f>INDEX(calibration!$AC$52:$AM$66,MATCH(AH$5,calibration!$AB$52:$AB$66,0),MATCH(constants!$A31,calibration!$P$51:$Z$51,0))</f>
        <v>#DIV/0!</v>
      </c>
    </row>
    <row r="32" spans="1:34" x14ac:dyDescent="0.25">
      <c r="A32" t="s">
        <v>8</v>
      </c>
      <c r="B32" t="s">
        <v>72</v>
      </c>
      <c r="R32" s="7"/>
      <c r="S32">
        <f>INDEX(calibration!$AC$52:$AM$66,MATCH(S$3,calibration!$AB$52:$AB$66,0),MATCH(constants!$A32,calibration!$P$51:$Z$51,0))</f>
        <v>0</v>
      </c>
      <c r="T32">
        <f>INDEX(calibration!$AC$52:$AM$66,MATCH(T$3,calibration!$AB$52:$AB$66,0),MATCH(constants!$A32,calibration!$P$51:$Z$51,0))</f>
        <v>0</v>
      </c>
      <c r="U32" t="e">
        <f>INDEX(calibration!$AC$52:$AM$66,MATCH(U$3,calibration!$AB$52:$AB$66,0),MATCH(constants!$A32,calibration!$P$51:$Z$51,0))</f>
        <v>#DIV/0!</v>
      </c>
      <c r="V32" t="e">
        <f>INDEX(calibration!$AC$52:$AM$66,MATCH(V$3,calibration!$AB$52:$AB$66,0),MATCH(constants!$A32,calibration!$P$51:$Z$51,0))</f>
        <v>#DIV/0!</v>
      </c>
      <c r="W32">
        <f>INDEX(calibration!$AC$52:$AM$66,MATCH(W$3,calibration!$AB$52:$AB$66,0),MATCH(constants!$A32,calibration!$P$51:$Z$51,0))</f>
        <v>0</v>
      </c>
      <c r="X32" t="e">
        <f>INDEX(calibration!$AC$52:$AM$66,MATCH(X$3,calibration!$AB$52:$AB$66,0),MATCH(constants!$A32,calibration!$P$51:$Z$51,0))</f>
        <v>#DIV/0!</v>
      </c>
      <c r="Y32" t="e">
        <f>INDEX(calibration!$AC$52:$AM$66,MATCH(Y$3,calibration!$AB$52:$AB$66,0),MATCH(constants!$A32,calibration!$P$51:$Z$51,0))</f>
        <v>#DIV/0!</v>
      </c>
      <c r="Z32" t="e">
        <f>INDEX(calibration!$AC$52:$AM$66,MATCH(Z$3,calibration!$AB$52:$AB$66,0),MATCH(constants!$A32,calibration!$P$51:$Z$51,0))</f>
        <v>#DIV/0!</v>
      </c>
      <c r="AA32" t="e">
        <f>INDEX(calibration!$AC$52:$AM$66,MATCH(AA$3,calibration!$AB$52:$AB$66,0),MATCH(constants!$A32,calibration!$P$51:$Z$51,0))</f>
        <v>#DIV/0!</v>
      </c>
      <c r="AB32" t="e">
        <f>INDEX(calibration!$AC$52:$AM$66,MATCH(AB$3,calibration!$AB$52:$AB$66,0),MATCH(constants!$A32,calibration!$P$51:$Z$51,0))</f>
        <v>#DIV/0!</v>
      </c>
      <c r="AC32" t="e">
        <f>INDEX(calibration!$AC$52:$AM$66,MATCH(AC$3,calibration!$AB$52:$AB$66,0),MATCH(constants!$A32,calibration!$P$51:$Z$51,0))</f>
        <v>#DIV/0!</v>
      </c>
      <c r="AD32" t="e">
        <f>INDEX(calibration!$AC$52:$AM$66,MATCH(AD$3,calibration!$AB$52:$AB$66,0),MATCH(constants!$A32,calibration!$P$51:$Z$51,0))</f>
        <v>#DIV/0!</v>
      </c>
      <c r="AE32" t="e">
        <f>INDEX(calibration!$AC$52:$AM$66,MATCH(AE$3,calibration!$AB$52:$AB$66,0),MATCH(constants!$A32,calibration!$P$51:$Z$51,0))</f>
        <v>#DIV/0!</v>
      </c>
      <c r="AF32" t="e">
        <f>INDEX(calibration!$AC$52:$AM$66,MATCH(AF$3,calibration!$AB$52:$AB$66,0),MATCH(constants!$A32,calibration!$P$51:$Z$51,0))</f>
        <v>#DIV/0!</v>
      </c>
      <c r="AG32" t="e">
        <f>INDEX(calibration!$AC$52:$AM$66,MATCH(AG$3,calibration!$AB$52:$AB$66,0),MATCH(constants!$A32,calibration!$P$51:$Z$51,0))</f>
        <v>#DIV/0!</v>
      </c>
      <c r="AH32" t="e">
        <f>INDEX(calibration!$AC$52:$AM$66,MATCH(AH$3,calibration!$AB$52:$AB$66,0),MATCH(constants!$A32,calibration!$P$51:$Z$51,0))</f>
        <v>#DIV/0!</v>
      </c>
    </row>
    <row r="33" spans="1:34" x14ac:dyDescent="0.25">
      <c r="A33" t="s">
        <v>9</v>
      </c>
      <c r="B33" t="s">
        <v>76</v>
      </c>
      <c r="R33" s="7"/>
      <c r="S33">
        <f>INDEX(calibration!$AC$52:$AM$66,MATCH(constants!S$4,calibration!$AB$52:$AB$66,0),MATCH(constants!$A33,calibration!$P$51:$Z$51,0))</f>
        <v>0</v>
      </c>
      <c r="T33">
        <f>INDEX(calibration!$AC$52:$AM$66,MATCH(constants!T$4,calibration!$AB$52:$AB$66,0),MATCH(constants!$A33,calibration!$P$51:$Z$51,0))</f>
        <v>0</v>
      </c>
      <c r="U33">
        <f>INDEX(calibration!$AC$52:$AM$66,MATCH(constants!U$4,calibration!$AB$52:$AB$66,0),MATCH(constants!$A33,calibration!$P$51:$Z$51,0))</f>
        <v>0</v>
      </c>
      <c r="V33">
        <f>INDEX(calibration!$AC$52:$AM$66,MATCH(constants!V$4,calibration!$AB$52:$AB$66,0),MATCH(constants!$A33,calibration!$P$51:$Z$51,0))</f>
        <v>0</v>
      </c>
      <c r="W33" t="e">
        <f>INDEX(calibration!$AC$52:$AM$66,MATCH(constants!W$4,calibration!$AB$52:$AB$66,0),MATCH(constants!$A33,calibration!$P$51:$Z$51,0))</f>
        <v>#DIV/0!</v>
      </c>
      <c r="X33" t="e">
        <f>INDEX(calibration!$AC$52:$AM$66,MATCH(constants!X$4,calibration!$AB$52:$AB$66,0),MATCH(constants!$A33,calibration!$P$51:$Z$51,0))</f>
        <v>#DIV/0!</v>
      </c>
      <c r="Y33" t="e">
        <f>INDEX(calibration!$AC$52:$AM$66,MATCH(constants!Y$4,calibration!$AB$52:$AB$66,0),MATCH(constants!$A33,calibration!$P$51:$Z$51,0))</f>
        <v>#DIV/0!</v>
      </c>
      <c r="Z33" t="e">
        <f>INDEX(calibration!$AC$52:$AM$66,MATCH(constants!Z$4,calibration!$AB$52:$AB$66,0),MATCH(constants!$A33,calibration!$P$51:$Z$51,0))</f>
        <v>#DIV/0!</v>
      </c>
      <c r="AA33" t="e">
        <f>INDEX(calibration!$AC$52:$AM$66,MATCH(constants!AA$4,calibration!$AB$52:$AB$66,0),MATCH(constants!$A33,calibration!$P$51:$Z$51,0))</f>
        <v>#DIV/0!</v>
      </c>
      <c r="AB33" t="e">
        <f>INDEX(calibration!$AC$52:$AM$66,MATCH(constants!AB$4,calibration!$AB$52:$AB$66,0),MATCH(constants!$A33,calibration!$P$51:$Z$51,0))</f>
        <v>#DIV/0!</v>
      </c>
      <c r="AC33" t="e">
        <f>INDEX(calibration!$AC$52:$AM$66,MATCH(constants!AC$4,calibration!$AB$52:$AB$66,0),MATCH(constants!$A33,calibration!$P$51:$Z$51,0))</f>
        <v>#DIV/0!</v>
      </c>
      <c r="AD33" t="e">
        <f>INDEX(calibration!$AC$52:$AM$66,MATCH(constants!AD$4,calibration!$AB$52:$AB$66,0),MATCH(constants!$A33,calibration!$P$51:$Z$51,0))</f>
        <v>#DIV/0!</v>
      </c>
      <c r="AE33" t="e">
        <f>INDEX(calibration!$AC$52:$AM$66,MATCH(constants!AE$4,calibration!$AB$52:$AB$66,0),MATCH(constants!$A33,calibration!$P$51:$Z$51,0))</f>
        <v>#DIV/0!</v>
      </c>
      <c r="AF33" t="e">
        <f>INDEX(calibration!$AC$52:$AM$66,MATCH(constants!AF$4,calibration!$AB$52:$AB$66,0),MATCH(constants!$A33,calibration!$P$51:$Z$51,0))</f>
        <v>#DIV/0!</v>
      </c>
      <c r="AG33" t="e">
        <f>INDEX(calibration!$AC$52:$AM$66,MATCH(constants!AG$4,calibration!$AB$52:$AB$66,0),MATCH(constants!$A33,calibration!$P$51:$Z$51,0))</f>
        <v>#DIV/0!</v>
      </c>
      <c r="AH33" t="e">
        <f>INDEX(calibration!$AC$52:$AM$66,MATCH(constants!AH$4,calibration!$AB$52:$AB$66,0),MATCH(constants!$A33,calibration!$P$51:$Z$51,0))</f>
        <v>#DIV/0!</v>
      </c>
    </row>
    <row r="34" spans="1:34" x14ac:dyDescent="0.25">
      <c r="A34" t="s">
        <v>9</v>
      </c>
      <c r="B34" t="s">
        <v>71</v>
      </c>
      <c r="R34" s="7"/>
      <c r="S34">
        <f>INDEX(calibration!$AC$52:$AM$66,MATCH(S$5,calibration!$AB$52:$AB$66,0),MATCH(constants!$A34,calibration!$P$51:$Z$51,0))</f>
        <v>0</v>
      </c>
      <c r="T34" t="e">
        <f>INDEX(calibration!$AC$52:$AM$66,MATCH(T$5,calibration!$AB$52:$AB$66,0),MATCH(constants!$A34,calibration!$P$51:$Z$51,0))</f>
        <v>#DIV/0!</v>
      </c>
      <c r="U34" t="e">
        <f>INDEX(calibration!$AC$52:$AM$66,MATCH(U$5,calibration!$AB$52:$AB$66,0),MATCH(constants!$A34,calibration!$P$51:$Z$51,0))</f>
        <v>#DIV/0!</v>
      </c>
      <c r="V34" t="e">
        <f>INDEX(calibration!$AC$52:$AM$66,MATCH(V$5,calibration!$AB$52:$AB$66,0),MATCH(constants!$A34,calibration!$P$51:$Z$51,0))</f>
        <v>#DIV/0!</v>
      </c>
      <c r="W34">
        <f>INDEX(calibration!$AC$52:$AM$66,MATCH(W$5,calibration!$AB$52:$AB$66,0),MATCH(constants!$A34,calibration!$P$51:$Z$51,0))</f>
        <v>0</v>
      </c>
      <c r="X34" t="e">
        <f>INDEX(calibration!$AC$52:$AM$66,MATCH(X$5,calibration!$AB$52:$AB$66,0),MATCH(constants!$A34,calibration!$P$51:$Z$51,0))</f>
        <v>#DIV/0!</v>
      </c>
      <c r="Y34" t="e">
        <f>INDEX(calibration!$AC$52:$AM$66,MATCH(Y$5,calibration!$AB$52:$AB$66,0),MATCH(constants!$A34,calibration!$P$51:$Z$51,0))</f>
        <v>#DIV/0!</v>
      </c>
      <c r="Z34" t="e">
        <f>INDEX(calibration!$AC$52:$AM$66,MATCH(Z$5,calibration!$AB$52:$AB$66,0),MATCH(constants!$A34,calibration!$P$51:$Z$51,0))</f>
        <v>#DIV/0!</v>
      </c>
      <c r="AA34">
        <f>INDEX(calibration!$AC$52:$AM$66,MATCH(AA$5,calibration!$AB$52:$AB$66,0),MATCH(constants!$A34,calibration!$P$51:$Z$51,0))</f>
        <v>0</v>
      </c>
      <c r="AB34" t="e">
        <f>INDEX(calibration!$AC$52:$AM$66,MATCH(AB$5,calibration!$AB$52:$AB$66,0),MATCH(constants!$A34,calibration!$P$51:$Z$51,0))</f>
        <v>#DIV/0!</v>
      </c>
      <c r="AC34" t="e">
        <f>INDEX(calibration!$AC$52:$AM$66,MATCH(AC$5,calibration!$AB$52:$AB$66,0),MATCH(constants!$A34,calibration!$P$51:$Z$51,0))</f>
        <v>#DIV/0!</v>
      </c>
      <c r="AD34" t="e">
        <f>INDEX(calibration!$AC$52:$AM$66,MATCH(AD$5,calibration!$AB$52:$AB$66,0),MATCH(constants!$A34,calibration!$P$51:$Z$51,0))</f>
        <v>#DIV/0!</v>
      </c>
      <c r="AE34">
        <f>INDEX(calibration!$AC$52:$AM$66,MATCH(AE$5,calibration!$AB$52:$AB$66,0),MATCH(constants!$A34,calibration!$P$51:$Z$51,0))</f>
        <v>0</v>
      </c>
      <c r="AF34" t="e">
        <f>INDEX(calibration!$AC$52:$AM$66,MATCH(AF$5,calibration!$AB$52:$AB$66,0),MATCH(constants!$A34,calibration!$P$51:$Z$51,0))</f>
        <v>#DIV/0!</v>
      </c>
      <c r="AG34" t="e">
        <f>INDEX(calibration!$AC$52:$AM$66,MATCH(AG$5,calibration!$AB$52:$AB$66,0),MATCH(constants!$A34,calibration!$P$51:$Z$51,0))</f>
        <v>#DIV/0!</v>
      </c>
      <c r="AH34" t="e">
        <f>INDEX(calibration!$AC$52:$AM$66,MATCH(AH$5,calibration!$AB$52:$AB$66,0),MATCH(constants!$A34,calibration!$P$51:$Z$51,0))</f>
        <v>#DIV/0!</v>
      </c>
    </row>
    <row r="35" spans="1:34" x14ac:dyDescent="0.25">
      <c r="A35" t="s">
        <v>9</v>
      </c>
      <c r="B35" t="s">
        <v>72</v>
      </c>
      <c r="R35" s="7"/>
      <c r="S35">
        <f>INDEX(calibration!$AC$52:$AM$66,MATCH(S$3,calibration!$AB$52:$AB$66,0),MATCH(constants!$A35,calibration!$P$51:$Z$51,0))</f>
        <v>0</v>
      </c>
      <c r="T35">
        <f>INDEX(calibration!$AC$52:$AM$66,MATCH(T$3,calibration!$AB$52:$AB$66,0),MATCH(constants!$A35,calibration!$P$51:$Z$51,0))</f>
        <v>0</v>
      </c>
      <c r="U35" t="e">
        <f>INDEX(calibration!$AC$52:$AM$66,MATCH(U$3,calibration!$AB$52:$AB$66,0),MATCH(constants!$A35,calibration!$P$51:$Z$51,0))</f>
        <v>#DIV/0!</v>
      </c>
      <c r="V35" t="e">
        <f>INDEX(calibration!$AC$52:$AM$66,MATCH(V$3,calibration!$AB$52:$AB$66,0),MATCH(constants!$A35,calibration!$P$51:$Z$51,0))</f>
        <v>#DIV/0!</v>
      </c>
      <c r="W35">
        <f>INDEX(calibration!$AC$52:$AM$66,MATCH(W$3,calibration!$AB$52:$AB$66,0),MATCH(constants!$A35,calibration!$P$51:$Z$51,0))</f>
        <v>0</v>
      </c>
      <c r="X35" t="e">
        <f>INDEX(calibration!$AC$52:$AM$66,MATCH(X$3,calibration!$AB$52:$AB$66,0),MATCH(constants!$A35,calibration!$P$51:$Z$51,0))</f>
        <v>#DIV/0!</v>
      </c>
      <c r="Y35" t="e">
        <f>INDEX(calibration!$AC$52:$AM$66,MATCH(Y$3,calibration!$AB$52:$AB$66,0),MATCH(constants!$A35,calibration!$P$51:$Z$51,0))</f>
        <v>#DIV/0!</v>
      </c>
      <c r="Z35" t="e">
        <f>INDEX(calibration!$AC$52:$AM$66,MATCH(Z$3,calibration!$AB$52:$AB$66,0),MATCH(constants!$A35,calibration!$P$51:$Z$51,0))</f>
        <v>#DIV/0!</v>
      </c>
      <c r="AA35" t="e">
        <f>INDEX(calibration!$AC$52:$AM$66,MATCH(AA$3,calibration!$AB$52:$AB$66,0),MATCH(constants!$A35,calibration!$P$51:$Z$51,0))</f>
        <v>#DIV/0!</v>
      </c>
      <c r="AB35" t="e">
        <f>INDEX(calibration!$AC$52:$AM$66,MATCH(AB$3,calibration!$AB$52:$AB$66,0),MATCH(constants!$A35,calibration!$P$51:$Z$51,0))</f>
        <v>#DIV/0!</v>
      </c>
      <c r="AC35" t="e">
        <f>INDEX(calibration!$AC$52:$AM$66,MATCH(AC$3,calibration!$AB$52:$AB$66,0),MATCH(constants!$A35,calibration!$P$51:$Z$51,0))</f>
        <v>#DIV/0!</v>
      </c>
      <c r="AD35" t="e">
        <f>INDEX(calibration!$AC$52:$AM$66,MATCH(AD$3,calibration!$AB$52:$AB$66,0),MATCH(constants!$A35,calibration!$P$51:$Z$51,0))</f>
        <v>#DIV/0!</v>
      </c>
      <c r="AE35" t="e">
        <f>INDEX(calibration!$AC$52:$AM$66,MATCH(AE$3,calibration!$AB$52:$AB$66,0),MATCH(constants!$A35,calibration!$P$51:$Z$51,0))</f>
        <v>#DIV/0!</v>
      </c>
      <c r="AF35" t="e">
        <f>INDEX(calibration!$AC$52:$AM$66,MATCH(AF$3,calibration!$AB$52:$AB$66,0),MATCH(constants!$A35,calibration!$P$51:$Z$51,0))</f>
        <v>#DIV/0!</v>
      </c>
      <c r="AG35" t="e">
        <f>INDEX(calibration!$AC$52:$AM$66,MATCH(AG$3,calibration!$AB$52:$AB$66,0),MATCH(constants!$A35,calibration!$P$51:$Z$51,0))</f>
        <v>#DIV/0!</v>
      </c>
      <c r="AH35" t="e">
        <f>INDEX(calibration!$AC$52:$AM$66,MATCH(AH$3,calibration!$AB$52:$AB$66,0),MATCH(constants!$A35,calibration!$P$51:$Z$51,0))</f>
        <v>#DIV/0!</v>
      </c>
    </row>
    <row r="36" spans="1:34" x14ac:dyDescent="0.25">
      <c r="A36" t="s">
        <v>10</v>
      </c>
      <c r="B36" t="s">
        <v>76</v>
      </c>
      <c r="R36" s="7"/>
      <c r="S36">
        <f>INDEX(calibration!$AC$52:$AM$66,MATCH(constants!S$4,calibration!$AB$52:$AB$66,0),MATCH(constants!$A36,calibration!$P$51:$Z$51,0))</f>
        <v>0</v>
      </c>
      <c r="T36">
        <f>INDEX(calibration!$AC$52:$AM$66,MATCH(constants!T$4,calibration!$AB$52:$AB$66,0),MATCH(constants!$A36,calibration!$P$51:$Z$51,0))</f>
        <v>0</v>
      </c>
      <c r="U36">
        <f>INDEX(calibration!$AC$52:$AM$66,MATCH(constants!U$4,calibration!$AB$52:$AB$66,0),MATCH(constants!$A36,calibration!$P$51:$Z$51,0))</f>
        <v>0</v>
      </c>
      <c r="V36">
        <f>INDEX(calibration!$AC$52:$AM$66,MATCH(constants!V$4,calibration!$AB$52:$AB$66,0),MATCH(constants!$A36,calibration!$P$51:$Z$51,0))</f>
        <v>0</v>
      </c>
      <c r="W36" t="e">
        <f>INDEX(calibration!$AC$52:$AM$66,MATCH(constants!W$4,calibration!$AB$52:$AB$66,0),MATCH(constants!$A36,calibration!$P$51:$Z$51,0))</f>
        <v>#DIV/0!</v>
      </c>
      <c r="X36" t="e">
        <f>INDEX(calibration!$AC$52:$AM$66,MATCH(constants!X$4,calibration!$AB$52:$AB$66,0),MATCH(constants!$A36,calibration!$P$51:$Z$51,0))</f>
        <v>#DIV/0!</v>
      </c>
      <c r="Y36" t="e">
        <f>INDEX(calibration!$AC$52:$AM$66,MATCH(constants!Y$4,calibration!$AB$52:$AB$66,0),MATCH(constants!$A36,calibration!$P$51:$Z$51,0))</f>
        <v>#DIV/0!</v>
      </c>
      <c r="Z36" t="e">
        <f>INDEX(calibration!$AC$52:$AM$66,MATCH(constants!Z$4,calibration!$AB$52:$AB$66,0),MATCH(constants!$A36,calibration!$P$51:$Z$51,0))</f>
        <v>#DIV/0!</v>
      </c>
      <c r="AA36" t="e">
        <f>INDEX(calibration!$AC$52:$AM$66,MATCH(constants!AA$4,calibration!$AB$52:$AB$66,0),MATCH(constants!$A36,calibration!$P$51:$Z$51,0))</f>
        <v>#DIV/0!</v>
      </c>
      <c r="AB36" t="e">
        <f>INDEX(calibration!$AC$52:$AM$66,MATCH(constants!AB$4,calibration!$AB$52:$AB$66,0),MATCH(constants!$A36,calibration!$P$51:$Z$51,0))</f>
        <v>#DIV/0!</v>
      </c>
      <c r="AC36" t="e">
        <f>INDEX(calibration!$AC$52:$AM$66,MATCH(constants!AC$4,calibration!$AB$52:$AB$66,0),MATCH(constants!$A36,calibration!$P$51:$Z$51,0))</f>
        <v>#DIV/0!</v>
      </c>
      <c r="AD36" t="e">
        <f>INDEX(calibration!$AC$52:$AM$66,MATCH(constants!AD$4,calibration!$AB$52:$AB$66,0),MATCH(constants!$A36,calibration!$P$51:$Z$51,0))</f>
        <v>#DIV/0!</v>
      </c>
      <c r="AE36" t="e">
        <f>INDEX(calibration!$AC$52:$AM$66,MATCH(constants!AE$4,calibration!$AB$52:$AB$66,0),MATCH(constants!$A36,calibration!$P$51:$Z$51,0))</f>
        <v>#DIV/0!</v>
      </c>
      <c r="AF36" t="e">
        <f>INDEX(calibration!$AC$52:$AM$66,MATCH(constants!AF$4,calibration!$AB$52:$AB$66,0),MATCH(constants!$A36,calibration!$P$51:$Z$51,0))</f>
        <v>#DIV/0!</v>
      </c>
      <c r="AG36" t="e">
        <f>INDEX(calibration!$AC$52:$AM$66,MATCH(constants!AG$4,calibration!$AB$52:$AB$66,0),MATCH(constants!$A36,calibration!$P$51:$Z$51,0))</f>
        <v>#DIV/0!</v>
      </c>
      <c r="AH36" t="e">
        <f>INDEX(calibration!$AC$52:$AM$66,MATCH(constants!AH$4,calibration!$AB$52:$AB$66,0),MATCH(constants!$A36,calibration!$P$51:$Z$51,0))</f>
        <v>#DIV/0!</v>
      </c>
    </row>
    <row r="37" spans="1:34" x14ac:dyDescent="0.25">
      <c r="A37" t="s">
        <v>10</v>
      </c>
      <c r="B37" t="s">
        <v>71</v>
      </c>
      <c r="R37" s="7"/>
      <c r="S37">
        <f>INDEX(calibration!$AC$52:$AM$66,MATCH(S$5,calibration!$AB$52:$AB$66,0),MATCH(constants!$A37,calibration!$P$51:$Z$51,0))</f>
        <v>0</v>
      </c>
      <c r="T37" t="e">
        <f>INDEX(calibration!$AC$52:$AM$66,MATCH(T$5,calibration!$AB$52:$AB$66,0),MATCH(constants!$A37,calibration!$P$51:$Z$51,0))</f>
        <v>#DIV/0!</v>
      </c>
      <c r="U37" t="e">
        <f>INDEX(calibration!$AC$52:$AM$66,MATCH(U$5,calibration!$AB$52:$AB$66,0),MATCH(constants!$A37,calibration!$P$51:$Z$51,0))</f>
        <v>#DIV/0!</v>
      </c>
      <c r="V37" t="e">
        <f>INDEX(calibration!$AC$52:$AM$66,MATCH(V$5,calibration!$AB$52:$AB$66,0),MATCH(constants!$A37,calibration!$P$51:$Z$51,0))</f>
        <v>#DIV/0!</v>
      </c>
      <c r="W37">
        <f>INDEX(calibration!$AC$52:$AM$66,MATCH(W$5,calibration!$AB$52:$AB$66,0),MATCH(constants!$A37,calibration!$P$51:$Z$51,0))</f>
        <v>0</v>
      </c>
      <c r="X37" t="e">
        <f>INDEX(calibration!$AC$52:$AM$66,MATCH(X$5,calibration!$AB$52:$AB$66,0),MATCH(constants!$A37,calibration!$P$51:$Z$51,0))</f>
        <v>#DIV/0!</v>
      </c>
      <c r="Y37" t="e">
        <f>INDEX(calibration!$AC$52:$AM$66,MATCH(Y$5,calibration!$AB$52:$AB$66,0),MATCH(constants!$A37,calibration!$P$51:$Z$51,0))</f>
        <v>#DIV/0!</v>
      </c>
      <c r="Z37" t="e">
        <f>INDEX(calibration!$AC$52:$AM$66,MATCH(Z$5,calibration!$AB$52:$AB$66,0),MATCH(constants!$A37,calibration!$P$51:$Z$51,0))</f>
        <v>#DIV/0!</v>
      </c>
      <c r="AA37">
        <f>INDEX(calibration!$AC$52:$AM$66,MATCH(AA$5,calibration!$AB$52:$AB$66,0),MATCH(constants!$A37,calibration!$P$51:$Z$51,0))</f>
        <v>0</v>
      </c>
      <c r="AB37" t="e">
        <f>INDEX(calibration!$AC$52:$AM$66,MATCH(AB$5,calibration!$AB$52:$AB$66,0),MATCH(constants!$A37,calibration!$P$51:$Z$51,0))</f>
        <v>#DIV/0!</v>
      </c>
      <c r="AC37" t="e">
        <f>INDEX(calibration!$AC$52:$AM$66,MATCH(AC$5,calibration!$AB$52:$AB$66,0),MATCH(constants!$A37,calibration!$P$51:$Z$51,0))</f>
        <v>#DIV/0!</v>
      </c>
      <c r="AD37" t="e">
        <f>INDEX(calibration!$AC$52:$AM$66,MATCH(AD$5,calibration!$AB$52:$AB$66,0),MATCH(constants!$A37,calibration!$P$51:$Z$51,0))</f>
        <v>#DIV/0!</v>
      </c>
      <c r="AE37">
        <f>INDEX(calibration!$AC$52:$AM$66,MATCH(AE$5,calibration!$AB$52:$AB$66,0),MATCH(constants!$A37,calibration!$P$51:$Z$51,0))</f>
        <v>0</v>
      </c>
      <c r="AF37" t="e">
        <f>INDEX(calibration!$AC$52:$AM$66,MATCH(AF$5,calibration!$AB$52:$AB$66,0),MATCH(constants!$A37,calibration!$P$51:$Z$51,0))</f>
        <v>#DIV/0!</v>
      </c>
      <c r="AG37" t="e">
        <f>INDEX(calibration!$AC$52:$AM$66,MATCH(AG$5,calibration!$AB$52:$AB$66,0),MATCH(constants!$A37,calibration!$P$51:$Z$51,0))</f>
        <v>#DIV/0!</v>
      </c>
      <c r="AH37" t="e">
        <f>INDEX(calibration!$AC$52:$AM$66,MATCH(AH$5,calibration!$AB$52:$AB$66,0),MATCH(constants!$A37,calibration!$P$51:$Z$51,0))</f>
        <v>#DIV/0!</v>
      </c>
    </row>
    <row r="38" spans="1:34" x14ac:dyDescent="0.25">
      <c r="A38" t="s">
        <v>10</v>
      </c>
      <c r="B38" t="s">
        <v>72</v>
      </c>
      <c r="R38" s="7"/>
      <c r="S38">
        <f>INDEX(calibration!$AC$52:$AM$66,MATCH(S$3,calibration!$AB$52:$AB$66,0),MATCH(constants!$A38,calibration!$P$51:$Z$51,0))</f>
        <v>0</v>
      </c>
      <c r="T38">
        <f>INDEX(calibration!$AC$52:$AM$66,MATCH(T$3,calibration!$AB$52:$AB$66,0),MATCH(constants!$A38,calibration!$P$51:$Z$51,0))</f>
        <v>0</v>
      </c>
      <c r="U38" t="e">
        <f>INDEX(calibration!$AC$52:$AM$66,MATCH(U$3,calibration!$AB$52:$AB$66,0),MATCH(constants!$A38,calibration!$P$51:$Z$51,0))</f>
        <v>#DIV/0!</v>
      </c>
      <c r="V38" t="e">
        <f>INDEX(calibration!$AC$52:$AM$66,MATCH(V$3,calibration!$AB$52:$AB$66,0),MATCH(constants!$A38,calibration!$P$51:$Z$51,0))</f>
        <v>#DIV/0!</v>
      </c>
      <c r="W38">
        <f>INDEX(calibration!$AC$52:$AM$66,MATCH(W$3,calibration!$AB$52:$AB$66,0),MATCH(constants!$A38,calibration!$P$51:$Z$51,0))</f>
        <v>0</v>
      </c>
      <c r="X38" t="e">
        <f>INDEX(calibration!$AC$52:$AM$66,MATCH(X$3,calibration!$AB$52:$AB$66,0),MATCH(constants!$A38,calibration!$P$51:$Z$51,0))</f>
        <v>#DIV/0!</v>
      </c>
      <c r="Y38" t="e">
        <f>INDEX(calibration!$AC$52:$AM$66,MATCH(Y$3,calibration!$AB$52:$AB$66,0),MATCH(constants!$A38,calibration!$P$51:$Z$51,0))</f>
        <v>#DIV/0!</v>
      </c>
      <c r="Z38" t="e">
        <f>INDEX(calibration!$AC$52:$AM$66,MATCH(Z$3,calibration!$AB$52:$AB$66,0),MATCH(constants!$A38,calibration!$P$51:$Z$51,0))</f>
        <v>#DIV/0!</v>
      </c>
      <c r="AA38" t="e">
        <f>INDEX(calibration!$AC$52:$AM$66,MATCH(AA$3,calibration!$AB$52:$AB$66,0),MATCH(constants!$A38,calibration!$P$51:$Z$51,0))</f>
        <v>#DIV/0!</v>
      </c>
      <c r="AB38" t="e">
        <f>INDEX(calibration!$AC$52:$AM$66,MATCH(AB$3,calibration!$AB$52:$AB$66,0),MATCH(constants!$A38,calibration!$P$51:$Z$51,0))</f>
        <v>#DIV/0!</v>
      </c>
      <c r="AC38" t="e">
        <f>INDEX(calibration!$AC$52:$AM$66,MATCH(AC$3,calibration!$AB$52:$AB$66,0),MATCH(constants!$A38,calibration!$P$51:$Z$51,0))</f>
        <v>#DIV/0!</v>
      </c>
      <c r="AD38" t="e">
        <f>INDEX(calibration!$AC$52:$AM$66,MATCH(AD$3,calibration!$AB$52:$AB$66,0),MATCH(constants!$A38,calibration!$P$51:$Z$51,0))</f>
        <v>#DIV/0!</v>
      </c>
      <c r="AE38" t="e">
        <f>INDEX(calibration!$AC$52:$AM$66,MATCH(AE$3,calibration!$AB$52:$AB$66,0),MATCH(constants!$A38,calibration!$P$51:$Z$51,0))</f>
        <v>#DIV/0!</v>
      </c>
      <c r="AF38" t="e">
        <f>INDEX(calibration!$AC$52:$AM$66,MATCH(AF$3,calibration!$AB$52:$AB$66,0),MATCH(constants!$A38,calibration!$P$51:$Z$51,0))</f>
        <v>#DIV/0!</v>
      </c>
      <c r="AG38" t="e">
        <f>INDEX(calibration!$AC$52:$AM$66,MATCH(AG$3,calibration!$AB$52:$AB$66,0),MATCH(constants!$A38,calibration!$P$51:$Z$51,0))</f>
        <v>#DIV/0!</v>
      </c>
      <c r="AH38" t="e">
        <f>INDEX(calibration!$AC$52:$AM$66,MATCH(AH$3,calibration!$AB$52:$AB$66,0),MATCH(constants!$A38,calibration!$P$51:$Z$51,0))</f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E016D-553D-4789-A918-6381BA0F9838}">
  <sheetPr>
    <tabColor rgb="FF9BBB59"/>
  </sheetPr>
  <dimension ref="B1:S4"/>
  <sheetViews>
    <sheetView workbookViewId="0">
      <selection activeCell="B1" sqref="B1"/>
    </sheetView>
  </sheetViews>
  <sheetFormatPr defaultRowHeight="15" x14ac:dyDescent="0.25"/>
  <cols>
    <col min="2" max="2" width="9.42578125" bestFit="1" customWidth="1"/>
  </cols>
  <sheetData>
    <row r="1" spans="2:19" x14ac:dyDescent="0.25">
      <c r="B1" s="1"/>
    </row>
    <row r="3" spans="2:19" x14ac:dyDescent="0.25">
      <c r="B3" t="s">
        <v>77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78</v>
      </c>
      <c r="I3" t="s">
        <v>6</v>
      </c>
      <c r="J3" t="s">
        <v>79</v>
      </c>
      <c r="K3" t="s">
        <v>80</v>
      </c>
      <c r="L3" t="s">
        <v>9</v>
      </c>
      <c r="M3" t="s">
        <v>10</v>
      </c>
      <c r="N3" t="s">
        <v>39</v>
      </c>
    </row>
    <row r="4" spans="2:19" x14ac:dyDescent="0.25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E3413-48B7-4B37-B389-374873CCA87C}">
  <sheetPr>
    <tabColor theme="3" tint="0.499984740745262"/>
  </sheetPr>
  <dimension ref="B1:AA50"/>
  <sheetViews>
    <sheetView workbookViewId="0">
      <selection activeCell="P24" sqref="P24"/>
    </sheetView>
  </sheetViews>
  <sheetFormatPr defaultRowHeight="15" x14ac:dyDescent="0.25"/>
  <cols>
    <col min="17" max="17" width="13.28515625" bestFit="1" customWidth="1"/>
    <col min="18" max="18" width="10.5703125" bestFit="1" customWidth="1"/>
    <col min="19" max="19" width="11.5703125" bestFit="1" customWidth="1"/>
    <col min="20" max="21" width="13.28515625" bestFit="1" customWidth="1"/>
    <col min="22" max="23" width="11.5703125" bestFit="1" customWidth="1"/>
    <col min="24" max="24" width="13.28515625" bestFit="1" customWidth="1"/>
    <col min="25" max="27" width="11.5703125" bestFit="1" customWidth="1"/>
  </cols>
  <sheetData>
    <row r="1" spans="2:27" x14ac:dyDescent="0.25">
      <c r="B1" s="1" t="s">
        <v>106</v>
      </c>
    </row>
    <row r="3" spans="2:27" x14ac:dyDescent="0.25">
      <c r="B3" t="s">
        <v>77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78</v>
      </c>
      <c r="I3" t="s">
        <v>6</v>
      </c>
      <c r="J3" t="s">
        <v>79</v>
      </c>
      <c r="K3" t="s">
        <v>80</v>
      </c>
      <c r="L3" t="s">
        <v>9</v>
      </c>
      <c r="M3" t="s">
        <v>10</v>
      </c>
      <c r="N3" t="s">
        <v>39</v>
      </c>
      <c r="Q3" t="s">
        <v>0</v>
      </c>
      <c r="R3" t="s">
        <v>1</v>
      </c>
      <c r="S3" t="s">
        <v>2</v>
      </c>
      <c r="T3" t="s">
        <v>3</v>
      </c>
      <c r="U3" t="s">
        <v>4</v>
      </c>
      <c r="V3" t="s">
        <v>5</v>
      </c>
      <c r="W3" t="s">
        <v>6</v>
      </c>
      <c r="X3" t="s">
        <v>7</v>
      </c>
      <c r="Y3" t="s">
        <v>8</v>
      </c>
      <c r="Z3" t="s">
        <v>9</v>
      </c>
      <c r="AA3" t="s">
        <v>10</v>
      </c>
    </row>
    <row r="4" spans="2:27" x14ac:dyDescent="0.25">
      <c r="B4" t="s">
        <v>81</v>
      </c>
      <c r="C4" s="40">
        <v>13536</v>
      </c>
      <c r="D4" s="40">
        <v>328</v>
      </c>
      <c r="E4" s="40">
        <v>1936</v>
      </c>
      <c r="F4" s="40">
        <v>10630</v>
      </c>
      <c r="G4" s="40">
        <v>9868</v>
      </c>
      <c r="H4" s="40">
        <v>6004</v>
      </c>
      <c r="I4" s="40">
        <v>7624</v>
      </c>
      <c r="J4" s="40">
        <v>24698</v>
      </c>
      <c r="K4" s="40">
        <v>2954</v>
      </c>
      <c r="L4" s="40">
        <v>3334</v>
      </c>
      <c r="M4" s="40">
        <v>29986</v>
      </c>
      <c r="N4">
        <v>110898</v>
      </c>
      <c r="P4" t="s">
        <v>11</v>
      </c>
      <c r="Q4" s="41">
        <f>C4</f>
        <v>13536</v>
      </c>
      <c r="R4" s="41">
        <f t="shared" ref="R4:AA6" si="0">D4</f>
        <v>328</v>
      </c>
      <c r="S4" s="41">
        <f t="shared" si="0"/>
        <v>1936</v>
      </c>
      <c r="T4" s="41">
        <f t="shared" si="0"/>
        <v>10630</v>
      </c>
      <c r="U4" s="41">
        <f t="shared" si="0"/>
        <v>9868</v>
      </c>
      <c r="V4" s="41">
        <f t="shared" si="0"/>
        <v>6004</v>
      </c>
      <c r="W4" s="41">
        <f t="shared" si="0"/>
        <v>7624</v>
      </c>
      <c r="X4" s="41">
        <f t="shared" si="0"/>
        <v>24698</v>
      </c>
      <c r="Y4" s="41">
        <f t="shared" si="0"/>
        <v>2954</v>
      </c>
      <c r="Z4" s="41">
        <f t="shared" si="0"/>
        <v>3334</v>
      </c>
      <c r="AA4" s="41">
        <f t="shared" si="0"/>
        <v>29986</v>
      </c>
    </row>
    <row r="5" spans="2:27" x14ac:dyDescent="0.25">
      <c r="B5" t="s">
        <v>82</v>
      </c>
      <c r="C5" s="40">
        <v>3858</v>
      </c>
      <c r="D5" s="40">
        <v>90</v>
      </c>
      <c r="E5" s="40">
        <v>306</v>
      </c>
      <c r="F5" s="40">
        <v>986</v>
      </c>
      <c r="G5" s="40">
        <v>2138</v>
      </c>
      <c r="H5" s="40">
        <v>1602</v>
      </c>
      <c r="I5" s="40">
        <v>1326</v>
      </c>
      <c r="J5" s="40">
        <v>2330</v>
      </c>
      <c r="K5" s="40">
        <v>364</v>
      </c>
      <c r="L5" s="40">
        <v>198</v>
      </c>
      <c r="M5" s="40">
        <v>4514</v>
      </c>
      <c r="N5">
        <v>17712</v>
      </c>
      <c r="P5" t="s">
        <v>12</v>
      </c>
      <c r="Q5" s="41">
        <f>C5</f>
        <v>3858</v>
      </c>
      <c r="R5" s="41">
        <f t="shared" si="0"/>
        <v>90</v>
      </c>
      <c r="S5" s="41">
        <f t="shared" si="0"/>
        <v>306</v>
      </c>
      <c r="T5" s="41">
        <f t="shared" si="0"/>
        <v>986</v>
      </c>
      <c r="U5" s="41">
        <f t="shared" si="0"/>
        <v>2138</v>
      </c>
      <c r="V5" s="41">
        <f t="shared" si="0"/>
        <v>1602</v>
      </c>
      <c r="W5" s="41">
        <f t="shared" si="0"/>
        <v>1326</v>
      </c>
      <c r="X5" s="41">
        <f t="shared" si="0"/>
        <v>2330</v>
      </c>
      <c r="Y5" s="41">
        <f t="shared" si="0"/>
        <v>364</v>
      </c>
      <c r="Z5" s="41">
        <f t="shared" si="0"/>
        <v>198</v>
      </c>
      <c r="AA5" s="41">
        <f t="shared" si="0"/>
        <v>4514</v>
      </c>
    </row>
    <row r="6" spans="2:27" x14ac:dyDescent="0.25">
      <c r="B6" t="s">
        <v>83</v>
      </c>
      <c r="C6" s="40">
        <v>1188</v>
      </c>
      <c r="D6" s="40">
        <v>20</v>
      </c>
      <c r="E6" s="40">
        <v>86</v>
      </c>
      <c r="F6" s="40">
        <v>96</v>
      </c>
      <c r="G6" s="40">
        <v>598</v>
      </c>
      <c r="H6" s="40">
        <v>432</v>
      </c>
      <c r="I6" s="40">
        <v>368</v>
      </c>
      <c r="J6" s="40">
        <v>612</v>
      </c>
      <c r="K6" s="40">
        <v>72</v>
      </c>
      <c r="L6" s="40">
        <v>20</v>
      </c>
      <c r="M6" s="40">
        <v>1150</v>
      </c>
      <c r="N6">
        <v>4642</v>
      </c>
      <c r="P6" t="s">
        <v>13</v>
      </c>
      <c r="Q6" s="41">
        <f>C6</f>
        <v>1188</v>
      </c>
      <c r="R6" s="41">
        <f t="shared" si="0"/>
        <v>20</v>
      </c>
      <c r="S6" s="41">
        <f t="shared" si="0"/>
        <v>86</v>
      </c>
      <c r="T6" s="41">
        <f t="shared" si="0"/>
        <v>96</v>
      </c>
      <c r="U6" s="41">
        <f t="shared" si="0"/>
        <v>598</v>
      </c>
      <c r="V6" s="41">
        <f t="shared" si="0"/>
        <v>432</v>
      </c>
      <c r="W6" s="41">
        <f t="shared" si="0"/>
        <v>368</v>
      </c>
      <c r="X6" s="41">
        <f t="shared" si="0"/>
        <v>612</v>
      </c>
      <c r="Y6" s="41">
        <f t="shared" si="0"/>
        <v>72</v>
      </c>
      <c r="Z6" s="41">
        <f t="shared" si="0"/>
        <v>20</v>
      </c>
      <c r="AA6" s="41">
        <f t="shared" si="0"/>
        <v>1150</v>
      </c>
    </row>
    <row r="7" spans="2:27" x14ac:dyDescent="0.25">
      <c r="B7" t="s">
        <v>84</v>
      </c>
      <c r="C7" s="40">
        <v>440</v>
      </c>
      <c r="D7" s="40">
        <v>2</v>
      </c>
      <c r="E7" s="40">
        <v>28</v>
      </c>
      <c r="F7" s="40">
        <v>18</v>
      </c>
      <c r="G7" s="40">
        <v>198</v>
      </c>
      <c r="H7" s="40">
        <v>180</v>
      </c>
      <c r="I7" s="40">
        <v>176</v>
      </c>
      <c r="J7" s="40">
        <v>182</v>
      </c>
      <c r="K7" s="40">
        <v>34</v>
      </c>
      <c r="L7" s="40">
        <v>4</v>
      </c>
      <c r="M7" s="40">
        <v>314</v>
      </c>
      <c r="N7">
        <v>1576</v>
      </c>
      <c r="P7" t="s">
        <v>14</v>
      </c>
      <c r="Q7" s="41">
        <f>C7+C8</f>
        <v>764</v>
      </c>
      <c r="R7" s="41">
        <f t="shared" ref="R7:AA7" si="1">D7+D8</f>
        <v>2</v>
      </c>
      <c r="S7" s="41">
        <f t="shared" si="1"/>
        <v>40</v>
      </c>
      <c r="T7" s="41">
        <f t="shared" si="1"/>
        <v>42</v>
      </c>
      <c r="U7" s="41">
        <f t="shared" si="1"/>
        <v>306</v>
      </c>
      <c r="V7" s="41">
        <f t="shared" si="1"/>
        <v>286</v>
      </c>
      <c r="W7" s="41">
        <f t="shared" si="1"/>
        <v>280</v>
      </c>
      <c r="X7" s="41">
        <f t="shared" si="1"/>
        <v>292</v>
      </c>
      <c r="Y7" s="41">
        <f t="shared" si="1"/>
        <v>60</v>
      </c>
      <c r="Z7" s="41">
        <f t="shared" si="1"/>
        <v>8</v>
      </c>
      <c r="AA7" s="41">
        <f t="shared" si="1"/>
        <v>424</v>
      </c>
    </row>
    <row r="8" spans="2:27" x14ac:dyDescent="0.25">
      <c r="B8" s="1" t="s">
        <v>85</v>
      </c>
      <c r="C8" s="42">
        <v>324</v>
      </c>
      <c r="D8" s="1">
        <v>0</v>
      </c>
      <c r="E8" s="42">
        <v>12</v>
      </c>
      <c r="F8" s="42">
        <v>24</v>
      </c>
      <c r="G8" s="42">
        <v>108</v>
      </c>
      <c r="H8" s="42">
        <v>106</v>
      </c>
      <c r="I8" s="42">
        <v>104</v>
      </c>
      <c r="J8" s="42">
        <v>110</v>
      </c>
      <c r="K8" s="42">
        <v>26</v>
      </c>
      <c r="L8" s="42">
        <v>4</v>
      </c>
      <c r="M8" s="42">
        <v>110</v>
      </c>
      <c r="N8">
        <v>928</v>
      </c>
      <c r="P8" t="s">
        <v>15</v>
      </c>
      <c r="Q8" s="41">
        <f>C9</f>
        <v>2654</v>
      </c>
      <c r="R8" s="41">
        <f t="shared" ref="R8:AA10" si="2">D9</f>
        <v>76</v>
      </c>
      <c r="S8" s="41">
        <f t="shared" si="2"/>
        <v>136</v>
      </c>
      <c r="T8" s="41">
        <f t="shared" si="2"/>
        <v>718</v>
      </c>
      <c r="U8" s="41">
        <f t="shared" si="2"/>
        <v>3248</v>
      </c>
      <c r="V8" s="41">
        <f t="shared" si="2"/>
        <v>1072</v>
      </c>
      <c r="W8" s="41">
        <f t="shared" si="2"/>
        <v>2118</v>
      </c>
      <c r="X8" s="41">
        <f t="shared" si="2"/>
        <v>2414</v>
      </c>
      <c r="Y8" s="41">
        <f t="shared" si="2"/>
        <v>312</v>
      </c>
      <c r="Z8" s="41">
        <f t="shared" si="2"/>
        <v>276</v>
      </c>
      <c r="AA8" s="41">
        <f t="shared" si="2"/>
        <v>4772</v>
      </c>
    </row>
    <row r="9" spans="2:27" x14ac:dyDescent="0.25">
      <c r="B9" t="s">
        <v>86</v>
      </c>
      <c r="C9" s="40">
        <v>2654</v>
      </c>
      <c r="D9" s="40">
        <v>76</v>
      </c>
      <c r="E9" s="40">
        <v>136</v>
      </c>
      <c r="F9" s="40">
        <v>718</v>
      </c>
      <c r="G9" s="40">
        <v>3248</v>
      </c>
      <c r="H9" s="40">
        <v>1072</v>
      </c>
      <c r="I9" s="40">
        <v>2118</v>
      </c>
      <c r="J9" s="40">
        <v>2414</v>
      </c>
      <c r="K9" s="40">
        <v>312</v>
      </c>
      <c r="L9" s="40">
        <v>276</v>
      </c>
      <c r="M9" s="40">
        <v>4772</v>
      </c>
      <c r="N9">
        <v>17796</v>
      </c>
      <c r="P9" t="s">
        <v>16</v>
      </c>
      <c r="Q9" s="41">
        <f>C10</f>
        <v>1230</v>
      </c>
      <c r="R9" s="41">
        <f t="shared" si="2"/>
        <v>8</v>
      </c>
      <c r="S9" s="41">
        <f t="shared" si="2"/>
        <v>48</v>
      </c>
      <c r="T9" s="41">
        <f t="shared" si="2"/>
        <v>142</v>
      </c>
      <c r="U9" s="41">
        <f t="shared" si="2"/>
        <v>998</v>
      </c>
      <c r="V9" s="41">
        <f t="shared" si="2"/>
        <v>438</v>
      </c>
      <c r="W9" s="41">
        <f t="shared" si="2"/>
        <v>680</v>
      </c>
      <c r="X9" s="41">
        <f t="shared" si="2"/>
        <v>812</v>
      </c>
      <c r="Y9" s="41">
        <f t="shared" si="2"/>
        <v>120</v>
      </c>
      <c r="Z9" s="41">
        <f t="shared" si="2"/>
        <v>48</v>
      </c>
      <c r="AA9" s="41">
        <f t="shared" si="2"/>
        <v>1474</v>
      </c>
    </row>
    <row r="10" spans="2:27" x14ac:dyDescent="0.25">
      <c r="B10" t="s">
        <v>87</v>
      </c>
      <c r="C10" s="40">
        <v>1230</v>
      </c>
      <c r="D10" s="40">
        <v>8</v>
      </c>
      <c r="E10" s="40">
        <v>48</v>
      </c>
      <c r="F10" s="40">
        <v>142</v>
      </c>
      <c r="G10" s="40">
        <v>998</v>
      </c>
      <c r="H10" s="40">
        <v>438</v>
      </c>
      <c r="I10" s="40">
        <v>680</v>
      </c>
      <c r="J10" s="40">
        <v>812</v>
      </c>
      <c r="K10" s="40">
        <v>120</v>
      </c>
      <c r="L10" s="40">
        <v>48</v>
      </c>
      <c r="M10" s="40">
        <v>1474</v>
      </c>
      <c r="N10">
        <v>5998</v>
      </c>
      <c r="P10" t="s">
        <v>17</v>
      </c>
      <c r="Q10" s="41">
        <f>C11</f>
        <v>506</v>
      </c>
      <c r="R10" s="41">
        <f t="shared" si="2"/>
        <v>10</v>
      </c>
      <c r="S10" s="41">
        <f t="shared" si="2"/>
        <v>24</v>
      </c>
      <c r="T10" s="41">
        <f t="shared" si="2"/>
        <v>18</v>
      </c>
      <c r="U10" s="41">
        <f t="shared" si="2"/>
        <v>348</v>
      </c>
      <c r="V10" s="41">
        <f t="shared" si="2"/>
        <v>80</v>
      </c>
      <c r="W10" s="41">
        <f t="shared" si="2"/>
        <v>218</v>
      </c>
      <c r="X10" s="41">
        <f t="shared" si="2"/>
        <v>204</v>
      </c>
      <c r="Y10" s="41">
        <f t="shared" si="2"/>
        <v>36</v>
      </c>
      <c r="Z10" s="41">
        <f t="shared" si="2"/>
        <v>14</v>
      </c>
      <c r="AA10" s="41">
        <f t="shared" si="2"/>
        <v>528</v>
      </c>
    </row>
    <row r="11" spans="2:27" x14ac:dyDescent="0.25">
      <c r="B11" t="s">
        <v>88</v>
      </c>
      <c r="C11" s="40">
        <v>506</v>
      </c>
      <c r="D11" s="40">
        <v>10</v>
      </c>
      <c r="E11" s="40">
        <v>24</v>
      </c>
      <c r="F11" s="40">
        <v>18</v>
      </c>
      <c r="G11" s="40">
        <v>348</v>
      </c>
      <c r="H11" s="40">
        <v>80</v>
      </c>
      <c r="I11" s="40">
        <v>218</v>
      </c>
      <c r="J11" s="40">
        <v>204</v>
      </c>
      <c r="K11" s="40">
        <v>36</v>
      </c>
      <c r="L11" s="40">
        <v>14</v>
      </c>
      <c r="M11" s="40">
        <v>528</v>
      </c>
      <c r="N11">
        <v>1986</v>
      </c>
      <c r="P11" t="s">
        <v>18</v>
      </c>
      <c r="Q11" s="41">
        <f>C12+C13</f>
        <v>290</v>
      </c>
      <c r="R11" s="41">
        <f t="shared" ref="R11:AA11" si="3">D12+D13</f>
        <v>0</v>
      </c>
      <c r="S11" s="41">
        <f t="shared" si="3"/>
        <v>14</v>
      </c>
      <c r="T11" s="41">
        <f t="shared" si="3"/>
        <v>18</v>
      </c>
      <c r="U11" s="41">
        <f t="shared" si="3"/>
        <v>180</v>
      </c>
      <c r="V11" s="41">
        <f t="shared" si="3"/>
        <v>114</v>
      </c>
      <c r="W11" s="41">
        <f t="shared" si="3"/>
        <v>158</v>
      </c>
      <c r="X11" s="41">
        <f t="shared" si="3"/>
        <v>118</v>
      </c>
      <c r="Y11" s="41">
        <f t="shared" si="3"/>
        <v>12</v>
      </c>
      <c r="Z11" s="41">
        <f t="shared" si="3"/>
        <v>6</v>
      </c>
      <c r="AA11" s="41">
        <f t="shared" si="3"/>
        <v>168</v>
      </c>
    </row>
    <row r="12" spans="2:27" x14ac:dyDescent="0.25">
      <c r="B12" t="s">
        <v>89</v>
      </c>
      <c r="C12" s="40">
        <v>144</v>
      </c>
      <c r="D12">
        <v>0</v>
      </c>
      <c r="E12" s="40">
        <v>10</v>
      </c>
      <c r="F12" s="40">
        <v>16</v>
      </c>
      <c r="G12" s="40">
        <v>122</v>
      </c>
      <c r="H12" s="40">
        <v>82</v>
      </c>
      <c r="I12" s="40">
        <v>82</v>
      </c>
      <c r="J12" s="40">
        <v>64</v>
      </c>
      <c r="K12" s="40">
        <v>6</v>
      </c>
      <c r="L12" s="40">
        <v>2</v>
      </c>
      <c r="M12" s="40">
        <v>108</v>
      </c>
      <c r="N12">
        <v>636</v>
      </c>
      <c r="P12" t="s">
        <v>19</v>
      </c>
      <c r="Q12" s="41">
        <f>C14</f>
        <v>1022</v>
      </c>
      <c r="R12" s="41">
        <f t="shared" ref="R12:AA12" si="4">D14</f>
        <v>12</v>
      </c>
      <c r="S12" s="41">
        <f t="shared" si="4"/>
        <v>22</v>
      </c>
      <c r="T12" s="41">
        <f t="shared" si="4"/>
        <v>168</v>
      </c>
      <c r="U12" s="41">
        <f t="shared" si="4"/>
        <v>1262</v>
      </c>
      <c r="V12" s="41">
        <f t="shared" si="4"/>
        <v>402</v>
      </c>
      <c r="W12" s="41">
        <f t="shared" si="4"/>
        <v>796</v>
      </c>
      <c r="X12" s="41">
        <f t="shared" si="4"/>
        <v>1272</v>
      </c>
      <c r="Y12" s="41">
        <f t="shared" si="4"/>
        <v>158</v>
      </c>
      <c r="Z12" s="41">
        <f t="shared" si="4"/>
        <v>64</v>
      </c>
      <c r="AA12" s="41">
        <f t="shared" si="4"/>
        <v>1792</v>
      </c>
    </row>
    <row r="13" spans="2:27" x14ac:dyDescent="0.25">
      <c r="B13" s="1" t="s">
        <v>90</v>
      </c>
      <c r="C13" s="42">
        <v>146</v>
      </c>
      <c r="D13" s="1">
        <v>0</v>
      </c>
      <c r="E13" s="42">
        <v>4</v>
      </c>
      <c r="F13" s="42">
        <v>2</v>
      </c>
      <c r="G13" s="42">
        <v>58</v>
      </c>
      <c r="H13" s="42">
        <v>32</v>
      </c>
      <c r="I13" s="42">
        <v>76</v>
      </c>
      <c r="J13" s="42">
        <v>54</v>
      </c>
      <c r="K13" s="42">
        <v>6</v>
      </c>
      <c r="L13" s="42">
        <v>4</v>
      </c>
      <c r="M13" s="42">
        <v>60</v>
      </c>
      <c r="N13">
        <v>442</v>
      </c>
      <c r="P13" t="s">
        <v>20</v>
      </c>
      <c r="Q13" s="41">
        <f>C15</f>
        <v>472</v>
      </c>
      <c r="R13" s="41">
        <f t="shared" ref="R13:AA13" si="5">D15</f>
        <v>10</v>
      </c>
      <c r="S13" s="41">
        <f t="shared" si="5"/>
        <v>14</v>
      </c>
      <c r="T13" s="41">
        <f t="shared" si="5"/>
        <v>50</v>
      </c>
      <c r="U13" s="41">
        <f t="shared" si="5"/>
        <v>506</v>
      </c>
      <c r="V13" s="41">
        <f t="shared" si="5"/>
        <v>134</v>
      </c>
      <c r="W13" s="41">
        <f t="shared" si="5"/>
        <v>318</v>
      </c>
      <c r="X13" s="41">
        <f t="shared" si="5"/>
        <v>330</v>
      </c>
      <c r="Y13" s="41">
        <f t="shared" si="5"/>
        <v>32</v>
      </c>
      <c r="Z13" s="41">
        <f t="shared" si="5"/>
        <v>14</v>
      </c>
      <c r="AA13" s="41">
        <f t="shared" si="5"/>
        <v>624</v>
      </c>
    </row>
    <row r="14" spans="2:27" x14ac:dyDescent="0.25">
      <c r="B14" t="s">
        <v>91</v>
      </c>
      <c r="C14" s="40">
        <v>1022</v>
      </c>
      <c r="D14" s="40">
        <v>12</v>
      </c>
      <c r="E14" s="40">
        <v>22</v>
      </c>
      <c r="F14" s="40">
        <v>168</v>
      </c>
      <c r="G14" s="40">
        <v>1262</v>
      </c>
      <c r="H14" s="40">
        <v>402</v>
      </c>
      <c r="I14" s="40">
        <v>796</v>
      </c>
      <c r="J14" s="40">
        <v>1272</v>
      </c>
      <c r="K14" s="40">
        <v>158</v>
      </c>
      <c r="L14" s="40">
        <v>64</v>
      </c>
      <c r="M14" s="40">
        <v>1792</v>
      </c>
      <c r="N14">
        <v>6970</v>
      </c>
      <c r="P14" t="s">
        <v>21</v>
      </c>
      <c r="Q14" s="41">
        <f>C16</f>
        <v>218</v>
      </c>
      <c r="R14" s="41">
        <f t="shared" ref="R14:AA14" si="6">D16</f>
        <v>0</v>
      </c>
      <c r="S14" s="41">
        <f t="shared" si="6"/>
        <v>8</v>
      </c>
      <c r="T14" s="41">
        <f t="shared" si="6"/>
        <v>6</v>
      </c>
      <c r="U14" s="41">
        <f t="shared" si="6"/>
        <v>162</v>
      </c>
      <c r="V14" s="41">
        <f t="shared" si="6"/>
        <v>40</v>
      </c>
      <c r="W14" s="41">
        <f t="shared" si="6"/>
        <v>106</v>
      </c>
      <c r="X14" s="41">
        <f t="shared" si="6"/>
        <v>102</v>
      </c>
      <c r="Y14" s="41">
        <f t="shared" si="6"/>
        <v>10</v>
      </c>
      <c r="Z14" s="41">
        <f t="shared" si="6"/>
        <v>2</v>
      </c>
      <c r="AA14" s="41">
        <f t="shared" si="6"/>
        <v>144</v>
      </c>
    </row>
    <row r="15" spans="2:27" x14ac:dyDescent="0.25">
      <c r="B15" t="s">
        <v>92</v>
      </c>
      <c r="C15" s="40">
        <v>472</v>
      </c>
      <c r="D15" s="40">
        <v>10</v>
      </c>
      <c r="E15" s="40">
        <v>14</v>
      </c>
      <c r="F15" s="40">
        <v>50</v>
      </c>
      <c r="G15" s="40">
        <v>506</v>
      </c>
      <c r="H15" s="40">
        <v>134</v>
      </c>
      <c r="I15" s="40">
        <v>318</v>
      </c>
      <c r="J15" s="40">
        <v>330</v>
      </c>
      <c r="K15" s="40">
        <v>32</v>
      </c>
      <c r="L15" s="40">
        <v>14</v>
      </c>
      <c r="M15" s="40">
        <v>624</v>
      </c>
      <c r="N15">
        <v>2504</v>
      </c>
      <c r="P15" t="s">
        <v>22</v>
      </c>
      <c r="Q15" s="41">
        <f>C17+C18</f>
        <v>150</v>
      </c>
      <c r="R15" s="41">
        <f t="shared" ref="R15:AA15" si="7">D17+D18</f>
        <v>2</v>
      </c>
      <c r="S15" s="41">
        <f t="shared" si="7"/>
        <v>0</v>
      </c>
      <c r="T15" s="41">
        <f t="shared" si="7"/>
        <v>4</v>
      </c>
      <c r="U15" s="41">
        <f t="shared" si="7"/>
        <v>118</v>
      </c>
      <c r="V15" s="41">
        <f t="shared" si="7"/>
        <v>22</v>
      </c>
      <c r="W15" s="41">
        <f t="shared" si="7"/>
        <v>86</v>
      </c>
      <c r="X15" s="41">
        <f t="shared" si="7"/>
        <v>52</v>
      </c>
      <c r="Y15" s="41">
        <f t="shared" si="7"/>
        <v>12</v>
      </c>
      <c r="Z15" s="41">
        <f t="shared" si="7"/>
        <v>2</v>
      </c>
      <c r="AA15" s="41">
        <f t="shared" si="7"/>
        <v>60</v>
      </c>
    </row>
    <row r="16" spans="2:27" x14ac:dyDescent="0.25">
      <c r="B16" t="s">
        <v>93</v>
      </c>
      <c r="C16" s="40">
        <v>218</v>
      </c>
      <c r="D16" s="40">
        <v>0</v>
      </c>
      <c r="E16" s="40">
        <v>8</v>
      </c>
      <c r="F16" s="40">
        <v>6</v>
      </c>
      <c r="G16" s="40">
        <v>162</v>
      </c>
      <c r="H16" s="40">
        <v>40</v>
      </c>
      <c r="I16" s="40">
        <v>106</v>
      </c>
      <c r="J16" s="40">
        <v>102</v>
      </c>
      <c r="K16" s="40">
        <v>10</v>
      </c>
      <c r="L16" s="40">
        <v>2</v>
      </c>
      <c r="M16" s="40">
        <v>144</v>
      </c>
      <c r="N16">
        <v>798</v>
      </c>
      <c r="P16" t="s">
        <v>23</v>
      </c>
      <c r="Q16" s="41">
        <f>C19+C24</f>
        <v>626</v>
      </c>
      <c r="R16" s="41">
        <f t="shared" ref="R16:AA16" si="8">D19+D24</f>
        <v>14</v>
      </c>
      <c r="S16" s="41">
        <f t="shared" si="8"/>
        <v>8</v>
      </c>
      <c r="T16" s="41">
        <f t="shared" si="8"/>
        <v>62</v>
      </c>
      <c r="U16" s="41">
        <f t="shared" si="8"/>
        <v>1024</v>
      </c>
      <c r="V16" s="41">
        <f t="shared" si="8"/>
        <v>236</v>
      </c>
      <c r="W16" s="41">
        <f t="shared" si="8"/>
        <v>748</v>
      </c>
      <c r="X16" s="41">
        <f t="shared" si="8"/>
        <v>686</v>
      </c>
      <c r="Y16" s="41">
        <f t="shared" si="8"/>
        <v>112</v>
      </c>
      <c r="Z16" s="41">
        <f t="shared" si="8"/>
        <v>30</v>
      </c>
      <c r="AA16" s="41">
        <f t="shared" si="8"/>
        <v>798</v>
      </c>
    </row>
    <row r="17" spans="2:27" x14ac:dyDescent="0.25">
      <c r="B17" t="s">
        <v>94</v>
      </c>
      <c r="C17" s="40">
        <v>86</v>
      </c>
      <c r="D17">
        <v>0</v>
      </c>
      <c r="E17">
        <v>0</v>
      </c>
      <c r="F17" s="40">
        <v>4</v>
      </c>
      <c r="G17" s="40">
        <v>62</v>
      </c>
      <c r="H17" s="40">
        <v>6</v>
      </c>
      <c r="I17" s="40">
        <v>42</v>
      </c>
      <c r="J17" s="40">
        <v>38</v>
      </c>
      <c r="K17" s="40">
        <v>4</v>
      </c>
      <c r="L17" s="40">
        <v>0</v>
      </c>
      <c r="M17" s="40">
        <v>34</v>
      </c>
      <c r="N17">
        <v>276</v>
      </c>
      <c r="P17" t="s">
        <v>24</v>
      </c>
      <c r="Q17" s="41">
        <f>C20+C25</f>
        <v>338</v>
      </c>
      <c r="R17" s="41">
        <f t="shared" ref="R17:AA17" si="9">D20+D25</f>
        <v>2</v>
      </c>
      <c r="S17" s="41">
        <f t="shared" si="9"/>
        <v>4</v>
      </c>
      <c r="T17" s="41">
        <f t="shared" si="9"/>
        <v>14</v>
      </c>
      <c r="U17" s="41">
        <f t="shared" si="9"/>
        <v>372</v>
      </c>
      <c r="V17" s="41">
        <f t="shared" si="9"/>
        <v>72</v>
      </c>
      <c r="W17" s="41">
        <f t="shared" si="9"/>
        <v>312</v>
      </c>
      <c r="X17" s="41">
        <f t="shared" si="9"/>
        <v>210</v>
      </c>
      <c r="Y17" s="41">
        <f t="shared" si="9"/>
        <v>36</v>
      </c>
      <c r="Z17" s="41">
        <f t="shared" si="9"/>
        <v>14</v>
      </c>
      <c r="AA17" s="41">
        <f t="shared" si="9"/>
        <v>390</v>
      </c>
    </row>
    <row r="18" spans="2:27" x14ac:dyDescent="0.25">
      <c r="B18" s="1" t="s">
        <v>95</v>
      </c>
      <c r="C18" s="42">
        <v>64</v>
      </c>
      <c r="D18" s="42">
        <v>2</v>
      </c>
      <c r="E18" s="1">
        <v>0</v>
      </c>
      <c r="F18" s="42">
        <v>0</v>
      </c>
      <c r="G18" s="42">
        <v>56</v>
      </c>
      <c r="H18" s="42">
        <v>16</v>
      </c>
      <c r="I18" s="42">
        <v>44</v>
      </c>
      <c r="J18" s="42">
        <v>14</v>
      </c>
      <c r="K18" s="42">
        <v>8</v>
      </c>
      <c r="L18" s="1">
        <v>2</v>
      </c>
      <c r="M18" s="42">
        <v>26</v>
      </c>
      <c r="N18">
        <v>232</v>
      </c>
      <c r="P18" t="s">
        <v>25</v>
      </c>
      <c r="Q18" s="41">
        <f>C21+C26</f>
        <v>198</v>
      </c>
      <c r="R18" s="41">
        <f t="shared" ref="R18:AA18" si="10">D21+D26</f>
        <v>4</v>
      </c>
      <c r="S18" s="41">
        <f t="shared" si="10"/>
        <v>2</v>
      </c>
      <c r="T18" s="41">
        <f t="shared" si="10"/>
        <v>10</v>
      </c>
      <c r="U18" s="41">
        <f t="shared" si="10"/>
        <v>152</v>
      </c>
      <c r="V18" s="41">
        <f t="shared" si="10"/>
        <v>42</v>
      </c>
      <c r="W18" s="41">
        <f t="shared" si="10"/>
        <v>108</v>
      </c>
      <c r="X18" s="41">
        <f t="shared" si="10"/>
        <v>104</v>
      </c>
      <c r="Y18" s="41">
        <f t="shared" si="10"/>
        <v>26</v>
      </c>
      <c r="Z18" s="41">
        <f t="shared" si="10"/>
        <v>10</v>
      </c>
      <c r="AA18" s="41">
        <f t="shared" si="10"/>
        <v>32</v>
      </c>
    </row>
    <row r="19" spans="2:27" x14ac:dyDescent="0.25">
      <c r="B19" t="s">
        <v>96</v>
      </c>
      <c r="C19" s="40">
        <v>296</v>
      </c>
      <c r="D19" s="40">
        <v>8</v>
      </c>
      <c r="E19" s="40">
        <v>6</v>
      </c>
      <c r="F19" s="40">
        <v>36</v>
      </c>
      <c r="G19" s="40">
        <v>582</v>
      </c>
      <c r="H19" s="40">
        <v>132</v>
      </c>
      <c r="I19" s="40">
        <v>420</v>
      </c>
      <c r="J19" s="40">
        <v>376</v>
      </c>
      <c r="K19" s="40">
        <v>54</v>
      </c>
      <c r="L19" s="40">
        <v>20</v>
      </c>
      <c r="M19" s="40">
        <v>522</v>
      </c>
      <c r="N19">
        <v>2452</v>
      </c>
      <c r="P19" t="s">
        <v>26</v>
      </c>
      <c r="Q19" s="41">
        <f>C22+C23+C27+C28</f>
        <v>154</v>
      </c>
      <c r="R19" s="41">
        <f t="shared" ref="R19:AA19" si="11">D22+D23+D27+D28</f>
        <v>4</v>
      </c>
      <c r="S19" s="41">
        <f t="shared" si="11"/>
        <v>2</v>
      </c>
      <c r="T19" s="41">
        <f t="shared" si="11"/>
        <v>6</v>
      </c>
      <c r="U19" s="41">
        <f t="shared" si="11"/>
        <v>100</v>
      </c>
      <c r="V19" s="41">
        <f t="shared" si="11"/>
        <v>42</v>
      </c>
      <c r="W19" s="41">
        <f t="shared" si="11"/>
        <v>98</v>
      </c>
      <c r="X19" s="41">
        <f t="shared" si="11"/>
        <v>56</v>
      </c>
      <c r="Y19" s="41">
        <f t="shared" si="11"/>
        <v>18</v>
      </c>
      <c r="Z19" s="41">
        <f t="shared" si="11"/>
        <v>8</v>
      </c>
      <c r="AA19" s="41">
        <f t="shared" si="11"/>
        <v>50</v>
      </c>
    </row>
    <row r="20" spans="2:27" x14ac:dyDescent="0.25">
      <c r="B20" t="s">
        <v>97</v>
      </c>
      <c r="C20" s="40">
        <v>164</v>
      </c>
      <c r="D20" s="40">
        <v>2</v>
      </c>
      <c r="E20" s="40">
        <v>4</v>
      </c>
      <c r="F20" s="40">
        <v>6</v>
      </c>
      <c r="G20" s="40">
        <v>186</v>
      </c>
      <c r="H20" s="40">
        <v>30</v>
      </c>
      <c r="I20" s="40">
        <v>142</v>
      </c>
      <c r="J20" s="40">
        <v>104</v>
      </c>
      <c r="K20" s="40">
        <v>12</v>
      </c>
      <c r="L20" s="40">
        <v>6</v>
      </c>
      <c r="M20" s="40">
        <v>274</v>
      </c>
      <c r="N20">
        <v>930</v>
      </c>
    </row>
    <row r="21" spans="2:27" x14ac:dyDescent="0.25">
      <c r="B21" t="s">
        <v>98</v>
      </c>
      <c r="C21" s="40">
        <v>104</v>
      </c>
      <c r="D21" s="40">
        <v>2</v>
      </c>
      <c r="E21" s="40">
        <v>2</v>
      </c>
      <c r="F21" s="40">
        <v>10</v>
      </c>
      <c r="G21" s="40">
        <v>76</v>
      </c>
      <c r="H21" s="40">
        <v>22</v>
      </c>
      <c r="I21" s="40">
        <v>62</v>
      </c>
      <c r="J21" s="40">
        <v>62</v>
      </c>
      <c r="K21" s="40">
        <v>18</v>
      </c>
      <c r="L21" s="40">
        <v>4</v>
      </c>
      <c r="M21" s="40">
        <v>8</v>
      </c>
      <c r="N21">
        <v>370</v>
      </c>
    </row>
    <row r="22" spans="2:27" x14ac:dyDescent="0.25">
      <c r="B22" t="s">
        <v>99</v>
      </c>
      <c r="C22" s="40">
        <v>28</v>
      </c>
      <c r="D22" s="40">
        <v>2</v>
      </c>
      <c r="E22">
        <v>2</v>
      </c>
      <c r="F22">
        <v>4</v>
      </c>
      <c r="G22" s="40">
        <v>18</v>
      </c>
      <c r="H22" s="40">
        <v>14</v>
      </c>
      <c r="I22" s="40">
        <v>14</v>
      </c>
      <c r="J22" s="40">
        <v>12</v>
      </c>
      <c r="K22">
        <v>2</v>
      </c>
      <c r="L22">
        <v>0</v>
      </c>
      <c r="M22" s="40">
        <v>24</v>
      </c>
      <c r="N22">
        <v>120</v>
      </c>
    </row>
    <row r="23" spans="2:27" x14ac:dyDescent="0.25">
      <c r="B23" s="1" t="s">
        <v>100</v>
      </c>
      <c r="C23" s="42">
        <v>30</v>
      </c>
      <c r="D23" s="42">
        <v>0</v>
      </c>
      <c r="E23" s="1">
        <v>0</v>
      </c>
      <c r="F23" s="42">
        <v>2</v>
      </c>
      <c r="G23" s="42">
        <v>30</v>
      </c>
      <c r="H23" s="42">
        <v>6</v>
      </c>
      <c r="I23" s="42">
        <v>30</v>
      </c>
      <c r="J23" s="42">
        <v>12</v>
      </c>
      <c r="K23" s="42">
        <v>4</v>
      </c>
      <c r="L23" s="42">
        <v>2</v>
      </c>
      <c r="M23" s="1">
        <v>0</v>
      </c>
      <c r="N23">
        <v>116</v>
      </c>
    </row>
    <row r="24" spans="2:27" x14ac:dyDescent="0.25">
      <c r="B24" s="1" t="s">
        <v>101</v>
      </c>
      <c r="C24" s="42">
        <v>330</v>
      </c>
      <c r="D24" s="42">
        <v>6</v>
      </c>
      <c r="E24" s="42">
        <v>2</v>
      </c>
      <c r="F24" s="42">
        <v>26</v>
      </c>
      <c r="G24" s="42">
        <v>442</v>
      </c>
      <c r="H24" s="42">
        <v>104</v>
      </c>
      <c r="I24" s="42">
        <v>328</v>
      </c>
      <c r="J24" s="42">
        <v>310</v>
      </c>
      <c r="K24" s="42">
        <v>58</v>
      </c>
      <c r="L24" s="42">
        <v>10</v>
      </c>
      <c r="M24" s="42">
        <v>276</v>
      </c>
      <c r="N24">
        <v>1892</v>
      </c>
    </row>
    <row r="25" spans="2:27" x14ac:dyDescent="0.25">
      <c r="B25" s="1" t="s">
        <v>102</v>
      </c>
      <c r="C25" s="42">
        <v>174</v>
      </c>
      <c r="D25" s="1">
        <v>0</v>
      </c>
      <c r="E25" s="42">
        <v>0</v>
      </c>
      <c r="F25" s="42">
        <v>8</v>
      </c>
      <c r="G25" s="42">
        <v>186</v>
      </c>
      <c r="H25" s="42">
        <v>42</v>
      </c>
      <c r="I25" s="42">
        <v>170</v>
      </c>
      <c r="J25" s="42">
        <v>106</v>
      </c>
      <c r="K25" s="42">
        <v>24</v>
      </c>
      <c r="L25" s="42">
        <v>8</v>
      </c>
      <c r="M25" s="42">
        <v>116</v>
      </c>
      <c r="N25">
        <v>834</v>
      </c>
    </row>
    <row r="26" spans="2:27" x14ac:dyDescent="0.25">
      <c r="B26" s="1" t="s">
        <v>103</v>
      </c>
      <c r="C26" s="42">
        <v>94</v>
      </c>
      <c r="D26" s="1">
        <v>2</v>
      </c>
      <c r="E26" s="1">
        <v>0</v>
      </c>
      <c r="F26" s="1">
        <v>0</v>
      </c>
      <c r="G26" s="42">
        <v>76</v>
      </c>
      <c r="H26" s="42">
        <v>20</v>
      </c>
      <c r="I26" s="42">
        <v>46</v>
      </c>
      <c r="J26" s="42">
        <v>42</v>
      </c>
      <c r="K26" s="42">
        <v>8</v>
      </c>
      <c r="L26" s="42">
        <v>6</v>
      </c>
      <c r="M26" s="42">
        <v>24</v>
      </c>
      <c r="N26">
        <v>318</v>
      </c>
    </row>
    <row r="27" spans="2:27" x14ac:dyDescent="0.25">
      <c r="B27" s="1" t="s">
        <v>104</v>
      </c>
      <c r="C27" s="42">
        <v>40</v>
      </c>
      <c r="D27" s="42">
        <v>2</v>
      </c>
      <c r="E27" s="1">
        <v>0</v>
      </c>
      <c r="F27" s="1">
        <v>0</v>
      </c>
      <c r="G27" s="42">
        <v>26</v>
      </c>
      <c r="H27" s="42">
        <v>8</v>
      </c>
      <c r="I27" s="42">
        <v>32</v>
      </c>
      <c r="J27" s="42">
        <v>16</v>
      </c>
      <c r="K27" s="42">
        <v>6</v>
      </c>
      <c r="L27" s="1">
        <v>4</v>
      </c>
      <c r="M27" s="1">
        <v>0</v>
      </c>
      <c r="N27">
        <v>134</v>
      </c>
    </row>
    <row r="28" spans="2:27" x14ac:dyDescent="0.25">
      <c r="B28" s="1" t="s">
        <v>105</v>
      </c>
      <c r="C28" s="42">
        <v>56</v>
      </c>
      <c r="D28" s="1">
        <v>0</v>
      </c>
      <c r="E28" s="1">
        <v>0</v>
      </c>
      <c r="F28" s="1">
        <v>0</v>
      </c>
      <c r="G28" s="42">
        <v>26</v>
      </c>
      <c r="H28" s="42">
        <v>14</v>
      </c>
      <c r="I28" s="42">
        <v>22</v>
      </c>
      <c r="J28" s="42">
        <v>16</v>
      </c>
      <c r="K28" s="42">
        <v>6</v>
      </c>
      <c r="L28" s="42">
        <v>2</v>
      </c>
      <c r="M28" s="42">
        <v>26</v>
      </c>
      <c r="N28">
        <v>168</v>
      </c>
    </row>
    <row r="29" spans="2:27" x14ac:dyDescent="0.25">
      <c r="B29" s="1"/>
    </row>
    <row r="31" spans="2:27" x14ac:dyDescent="0.25">
      <c r="B31" s="63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</row>
    <row r="32" spans="2:27" x14ac:dyDescent="0.25">
      <c r="B32" s="63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</row>
    <row r="33" spans="2:27" x14ac:dyDescent="0.25">
      <c r="B33" s="63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</row>
    <row r="34" spans="2:27" x14ac:dyDescent="0.25">
      <c r="B34" s="63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</row>
    <row r="35" spans="2:27" x14ac:dyDescent="0.25">
      <c r="B35" s="63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</row>
    <row r="36" spans="2:27" x14ac:dyDescent="0.25">
      <c r="B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</row>
    <row r="37" spans="2:27" x14ac:dyDescent="0.25">
      <c r="B37" s="63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</row>
    <row r="38" spans="2:27" x14ac:dyDescent="0.25">
      <c r="B38" s="63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</row>
    <row r="39" spans="2:27" x14ac:dyDescent="0.25">
      <c r="B39" s="63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</row>
    <row r="40" spans="2:27" x14ac:dyDescent="0.25">
      <c r="B40" s="63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</row>
    <row r="41" spans="2:27" x14ac:dyDescent="0.25">
      <c r="B41" s="63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</row>
    <row r="42" spans="2:27" x14ac:dyDescent="0.25">
      <c r="B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</row>
    <row r="43" spans="2:27" x14ac:dyDescent="0.25">
      <c r="B43" s="63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</row>
    <row r="44" spans="2:27" x14ac:dyDescent="0.25">
      <c r="B44" s="63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</row>
    <row r="45" spans="2:27" x14ac:dyDescent="0.25">
      <c r="B45" s="63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</row>
    <row r="46" spans="2:27" x14ac:dyDescent="0.25">
      <c r="B46" s="63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</row>
    <row r="47" spans="2:27" x14ac:dyDescent="0.25">
      <c r="B47" s="63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</row>
    <row r="48" spans="2:27" x14ac:dyDescent="0.25">
      <c r="B48" s="63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</row>
    <row r="49" spans="2:27" x14ac:dyDescent="0.25">
      <c r="B49" s="63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</row>
    <row r="50" spans="2:27" x14ac:dyDescent="0.25">
      <c r="B50" s="63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calibration</vt:lpstr>
      <vt:lpstr>constants</vt:lpstr>
      <vt:lpstr>modeldata</vt:lpstr>
      <vt:lpstr>BATS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Melody Tsao</dc:creator>
  <cp:lastModifiedBy>Melody Tsao</cp:lastModifiedBy>
  <dcterms:created xsi:type="dcterms:W3CDTF">2026-09-22T23:24:42Z</dcterms:created>
  <dcterms:modified xsi:type="dcterms:W3CDTF">2026-10-26T19:41:43Z</dcterms:modified>
</cp:coreProperties>
</file>