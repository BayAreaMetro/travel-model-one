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23553376-1CC1-435F-9758-A9944269CD0F}" xr6:coauthVersionLast="47" xr6:coauthVersionMax="47" xr10:uidLastSave="{00000000-0000-0000-0000-000000000000}"/>
  <bookViews>
    <workbookView xWindow="-120" yWindow="-120" windowWidth="29040" windowHeight="15720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our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6" i="5" l="1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<sst xmlns="http://schemas.openxmlformats.org/spreadsheetml/2006/main" count="4149" uniqueCount="525">
  <si>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</si>
  <si>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</si>
  <si>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</si>
  <si>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</si>
  <si>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</si>
  <si>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</si>
  <si>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</si>
  <si>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</si>
  <si>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</si>
  <si>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</si>
  <si>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</si>
  <si>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</si>
  <si>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</si>
  <si>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</si>
  <si>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</si>
  <si>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</si>
  <si>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</si>
  <si>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</si>
  <si>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</si>
  <si>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</si>
  <si>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</si>
  <si>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</si>
  <si>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</si>
  <si>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</si>
  <si>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</si>
  <si>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</si>
  <si>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</si>
  <si>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</si>
  <si>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</si>
  <si>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</si>
  <si>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</si>
  <si>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</si>
  <si>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</si>
  <si>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</si>
  <si>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</si>
  <si>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</si>
  <si>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</si>
  <si>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</si>
  <si>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</si>
  <si>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</si>
  <si>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</si>
  <si>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</si>
  <si>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</si>
  <si>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</si>
  <si>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</si>
  <si>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</si>
  <si>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</si>
  <si>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</si>
  <si>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</si>
  <si>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</si>
  <si>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</si>
  <si>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</si>
  <si>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</si>
  <si>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</si>
  <si>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</si>
  <si>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</si>
  <si>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</si>
  <si>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</si>
  <si>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</si>
  <si>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</si>
  <si>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</si>
  <si>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</si>
  <si>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</si>
  <si>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</si>
  <si>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</si>
  <si>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</si>
  <si>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</si>
  <si>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</si>
  <si>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</si>
  <si>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</si>
  <si>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</si>
  <si>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</si>
  <si>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</si>
  <si>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</si>
  <si>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</si>
  <si>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</si>
  <si>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</si>
  <si>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</si>
  <si>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</si>
  <si>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</si>
  <si>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</si>
  <si>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</si>
  <si>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</si>
  <si>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</si>
  <si>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</si>
  <si>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</si>
  <si>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</si>
  <si>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</si>
  <si>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</si>
  <si>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</si>
  <si>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</si>
  <si>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</si>
  <si>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</si>
  <si>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</si>
  <si>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</si>
  <si>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</si>
  <si>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</si>
  <si>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</si>
  <si>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</si>
  <si>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</si>
  <si>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</si>
  <si>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</si>
  <si>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</si>
  <si>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</si>
  <si>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</si>
  <si>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</si>
  <si>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</si>
  <si>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</si>
  <si>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</si>
  <si>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</si>
  <si>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</si>
  <si>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</si>
  <si>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</si>
  <si>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</si>
  <si>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</si>
  <si>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</si>
  <si>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</si>
  <si>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</si>
  <si>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</si>
  <si>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</si>
  <si>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</si>
  <si>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</si>
  <si>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</si>
  <si>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</si>
  <si>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</si>
  <si>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</si>
  <si>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</si>
  <si>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</si>
  <si>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</si>
  <si>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</si>
  <si>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</si>
  <si>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</si>
  <si>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</si>
  <si>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</si>
  <si>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</si>
  <si>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</si>
  <si>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</si>
  <si>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</si>
  <si>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</si>
  <si>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</si>
  <si>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</si>
  <si>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</si>
  <si>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</si>
  <si>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</si>
  <si>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</si>
  <si>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</si>
  <si>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</si>
  <si>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</si>
  <si>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</si>
  <si>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</si>
  <si>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</si>
  <si>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</si>
  <si>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</si>
  <si>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</si>
  <si>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</si>
  <si>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</si>
  <si>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</si>
  <si>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</si>
  <si>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</si>
  <si>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</si>
  <si>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</si>
  <si>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</si>
  <si>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</si>
  <si>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</si>
  <si>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</si>
  <si>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</si>
  <si>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</si>
  <si>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</si>
  <si>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</si>
  <si>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</si>
  <si>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</si>
  <si>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</si>
  <si>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</si>
  <si>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</si>
  <si>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</si>
  <si>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</si>
  <si>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</si>
  <si>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</si>
  <si>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</si>
  <si>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</si>
  <si>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</si>
  <si>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</si>
  <si>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</si>
  <si>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</si>
  <si>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</si>
  <si>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</si>
  <si>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</si>
  <si>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</si>
  <si>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</si>
  <si>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</si>
  <si>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</si>
  <si>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</si>
  <si>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</si>
  <si>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</si>
  <si>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</si>
  <si>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</si>
  <si>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</si>
  <si>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</si>
  <si>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</si>
  <si>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</si>
  <si>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</si>
  <si>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</si>
  <si>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</si>
  <si>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</si>
  <si>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</si>
  <si>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</si>
  <si>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</si>
  <si>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</si>
  <si>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</si>
  <si>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</si>
  <si>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</si>
  <si>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</si>
  <si>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</si>
  <si>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</si>
  <si>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</si>
  <si>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</si>
  <si>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</si>
  <si>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</si>
  <si>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</si>
  <si>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</si>
  <si>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</si>
  <si>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</si>
  <si>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</si>
  <si>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</si>
  <si>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</si>
  <si>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</si>
  <si>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</si>
  <si>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</si>
  <si>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</si>
  <si>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</si>
  <si>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</si>
  <si>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</si>
  <si>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</si>
  <si>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</si>
  <si>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</si>
  <si>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</si>
  <si>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</si>
  <si>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</si>
  <si>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</si>
  <si>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</si>
  <si>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</si>
  <si>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</si>
  <si>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</si>
  <si>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</si>
  <si>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</si>
  <si>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</si>
  <si>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</si>
  <si>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</si>
  <si>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</si>
  <si>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</si>
  <si>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</si>
  <si>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</si>
  <si>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</si>
  <si>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</si>
  <si>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</si>
  <si>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</si>
  <si>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</si>
  <si>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</si>
  <si>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</si>
  <si>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</si>
  <si>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</si>
  <si>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</si>
  <si>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</si>
  <si>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</si>
  <si>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</si>
  <si>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</si>
  <si>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</si>
  <si>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</si>
  <si>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</si>
  <si>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</si>
  <si>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</si>
  <si>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</si>
  <si>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</si>
  <si>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</si>
  <si>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</si>
  <si>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</si>
  <si>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</si>
  <si>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</si>
  <si>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</si>
  <si>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</si>
  <si>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</si>
  <si>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</si>
  <si>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</si>
  <si>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</si>
  <si>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</si>
  <si>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</si>
  <si>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</si>
  <si>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</si>
  <si>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</si>
  <si>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</si>
  <si>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</si>
  <si>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</si>
  <si>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</si>
  <si>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</si>
  <si>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</si>
  <si>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</si>
  <si>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</si>
  <si>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</si>
  <si>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</si>
  <si>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</si>
  <si>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</si>
  <si>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</si>
  <si>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</si>
  <si>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</si>
  <si>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</si>
  <si>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</si>
  <si>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</si>
  <si>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</si>
  <si>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</si>
  <si>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</si>
  <si>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</si>
  <si>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</si>
  <si>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</si>
  <si>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</si>
  <si>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</si>
  <si>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</si>
  <si>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</si>
  <si>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</si>
  <si>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</si>
  <si>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</si>
  <si>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</si>
  <si>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</si>
  <si>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</si>
  <si>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</si>
  <si>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</si>
  <si>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</si>
  <si>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</si>
  <si>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</si>
  <si>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</si>
  <si>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</si>
  <si>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</si>
  <si>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</si>
  <si>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</si>
  <si>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</si>
  <si>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</si>
  <si>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</si>
  <si>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</si>
  <si>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</si>
  <si>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</si>
  <si>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</si>
  <si>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</si>
  <si>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</si>
  <si>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</si>
  <si>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</si>
  <si>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</si>
  <si>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</si>
  <si>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</si>
  <si>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</si>
  <si>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</si>
  <si>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</si>
  <si>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</si>
  <si>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</si>
  <si>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</si>
  <si>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</si>
  <si>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</si>
  <si>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</si>
  <si>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</si>
  <si>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</si>
  <si>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</si>
  <si>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</si>
  <si>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</si>
  <si>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</si>
  <si>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</si>
  <si>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</si>
  <si>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</si>
  <si>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</si>
  <si>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</si>
  <si>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</si>
  <si>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</si>
  <si>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</si>
  <si>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</si>
  <si>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</si>
  <si>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</si>
  <si>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</si>
  <si>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</si>
  <si>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</si>
  <si>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</si>
  <si>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</si>
  <si>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</si>
  <si>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</si>
  <si>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</si>
  <si>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</si>
  <si>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</si>
  <si>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</si>
  <si>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</si>
  <si>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</si>
  <si>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</si>
  <si>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</si>
  <si>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</si>
  <si>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</si>
  <si>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</si>
  <si>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</si>
  <si>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</si>
  <si>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</si>
  <si>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</si>
  <si>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</si>
  <si>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</si>
  <si>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</si>
  <si>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</si>
  <si>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</si>
  <si>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</si>
  <si>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</si>
  <si>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</si>
  <si>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</si>
  <si>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</si>
  <si>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</si>
  <si>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</si>
  <si>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</si>
  <si>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</si>
  <si>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</si>
  <si>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</si>
  <si>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</si>
  <si>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</si>
  <si>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</si>
  <si>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</si>
  <si>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</si>
  <si>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</si>
  <si>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</si>
  <si>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</si>
  <si>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</si>
  <si>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</si>
  <si>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</si>
  <si>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</si>
  <si>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</si>
  <si>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</si>
  <si>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</si>
  <si>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</si>
  <si>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</si>
  <si>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</si>
  <si>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</si>
  <si>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</si>
  <si>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</si>
  <si>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</si>
  <si>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</si>
  <si>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</si>
  <si>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</si>
  <si>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</si>
  <si>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</si>
  <si>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</si>
  <si>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</si>
  <si>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</si>
  <si>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</si>
  <si>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</si>
  <si>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</si>
  <si>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</si>
  <si>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</si>
  <si>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</si>
  <si>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</si>
  <si>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</si>
  <si>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</si>
  <si>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</si>
  <si>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</si>
  <si>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</si>
  <si>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</si>
  <si>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</si>
  <si>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</si>
  <si>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</si>
  <si>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</si>
  <si>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</si>
  <si>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</si>
  <si>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</si>
  <si>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</si>
  <si>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</si>
  <si>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</si>
  <si>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</si>
  <si>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</si>
  <si>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</si>
  <si>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</si>
  <si>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</si>
  <si>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</si>
  <si>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</si>
  <si>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</si>
  <si>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</si>
  <si>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</si>
  <si>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</si>
  <si>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</si>
  <si>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</si>
  <si>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</si>
  <si>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</si>
  <si>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</si>
  <si>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</si>
  <si>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</si>
  <si>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</si>
  <si>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</si>
  <si>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</si>
  <si>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</si>
  <si>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</si>
  <si>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</si>
  <si>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</si>
  <si>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</si>
  <si>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</si>
  <si>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</si>
  <si>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</si>
  <si>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</si>
  <si>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</si>
  <si>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</si>
  <si>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Source: M:/Development/Travel Model One/Calibration/Version 1.7/2023_BATS_Summaries/pipeline_lmz_20260501/ctramp_2023/BATS_Summaries/workTLFD.csv</t>
  </si>
  <si>
    <t>Source: M:/Development/Travel Model One/Calibration/Version 1.7/2023_BATS_Summaries/pipeline_lmz_20260501/ctramp_2023/BATS_Summaries/univTLFD.csv</t>
  </si>
  <si>
    <t>Source: M:/Development/Travel Model One/Calibration/Version 1.7/2023_BATS_Summaries/pipeline_lmz_20260501/ctramp_2023/BATS_Summaries/schoolTLFD.csv</t>
  </si>
  <si>
    <t>Source: M:/Development/Travel Model One/Calibration/Version 1.7/2023_BATS_Summaries/pipeline_lmz_20260501/ctramp_2023/BATS_Summaries/AvgTripLen.csv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</si>
  <si>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</si>
  <si>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</si>
  <si>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</si>
  <si>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</si>
  <si>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</si>
  <si>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</si>
  <si>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</si>
  <si>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</si>
  <si>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</si>
  <si>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</si>
  <si>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</si>
  <si>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</si>
  <si>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</si>
  <si>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</si>
  <si>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</si>
  <si>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</si>
  <si>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</si>
  <si>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</si>
  <si>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</si>
  <si>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</si>
  <si>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</si>
  <si>
    <t>BATS 2023 Work Tour Length Frequency Distribution</t>
  </si>
  <si>
    <t>BATS 2023 University Tour Length Frequency Distribution</t>
  </si>
  <si>
    <t>BATS 2023 School Tour Length Frequency Distribution</t>
  </si>
  <si>
    <t>BATS 2023 Mandatory Tour Lengths, Average by 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</si>
</sst>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0" xfId="0" applyFont="1"/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12.247568512922573</c:v>
                </c:pt>
                <c:pt idx="1">
                  <c:v>14.702264748303573</c:v>
                </c:pt>
                <c:pt idx="2">
                  <c:v>20.684611703099765</c:v>
                </c:pt>
                <c:pt idx="3">
                  <c:v>11.363760515390993</c:v>
                </c:pt>
                <c:pt idx="4">
                  <c:v>8.9239592993083665</c:v>
                </c:pt>
                <c:pt idx="5">
                  <c:v>10.834499995177872</c:v>
                </c:pt>
                <c:pt idx="6">
                  <c:v>10.366097171953868</c:v>
                </c:pt>
                <c:pt idx="7">
                  <c:v>15.267580832844891</c:v>
                </c:pt>
                <c:pt idx="8">
                  <c:v>14.037383715865124</c:v>
                </c:pt>
                <c:pt idx="9">
                  <c:v>12.040414369708092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11.174398647372742</c:v>
                </c:pt>
                <c:pt idx="1">
                  <c:v>10.251184238383937</c:v>
                </c:pt>
                <c:pt idx="2">
                  <c:v>15.549999999999999</c:v>
                </c:pt>
                <c:pt idx="3">
                  <c:v>28.625463857357609</c:v>
                </c:pt>
                <c:pt idx="4">
                  <c:v>5.6721385190388354</c:v>
                </c:pt>
                <c:pt idx="5">
                  <c:v>5.9961439965570911</c:v>
                </c:pt>
                <c:pt idx="6">
                  <c:v>8.4066790808872049</c:v>
                </c:pt>
                <c:pt idx="7">
                  <c:v>15.045676312837791</c:v>
                </c:pt>
                <c:pt idx="8">
                  <c:v>7.6805437825724931</c:v>
                </c:pt>
                <c:pt idx="9">
                  <c:v>9.9152781406007904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3.0610676770478427</c:v>
                </c:pt>
                <c:pt idx="1">
                  <c:v>4.2363864389882462</c:v>
                </c:pt>
                <c:pt idx="2">
                  <c:v>4.1412316190836123</c:v>
                </c:pt>
                <c:pt idx="3">
                  <c:v>3.7473344253367857</c:v>
                </c:pt>
                <c:pt idx="4">
                  <c:v>2.9845946737817424</c:v>
                </c:pt>
                <c:pt idx="5">
                  <c:v>2.0093309442927763</c:v>
                </c:pt>
                <c:pt idx="6">
                  <c:v>3.1528322303312617</c:v>
                </c:pt>
                <c:pt idx="7">
                  <c:v>3.7747515345627614</c:v>
                </c:pt>
                <c:pt idx="8">
                  <c:v>6.5533265366215279</c:v>
                </c:pt>
                <c:pt idx="9">
                  <c:v>3.5405386233281555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7.6780432702265547E-2</c:v>
                </c:pt>
                <c:pt idx="1">
                  <c:v>7.5418006091864928E-2</c:v>
                </c:pt>
                <c:pt idx="2">
                  <c:v>8.5783811050072087E-2</c:v>
                </c:pt>
                <c:pt idx="3">
                  <c:v>6.3795598236356402E-2</c:v>
                </c:pt>
                <c:pt idx="4">
                  <c:v>5.9380638318270236E-2</c:v>
                </c:pt>
                <c:pt idx="5">
                  <c:v>7.5969655897538887E-2</c:v>
                </c:pt>
                <c:pt idx="6">
                  <c:v>3.0812696681484023E-2</c:v>
                </c:pt>
                <c:pt idx="7">
                  <c:v>4.8069528375160653E-2</c:v>
                </c:pt>
                <c:pt idx="8">
                  <c:v>3.1055042077760379E-2</c:v>
                </c:pt>
                <c:pt idx="9">
                  <c:v>3.4648187658221433E-2</c:v>
                </c:pt>
                <c:pt idx="10">
                  <c:v>3.9399655327082839E-2</c:v>
                </c:pt>
                <c:pt idx="11">
                  <c:v>2.882929249071883E-2</c:v>
                </c:pt>
                <c:pt idx="12">
                  <c:v>2.1996138522373639E-2</c:v>
                </c:pt>
                <c:pt idx="13">
                  <c:v>3.5925596499028815E-2</c:v>
                </c:pt>
                <c:pt idx="14">
                  <c:v>1.7261175606547611E-2</c:v>
                </c:pt>
                <c:pt idx="15">
                  <c:v>1.7501223024265437E-2</c:v>
                </c:pt>
                <c:pt idx="16">
                  <c:v>1.443949174495286E-2</c:v>
                </c:pt>
                <c:pt idx="17">
                  <c:v>1.8003519500440657E-2</c:v>
                </c:pt>
                <c:pt idx="18">
                  <c:v>1.2221948533964433E-2</c:v>
                </c:pt>
                <c:pt idx="19">
                  <c:v>1.8674983312236972E-2</c:v>
                </c:pt>
                <c:pt idx="20">
                  <c:v>2.0893227255570666E-2</c:v>
                </c:pt>
                <c:pt idx="21">
                  <c:v>1.2077372644033215E-2</c:v>
                </c:pt>
                <c:pt idx="22">
                  <c:v>1.4482965198382283E-2</c:v>
                </c:pt>
                <c:pt idx="23">
                  <c:v>1.5083968478649169E-2</c:v>
                </c:pt>
                <c:pt idx="24">
                  <c:v>8.2972403539394723E-3</c:v>
                </c:pt>
                <c:pt idx="25">
                  <c:v>8.5360756105585991E-3</c:v>
                </c:pt>
                <c:pt idx="26">
                  <c:v>6.4872116154825908E-3</c:v>
                </c:pt>
                <c:pt idx="27">
                  <c:v>8.1105663867863751E-3</c:v>
                </c:pt>
                <c:pt idx="28">
                  <c:v>1.5125644425497697E-2</c:v>
                </c:pt>
                <c:pt idx="29">
                  <c:v>6.3554696000955096E-3</c:v>
                </c:pt>
                <c:pt idx="30">
                  <c:v>5.1441676004513387E-3</c:v>
                </c:pt>
                <c:pt idx="31">
                  <c:v>8.2020642825653602E-3</c:v>
                </c:pt>
                <c:pt idx="32">
                  <c:v>1.0813104651442177E-2</c:v>
                </c:pt>
                <c:pt idx="33">
                  <c:v>5.9518043775116519E-3</c:v>
                </c:pt>
                <c:pt idx="34">
                  <c:v>1.2728033123480958E-3</c:v>
                </c:pt>
                <c:pt idx="35">
                  <c:v>5.459980609839132E-3</c:v>
                </c:pt>
                <c:pt idx="36">
                  <c:v>1.8387806277494118E-3</c:v>
                </c:pt>
                <c:pt idx="37">
                  <c:v>4.2358773356807955E-3</c:v>
                </c:pt>
                <c:pt idx="38">
                  <c:v>1.7221485668934514E-3</c:v>
                </c:pt>
                <c:pt idx="39">
                  <c:v>2.9498302658356053E-3</c:v>
                </c:pt>
                <c:pt idx="40">
                  <c:v>6.4887423426321228E-3</c:v>
                </c:pt>
                <c:pt idx="41">
                  <c:v>5.0650235242188308E-3</c:v>
                </c:pt>
                <c:pt idx="42">
                  <c:v>3.7159706037936126E-3</c:v>
                </c:pt>
                <c:pt idx="43">
                  <c:v>2.8798864179170923E-3</c:v>
                </c:pt>
                <c:pt idx="44">
                  <c:v>1.9247973429593944E-3</c:v>
                </c:pt>
                <c:pt idx="45">
                  <c:v>4.2316263229465736E-3</c:v>
                </c:pt>
                <c:pt idx="46">
                  <c:v>2.6859114692034639E-3</c:v>
                </c:pt>
                <c:pt idx="47">
                  <c:v>1.0571205793943018E-3</c:v>
                </c:pt>
                <c:pt idx="48">
                  <c:v>9.1224997716273285E-4</c:v>
                </c:pt>
                <c:pt idx="49">
                  <c:v>6.8798693819320511E-4</c:v>
                </c:pt>
                <c:pt idx="50">
                  <c:v>1.3437596316594048E-3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9.2051076744154317E-2</c:v>
                </c:pt>
                <c:pt idx="1">
                  <c:v>0.18835937226062757</c:v>
                </c:pt>
                <c:pt idx="2">
                  <c:v>4.5577386559818002E-2</c:v>
                </c:pt>
                <c:pt idx="3">
                  <c:v>6.1700401001115693E-2</c:v>
                </c:pt>
                <c:pt idx="4">
                  <c:v>9.7947939906930293E-2</c:v>
                </c:pt>
                <c:pt idx="5">
                  <c:v>9.4535509919791566E-2</c:v>
                </c:pt>
                <c:pt idx="6">
                  <c:v>2.7004288859012085E-2</c:v>
                </c:pt>
                <c:pt idx="7">
                  <c:v>1.9725154334015841E-2</c:v>
                </c:pt>
                <c:pt idx="8">
                  <c:v>2.4572232059296107E-3</c:v>
                </c:pt>
                <c:pt idx="9">
                  <c:v>3.1788919293331101E-2</c:v>
                </c:pt>
                <c:pt idx="10">
                  <c:v>2.3053070039827907E-2</c:v>
                </c:pt>
                <c:pt idx="11">
                  <c:v>1.7813512431272354E-3</c:v>
                </c:pt>
                <c:pt idx="12">
                  <c:v>2.2321215102688741E-2</c:v>
                </c:pt>
                <c:pt idx="13">
                  <c:v>3.5983969230645223E-2</c:v>
                </c:pt>
                <c:pt idx="14">
                  <c:v>3.0658440194885655E-2</c:v>
                </c:pt>
                <c:pt idx="15">
                  <c:v>1.8358453361242793E-2</c:v>
                </c:pt>
                <c:pt idx="16">
                  <c:v>1.0989200699122986E-3</c:v>
                </c:pt>
                <c:pt idx="17">
                  <c:v>1.4102774363185086E-2</c:v>
                </c:pt>
                <c:pt idx="18">
                  <c:v>1.3124606285943056E-2</c:v>
                </c:pt>
                <c:pt idx="19">
                  <c:v>6.3708372307508246E-3</c:v>
                </c:pt>
                <c:pt idx="20">
                  <c:v>1.0394162755471474E-2</c:v>
                </c:pt>
                <c:pt idx="21">
                  <c:v>1.0790011279405784E-2</c:v>
                </c:pt>
                <c:pt idx="22">
                  <c:v>1.7510055827616377E-3</c:v>
                </c:pt>
                <c:pt idx="23">
                  <c:v>6.6160145099366055E-4</c:v>
                </c:pt>
                <c:pt idx="24">
                  <c:v>1.1350507700772108E-2</c:v>
                </c:pt>
                <c:pt idx="25">
                  <c:v>9.3312250298135599E-3</c:v>
                </c:pt>
                <c:pt idx="26">
                  <c:v>1.1394881348509496E-2</c:v>
                </c:pt>
                <c:pt idx="27">
                  <c:v>3.4941623812157315E-4</c:v>
                </c:pt>
                <c:pt idx="28">
                  <c:v>5.4839491790593109E-2</c:v>
                </c:pt>
                <c:pt idx="29">
                  <c:v>2.598979927866426E-3</c:v>
                </c:pt>
                <c:pt idx="30">
                  <c:v>6.5591837405985581E-4</c:v>
                </c:pt>
                <c:pt idx="31">
                  <c:v>8.7139502355420423E-3</c:v>
                </c:pt>
                <c:pt idx="32">
                  <c:v>6.5768886135844878E-4</c:v>
                </c:pt>
                <c:pt idx="33">
                  <c:v>0</c:v>
                </c:pt>
                <c:pt idx="34">
                  <c:v>1.2321738750839495E-2</c:v>
                </c:pt>
                <c:pt idx="35">
                  <c:v>6.9950637725358263E-3</c:v>
                </c:pt>
                <c:pt idx="36">
                  <c:v>1.8579933966975538E-3</c:v>
                </c:pt>
                <c:pt idx="37">
                  <c:v>0</c:v>
                </c:pt>
                <c:pt idx="38">
                  <c:v>3.1109410896735953E-3</c:v>
                </c:pt>
                <c:pt idx="39">
                  <c:v>8.4814875121895505E-4</c:v>
                </c:pt>
                <c:pt idx="40">
                  <c:v>3.7212003864519656E-4</c:v>
                </c:pt>
                <c:pt idx="41">
                  <c:v>2.8600897642926544E-4</c:v>
                </c:pt>
                <c:pt idx="42">
                  <c:v>0</c:v>
                </c:pt>
                <c:pt idx="43">
                  <c:v>2.306171078585933E-4</c:v>
                </c:pt>
                <c:pt idx="44">
                  <c:v>0</c:v>
                </c:pt>
                <c:pt idx="45">
                  <c:v>2.6093613781104689E-3</c:v>
                </c:pt>
                <c:pt idx="46">
                  <c:v>0</c:v>
                </c:pt>
                <c:pt idx="47">
                  <c:v>9.8641913146007391E-3</c:v>
                </c:pt>
                <c:pt idx="48">
                  <c:v>8.9290417949389987E-3</c:v>
                </c:pt>
                <c:pt idx="49">
                  <c:v>0</c:v>
                </c:pt>
                <c:pt idx="50">
                  <c:v>1.0850238462472525E-3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0.17365179332392078</c:v>
                </c:pt>
                <c:pt idx="1">
                  <c:v>0.21657753359720261</c:v>
                </c:pt>
                <c:pt idx="2">
                  <c:v>0.2356634260529247</c:v>
                </c:pt>
                <c:pt idx="3">
                  <c:v>0.11437169113846672</c:v>
                </c:pt>
                <c:pt idx="4">
                  <c:v>3.707797799726803E-2</c:v>
                </c:pt>
                <c:pt idx="5">
                  <c:v>9.1236291912219478E-2</c:v>
                </c:pt>
                <c:pt idx="6">
                  <c:v>2.2329152983250885E-2</c:v>
                </c:pt>
                <c:pt idx="7">
                  <c:v>3.380350039898946E-2</c:v>
                </c:pt>
                <c:pt idx="8">
                  <c:v>2.9760183568035482E-2</c:v>
                </c:pt>
                <c:pt idx="9">
                  <c:v>9.9090887568162745E-3</c:v>
                </c:pt>
                <c:pt idx="10">
                  <c:v>4.7356874173341947E-3</c:v>
                </c:pt>
                <c:pt idx="11">
                  <c:v>9.1044161282689817E-4</c:v>
                </c:pt>
                <c:pt idx="12">
                  <c:v>4.066969176788466E-3</c:v>
                </c:pt>
                <c:pt idx="13">
                  <c:v>2.9540376219788357E-3</c:v>
                </c:pt>
                <c:pt idx="14">
                  <c:v>2.5983858367008756E-3</c:v>
                </c:pt>
                <c:pt idx="15">
                  <c:v>4.783336091039956E-3</c:v>
                </c:pt>
                <c:pt idx="16">
                  <c:v>1.3572589308979651E-4</c:v>
                </c:pt>
                <c:pt idx="17">
                  <c:v>1.0377601023344677E-3</c:v>
                </c:pt>
                <c:pt idx="18">
                  <c:v>1.281501921084317E-2</c:v>
                </c:pt>
                <c:pt idx="19">
                  <c:v>0</c:v>
                </c:pt>
                <c:pt idx="20">
                  <c:v>5.1697950575539631E-4</c:v>
                </c:pt>
                <c:pt idx="21">
                  <c:v>1.1646346933119229E-4</c:v>
                </c:pt>
                <c:pt idx="22">
                  <c:v>0</c:v>
                </c:pt>
                <c:pt idx="23">
                  <c:v>1.3172961025693456E-4</c:v>
                </c:pt>
                <c:pt idx="24">
                  <c:v>2.0246107759874768E-4</c:v>
                </c:pt>
                <c:pt idx="25">
                  <c:v>0</c:v>
                </c:pt>
                <c:pt idx="26">
                  <c:v>0</c:v>
                </c:pt>
                <c:pt idx="27">
                  <c:v>9.677534278641249E-5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5.1758830224023374E-4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https://api.box.com/travel-model-one-tm1.7_calibration/model-files/model/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40625" defaultRowHeight="12.75" x14ac:dyDescent="0.2"/>
  <cols>
    <col min="1" max="1" width="10.7109375" style="1" customWidth="1"/>
    <col min="2" max="2" width="17.42578125" style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1" width="9.7109375" style="1" customWidth="1"/>
    <col min="12" max="12" width="12.7109375" style="1" customWidth="1"/>
    <col min="13" max="14" width="9.7109375" style="1" customWidth="1"/>
    <col min="15" max="15" width="6.85546875" style="1" customWidth="1"/>
    <col min="16" max="16" width="15" style="1" customWidth="1"/>
    <col min="17" max="25" width="9.7109375" style="1" customWidth="1"/>
    <col min="26" max="26" width="12.140625" style="1" customWidth="1"/>
    <col min="27" max="27" width="9.7109375" style="1" customWidth="1"/>
    <col min="28" max="28" width="4" style="1" customWidth="1"/>
    <col min="29" max="29" width="15" style="1" customWidth="1"/>
    <col min="30" max="38" width="9.140625" style="1"/>
    <col min="39" max="39" width="11.7109375" style="1" customWidth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2">
      <c r="A2" s="16" t="s">
        <v>503</v>
      </c>
      <c r="P2" s="16" t="s">
        <v>500</v>
      </c>
      <c r="AC2" s="95" t="s">
        <v>495</v>
      </c>
      <c r="AO2" s="95" t="s">
        <v>520</v>
      </c>
    </row>
    <row r="3" spans="1:67" x14ac:dyDescent="0.2">
      <c r="A3" s="81" t="s">
        <v>518</v>
      </c>
      <c r="P3" s="24" t="s">
        <v>55</v>
      </c>
    </row>
    <row r="5" spans="1:67" x14ac:dyDescent="0.2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5.5" x14ac:dyDescent="0.2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2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2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2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2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2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2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2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2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2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2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2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2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2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2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2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2">
      <c r="A22" s="16" t="s">
        <v>505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2">
      <c r="A23" s="81" t="s">
        <v>103</v>
      </c>
      <c r="AC23" s="95" t="s">
        <v>495</v>
      </c>
      <c r="AO23" s="95" t="s">
        <v>520</v>
      </c>
    </row>
    <row r="24" spans="1:51" x14ac:dyDescent="0.2">
      <c r="P24" s="16" t="s">
        <v>506</v>
      </c>
      <c r="AC24" s="97" t="s">
        <v>104</v>
      </c>
      <c r="AO24" s="97" t="s">
        <v>104</v>
      </c>
    </row>
    <row r="25" spans="1:51" x14ac:dyDescent="0.2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5.5" x14ac:dyDescent="0.2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2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AvgTourLen'!B4</f>
        <v>12.247568512922573</v>
      </c>
      <c r="R27" s="88">
        <f>modeldata!O5</f>
        <v>1</v>
      </c>
      <c r="S27" s="86">
        <f>'BATS 2023 AvgTourLen'!C4</f>
        <v>11.174398647372742</v>
      </c>
      <c r="T27" s="88">
        <f>modeldata!P5</f>
        <v>1</v>
      </c>
      <c r="U27" s="86">
        <f>'BATS 2023 AvgTourLen'!D4</f>
        <v>3.0610676770478427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2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AvgTourLen'!B5</f>
        <v>14.702264748303573</v>
      </c>
      <c r="R28" s="91">
        <f>modeldata!O6</f>
        <v>1</v>
      </c>
      <c r="S28" s="89">
        <f>'BATS 2023 AvgTourLen'!C5</f>
        <v>10.251184238383937</v>
      </c>
      <c r="T28" s="91">
        <f>modeldata!P6</f>
        <v>1</v>
      </c>
      <c r="U28" s="89">
        <f>'BATS 2023 AvgTourLen'!D5</f>
        <v>4.2363864389882462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2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AvgTourLen'!B6</f>
        <v>20.684611703099765</v>
      </c>
      <c r="R29" s="91">
        <f>modeldata!O7</f>
        <v>1</v>
      </c>
      <c r="S29" s="89">
        <f>'BATS 2023 AvgTourLen'!C6</f>
        <v>15.549999999999999</v>
      </c>
      <c r="T29" s="91">
        <f>modeldata!P7</f>
        <v>1</v>
      </c>
      <c r="U29" s="89">
        <f>'BATS 2023 AvgTourLen'!D6</f>
        <v>4.1412316190836123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2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AvgTourLen'!B7</f>
        <v>11.363760515390993</v>
      </c>
      <c r="R30" s="91">
        <f>modeldata!O8</f>
        <v>1</v>
      </c>
      <c r="S30" s="89">
        <f>'BATS 2023 AvgTourLen'!C7</f>
        <v>28.625463857357609</v>
      </c>
      <c r="T30" s="91">
        <f>modeldata!P8</f>
        <v>1</v>
      </c>
      <c r="U30" s="89">
        <f>'BATS 2023 AvgTourLen'!D7</f>
        <v>3.7473344253367857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2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AvgTourLen'!B8</f>
        <v>8.9239592993083665</v>
      </c>
      <c r="R31" s="91">
        <f>modeldata!O9</f>
        <v>1</v>
      </c>
      <c r="S31" s="89">
        <f>'BATS 2023 AvgTourLen'!C8</f>
        <v>5.6721385190388354</v>
      </c>
      <c r="T31" s="91">
        <f>modeldata!P9</f>
        <v>1</v>
      </c>
      <c r="U31" s="89">
        <f>'BATS 2023 AvgTourLen'!D8</f>
        <v>2.9845946737817424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2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AvgTourLen'!B9</f>
        <v>10.834499995177872</v>
      </c>
      <c r="R32" s="91">
        <f>modeldata!O10</f>
        <v>1</v>
      </c>
      <c r="S32" s="89">
        <f>'BATS 2023 AvgTourLen'!C9</f>
        <v>5.9961439965570911</v>
      </c>
      <c r="T32" s="91">
        <f>modeldata!P10</f>
        <v>1</v>
      </c>
      <c r="U32" s="89">
        <f>'BATS 2023 AvgTourLen'!D9</f>
        <v>2.0093309442927763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2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AvgTourLen'!B10</f>
        <v>10.366097171953868</v>
      </c>
      <c r="R33" s="91">
        <f>modeldata!O11</f>
        <v>1</v>
      </c>
      <c r="S33" s="89">
        <f>'BATS 2023 AvgTourLen'!C10</f>
        <v>8.4066790808872049</v>
      </c>
      <c r="T33" s="91">
        <f>modeldata!P11</f>
        <v>1</v>
      </c>
      <c r="U33" s="89">
        <f>'BATS 2023 AvgTourLen'!D10</f>
        <v>3.1528322303312617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2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AvgTourLen'!B11</f>
        <v>15.267580832844891</v>
      </c>
      <c r="R34" s="91">
        <f>modeldata!O12</f>
        <v>1</v>
      </c>
      <c r="S34" s="89">
        <f>'BATS 2023 AvgTourLen'!C11</f>
        <v>15.045676312837791</v>
      </c>
      <c r="T34" s="91">
        <f>modeldata!P12</f>
        <v>1</v>
      </c>
      <c r="U34" s="89">
        <f>'BATS 2023 AvgTourLen'!D11</f>
        <v>3.7747515345627614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2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AvgTourLen'!B12</f>
        <v>14.037383715865124</v>
      </c>
      <c r="R35" s="94">
        <f>modeldata!O13</f>
        <v>1</v>
      </c>
      <c r="S35" s="92">
        <f>'BATS 2023 AvgTourLen'!C12</f>
        <v>7.6805437825724931</v>
      </c>
      <c r="T35" s="94">
        <f>modeldata!P13</f>
        <v>1</v>
      </c>
      <c r="U35" s="92">
        <f>'BATS 2023 AvgTourLen'!D12</f>
        <v>6.5533265366215279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2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AvgTourLen'!B13</f>
        <v>12.040414369708092</v>
      </c>
      <c r="R36" s="90">
        <f>modeldata!O14</f>
        <v>1</v>
      </c>
      <c r="S36" s="90">
        <f>'BATS 2023 AvgTourLen'!C13</f>
        <v>9.9152781406007904</v>
      </c>
      <c r="T36" s="90">
        <f>modeldata!P14</f>
        <v>1</v>
      </c>
      <c r="U36" s="90">
        <f>'BATS 2023 AvgTourLen'!D13</f>
        <v>3.5405386233281555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2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2">
      <c r="A41" s="16" t="s">
        <v>519</v>
      </c>
    </row>
    <row r="42" spans="1:53" x14ac:dyDescent="0.2">
      <c r="A42" s="257" t="s">
        <v>504</v>
      </c>
    </row>
    <row r="43" spans="1:53" x14ac:dyDescent="0.2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38.25" x14ac:dyDescent="0.2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2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2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2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2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2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2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2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2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2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2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2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2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2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495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495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2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2"/>
    <row r="62" spans="1:67" hidden="1" x14ac:dyDescent="0.2">
      <c r="C62" s="14" t="s">
        <v>11</v>
      </c>
      <c r="AD62" s="14" t="s">
        <v>11</v>
      </c>
      <c r="AP62" s="14" t="s">
        <v>11</v>
      </c>
    </row>
    <row r="63" spans="1:67" ht="25.5" hidden="1" x14ac:dyDescent="0.2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2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2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2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2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2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2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2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2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2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2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2"/>
    <row r="76" spans="1:67" hidden="1" x14ac:dyDescent="0.2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2">
      <c r="A77" s="2" t="s">
        <v>166</v>
      </c>
    </row>
    <row r="78" spans="1:67" hidden="1" x14ac:dyDescent="0.2">
      <c r="C78" s="14" t="s">
        <v>11</v>
      </c>
    </row>
    <row r="79" spans="1:67" ht="25.5" hidden="1" x14ac:dyDescent="0.2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2"/>
    <row r="81" spans="1:67" hidden="1" x14ac:dyDescent="0.2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2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2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2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2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2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2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2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2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2">
      <c r="A93" s="16" t="s">
        <v>105</v>
      </c>
    </row>
    <row r="94" spans="1:67" x14ac:dyDescent="0.2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5.5" x14ac:dyDescent="0.2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1" x14ac:dyDescent="0.2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2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66" activePane="bottomLeft" state="frozen"/>
      <selection pane="bottomLeft" activeCell="K13" sqref="K13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3"/>
    <col min="12" max="12" width="8.42578125" style="173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2">
      <c r="AE2" s="1" t="s">
        <v>63</v>
      </c>
      <c r="AG2" s="1" t="s">
        <v>64</v>
      </c>
    </row>
    <row r="3" spans="2:36" x14ac:dyDescent="0.2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2">
      <c r="B4" s="1" t="s">
        <v>65</v>
      </c>
      <c r="C4" s="33">
        <f>[1]Work!$G$22</f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f>[1]Work!$G38</f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f>[1]University!$G12</f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f>[1]HighSchool!$G12</f>
        <v>-1.1445060279170556</v>
      </c>
      <c r="AF4" s="232">
        <f>[1]GradeSchool!$G12</f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2">
      <c r="B5" s="1" t="s">
        <v>66</v>
      </c>
      <c r="C5" s="33">
        <f>[1]Work!$G$23</f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f>[1]Work!$G39</f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f>[1]University!$G13</f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f>[1]HighSchool!$G13</f>
        <v>-0.10907884717484495</v>
      </c>
      <c r="AF5" s="232">
        <f>[1]GradeSchool!$G13</f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2">
      <c r="B6" s="1" t="s">
        <v>67</v>
      </c>
      <c r="C6" s="33">
        <f>[1]Work!$G$24</f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f>[1]Work!$G40</f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f>[1]University!$G14</f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f>[1]HighSchool!$G14</f>
        <v>-0.38571852319234695</v>
      </c>
      <c r="AF6" s="232">
        <f>[1]GradeSchool!$G14</f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2">
      <c r="B7" s="1" t="s">
        <v>68</v>
      </c>
      <c r="C7" s="33">
        <f>[1]Work!$G$25</f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f>[1]Work!$G41</f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f>[1]University!$G15</f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>
        <f>(AH33-AH23)/10</f>
        <v>-0.28496155144383373</v>
      </c>
      <c r="AC7" s="33">
        <f t="shared" si="1"/>
        <v>1</v>
      </c>
      <c r="AE7" s="232">
        <f>[1]HighSchool!$G15</f>
        <v>-0.27772540332061751</v>
      </c>
      <c r="AF7" s="232">
        <f>[1]GradeSchool!$G15</f>
        <v>-0.29219769956704994</v>
      </c>
      <c r="AG7" s="33">
        <f t="shared" si="3"/>
        <v>-0.27772540332061751</v>
      </c>
      <c r="AH7" s="33">
        <f t="shared" si="3"/>
        <v>-0.29219769956704994</v>
      </c>
    </row>
    <row r="8" spans="2:36" x14ac:dyDescent="0.2">
      <c r="B8" s="1" t="s">
        <v>69</v>
      </c>
      <c r="C8" s="33">
        <f>[1]Work!$G$26</f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f>[1]Work!$G42</f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f>[1]University!$G16</f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 t="e">
        <f>(AH48-AH33)/15</f>
        <v>#NUM!</v>
      </c>
      <c r="AC8" s="33" t="e">
        <f t="shared" si="1"/>
        <v>#NUM!</v>
      </c>
      <c r="AE8" s="232">
        <f>[1]HighSchool!$G16</f>
        <v>-0.3818014189868591</v>
      </c>
      <c r="AF8" s="232">
        <f>[1]GradeSchool!$G16</f>
        <v>-9.331366790651309E-2</v>
      </c>
      <c r="AG8" s="33" t="e">
        <f t="shared" si="3"/>
        <v>#NUM!</v>
      </c>
      <c r="AH8" s="33" t="e">
        <f t="shared" si="3"/>
        <v>#NUM!</v>
      </c>
    </row>
    <row r="9" spans="2:36" x14ac:dyDescent="0.2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f>[1]Work!$G43</f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 t="e">
        <f>AB8</f>
        <v>#NUM!</v>
      </c>
      <c r="AC9" s="33" t="e">
        <f t="shared" si="1"/>
        <v>#NUM!</v>
      </c>
      <c r="AE9" s="33">
        <f>AE8</f>
        <v>-0.3818014189868591</v>
      </c>
      <c r="AF9" s="33">
        <f>AF8</f>
        <v>-9.331366790651309E-2</v>
      </c>
      <c r="AG9" s="33" t="e">
        <f t="shared" si="3"/>
        <v>#NUM!</v>
      </c>
      <c r="AH9" s="33" t="e">
        <f t="shared" si="3"/>
        <v>#NUM!</v>
      </c>
    </row>
    <row r="10" spans="2:36" x14ac:dyDescent="0.2">
      <c r="F10" s="118"/>
      <c r="G10" s="119"/>
      <c r="H10" s="120" t="s">
        <v>117</v>
      </c>
      <c r="I10" s="33">
        <f>[1]Work!$G44</f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2">
      <c r="F11" s="163"/>
      <c r="G11" s="164"/>
      <c r="H11" s="165" t="s">
        <v>173</v>
      </c>
      <c r="I11" s="33">
        <f>[1]Work!$G45</f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2">
      <c r="F12" s="166"/>
      <c r="G12" s="166"/>
      <c r="H12" s="167" t="s">
        <v>174</v>
      </c>
      <c r="I12" s="33">
        <f>[1]Work!$G46</f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2">
      <c r="F13" s="166"/>
      <c r="G13" s="166"/>
      <c r="H13" s="167" t="s">
        <v>175</v>
      </c>
      <c r="I13" s="33">
        <f>[1]Work!$G47</f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2">
      <c r="F14" s="122"/>
      <c r="G14" s="122"/>
      <c r="H14" s="123"/>
      <c r="I14" s="33"/>
      <c r="J14" s="33"/>
    </row>
    <row r="15" spans="2:36" x14ac:dyDescent="0.2">
      <c r="B15" s="16" t="s">
        <v>83</v>
      </c>
      <c r="N15" s="16" t="s">
        <v>84</v>
      </c>
      <c r="Z15" s="16" t="s">
        <v>88</v>
      </c>
    </row>
    <row r="16" spans="2:36" x14ac:dyDescent="0.2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5.5" x14ac:dyDescent="0.2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2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7.6780432702265547E-2</v>
      </c>
      <c r="F18" s="38">
        <f>modeldata!L20</f>
        <v>6.6666666666666671E-3</v>
      </c>
      <c r="G18" s="34">
        <f t="shared" ref="G18:G49" si="4">(F18-E18)/E18</f>
        <v>-0.91317232226968215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9.2051076744154317E-2</v>
      </c>
      <c r="R18" s="38">
        <f>modeldata!Y20</f>
        <v>6.6666666666666671E-3</v>
      </c>
      <c r="S18" s="34">
        <f>(R18-Q18)/Q18</f>
        <v>-0.92757644014098906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0.17365179332392078</v>
      </c>
      <c r="AD18" s="38">
        <f>modeldata!AL20</f>
        <v>6.6666666666666671E-3</v>
      </c>
      <c r="AE18" s="34">
        <f>(AD18-AC18)/AC18</f>
        <v>-0.9616089961464952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2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7.5418006091864928E-2</v>
      </c>
      <c r="F19" s="48">
        <f>modeldata!L21</f>
        <v>6.6666666666666671E-3</v>
      </c>
      <c r="G19" s="49">
        <f t="shared" si="4"/>
        <v>-0.91160377989115549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0.18835937226062757</v>
      </c>
      <c r="R19" s="48">
        <f>modeldata!Y21</f>
        <v>6.6666666666666671E-3</v>
      </c>
      <c r="S19" s="49">
        <f t="shared" ref="S19:S68" si="15">(R19-Q19)/Q19</f>
        <v>-0.96460666338682544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0.21657753359720261</v>
      </c>
      <c r="AD19" s="48">
        <f>modeldata!AL21</f>
        <v>6.6666666666666671E-3</v>
      </c>
      <c r="AE19" s="49">
        <f t="shared" ref="AE19:AE68" si="17">(AD19-AC19)/AC19</f>
        <v>-0.96921810607066239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2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8.5783811050072087E-2</v>
      </c>
      <c r="F20" s="38">
        <f>modeldata!L22</f>
        <v>6.6666666666666671E-3</v>
      </c>
      <c r="G20" s="34">
        <f t="shared" si="4"/>
        <v>-0.92228525889604829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4.5577386559818002E-2</v>
      </c>
      <c r="R20" s="38">
        <f>modeldata!Y22</f>
        <v>6.6666666666666671E-3</v>
      </c>
      <c r="S20" s="34">
        <f t="shared" si="15"/>
        <v>-0.85372863233575258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0.2356634260529247</v>
      </c>
      <c r="AD20" s="38">
        <f>modeldata!AL22</f>
        <v>6.6666666666666671E-3</v>
      </c>
      <c r="AE20" s="34">
        <f t="shared" si="17"/>
        <v>-0.97171106786349837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2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6.3795598236356402E-2</v>
      </c>
      <c r="F21" s="38">
        <f>modeldata!L23</f>
        <v>6.6666666666666671E-3</v>
      </c>
      <c r="G21" s="34">
        <f t="shared" si="4"/>
        <v>-0.89549958224441562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6.1700401001115693E-2</v>
      </c>
      <c r="R21" s="38">
        <f>modeldata!Y23</f>
        <v>6.6666666666666671E-3</v>
      </c>
      <c r="S21" s="34">
        <f t="shared" si="15"/>
        <v>-0.89195099936958078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0.11437169113846672</v>
      </c>
      <c r="AD21" s="38">
        <f>modeldata!AL23</f>
        <v>6.6666666666666671E-3</v>
      </c>
      <c r="AE21" s="34">
        <f t="shared" si="17"/>
        <v>-0.94171051769624081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2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5.9380638318270236E-2</v>
      </c>
      <c r="F22" s="38">
        <f>modeldata!L24</f>
        <v>6.6666666666666671E-3</v>
      </c>
      <c r="G22" s="34">
        <f t="shared" si="4"/>
        <v>-0.88772995953774603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9.7947939906930293E-2</v>
      </c>
      <c r="R22" s="38">
        <f>modeldata!Y24</f>
        <v>6.6666666666666671E-3</v>
      </c>
      <c r="S22" s="34">
        <f t="shared" si="15"/>
        <v>-0.93193663212313294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3.707797799726803E-2</v>
      </c>
      <c r="AD22" s="38">
        <f>modeldata!AL24</f>
        <v>6.6666666666666671E-3</v>
      </c>
      <c r="AE22" s="34">
        <f t="shared" si="17"/>
        <v>-0.82019875336357662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2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7.5969655897538887E-2</v>
      </c>
      <c r="F23" s="48">
        <f>modeldata!L25</f>
        <v>6.6666666666666671E-3</v>
      </c>
      <c r="G23" s="49">
        <f t="shared" si="4"/>
        <v>-0.91224566456299239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9.4535509919791566E-2</v>
      </c>
      <c r="R23" s="48">
        <f>modeldata!Y25</f>
        <v>6.6666666666666671E-3</v>
      </c>
      <c r="S23" s="49">
        <f t="shared" si="15"/>
        <v>-0.92947976191884951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9.1236291912219478E-2</v>
      </c>
      <c r="AD23" s="48">
        <f>modeldata!AL25</f>
        <v>6.6666666666666671E-3</v>
      </c>
      <c r="AE23" s="49">
        <f t="shared" si="17"/>
        <v>-0.92692966223264728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>
        <f>AB7</f>
        <v>-0.28496155144383373</v>
      </c>
      <c r="AJ23" s="46">
        <f t="shared" si="22"/>
        <v>-2.8251116487828263</v>
      </c>
    </row>
    <row r="24" spans="1:36" x14ac:dyDescent="0.2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3.0812696681484023E-2</v>
      </c>
      <c r="F24" s="48">
        <f>modeldata!L26</f>
        <v>6.6666666666666671E-3</v>
      </c>
      <c r="G24" s="49">
        <f t="shared" si="4"/>
        <v>-0.78363897403784188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2.7004288859012085E-2</v>
      </c>
      <c r="R24" s="48">
        <f>modeldata!Y26</f>
        <v>6.6666666666666671E-3</v>
      </c>
      <c r="S24" s="49">
        <f t="shared" si="15"/>
        <v>-0.75312563491403273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2.2329152983250885E-2</v>
      </c>
      <c r="AD24" s="48">
        <f>modeldata!AL26</f>
        <v>6.6666666666666671E-3</v>
      </c>
      <c r="AE24" s="49">
        <f t="shared" si="17"/>
        <v>-0.70143665226946406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>
        <f>AI23</f>
        <v>-0.28496155144383373</v>
      </c>
      <c r="AJ24" s="46">
        <f t="shared" si="22"/>
        <v>-3.11007320022666</v>
      </c>
    </row>
    <row r="25" spans="1:36" x14ac:dyDescent="0.2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4.8069528375160653E-2</v>
      </c>
      <c r="F25" s="48">
        <f>modeldata!L27</f>
        <v>6.6666666666666671E-3</v>
      </c>
      <c r="G25" s="49">
        <f t="shared" si="4"/>
        <v>-0.86131200176052514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1.9725154334015841E-2</v>
      </c>
      <c r="R25" s="48">
        <f>modeldata!Y27</f>
        <v>6.6666666666666671E-3</v>
      </c>
      <c r="S25" s="49">
        <f t="shared" si="15"/>
        <v>-0.6620220783180355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3.380350039898946E-2</v>
      </c>
      <c r="AD25" s="48">
        <f>modeldata!AL27</f>
        <v>6.6666666666666671E-3</v>
      </c>
      <c r="AE25" s="49">
        <f t="shared" si="17"/>
        <v>-0.80278176555745195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>
        <f t="shared" ref="AI25:AI32" si="28">AI24</f>
        <v>-0.28496155144383373</v>
      </c>
      <c r="AJ25" s="46">
        <f t="shared" si="22"/>
        <v>-3.3950347516704937</v>
      </c>
    </row>
    <row r="26" spans="1:36" x14ac:dyDescent="0.2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3.1055042077760379E-2</v>
      </c>
      <c r="F26" s="48">
        <f>modeldata!L28</f>
        <v>6.6666666666666671E-3</v>
      </c>
      <c r="G26" s="49">
        <f t="shared" si="4"/>
        <v>-0.78532739868863666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2.4572232059296107E-3</v>
      </c>
      <c r="R26" s="48">
        <f>modeldata!Y28</f>
        <v>6.6666666666666671E-3</v>
      </c>
      <c r="S26" s="49">
        <f t="shared" si="15"/>
        <v>1.7130895763067442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2.9760183568035482E-2</v>
      </c>
      <c r="AD26" s="48">
        <f>modeldata!AL28</f>
        <v>6.6666666666666671E-3</v>
      </c>
      <c r="AE26" s="49">
        <f t="shared" si="17"/>
        <v>-0.77598704485723891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>
        <f t="shared" si="28"/>
        <v>-0.28496155144383373</v>
      </c>
      <c r="AJ26" s="46">
        <f t="shared" si="22"/>
        <v>-3.6799963031143275</v>
      </c>
    </row>
    <row r="27" spans="1:36" x14ac:dyDescent="0.2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3.4648187658221433E-2</v>
      </c>
      <c r="F27" s="48">
        <f>modeldata!L29</f>
        <v>6.6666666666666671E-3</v>
      </c>
      <c r="G27" s="49">
        <f t="shared" si="4"/>
        <v>-0.80758974372834824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3.1788919293331101E-2</v>
      </c>
      <c r="R27" s="48">
        <f>modeldata!Y29</f>
        <v>6.6666666666666671E-3</v>
      </c>
      <c r="S27" s="49">
        <f t="shared" si="15"/>
        <v>-0.79028331837423471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9.9090887568162745E-3</v>
      </c>
      <c r="AD27" s="48">
        <f>modeldata!AL29</f>
        <v>6.6666666666666671E-3</v>
      </c>
      <c r="AE27" s="49">
        <f t="shared" si="17"/>
        <v>-0.32721697925242688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>
        <f t="shared" si="28"/>
        <v>-0.28496155144383373</v>
      </c>
      <c r="AJ27" s="46">
        <f t="shared" si="22"/>
        <v>-3.9649578545581612</v>
      </c>
    </row>
    <row r="28" spans="1:36" x14ac:dyDescent="0.2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3.9399655327082839E-2</v>
      </c>
      <c r="F28" s="48">
        <f>modeldata!L30</f>
        <v>6.6666666666666671E-3</v>
      </c>
      <c r="G28" s="49">
        <f t="shared" si="4"/>
        <v>-0.83079378204397425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2.3053070039827907E-2</v>
      </c>
      <c r="R28" s="48">
        <f>modeldata!Y30</f>
        <v>6.6666666666666671E-3</v>
      </c>
      <c r="S28" s="49">
        <f t="shared" si="15"/>
        <v>-0.71081219745791246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4.7356874173341947E-3</v>
      </c>
      <c r="AD28" s="48">
        <f>modeldata!AL30</f>
        <v>6.6666666666666671E-3</v>
      </c>
      <c r="AE28" s="49">
        <f t="shared" si="17"/>
        <v>0.40775057117673025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>
        <f t="shared" si="28"/>
        <v>-0.28496155144383373</v>
      </c>
      <c r="AJ28" s="46">
        <f t="shared" si="22"/>
        <v>-4.2499194060019949</v>
      </c>
    </row>
    <row r="29" spans="1:36" x14ac:dyDescent="0.2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2.882929249071883E-2</v>
      </c>
      <c r="F29" s="48">
        <f>modeldata!L31</f>
        <v>6.6666666666666671E-3</v>
      </c>
      <c r="G29" s="49">
        <f t="shared" si="4"/>
        <v>-0.76875371919678903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1.7813512431272354E-3</v>
      </c>
      <c r="R29" s="48">
        <f>modeldata!Y31</f>
        <v>6.6666666666666671E-3</v>
      </c>
      <c r="S29" s="49">
        <f t="shared" si="15"/>
        <v>2.7424773426284306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9.1044161282689817E-4</v>
      </c>
      <c r="AD29" s="48">
        <f>modeldata!AL31</f>
        <v>6.6666666666666671E-3</v>
      </c>
      <c r="AE29" s="49">
        <f t="shared" si="17"/>
        <v>6.3224538210273975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>
        <f t="shared" si="28"/>
        <v>-0.28496155144383373</v>
      </c>
      <c r="AJ29" s="46">
        <f t="shared" si="22"/>
        <v>-4.5348809574458286</v>
      </c>
    </row>
    <row r="30" spans="1:36" x14ac:dyDescent="0.2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2.1996138522373639E-2</v>
      </c>
      <c r="F30" s="48">
        <f>modeldata!L32</f>
        <v>6.6666666666666671E-3</v>
      </c>
      <c r="G30" s="49">
        <f t="shared" si="4"/>
        <v>-0.69691649923528232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2.2321215102688741E-2</v>
      </c>
      <c r="R30" s="48">
        <f>modeldata!Y32</f>
        <v>6.6666666666666671E-3</v>
      </c>
      <c r="S30" s="49">
        <f t="shared" si="15"/>
        <v>-0.70133047703735341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4.066969176788466E-3</v>
      </c>
      <c r="AD30" s="48">
        <f>modeldata!AL32</f>
        <v>6.6666666666666671E-3</v>
      </c>
      <c r="AE30" s="49">
        <f t="shared" si="17"/>
        <v>0.63922232425943426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>
        <f t="shared" si="28"/>
        <v>-0.28496155144383373</v>
      </c>
      <c r="AJ30" s="46">
        <f t="shared" si="22"/>
        <v>-4.8198425088896624</v>
      </c>
    </row>
    <row r="31" spans="1:36" x14ac:dyDescent="0.2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3.5925596499028815E-2</v>
      </c>
      <c r="F31" s="48">
        <f>modeldata!L33</f>
        <v>6.6666666666666671E-3</v>
      </c>
      <c r="G31" s="49">
        <f t="shared" si="4"/>
        <v>-0.81443128809714016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3.5983969230645223E-2</v>
      </c>
      <c r="R31" s="48">
        <f>modeldata!Y33</f>
        <v>6.6666666666666671E-3</v>
      </c>
      <c r="S31" s="49">
        <f t="shared" si="15"/>
        <v>-0.81473231527251588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2.9540376219788357E-3</v>
      </c>
      <c r="AD31" s="48">
        <f>modeldata!AL33</f>
        <v>6.6666666666666671E-3</v>
      </c>
      <c r="AE31" s="49">
        <f t="shared" si="17"/>
        <v>1.2567981589214949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>
        <f t="shared" si="28"/>
        <v>-0.28496155144383373</v>
      </c>
      <c r="AJ31" s="46">
        <f t="shared" si="22"/>
        <v>-5.1048040603334961</v>
      </c>
    </row>
    <row r="32" spans="1:36" x14ac:dyDescent="0.2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1.7261175606547611E-2</v>
      </c>
      <c r="F32" s="48">
        <f>modeldata!L34</f>
        <v>6.6666666666666671E-3</v>
      </c>
      <c r="G32" s="49">
        <f t="shared" si="4"/>
        <v>-0.61377678910016831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3.0658440194885655E-2</v>
      </c>
      <c r="R32" s="48">
        <f>modeldata!Y34</f>
        <v>6.6666666666666671E-3</v>
      </c>
      <c r="S32" s="49">
        <f t="shared" si="15"/>
        <v>-0.78255036380556697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2.5983858367008756E-3</v>
      </c>
      <c r="AD32" s="48">
        <f>modeldata!AL34</f>
        <v>6.6666666666666671E-3</v>
      </c>
      <c r="AE32" s="49">
        <f t="shared" si="17"/>
        <v>1.5656954300255943</v>
      </c>
      <c r="AF32" s="50">
        <f t="shared" si="10"/>
        <v>0</v>
      </c>
      <c r="AG32" s="51">
        <f t="shared" si="11"/>
        <v>0</v>
      </c>
      <c r="AH32" s="52">
        <f t="shared" si="21"/>
        <v>-5.3897656117773298</v>
      </c>
      <c r="AI32" s="178">
        <f t="shared" si="28"/>
        <v>-0.28496155144383373</v>
      </c>
      <c r="AJ32" s="46">
        <f t="shared" si="22"/>
        <v>-5.3897656117773298</v>
      </c>
    </row>
    <row r="33" spans="1:36" x14ac:dyDescent="0.2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1.7501223024265437E-2</v>
      </c>
      <c r="F33" s="38">
        <f>modeldata!L35</f>
        <v>6.6666666666666671E-3</v>
      </c>
      <c r="G33" s="34">
        <f t="shared" si="4"/>
        <v>-0.61907424084457763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1.8358453361242793E-2</v>
      </c>
      <c r="R33" s="38">
        <f>modeldata!Y35</f>
        <v>6.6666666666666671E-3</v>
      </c>
      <c r="S33" s="34">
        <f t="shared" si="15"/>
        <v>-0.63686120309345262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4.783336091039956E-3</v>
      </c>
      <c r="AD33" s="38">
        <f>modeldata!AL35</f>
        <v>6.6666666666666671E-3</v>
      </c>
      <c r="AE33" s="34">
        <f t="shared" si="17"/>
        <v>0.39372741947916351</v>
      </c>
      <c r="AF33" s="39">
        <f t="shared" si="10"/>
        <v>0</v>
      </c>
      <c r="AG33" s="40">
        <f t="shared" si="11"/>
        <v>0</v>
      </c>
      <c r="AH33" s="41">
        <f t="shared" si="21"/>
        <v>-5.6747271632211636</v>
      </c>
      <c r="AI33" s="176" t="e">
        <f>AB8</f>
        <v>#NUM!</v>
      </c>
      <c r="AJ33" s="42">
        <f t="shared" si="22"/>
        <v>-5.6747271632211636</v>
      </c>
    </row>
    <row r="34" spans="1:36" x14ac:dyDescent="0.2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1.443949174495286E-2</v>
      </c>
      <c r="F34" s="38">
        <f>modeldata!L36</f>
        <v>6.6666666666666671E-3</v>
      </c>
      <c r="G34" s="34">
        <f t="shared" si="4"/>
        <v>-0.53830323224521281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1.0989200699122986E-3</v>
      </c>
      <c r="R34" s="38">
        <f>modeldata!Y36</f>
        <v>6.6666666666666671E-3</v>
      </c>
      <c r="S34" s="34">
        <f t="shared" si="15"/>
        <v>5.0665619358455372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1.3572589308979651E-4</v>
      </c>
      <c r="AD34" s="38">
        <f>modeldata!AL36</f>
        <v>6.6666666666666671E-3</v>
      </c>
      <c r="AE34" s="34">
        <f t="shared" si="17"/>
        <v>48.118605999932434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 t="e">
        <f>AI33</f>
        <v>#NUM!</v>
      </c>
      <c r="AJ34" s="42" t="e">
        <f t="shared" si="22"/>
        <v>#NUM!</v>
      </c>
    </row>
    <row r="35" spans="1:36" x14ac:dyDescent="0.2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1.8003519500440657E-2</v>
      </c>
      <c r="F35" s="38">
        <f>modeldata!L37</f>
        <v>6.6666666666666671E-3</v>
      </c>
      <c r="G35" s="34">
        <f t="shared" si="4"/>
        <v>-0.62970203317726325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1.4102774363185086E-2</v>
      </c>
      <c r="R35" s="38">
        <f>modeldata!Y37</f>
        <v>6.6666666666666671E-3</v>
      </c>
      <c r="S35" s="34">
        <f t="shared" si="15"/>
        <v>-0.527279775242677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1.0377601023344677E-3</v>
      </c>
      <c r="AD35" s="38">
        <f>modeldata!AL37</f>
        <v>6.6666666666666671E-3</v>
      </c>
      <c r="AE35" s="34">
        <f t="shared" si="17"/>
        <v>5.4240922845943214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 t="e">
        <f t="shared" ref="AI35:AI68" si="34">AI34</f>
        <v>#NUM!</v>
      </c>
      <c r="AJ35" s="42" t="e">
        <f t="shared" si="22"/>
        <v>#NUM!</v>
      </c>
    </row>
    <row r="36" spans="1:36" x14ac:dyDescent="0.2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1.2221948533964433E-2</v>
      </c>
      <c r="F36" s="38">
        <f>modeldata!L38</f>
        <v>6.6666666666666671E-3</v>
      </c>
      <c r="G36" s="34">
        <f t="shared" si="4"/>
        <v>-0.45453324008522883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1.3124606285943056E-2</v>
      </c>
      <c r="R36" s="38">
        <f>modeldata!Y38</f>
        <v>6.6666666666666671E-3</v>
      </c>
      <c r="S36" s="34">
        <f t="shared" si="15"/>
        <v>-0.49204825490217435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1.281501921084317E-2</v>
      </c>
      <c r="AD36" s="38">
        <f>modeldata!AL38</f>
        <v>6.6666666666666671E-3</v>
      </c>
      <c r="AE36" s="34">
        <f t="shared" si="17"/>
        <v>-0.47977708367180583</v>
      </c>
      <c r="AF36" s="39">
        <f t="shared" si="10"/>
        <v>0</v>
      </c>
      <c r="AG36" s="40">
        <f t="shared" si="11"/>
        <v>0</v>
      </c>
      <c r="AH36" s="41">
        <f t="shared" si="21"/>
        <v>-6.3873997935612206</v>
      </c>
      <c r="AI36" s="176" t="e">
        <f t="shared" si="34"/>
        <v>#NUM!</v>
      </c>
      <c r="AJ36" s="42" t="e">
        <f t="shared" si="22"/>
        <v>#NUM!</v>
      </c>
    </row>
    <row r="37" spans="1:36" x14ac:dyDescent="0.2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1.8674983312236972E-2</v>
      </c>
      <c r="F37" s="38">
        <f>modeldata!L39</f>
        <v>6.6666666666666671E-3</v>
      </c>
      <c r="G37" s="34">
        <f t="shared" si="4"/>
        <v>-0.64301619148980615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6.3708372307508246E-3</v>
      </c>
      <c r="R37" s="38">
        <f>modeldata!Y39</f>
        <v>6.6666666666666671E-3</v>
      </c>
      <c r="S37" s="34">
        <f t="shared" si="15"/>
        <v>4.6434938643217863E-2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 t="e">
        <f t="shared" si="34"/>
        <v>#NUM!</v>
      </c>
      <c r="AJ37" s="42" t="e">
        <f t="shared" si="22"/>
        <v>#NUM!</v>
      </c>
    </row>
    <row r="38" spans="1:36" x14ac:dyDescent="0.2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2.0893227255570666E-2</v>
      </c>
      <c r="F38" s="38">
        <f>modeldata!L40</f>
        <v>6.6666666666666671E-3</v>
      </c>
      <c r="G38" s="34">
        <f t="shared" si="4"/>
        <v>-0.68091733339620064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1.0394162755471474E-2</v>
      </c>
      <c r="R38" s="38">
        <f>modeldata!Y40</f>
        <v>6.6666666666666671E-3</v>
      </c>
      <c r="S38" s="34">
        <f t="shared" si="15"/>
        <v>-0.35861436620690373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5.1697950575539631E-4</v>
      </c>
      <c r="AD38" s="38">
        <f>modeldata!AL40</f>
        <v>6.6666666666666671E-3</v>
      </c>
      <c r="AE38" s="34">
        <f t="shared" si="17"/>
        <v>11.895417695379463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 t="e">
        <f t="shared" si="34"/>
        <v>#NUM!</v>
      </c>
      <c r="AJ38" s="42" t="e">
        <f t="shared" si="22"/>
        <v>#NUM!</v>
      </c>
    </row>
    <row r="39" spans="1:36" x14ac:dyDescent="0.2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1.2077372644033215E-2</v>
      </c>
      <c r="F39" s="38">
        <f>modeldata!L41</f>
        <v>6.6666666666666671E-3</v>
      </c>
      <c r="G39" s="34">
        <f t="shared" si="4"/>
        <v>-0.44800356309612493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1.0790011279405784E-2</v>
      </c>
      <c r="R39" s="38">
        <f>modeldata!Y41</f>
        <v>6.6666666666666671E-3</v>
      </c>
      <c r="S39" s="34">
        <f t="shared" si="15"/>
        <v>-0.38214460633688913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1.1646346933119229E-4</v>
      </c>
      <c r="AD39" s="38">
        <f>modeldata!AL41</f>
        <v>6.6666666666666671E-3</v>
      </c>
      <c r="AE39" s="34">
        <f t="shared" si="17"/>
        <v>56.242556013065119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 t="e">
        <f t="shared" si="34"/>
        <v>#NUM!</v>
      </c>
      <c r="AJ39" s="42" t="e">
        <f t="shared" si="22"/>
        <v>#NUM!</v>
      </c>
    </row>
    <row r="40" spans="1:36" x14ac:dyDescent="0.2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1.4482965198382283E-2</v>
      </c>
      <c r="F40" s="38">
        <f>modeldata!L42</f>
        <v>6.6666666666666671E-3</v>
      </c>
      <c r="G40" s="34">
        <f t="shared" si="4"/>
        <v>-0.53968910541804516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1.7510055827616377E-3</v>
      </c>
      <c r="R40" s="38">
        <f>modeldata!Y42</f>
        <v>6.6666666666666671E-3</v>
      </c>
      <c r="S40" s="34">
        <f t="shared" si="15"/>
        <v>2.8073360429566332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 t="e">
        <f t="shared" si="34"/>
        <v>#NUM!</v>
      </c>
      <c r="AJ40" s="42" t="e">
        <f t="shared" si="22"/>
        <v>#NUM!</v>
      </c>
    </row>
    <row r="41" spans="1:36" x14ac:dyDescent="0.2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1.5083968478649169E-2</v>
      </c>
      <c r="F41" s="38">
        <f>modeldata!L43</f>
        <v>6.6666666666666671E-3</v>
      </c>
      <c r="G41" s="34">
        <f t="shared" si="4"/>
        <v>-0.55802966068888948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6.6160145099366055E-4</v>
      </c>
      <c r="R41" s="38">
        <f>modeldata!Y43</f>
        <v>6.6666666666666671E-3</v>
      </c>
      <c r="S41" s="34">
        <f t="shared" si="15"/>
        <v>9.0765599238846697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1.3172961025693456E-4</v>
      </c>
      <c r="AD41" s="38">
        <f>modeldata!AL43</f>
        <v>6.6666666666666671E-3</v>
      </c>
      <c r="AE41" s="34">
        <f t="shared" si="17"/>
        <v>49.608717764089171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 t="e">
        <f t="shared" si="34"/>
        <v>#NUM!</v>
      </c>
      <c r="AJ41" s="42" t="e">
        <f t="shared" si="22"/>
        <v>#NUM!</v>
      </c>
    </row>
    <row r="42" spans="1:36" x14ac:dyDescent="0.2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8.2972403539394723E-3</v>
      </c>
      <c r="F42" s="38">
        <f>modeldata!L44</f>
        <v>6.6666666666666671E-3</v>
      </c>
      <c r="G42" s="34">
        <f t="shared" si="4"/>
        <v>-0.19652000155673688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1.1350507700772108E-2</v>
      </c>
      <c r="R42" s="38">
        <f>modeldata!Y44</f>
        <v>6.6666666666666671E-3</v>
      </c>
      <c r="S42" s="34">
        <f t="shared" si="15"/>
        <v>-0.41265476026123721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2.0246107759874768E-4</v>
      </c>
      <c r="AD42" s="38">
        <f>modeldata!AL44</f>
        <v>6.6666666666666671E-3</v>
      </c>
      <c r="AE42" s="34">
        <f t="shared" si="17"/>
        <v>31.928139797216527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 t="e">
        <f t="shared" si="34"/>
        <v>#NUM!</v>
      </c>
      <c r="AJ42" s="42" t="e">
        <f t="shared" si="22"/>
        <v>#NUM!</v>
      </c>
    </row>
    <row r="43" spans="1:36" x14ac:dyDescent="0.2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8.5360756105585991E-3</v>
      </c>
      <c r="F43" s="38">
        <f>modeldata!L45</f>
        <v>6.6666666666666671E-3</v>
      </c>
      <c r="G43" s="34">
        <f t="shared" si="4"/>
        <v>-0.21900098232255447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9.3312250298135599E-3</v>
      </c>
      <c r="R43" s="38">
        <f>modeldata!Y45</f>
        <v>6.6666666666666671E-3</v>
      </c>
      <c r="S43" s="34">
        <f t="shared" si="15"/>
        <v>-0.28555289949964174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 t="e">
        <f t="shared" si="34"/>
        <v>#NUM!</v>
      </c>
      <c r="AJ43" s="42" t="e">
        <f t="shared" si="22"/>
        <v>#NUM!</v>
      </c>
    </row>
    <row r="44" spans="1:36" x14ac:dyDescent="0.2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6.4872116154825908E-3</v>
      </c>
      <c r="F44" s="38">
        <f>modeldata!L46</f>
        <v>6.6666666666666671E-3</v>
      </c>
      <c r="G44" s="34">
        <f t="shared" si="4"/>
        <v>2.7662894602633749E-2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1.1394881348509496E-2</v>
      </c>
      <c r="R44" s="38">
        <f>modeldata!Y46</f>
        <v>6.6666666666666671E-3</v>
      </c>
      <c r="S44" s="34">
        <f t="shared" si="15"/>
        <v>-0.41494198467115251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 t="e">
        <f t="shared" si="34"/>
        <v>#NUM!</v>
      </c>
      <c r="AJ44" s="42" t="e">
        <f t="shared" si="22"/>
        <v>#NUM!</v>
      </c>
    </row>
    <row r="45" spans="1:36" x14ac:dyDescent="0.2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8.1105663867863751E-3</v>
      </c>
      <c r="F45" s="38">
        <f>modeldata!L47</f>
        <v>6.6666666666666671E-3</v>
      </c>
      <c r="G45" s="34">
        <f t="shared" si="4"/>
        <v>-0.17802698988717852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3.4941623812157315E-4</v>
      </c>
      <c r="R45" s="38">
        <f>modeldata!Y47</f>
        <v>6.6666666666666671E-3</v>
      </c>
      <c r="S45" s="34">
        <f t="shared" si="15"/>
        <v>18.079441477894683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9.677534278641249E-5</v>
      </c>
      <c r="AD45" s="38">
        <f>modeldata!AL47</f>
        <v>6.6666666666666671E-3</v>
      </c>
      <c r="AE45" s="34">
        <f t="shared" si="17"/>
        <v>67.888070811387351</v>
      </c>
      <c r="AF45" s="39">
        <f t="shared" si="10"/>
        <v>0</v>
      </c>
      <c r="AG45" s="40">
        <f t="shared" si="11"/>
        <v>0</v>
      </c>
      <c r="AH45" s="41">
        <f t="shared" si="21"/>
        <v>-8.5254176845813916</v>
      </c>
      <c r="AI45" s="176" t="e">
        <f t="shared" si="34"/>
        <v>#NUM!</v>
      </c>
      <c r="AJ45" s="42" t="e">
        <f t="shared" si="22"/>
        <v>#NUM!</v>
      </c>
    </row>
    <row r="46" spans="1:36" x14ac:dyDescent="0.2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1.5125644425497697E-2</v>
      </c>
      <c r="F46" s="38">
        <f>modeldata!L48</f>
        <v>6.6666666666666671E-3</v>
      </c>
      <c r="G46" s="34">
        <f t="shared" si="4"/>
        <v>-0.55924742912583003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5.4839491790593109E-2</v>
      </c>
      <c r="R46" s="38">
        <f>modeldata!Y48</f>
        <v>6.6666666666666671E-3</v>
      </c>
      <c r="S46" s="34">
        <f t="shared" si="15"/>
        <v>-0.87843310634380756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 t="e">
        <f t="shared" si="34"/>
        <v>#NUM!</v>
      </c>
      <c r="AJ46" s="42" t="e">
        <f t="shared" si="22"/>
        <v>#NUM!</v>
      </c>
    </row>
    <row r="47" spans="1:36" x14ac:dyDescent="0.2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6.3554696000955096E-3</v>
      </c>
      <c r="F47" s="38">
        <f>modeldata!L49</f>
        <v>6.6666666666666671E-3</v>
      </c>
      <c r="G47" s="34">
        <f t="shared" si="4"/>
        <v>4.8965235639940881E-2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2.598979927866426E-3</v>
      </c>
      <c r="R47" s="38">
        <f>modeldata!Y49</f>
        <v>6.6666666666666671E-3</v>
      </c>
      <c r="S47" s="34">
        <f t="shared" si="15"/>
        <v>1.5651089472397413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 t="e">
        <f t="shared" si="34"/>
        <v>#NUM!</v>
      </c>
      <c r="AJ47" s="42" t="e">
        <f t="shared" si="22"/>
        <v>#NUM!</v>
      </c>
    </row>
    <row r="48" spans="1:36" x14ac:dyDescent="0.2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5.1441676004513387E-3</v>
      </c>
      <c r="F48" s="48">
        <f>modeldata!L50</f>
        <v>6.6666666666666671E-3</v>
      </c>
      <c r="G48" s="49">
        <f t="shared" si="4"/>
        <v>0.29596606962839772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6.5591837405985581E-4</v>
      </c>
      <c r="R48" s="48">
        <f>modeldata!Y50</f>
        <v>6.6666666666666671E-3</v>
      </c>
      <c r="S48" s="49">
        <f t="shared" si="15"/>
        <v>9.1638663137347951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 t="e">
        <f t="shared" si="34"/>
        <v>#NUM!</v>
      </c>
      <c r="AJ48" s="46" t="e">
        <f t="shared" si="22"/>
        <v>#NUM!</v>
      </c>
    </row>
    <row r="49" spans="1:36" x14ac:dyDescent="0.2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8.2020642825653602E-3</v>
      </c>
      <c r="F49" s="48">
        <f>modeldata!L51</f>
        <v>6.6666666666666671E-3</v>
      </c>
      <c r="G49" s="49">
        <f t="shared" si="4"/>
        <v>-0.18719648651893603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8.7139502355420423E-3</v>
      </c>
      <c r="R49" s="48">
        <f>modeldata!Y51</f>
        <v>6.6666666666666671E-3</v>
      </c>
      <c r="S49" s="49">
        <f t="shared" si="15"/>
        <v>-0.23494322477594756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 t="e">
        <f t="shared" si="34"/>
        <v>#NUM!</v>
      </c>
      <c r="AJ49" s="46" t="e">
        <f t="shared" si="22"/>
        <v>#NUM!</v>
      </c>
    </row>
    <row r="50" spans="1:36" x14ac:dyDescent="0.2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1.0813104651442177E-2</v>
      </c>
      <c r="F50" s="48">
        <f>modeldata!L52</f>
        <v>6.6666666666666671E-3</v>
      </c>
      <c r="G50" s="49">
        <f t="shared" ref="G50:G68" si="35">(F50-E50)/E50</f>
        <v>-0.3834641500692853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6.5768886135844878E-4</v>
      </c>
      <c r="R50" s="48">
        <f>modeldata!Y52</f>
        <v>6.6666666666666671E-3</v>
      </c>
      <c r="S50" s="49">
        <f t="shared" si="15"/>
        <v>9.1365053574067581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 t="e">
        <f t="shared" si="34"/>
        <v>#NUM!</v>
      </c>
      <c r="AJ50" s="46" t="e">
        <f t="shared" si="22"/>
        <v>#NUM!</v>
      </c>
    </row>
    <row r="51" spans="1:36" x14ac:dyDescent="0.2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5.9518043775116519E-3</v>
      </c>
      <c r="F51" s="48">
        <f>modeldata!L53</f>
        <v>6.6666666666666671E-3</v>
      </c>
      <c r="G51" s="49">
        <f t="shared" si="35"/>
        <v>0.12010849883710172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 t="e">
        <f t="shared" si="34"/>
        <v>#NUM!</v>
      </c>
      <c r="AJ51" s="46" t="e">
        <f t="shared" si="22"/>
        <v>#NUM!</v>
      </c>
    </row>
    <row r="52" spans="1:36" x14ac:dyDescent="0.2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1.2728033123480958E-3</v>
      </c>
      <c r="F52" s="48">
        <f>modeldata!L54</f>
        <v>6.6666666666666671E-3</v>
      </c>
      <c r="G52" s="49">
        <f t="shared" si="35"/>
        <v>4.2377823046106418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1.2321738750839495E-2</v>
      </c>
      <c r="R52" s="48">
        <f>modeldata!Y54</f>
        <v>6.6666666666666671E-3</v>
      </c>
      <c r="S52" s="49">
        <f t="shared" si="15"/>
        <v>-0.45895081842954522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 t="e">
        <f t="shared" si="34"/>
        <v>#NUM!</v>
      </c>
      <c r="AJ52" s="46" t="e">
        <f t="shared" si="22"/>
        <v>#NUM!</v>
      </c>
    </row>
    <row r="53" spans="1:36" x14ac:dyDescent="0.2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5.459980609839132E-3</v>
      </c>
      <c r="F53" s="48">
        <f>modeldata!L55</f>
        <v>6.6666666666666671E-3</v>
      </c>
      <c r="G53" s="49">
        <f t="shared" si="35"/>
        <v>0.22100555717231526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6.9950637725358263E-3</v>
      </c>
      <c r="R53" s="48">
        <f>modeldata!Y55</f>
        <v>6.6666666666666671E-3</v>
      </c>
      <c r="S53" s="49">
        <f t="shared" si="15"/>
        <v>-4.6946978118844192E-2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 t="e">
        <f t="shared" si="34"/>
        <v>#NUM!</v>
      </c>
      <c r="AJ53" s="46" t="e">
        <f t="shared" si="22"/>
        <v>#NUM!</v>
      </c>
    </row>
    <row r="54" spans="1:36" x14ac:dyDescent="0.2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1.8387806277494118E-3</v>
      </c>
      <c r="F54" s="48">
        <f>modeldata!L56</f>
        <v>6.6666666666666671E-3</v>
      </c>
      <c r="G54" s="49">
        <f t="shared" si="35"/>
        <v>2.6255910933901774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1.8579933966975538E-3</v>
      </c>
      <c r="R54" s="48">
        <f>modeldata!Y56</f>
        <v>6.6666666666666671E-3</v>
      </c>
      <c r="S54" s="49">
        <f t="shared" si="15"/>
        <v>2.5881003013876018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5.1758830224023374E-4</v>
      </c>
      <c r="AD54" s="48">
        <f>modeldata!AL56</f>
        <v>6.6666666666666671E-3</v>
      </c>
      <c r="AE54" s="49">
        <f t="shared" si="17"/>
        <v>11.880249877773313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 t="e">
        <f t="shared" si="34"/>
        <v>#NUM!</v>
      </c>
      <c r="AJ54" s="46" t="e">
        <f t="shared" si="22"/>
        <v>#NUM!</v>
      </c>
    </row>
    <row r="55" spans="1:36" x14ac:dyDescent="0.2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4.2358773356807955E-3</v>
      </c>
      <c r="F55" s="48">
        <f>modeldata!L57</f>
        <v>6.6666666666666671E-3</v>
      </c>
      <c r="G55" s="49">
        <f t="shared" si="35"/>
        <v>0.57385734721593207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 t="e">
        <f t="shared" si="34"/>
        <v>#NUM!</v>
      </c>
      <c r="AJ55" s="46" t="e">
        <f t="shared" si="22"/>
        <v>#NUM!</v>
      </c>
    </row>
    <row r="56" spans="1:36" x14ac:dyDescent="0.2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1.7221485668934514E-3</v>
      </c>
      <c r="F56" s="48">
        <f>modeldata!L58</f>
        <v>6.6666666666666671E-3</v>
      </c>
      <c r="G56" s="49">
        <f t="shared" si="35"/>
        <v>2.8711333010557452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3.1109410896735953E-3</v>
      </c>
      <c r="R56" s="48">
        <f>modeldata!Y58</f>
        <v>6.6666666666666671E-3</v>
      </c>
      <c r="S56" s="49">
        <f t="shared" si="15"/>
        <v>1.1429742558597096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 t="e">
        <f t="shared" si="34"/>
        <v>#NUM!</v>
      </c>
      <c r="AJ56" s="46" t="e">
        <f t="shared" si="22"/>
        <v>#NUM!</v>
      </c>
    </row>
    <row r="57" spans="1:36" x14ac:dyDescent="0.2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2.9498302658356053E-3</v>
      </c>
      <c r="F57" s="48">
        <f>modeldata!L59</f>
        <v>6.6666666666666671E-3</v>
      </c>
      <c r="G57" s="49">
        <f t="shared" si="35"/>
        <v>1.260017040261191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8.4814875121895505E-4</v>
      </c>
      <c r="R57" s="48">
        <f>modeldata!Y59</f>
        <v>6.6666666666666671E-3</v>
      </c>
      <c r="S57" s="49">
        <f t="shared" si="15"/>
        <v>6.8602564197440223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 t="e">
        <f t="shared" si="34"/>
        <v>#NUM!</v>
      </c>
      <c r="AJ57" s="46" t="e">
        <f t="shared" si="22"/>
        <v>#NUM!</v>
      </c>
    </row>
    <row r="58" spans="1:36" x14ac:dyDescent="0.2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6.4887423426321228E-3</v>
      </c>
      <c r="F58" s="48">
        <f>modeldata!L60</f>
        <v>6.6666666666666671E-3</v>
      </c>
      <c r="G58" s="49">
        <f t="shared" si="35"/>
        <v>2.7420463726160263E-2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3.7212003864519656E-4</v>
      </c>
      <c r="R58" s="48">
        <f>modeldata!Y60</f>
        <v>6.6666666666666671E-3</v>
      </c>
      <c r="S58" s="49">
        <f t="shared" si="15"/>
        <v>16.915365941964499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 t="e">
        <f t="shared" si="34"/>
        <v>#NUM!</v>
      </c>
      <c r="AJ58" s="46" t="e">
        <f t="shared" si="22"/>
        <v>#NUM!</v>
      </c>
    </row>
    <row r="59" spans="1:36" x14ac:dyDescent="0.2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5.0650235242188308E-3</v>
      </c>
      <c r="F59" s="48">
        <f>modeldata!L61</f>
        <v>6.6666666666666671E-3</v>
      </c>
      <c r="G59" s="49">
        <f t="shared" si="35"/>
        <v>0.31621632847102221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2.8600897642926544E-4</v>
      </c>
      <c r="R59" s="48">
        <f>modeldata!Y61</f>
        <v>6.6666666666666671E-3</v>
      </c>
      <c r="S59" s="49">
        <f t="shared" si="15"/>
        <v>22.309291721882161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 t="e">
        <f t="shared" si="34"/>
        <v>#NUM!</v>
      </c>
      <c r="AJ59" s="46" t="e">
        <f t="shared" si="22"/>
        <v>#NUM!</v>
      </c>
    </row>
    <row r="60" spans="1:36" x14ac:dyDescent="0.2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3.7159706037936126E-3</v>
      </c>
      <c r="F60" s="48">
        <f>modeldata!L62</f>
        <v>6.6666666666666671E-3</v>
      </c>
      <c r="G60" s="49">
        <f t="shared" si="35"/>
        <v>0.79405796694427722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 t="e">
        <f t="shared" si="34"/>
        <v>#NUM!</v>
      </c>
      <c r="AJ60" s="46" t="e">
        <f t="shared" si="22"/>
        <v>#NUM!</v>
      </c>
    </row>
    <row r="61" spans="1:36" x14ac:dyDescent="0.2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2.8798864179170923E-3</v>
      </c>
      <c r="F61" s="48">
        <f>modeldata!L63</f>
        <v>6.6666666666666671E-3</v>
      </c>
      <c r="G61" s="49">
        <f t="shared" si="35"/>
        <v>1.3149061105987654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2.306171078585933E-4</v>
      </c>
      <c r="R61" s="48">
        <f>modeldata!Y63</f>
        <v>6.6666666666666671E-3</v>
      </c>
      <c r="S61" s="49">
        <f t="shared" si="15"/>
        <v>27.907944985393033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 t="e">
        <f t="shared" si="34"/>
        <v>#NUM!</v>
      </c>
      <c r="AJ61" s="46" t="e">
        <f t="shared" si="22"/>
        <v>#NUM!</v>
      </c>
    </row>
    <row r="62" spans="1:36" x14ac:dyDescent="0.2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1.9247973429593944E-3</v>
      </c>
      <c r="F62" s="48">
        <f>modeldata!L64</f>
        <v>6.6666666666666671E-3</v>
      </c>
      <c r="G62" s="49">
        <f t="shared" si="35"/>
        <v>2.4635680951307859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 t="e">
        <f t="shared" si="34"/>
        <v>#NUM!</v>
      </c>
      <c r="AJ62" s="46" t="e">
        <f t="shared" si="22"/>
        <v>#NUM!</v>
      </c>
    </row>
    <row r="63" spans="1:36" x14ac:dyDescent="0.2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4.2316263229465736E-3</v>
      </c>
      <c r="F63" s="48">
        <f>modeldata!L65</f>
        <v>6.6666666666666671E-3</v>
      </c>
      <c r="G63" s="49">
        <f t="shared" si="35"/>
        <v>0.57543841489872427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2.6093613781104689E-3</v>
      </c>
      <c r="R63" s="48">
        <f>modeldata!Y65</f>
        <v>6.6666666666666671E-3</v>
      </c>
      <c r="S63" s="49">
        <f t="shared" si="15"/>
        <v>1.5549035570896037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 t="e">
        <f t="shared" si="34"/>
        <v>#NUM!</v>
      </c>
      <c r="AJ63" s="46" t="e">
        <f t="shared" si="22"/>
        <v>#NUM!</v>
      </c>
    </row>
    <row r="64" spans="1:36" x14ac:dyDescent="0.2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2.6859114692034639E-3</v>
      </c>
      <c r="F64" s="48">
        <f>modeldata!L66</f>
        <v>6.6666666666666671E-3</v>
      </c>
      <c r="G64" s="49">
        <f t="shared" si="35"/>
        <v>1.4820872702270187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 t="e">
        <f t="shared" si="34"/>
        <v>#NUM!</v>
      </c>
      <c r="AJ64" s="46" t="e">
        <f t="shared" si="22"/>
        <v>#NUM!</v>
      </c>
    </row>
    <row r="65" spans="1:36" x14ac:dyDescent="0.2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1.0571205793943018E-3</v>
      </c>
      <c r="F65" s="48">
        <f>modeldata!L67</f>
        <v>6.6666666666666671E-3</v>
      </c>
      <c r="G65" s="49">
        <f t="shared" si="35"/>
        <v>5.30643920534256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9.8641913146007391E-3</v>
      </c>
      <c r="R65" s="48">
        <f>modeldata!Y67</f>
        <v>6.6666666666666671E-3</v>
      </c>
      <c r="S65" s="49">
        <f t="shared" si="15"/>
        <v>-0.32415476808536475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 t="e">
        <f t="shared" si="34"/>
        <v>#NUM!</v>
      </c>
      <c r="AJ65" s="46" t="e">
        <f t="shared" si="22"/>
        <v>#NUM!</v>
      </c>
    </row>
    <row r="66" spans="1:36" x14ac:dyDescent="0.2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9.1224997716273285E-4</v>
      </c>
      <c r="F66" s="48">
        <f>modeldata!L68</f>
        <v>6.6666666666666671E-3</v>
      </c>
      <c r="G66" s="49">
        <f t="shared" si="35"/>
        <v>6.3079384308687416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8.9290417949389987E-3</v>
      </c>
      <c r="R66" s="48">
        <f>modeldata!Y68</f>
        <v>6.6666666666666671E-3</v>
      </c>
      <c r="S66" s="49">
        <f t="shared" si="15"/>
        <v>-0.25337266643265699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 t="e">
        <f t="shared" si="34"/>
        <v>#NUM!</v>
      </c>
      <c r="AJ66" s="46" t="e">
        <f t="shared" si="22"/>
        <v>#NUM!</v>
      </c>
    </row>
    <row r="67" spans="1:36" x14ac:dyDescent="0.2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6.8798693819320511E-4</v>
      </c>
      <c r="F67" s="48">
        <f>modeldata!L69</f>
        <v>6.6666666666666671E-3</v>
      </c>
      <c r="G67" s="49">
        <f t="shared" si="35"/>
        <v>8.6901064490769286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 t="e">
        <f t="shared" si="34"/>
        <v>#NUM!</v>
      </c>
      <c r="AJ67" s="46" t="e">
        <f t="shared" si="22"/>
        <v>#NUM!</v>
      </c>
    </row>
    <row r="68" spans="1:36" x14ac:dyDescent="0.2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1.3437596316594048E-3</v>
      </c>
      <c r="F68" s="57">
        <f>SUM(modeldata!L70:L169)</f>
        <v>0.66666666666666707</v>
      </c>
      <c r="G68" s="58">
        <f t="shared" si="35"/>
        <v>495.12047494193757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1.0850238462472525E-3</v>
      </c>
      <c r="R68" s="57">
        <f>SUM(modeldata!Y70:Y169)</f>
        <v>0.66666666666666707</v>
      </c>
      <c r="S68" s="58">
        <f t="shared" si="15"/>
        <v>613.42582019966858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 t="e">
        <f t="shared" si="34"/>
        <v>#NUM!</v>
      </c>
      <c r="AJ68" s="55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169</v>
      </c>
    </row>
    <row r="2" spans="1:17" x14ac:dyDescent="0.2">
      <c r="A2" s="24" t="s">
        <v>34</v>
      </c>
    </row>
    <row r="3" spans="1:17" x14ac:dyDescent="0.2">
      <c r="N3" s="2" t="s">
        <v>169</v>
      </c>
    </row>
    <row r="4" spans="1:17" x14ac:dyDescent="0.2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2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2">
      <c r="A17" s="2" t="s">
        <v>169</v>
      </c>
      <c r="N17" s="2" t="s">
        <v>169</v>
      </c>
      <c r="AA17" s="2" t="s">
        <v>169</v>
      </c>
    </row>
    <row r="18" spans="1:38" x14ac:dyDescent="0.2">
      <c r="A18" s="24" t="s">
        <v>34</v>
      </c>
      <c r="N18" s="24" t="s">
        <v>61</v>
      </c>
      <c r="AA18" s="24" t="s">
        <v>62</v>
      </c>
    </row>
    <row r="19" spans="1:38" x14ac:dyDescent="0.2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409</v>
      </c>
    </row>
    <row r="2" spans="1:116" x14ac:dyDescent="0.2">
      <c r="A2" s="2" t="s">
        <v>410</v>
      </c>
    </row>
    <row r="3" spans="1:116" ht="15" x14ac:dyDescent="0.25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5" x14ac:dyDescent="0.25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5" x14ac:dyDescent="0.25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5" x14ac:dyDescent="0.25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5" x14ac:dyDescent="0.25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5" x14ac:dyDescent="0.25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5" x14ac:dyDescent="0.25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5" x14ac:dyDescent="0.25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5" x14ac:dyDescent="0.25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5" x14ac:dyDescent="0.25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5" x14ac:dyDescent="0.25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2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2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5" x14ac:dyDescent="0.25"/>
  <cols>
    <col min="1" max="1" width="18.140625" bestFit="1" customWidth="1"/>
    <col min="2" max="2" width="23.28515625" bestFit="1" customWidth="1"/>
    <col min="3" max="11" width="9.28515625" customWidth="1"/>
    <col min="12" max="12" width="13.28515625" customWidth="1"/>
    <col min="13" max="15" width="9.28515625" customWidth="1"/>
    <col min="16" max="16" width="12.85546875" customWidth="1"/>
  </cols>
  <sheetData>
    <row r="1" spans="1:16" x14ac:dyDescent="0.25">
      <c r="A1" s="236" t="s">
        <v>507</v>
      </c>
    </row>
    <row r="3" spans="1:16" x14ac:dyDescent="0.25">
      <c r="A3" s="238" t="s">
        <v>508</v>
      </c>
    </row>
    <row r="4" spans="1:16" x14ac:dyDescent="0.25">
      <c r="A4" t="s">
        <v>514</v>
      </c>
    </row>
    <row r="5" spans="1:16" x14ac:dyDescent="0.25">
      <c r="A5" s="237" t="s">
        <v>509</v>
      </c>
    </row>
    <row r="6" spans="1:16" x14ac:dyDescent="0.25">
      <c r="A6" s="237" t="s">
        <v>510</v>
      </c>
    </row>
    <row r="7" spans="1:16" x14ac:dyDescent="0.25">
      <c r="A7" s="207" t="s">
        <v>501</v>
      </c>
    </row>
    <row r="8" spans="1:16" x14ac:dyDescent="0.25">
      <c r="B8" s="186"/>
      <c r="C8" s="276" t="s">
        <v>181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</row>
    <row r="9" spans="1:16" x14ac:dyDescent="0.25">
      <c r="A9" s="186"/>
      <c r="B9" s="186"/>
      <c r="C9" s="268" t="s">
        <v>56</v>
      </c>
      <c r="D9" s="265"/>
      <c r="E9" s="265"/>
      <c r="F9" s="265"/>
      <c r="G9" s="265"/>
      <c r="H9" s="265"/>
      <c r="I9" s="265"/>
      <c r="J9" s="265"/>
      <c r="K9" s="265"/>
      <c r="L9" s="265"/>
      <c r="M9" s="269" t="s">
        <v>179</v>
      </c>
      <c r="N9" s="265"/>
      <c r="O9" s="270"/>
      <c r="P9" s="277" t="s">
        <v>9</v>
      </c>
    </row>
    <row r="10" spans="1:16" ht="39" x14ac:dyDescent="0.25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8"/>
    </row>
    <row r="11" spans="1:16" x14ac:dyDescent="0.25">
      <c r="A11" s="264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25">
      <c r="A12" s="265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25">
      <c r="A13" s="265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25">
      <c r="A14" s="265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25">
      <c r="A15" s="265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25">
      <c r="A16" s="265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25">
      <c r="A17" s="265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25">
      <c r="A18" s="265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25">
      <c r="A19" s="265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25">
      <c r="A20" s="266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25">
      <c r="A21" s="264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25">
      <c r="A22" s="265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25">
      <c r="A23" s="266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25">
      <c r="A24" s="267" t="s">
        <v>9</v>
      </c>
      <c r="B24" s="265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25">
      <c r="A28" s="238" t="s">
        <v>511</v>
      </c>
    </row>
    <row r="29" spans="1:16" x14ac:dyDescent="0.25">
      <c r="A29" t="s">
        <v>513</v>
      </c>
    </row>
    <row r="30" spans="1:16" x14ac:dyDescent="0.25">
      <c r="A30" s="237" t="s">
        <v>512</v>
      </c>
    </row>
    <row r="31" spans="1:16" x14ac:dyDescent="0.25">
      <c r="A31" s="2" t="s">
        <v>502</v>
      </c>
    </row>
    <row r="32" spans="1:16" s="1" customFormat="1" ht="12.75" x14ac:dyDescent="0.2">
      <c r="B32" s="239"/>
      <c r="C32" s="275" t="s">
        <v>181</v>
      </c>
      <c r="D32" s="275"/>
      <c r="E32" s="275"/>
      <c r="F32" s="275"/>
      <c r="G32" s="275"/>
      <c r="H32" s="275"/>
      <c r="I32" s="275"/>
      <c r="J32" s="275"/>
      <c r="K32" s="275"/>
      <c r="L32" s="275"/>
      <c r="M32" s="275"/>
      <c r="N32" s="275"/>
      <c r="O32" s="275"/>
      <c r="P32" s="275"/>
    </row>
    <row r="33" spans="2:16" s="1" customFormat="1" ht="12.75" x14ac:dyDescent="0.2">
      <c r="B33" s="239"/>
      <c r="C33" s="271" t="s">
        <v>56</v>
      </c>
      <c r="D33" s="272"/>
      <c r="E33" s="272"/>
      <c r="F33" s="272"/>
      <c r="G33" s="272"/>
      <c r="H33" s="272"/>
      <c r="I33" s="272"/>
      <c r="J33" s="272"/>
      <c r="K33" s="272"/>
      <c r="L33" s="273"/>
      <c r="M33" s="271" t="s">
        <v>171</v>
      </c>
      <c r="N33" s="272"/>
      <c r="O33" s="272"/>
      <c r="P33" s="271" t="s">
        <v>9</v>
      </c>
    </row>
    <row r="34" spans="2:16" s="3" customFormat="1" ht="27.6" customHeight="1" x14ac:dyDescent="0.2">
      <c r="B34" s="242" t="s">
        <v>515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516</v>
      </c>
      <c r="N34" s="243" t="s">
        <v>517</v>
      </c>
      <c r="O34" s="243" t="s">
        <v>59</v>
      </c>
      <c r="P34" s="274" t="s">
        <v>59</v>
      </c>
    </row>
    <row r="35" spans="2:16" s="1" customFormat="1" ht="12.75" x14ac:dyDescent="0.2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2.75" x14ac:dyDescent="0.2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2.75" x14ac:dyDescent="0.2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2.75" x14ac:dyDescent="0.2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2.75" x14ac:dyDescent="0.2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2.75" x14ac:dyDescent="0.2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2.75" x14ac:dyDescent="0.2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2.75" x14ac:dyDescent="0.2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2.75" x14ac:dyDescent="0.2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2.75" x14ac:dyDescent="0.2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2.75" x14ac:dyDescent="0.2"/>
  </sheetData>
  <mergeCells count="11">
    <mergeCell ref="C33:L33"/>
    <mergeCell ref="M33:O33"/>
    <mergeCell ref="P33:P34"/>
    <mergeCell ref="C32:P32"/>
    <mergeCell ref="C8:P8"/>
    <mergeCell ref="P9:P10"/>
    <mergeCell ref="A11:A20"/>
    <mergeCell ref="A21:A23"/>
    <mergeCell ref="A24:B24"/>
    <mergeCell ref="C9:L9"/>
    <mergeCell ref="M9:O9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A18" workbookViewId="0">
      <selection activeCell="K3" sqref="K3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496</v>
      </c>
      <c r="O2" s="2" t="s">
        <v>497</v>
      </c>
      <c r="AB2" s="2" t="s">
        <v>498</v>
      </c>
    </row>
    <row r="3" spans="2:39" x14ac:dyDescent="0.2">
      <c r="B3" s="16" t="s">
        <v>521</v>
      </c>
      <c r="O3" s="16" t="s">
        <v>522</v>
      </c>
      <c r="AB3" s="16" t="s">
        <v>523</v>
      </c>
    </row>
    <row r="4" spans="2:39" ht="25.5" x14ac:dyDescent="0.2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2">
      <c r="B5" s="1">
        <v>1</v>
      </c>
      <c r="C5" s="5">
        <v>46646.612988999994</v>
      </c>
      <c r="D5" s="6">
        <v>27680.222135000004</v>
      </c>
      <c r="E5" s="6">
        <v>244.17845999999997</v>
      </c>
      <c r="F5" s="6">
        <v>5289.4981799999996</v>
      </c>
      <c r="G5" s="6">
        <v>55603.5080053333</v>
      </c>
      <c r="H5" s="6">
        <v>17980.861010000001</v>
      </c>
      <c r="I5" s="6">
        <v>38024.235639333318</v>
      </c>
      <c r="J5" s="6">
        <v>20121.186650000003</v>
      </c>
      <c r="K5" s="6">
        <v>12250.357889999999</v>
      </c>
      <c r="L5" s="7">
        <v>223840.66095866667</v>
      </c>
      <c r="M5" s="27">
        <f>L5/L$56</f>
        <v>7.6780432702265547E-2</v>
      </c>
      <c r="O5" s="1">
        <v>1</v>
      </c>
      <c r="P5" s="5">
        <v>6351.447247000001</v>
      </c>
      <c r="Q5" s="6">
        <v>100.55765</v>
      </c>
      <c r="R5" s="6">
        <v>0</v>
      </c>
      <c r="S5" s="6">
        <v>0</v>
      </c>
      <c r="T5" s="6">
        <v>7148.5565389999992</v>
      </c>
      <c r="U5" s="6">
        <v>0</v>
      </c>
      <c r="V5" s="6">
        <v>13744.856771999999</v>
      </c>
      <c r="W5" s="6">
        <v>3750.2876900000001</v>
      </c>
      <c r="X5" s="6">
        <v>0</v>
      </c>
      <c r="Y5" s="7">
        <v>31095.705897999989</v>
      </c>
      <c r="Z5" s="27">
        <f>Y5/Y$56</f>
        <v>9.2051076744154317E-2</v>
      </c>
      <c r="AB5" s="1">
        <v>1</v>
      </c>
      <c r="AC5" s="5">
        <v>41644.01617699999</v>
      </c>
      <c r="AD5" s="6">
        <v>51097.787254333285</v>
      </c>
      <c r="AE5" s="6">
        <v>0</v>
      </c>
      <c r="AF5" s="6">
        <v>0</v>
      </c>
      <c r="AG5" s="6">
        <v>14221.879004999997</v>
      </c>
      <c r="AH5" s="6">
        <v>23689.622458000002</v>
      </c>
      <c r="AI5" s="6">
        <v>42399.290052000004</v>
      </c>
      <c r="AJ5" s="6">
        <v>12448.207293000003</v>
      </c>
      <c r="AK5" s="6">
        <v>337.35415</v>
      </c>
      <c r="AL5" s="7">
        <v>185838.15638933319</v>
      </c>
      <c r="AM5" s="27">
        <f>AL5/AL$56</f>
        <v>0.17365179332392078</v>
      </c>
    </row>
    <row r="6" spans="2:39" x14ac:dyDescent="0.2">
      <c r="B6" s="1">
        <v>2</v>
      </c>
      <c r="C6" s="9">
        <v>23936.911386999935</v>
      </c>
      <c r="D6" s="8">
        <v>35342.948759000014</v>
      </c>
      <c r="E6" s="8">
        <v>8695.9324170000018</v>
      </c>
      <c r="F6" s="8">
        <v>8399.4034729999985</v>
      </c>
      <c r="G6" s="8">
        <v>42315.771020999913</v>
      </c>
      <c r="H6" s="8">
        <v>18361.381835000015</v>
      </c>
      <c r="I6" s="8">
        <v>58769.727843999994</v>
      </c>
      <c r="J6" s="8">
        <v>8314.1104624999971</v>
      </c>
      <c r="K6" s="8">
        <v>15732.544165000007</v>
      </c>
      <c r="L6" s="10">
        <v>219868.73136350108</v>
      </c>
      <c r="M6" s="27">
        <f t="shared" ref="M6:M56" si="0">L6/L$56</f>
        <v>7.5418006091864928E-2</v>
      </c>
      <c r="O6" s="1">
        <v>2</v>
      </c>
      <c r="P6" s="9">
        <v>27988.306207000005</v>
      </c>
      <c r="Q6" s="8">
        <v>2065.7278620000002</v>
      </c>
      <c r="R6" s="8">
        <v>0</v>
      </c>
      <c r="S6" s="8">
        <v>90.218993999999995</v>
      </c>
      <c r="T6" s="8">
        <v>6918.2023750000008</v>
      </c>
      <c r="U6" s="8">
        <v>0</v>
      </c>
      <c r="V6" s="8">
        <v>26138.598862999992</v>
      </c>
      <c r="W6" s="8">
        <v>53.43185799999992</v>
      </c>
      <c r="X6" s="8">
        <v>375.05354999999997</v>
      </c>
      <c r="Y6" s="10">
        <v>63629.53970899999</v>
      </c>
      <c r="Z6" s="27">
        <f t="shared" ref="Z6:Z56" si="1">Y6/Y$56</f>
        <v>0.18835937226062757</v>
      </c>
      <c r="AB6" s="1">
        <v>2</v>
      </c>
      <c r="AC6" s="9">
        <v>60729.037846999978</v>
      </c>
      <c r="AD6" s="8">
        <v>30124.640501999987</v>
      </c>
      <c r="AE6" s="8">
        <v>2461.807393</v>
      </c>
      <c r="AF6" s="8">
        <v>7197.2337299999999</v>
      </c>
      <c r="AG6" s="8">
        <v>16283.028697333348</v>
      </c>
      <c r="AH6" s="8">
        <v>28600.830799999985</v>
      </c>
      <c r="AI6" s="8">
        <v>57931.094836000011</v>
      </c>
      <c r="AJ6" s="8">
        <v>7186.625748500006</v>
      </c>
      <c r="AK6" s="8">
        <v>21261.997072000002</v>
      </c>
      <c r="AL6" s="10">
        <v>231776.29662583355</v>
      </c>
      <c r="AM6" s="27">
        <f t="shared" ref="AM6:AM56" si="2">AL6/AL$56</f>
        <v>0.21657753359720261</v>
      </c>
    </row>
    <row r="7" spans="2:39" x14ac:dyDescent="0.2">
      <c r="B7" s="1">
        <v>3</v>
      </c>
      <c r="C7" s="9">
        <v>45777.720059000014</v>
      </c>
      <c r="D7" s="8">
        <v>36747.771347000024</v>
      </c>
      <c r="E7" s="8">
        <v>4551.8612999999987</v>
      </c>
      <c r="F7" s="8">
        <v>3802.6482040000028</v>
      </c>
      <c r="G7" s="8">
        <v>42358.553351399984</v>
      </c>
      <c r="H7" s="8">
        <v>13525.690713000018</v>
      </c>
      <c r="I7" s="8">
        <v>67451.87010799993</v>
      </c>
      <c r="J7" s="8">
        <v>20455.809663000004</v>
      </c>
      <c r="K7" s="8">
        <v>15416.597671000003</v>
      </c>
      <c r="L7" s="10">
        <v>250088.52241640107</v>
      </c>
      <c r="M7" s="27">
        <f t="shared" si="0"/>
        <v>8.5783811050072087E-2</v>
      </c>
      <c r="O7" s="1">
        <v>3</v>
      </c>
      <c r="P7" s="9">
        <v>3193.265579999992</v>
      </c>
      <c r="Q7" s="8">
        <v>4034.2467399999996</v>
      </c>
      <c r="R7" s="8">
        <v>0</v>
      </c>
      <c r="S7" s="8">
        <v>961.96889999999996</v>
      </c>
      <c r="T7" s="8">
        <v>2012.7791919999981</v>
      </c>
      <c r="U7" s="8">
        <v>81.863945000000001</v>
      </c>
      <c r="V7" s="8">
        <v>4102.0884540000043</v>
      </c>
      <c r="W7" s="8">
        <v>127.34784300000001</v>
      </c>
      <c r="X7" s="8">
        <v>882.9024639999999</v>
      </c>
      <c r="Y7" s="10">
        <v>15396.463117999985</v>
      </c>
      <c r="Z7" s="27">
        <f t="shared" si="1"/>
        <v>4.5577386559818002E-2</v>
      </c>
      <c r="AB7" s="1">
        <v>3</v>
      </c>
      <c r="AC7" s="9">
        <v>56791.578338999956</v>
      </c>
      <c r="AD7" s="8">
        <v>49134.455074999962</v>
      </c>
      <c r="AE7" s="8">
        <v>10534.65423</v>
      </c>
      <c r="AF7" s="8">
        <v>2000.9948120000008</v>
      </c>
      <c r="AG7" s="8">
        <v>9521.4242338333352</v>
      </c>
      <c r="AH7" s="8">
        <v>32188.819980000007</v>
      </c>
      <c r="AI7" s="8">
        <v>70768.50353199993</v>
      </c>
      <c r="AJ7" s="8">
        <v>11006.214527666671</v>
      </c>
      <c r="AK7" s="8">
        <v>10254.935155000003</v>
      </c>
      <c r="AL7" s="10">
        <v>252201.57988449995</v>
      </c>
      <c r="AM7" s="27">
        <f t="shared" si="2"/>
        <v>0.2356634260529247</v>
      </c>
    </row>
    <row r="8" spans="2:39" x14ac:dyDescent="0.2">
      <c r="B8" s="1">
        <v>4</v>
      </c>
      <c r="C8" s="9">
        <v>30958.891976999992</v>
      </c>
      <c r="D8" s="8">
        <v>16770.011773999984</v>
      </c>
      <c r="E8" s="8">
        <v>2283.8663450000004</v>
      </c>
      <c r="F8" s="8">
        <v>841.43864200000098</v>
      </c>
      <c r="G8" s="8">
        <v>27457.593003999762</v>
      </c>
      <c r="H8" s="8">
        <v>24478.77795600002</v>
      </c>
      <c r="I8" s="8">
        <v>49197.014674999897</v>
      </c>
      <c r="J8" s="8">
        <v>9467.1647770000054</v>
      </c>
      <c r="K8" s="8">
        <v>24530.76311</v>
      </c>
      <c r="L8" s="10">
        <v>185985.52225999907</v>
      </c>
      <c r="M8" s="27">
        <f t="shared" si="0"/>
        <v>6.3795598236356402E-2</v>
      </c>
      <c r="O8" s="1">
        <v>4</v>
      </c>
      <c r="P8" s="9">
        <v>3637.5560899999982</v>
      </c>
      <c r="Q8" s="8">
        <v>77.306099999999788</v>
      </c>
      <c r="R8" s="8">
        <v>0</v>
      </c>
      <c r="S8" s="8">
        <v>0</v>
      </c>
      <c r="T8" s="8">
        <v>2569.3872870000032</v>
      </c>
      <c r="U8" s="8">
        <v>3080.5432000000001</v>
      </c>
      <c r="V8" s="8">
        <v>1099.709219999997</v>
      </c>
      <c r="W8" s="8">
        <v>7073.4038</v>
      </c>
      <c r="X8" s="8">
        <v>3305.0609600000003</v>
      </c>
      <c r="Y8" s="10">
        <v>20842.966657000012</v>
      </c>
      <c r="Z8" s="27">
        <f t="shared" si="1"/>
        <v>6.1700401001115693E-2</v>
      </c>
      <c r="AB8" s="1">
        <v>4</v>
      </c>
      <c r="AC8" s="9">
        <v>14682.724527999904</v>
      </c>
      <c r="AD8" s="8">
        <v>21389.855305000005</v>
      </c>
      <c r="AE8" s="8">
        <v>4292.4361899999985</v>
      </c>
      <c r="AF8" s="8">
        <v>10094.719418000001</v>
      </c>
      <c r="AG8" s="8">
        <v>9534.969039999989</v>
      </c>
      <c r="AH8" s="8">
        <v>14858.305110000001</v>
      </c>
      <c r="AI8" s="8">
        <v>21849.775509999949</v>
      </c>
      <c r="AJ8" s="8">
        <v>16519.159494</v>
      </c>
      <c r="AK8" s="8">
        <v>9176.0094799999933</v>
      </c>
      <c r="AL8" s="10">
        <v>122397.95407500141</v>
      </c>
      <c r="AM8" s="27">
        <f t="shared" si="2"/>
        <v>0.11437169113846672</v>
      </c>
    </row>
    <row r="9" spans="2:39" x14ac:dyDescent="0.2">
      <c r="B9" s="1">
        <v>5</v>
      </c>
      <c r="C9" s="9">
        <v>33758.347204999969</v>
      </c>
      <c r="D9" s="8">
        <v>16972.16310949999</v>
      </c>
      <c r="E9" s="8">
        <v>6769.4518499999995</v>
      </c>
      <c r="F9" s="8">
        <v>1686.4595599999993</v>
      </c>
      <c r="G9" s="8">
        <v>23807.153523000074</v>
      </c>
      <c r="H9" s="8">
        <v>14800.030828999996</v>
      </c>
      <c r="I9" s="8">
        <v>56304.596600000019</v>
      </c>
      <c r="J9" s="8">
        <v>12935.888250000004</v>
      </c>
      <c r="K9" s="8">
        <v>6080.3454150000034</v>
      </c>
      <c r="L9" s="10">
        <v>173114.43634149956</v>
      </c>
      <c r="M9" s="27">
        <f t="shared" si="0"/>
        <v>5.9380638318270236E-2</v>
      </c>
      <c r="O9" s="1">
        <v>5</v>
      </c>
      <c r="P9" s="9">
        <v>4611.7606459999952</v>
      </c>
      <c r="Q9" s="8">
        <v>15473.88394</v>
      </c>
      <c r="R9" s="8">
        <v>0</v>
      </c>
      <c r="S9" s="8">
        <v>0</v>
      </c>
      <c r="T9" s="8">
        <v>2240.2358673000017</v>
      </c>
      <c r="U9" s="8">
        <v>3819.6940000000004</v>
      </c>
      <c r="V9" s="8">
        <v>4032.5362999999925</v>
      </c>
      <c r="W9" s="8">
        <v>220.64891200000056</v>
      </c>
      <c r="X9" s="8">
        <v>2688.9611999999997</v>
      </c>
      <c r="Y9" s="10">
        <v>33087.72086529994</v>
      </c>
      <c r="Z9" s="27">
        <f t="shared" si="1"/>
        <v>9.7947939906930293E-2</v>
      </c>
      <c r="AB9" s="1">
        <v>5</v>
      </c>
      <c r="AC9" s="9">
        <v>12103.876614000037</v>
      </c>
      <c r="AD9" s="8">
        <v>8325.6607889999868</v>
      </c>
      <c r="AE9" s="8">
        <v>0</v>
      </c>
      <c r="AF9" s="8">
        <v>5992.8165499999996</v>
      </c>
      <c r="AG9" s="8">
        <v>8226.2064289999907</v>
      </c>
      <c r="AH9" s="8">
        <v>669.21169999999984</v>
      </c>
      <c r="AI9" s="8">
        <v>401.27431399998022</v>
      </c>
      <c r="AJ9" s="8">
        <v>3047.5862320000015</v>
      </c>
      <c r="AK9" s="8">
        <v>913.3668800000014</v>
      </c>
      <c r="AL9" s="10">
        <v>39679.999508000328</v>
      </c>
      <c r="AM9" s="27">
        <f t="shared" si="2"/>
        <v>3.707797799726803E-2</v>
      </c>
    </row>
    <row r="10" spans="2:39" x14ac:dyDescent="0.2">
      <c r="B10" s="1">
        <v>6</v>
      </c>
      <c r="C10" s="9">
        <v>29558.361516999925</v>
      </c>
      <c r="D10" s="8">
        <v>15105.112552000006</v>
      </c>
      <c r="E10" s="8">
        <v>3501.3036429999993</v>
      </c>
      <c r="F10" s="8">
        <v>12258.224184000002</v>
      </c>
      <c r="G10" s="8">
        <v>34440.079356000002</v>
      </c>
      <c r="H10" s="8">
        <v>22736.751723999987</v>
      </c>
      <c r="I10" s="8">
        <v>76927.066702000098</v>
      </c>
      <c r="J10" s="8">
        <v>5111.0734250000096</v>
      </c>
      <c r="K10" s="8">
        <v>21839.00208999998</v>
      </c>
      <c r="L10" s="10">
        <v>221476.97519300133</v>
      </c>
      <c r="M10" s="27">
        <f t="shared" si="0"/>
        <v>7.5969655897538887E-2</v>
      </c>
      <c r="O10" s="1">
        <v>6</v>
      </c>
      <c r="P10" s="9">
        <v>5222.7565266666643</v>
      </c>
      <c r="Q10" s="8">
        <v>3331.8126200000006</v>
      </c>
      <c r="R10" s="8">
        <v>0</v>
      </c>
      <c r="S10" s="8">
        <v>0</v>
      </c>
      <c r="T10" s="8">
        <v>3110.9647469999945</v>
      </c>
      <c r="U10" s="8">
        <v>14110.429110000005</v>
      </c>
      <c r="V10" s="8">
        <v>2184.9263310000024</v>
      </c>
      <c r="W10" s="8">
        <v>0</v>
      </c>
      <c r="X10" s="8">
        <v>3974.0810899999997</v>
      </c>
      <c r="Y10" s="10">
        <v>31934.970424666768</v>
      </c>
      <c r="Z10" s="27">
        <f t="shared" si="1"/>
        <v>9.4535509919791566E-2</v>
      </c>
      <c r="AB10" s="1">
        <v>6</v>
      </c>
      <c r="AC10" s="9">
        <v>21989.39865499991</v>
      </c>
      <c r="AD10" s="8">
        <v>7675.6688500000164</v>
      </c>
      <c r="AE10" s="8">
        <v>0</v>
      </c>
      <c r="AF10" s="8">
        <v>0</v>
      </c>
      <c r="AG10" s="8">
        <v>11032.927590000021</v>
      </c>
      <c r="AH10" s="8">
        <v>1280.9742399999814</v>
      </c>
      <c r="AI10" s="8">
        <v>30741.095210000029</v>
      </c>
      <c r="AJ10" s="8">
        <v>5035.9385770000081</v>
      </c>
      <c r="AK10" s="8">
        <v>19882.978660000008</v>
      </c>
      <c r="AL10" s="10">
        <v>97638.981781999813</v>
      </c>
      <c r="AM10" s="27">
        <f t="shared" si="2"/>
        <v>9.1236291912219478E-2</v>
      </c>
    </row>
    <row r="11" spans="2:39" x14ac:dyDescent="0.2">
      <c r="B11" s="1">
        <v>7</v>
      </c>
      <c r="C11" s="9">
        <v>11997.294472000038</v>
      </c>
      <c r="D11" s="8">
        <v>15284.051835999999</v>
      </c>
      <c r="E11" s="8">
        <v>0</v>
      </c>
      <c r="F11" s="8">
        <v>96.733670000001439</v>
      </c>
      <c r="G11" s="8">
        <v>17842.692393000092</v>
      </c>
      <c r="H11" s="8">
        <v>6921.2675830000226</v>
      </c>
      <c r="I11" s="8">
        <v>37174.380247000023</v>
      </c>
      <c r="J11" s="8">
        <v>290.61146000001463</v>
      </c>
      <c r="K11" s="8">
        <v>222.2926649999863</v>
      </c>
      <c r="L11" s="10">
        <v>89829.324325998314</v>
      </c>
      <c r="M11" s="27">
        <f t="shared" si="0"/>
        <v>3.0812696681484023E-2</v>
      </c>
      <c r="O11" s="1">
        <v>7</v>
      </c>
      <c r="P11" s="9">
        <v>1484.5787390000041</v>
      </c>
      <c r="Q11" s="8">
        <v>6603.3643000000011</v>
      </c>
      <c r="R11" s="8">
        <v>0</v>
      </c>
      <c r="S11" s="8">
        <v>0</v>
      </c>
      <c r="T11" s="8">
        <v>263.40981099999772</v>
      </c>
      <c r="U11" s="8">
        <v>470.54173499999888</v>
      </c>
      <c r="V11" s="8">
        <v>300.40418700000737</v>
      </c>
      <c r="W11" s="8">
        <v>0</v>
      </c>
      <c r="X11" s="8">
        <v>0</v>
      </c>
      <c r="Y11" s="10">
        <v>9122.2987720000092</v>
      </c>
      <c r="Z11" s="27">
        <f t="shared" si="1"/>
        <v>2.7004288859012085E-2</v>
      </c>
      <c r="AB11" s="1">
        <v>7</v>
      </c>
      <c r="AC11" s="9">
        <v>893.22594999999274</v>
      </c>
      <c r="AD11" s="8">
        <v>9415.7194519999612</v>
      </c>
      <c r="AE11" s="8">
        <v>0</v>
      </c>
      <c r="AF11" s="8">
        <v>8609.5126999999993</v>
      </c>
      <c r="AG11" s="8">
        <v>4425.5461399999913</v>
      </c>
      <c r="AH11" s="8">
        <v>143.74516000000585</v>
      </c>
      <c r="AI11" s="8">
        <v>334.59949999998207</v>
      </c>
      <c r="AJ11" s="8">
        <v>73.797200000000885</v>
      </c>
      <c r="AK11" s="8">
        <v>0</v>
      </c>
      <c r="AL11" s="10">
        <v>23896.146102000028</v>
      </c>
      <c r="AM11" s="27">
        <f t="shared" si="2"/>
        <v>2.2329152983250885E-2</v>
      </c>
    </row>
    <row r="12" spans="2:39" x14ac:dyDescent="0.2">
      <c r="B12" s="1">
        <v>8</v>
      </c>
      <c r="C12" s="9">
        <v>20611.109879999975</v>
      </c>
      <c r="D12" s="8">
        <v>12611.017983000085</v>
      </c>
      <c r="E12" s="8">
        <v>4570.2446000000018</v>
      </c>
      <c r="F12" s="8">
        <v>383.00678400000106</v>
      </c>
      <c r="G12" s="8">
        <v>11296.839088000066</v>
      </c>
      <c r="H12" s="8">
        <v>732.00193699999363</v>
      </c>
      <c r="I12" s="8">
        <v>79845.012831999979</v>
      </c>
      <c r="J12" s="8">
        <v>407.17538500000956</v>
      </c>
      <c r="K12" s="8">
        <v>9682.3563599999907</v>
      </c>
      <c r="L12" s="10">
        <v>140138.76484900108</v>
      </c>
      <c r="M12" s="27">
        <f t="shared" si="0"/>
        <v>4.8069528375160653E-2</v>
      </c>
      <c r="O12" s="1">
        <v>8</v>
      </c>
      <c r="P12" s="9">
        <v>4133.6481100000019</v>
      </c>
      <c r="Q12" s="8">
        <v>154.49474000000191</v>
      </c>
      <c r="R12" s="8">
        <v>0</v>
      </c>
      <c r="S12" s="8">
        <v>113.90866000000005</v>
      </c>
      <c r="T12" s="8">
        <v>133.65218300000197</v>
      </c>
      <c r="U12" s="8">
        <v>122.01968399999896</v>
      </c>
      <c r="V12" s="8">
        <v>2005.6163649999944</v>
      </c>
      <c r="W12" s="8">
        <v>0</v>
      </c>
      <c r="X12" s="8">
        <v>0</v>
      </c>
      <c r="Y12" s="10">
        <v>6663.339742000011</v>
      </c>
      <c r="Z12" s="27">
        <f t="shared" si="1"/>
        <v>1.9725154334015841E-2</v>
      </c>
      <c r="AB12" s="1">
        <v>8</v>
      </c>
      <c r="AC12" s="9">
        <v>6956.7229233333492</v>
      </c>
      <c r="AD12" s="8">
        <v>4258.964810000034</v>
      </c>
      <c r="AE12" s="8">
        <v>9290.9841699999997</v>
      </c>
      <c r="AF12" s="8">
        <v>0</v>
      </c>
      <c r="AG12" s="8">
        <v>76.869839999999385</v>
      </c>
      <c r="AH12" s="8">
        <v>0</v>
      </c>
      <c r="AI12" s="8">
        <v>11457.752739999996</v>
      </c>
      <c r="AJ12" s="8">
        <v>3923.2955500000025</v>
      </c>
      <c r="AK12" s="8">
        <v>211.13883999999962</v>
      </c>
      <c r="AL12" s="10">
        <v>36175.728873333428</v>
      </c>
      <c r="AM12" s="27">
        <f t="shared" si="2"/>
        <v>3.380350039898946E-2</v>
      </c>
    </row>
    <row r="13" spans="2:39" x14ac:dyDescent="0.2">
      <c r="B13" s="1">
        <v>9</v>
      </c>
      <c r="C13" s="9">
        <v>7662.7435520000581</v>
      </c>
      <c r="D13" s="8">
        <v>23708.909360999998</v>
      </c>
      <c r="E13" s="8">
        <v>43.036613000000216</v>
      </c>
      <c r="F13" s="8">
        <v>192.38714600000094</v>
      </c>
      <c r="G13" s="8">
        <v>4456.1655460000329</v>
      </c>
      <c r="H13" s="8">
        <v>11829.128618000017</v>
      </c>
      <c r="I13" s="8">
        <v>30624.166281999846</v>
      </c>
      <c r="J13" s="8">
        <v>3868.8548719999962</v>
      </c>
      <c r="K13" s="8">
        <v>8150.4502829999983</v>
      </c>
      <c r="L13" s="10">
        <v>90535.842273001093</v>
      </c>
      <c r="M13" s="27">
        <f t="shared" si="0"/>
        <v>3.1055042077760379E-2</v>
      </c>
      <c r="O13" s="1">
        <v>9</v>
      </c>
      <c r="P13" s="9">
        <v>72.011344999998983</v>
      </c>
      <c r="Q13" s="8">
        <v>0</v>
      </c>
      <c r="R13" s="8">
        <v>0</v>
      </c>
      <c r="S13" s="8">
        <v>0</v>
      </c>
      <c r="T13" s="8">
        <v>0</v>
      </c>
      <c r="U13" s="8">
        <v>644.88373599999977</v>
      </c>
      <c r="V13" s="8">
        <v>0</v>
      </c>
      <c r="W13" s="8">
        <v>0</v>
      </c>
      <c r="X13" s="8">
        <v>113.17766599999959</v>
      </c>
      <c r="Y13" s="10">
        <v>830.07274699999834</v>
      </c>
      <c r="Z13" s="27">
        <f t="shared" si="1"/>
        <v>2.4572232059296107E-3</v>
      </c>
      <c r="AB13" s="1">
        <v>9</v>
      </c>
      <c r="AC13" s="9">
        <v>698.54959999999846</v>
      </c>
      <c r="AD13" s="8">
        <v>13412.056699999986</v>
      </c>
      <c r="AE13" s="8">
        <v>0</v>
      </c>
      <c r="AF13" s="8">
        <v>106.17205000000104</v>
      </c>
      <c r="AG13" s="8">
        <v>180.10657000000356</v>
      </c>
      <c r="AH13" s="8">
        <v>527.19319999999425</v>
      </c>
      <c r="AI13" s="8">
        <v>8613.8692599999777</v>
      </c>
      <c r="AJ13" s="8">
        <v>5098.8974000000017</v>
      </c>
      <c r="AK13" s="8">
        <v>3211.8193899999969</v>
      </c>
      <c r="AL13" s="10">
        <v>31848.664170000236</v>
      </c>
      <c r="AM13" s="27">
        <f t="shared" si="2"/>
        <v>2.9760183568035482E-2</v>
      </c>
    </row>
    <row r="14" spans="2:39" x14ac:dyDescent="0.2">
      <c r="B14" s="1">
        <v>10</v>
      </c>
      <c r="C14" s="9">
        <v>35443.548038999841</v>
      </c>
      <c r="D14" s="8">
        <v>11646.324594000034</v>
      </c>
      <c r="E14" s="8">
        <v>86.48012000000017</v>
      </c>
      <c r="F14" s="8">
        <v>6113.7850459999972</v>
      </c>
      <c r="G14" s="8">
        <v>7308.787260000041</v>
      </c>
      <c r="H14" s="8">
        <v>2006.6426799999317</v>
      </c>
      <c r="I14" s="8">
        <v>34162.455853999825</v>
      </c>
      <c r="J14" s="8">
        <v>183.63953000000038</v>
      </c>
      <c r="K14" s="8">
        <v>4059.4012000000075</v>
      </c>
      <c r="L14" s="10">
        <v>101011.06432299851</v>
      </c>
      <c r="M14" s="27">
        <f t="shared" si="0"/>
        <v>3.4648187658221433E-2</v>
      </c>
      <c r="O14" s="1">
        <v>10</v>
      </c>
      <c r="P14" s="9">
        <v>3313.2978999999978</v>
      </c>
      <c r="Q14" s="8">
        <v>0</v>
      </c>
      <c r="R14" s="8">
        <v>0</v>
      </c>
      <c r="S14" s="8">
        <v>0</v>
      </c>
      <c r="T14" s="8">
        <v>244.56107999999949</v>
      </c>
      <c r="U14" s="8">
        <v>120.67973999999958</v>
      </c>
      <c r="V14" s="8">
        <v>435.09450700000161</v>
      </c>
      <c r="W14" s="8">
        <v>0</v>
      </c>
      <c r="X14" s="8">
        <v>6624.9579999999987</v>
      </c>
      <c r="Y14" s="10">
        <v>10738.591227000026</v>
      </c>
      <c r="Z14" s="27">
        <f t="shared" si="1"/>
        <v>3.1788919293331101E-2</v>
      </c>
      <c r="AB14" s="1">
        <v>10</v>
      </c>
      <c r="AC14" s="9">
        <v>4011.179460000043</v>
      </c>
      <c r="AD14" s="8">
        <v>79.027969999995548</v>
      </c>
      <c r="AE14" s="8">
        <v>95.071179999999003</v>
      </c>
      <c r="AF14" s="8">
        <v>0</v>
      </c>
      <c r="AG14" s="8">
        <v>0</v>
      </c>
      <c r="AH14" s="8">
        <v>0</v>
      </c>
      <c r="AI14" s="8">
        <v>2780.0693000000028</v>
      </c>
      <c r="AJ14" s="8">
        <v>3639.1310349999985</v>
      </c>
      <c r="AK14" s="8">
        <v>0</v>
      </c>
      <c r="AL14" s="10">
        <v>10604.478944999981</v>
      </c>
      <c r="AM14" s="27">
        <f t="shared" si="2"/>
        <v>9.9090887568162745E-3</v>
      </c>
    </row>
    <row r="15" spans="2:39" x14ac:dyDescent="0.2">
      <c r="B15" s="1">
        <v>11</v>
      </c>
      <c r="C15" s="9">
        <v>14377.111806999834</v>
      </c>
      <c r="D15" s="8">
        <v>7914.7715005000355</v>
      </c>
      <c r="E15" s="8">
        <v>552.94494999999733</v>
      </c>
      <c r="F15" s="8">
        <v>3152.9114499999923</v>
      </c>
      <c r="G15" s="8">
        <v>4967.3508629999706</v>
      </c>
      <c r="H15" s="8">
        <v>35151.721804000001</v>
      </c>
      <c r="I15" s="8">
        <v>33415.239029999822</v>
      </c>
      <c r="J15" s="8">
        <v>3658.9866000000038</v>
      </c>
      <c r="K15" s="8">
        <v>11672.144964999985</v>
      </c>
      <c r="L15" s="10">
        <v>114863.18296950217</v>
      </c>
      <c r="M15" s="27">
        <f t="shared" si="0"/>
        <v>3.9399655327082839E-2</v>
      </c>
      <c r="O15" s="1">
        <v>11</v>
      </c>
      <c r="P15" s="9">
        <v>168.51444999999512</v>
      </c>
      <c r="Q15" s="8">
        <v>0</v>
      </c>
      <c r="R15" s="8">
        <v>0</v>
      </c>
      <c r="S15" s="8">
        <v>0</v>
      </c>
      <c r="T15" s="8">
        <v>20.388187000000471</v>
      </c>
      <c r="U15" s="8">
        <v>0</v>
      </c>
      <c r="V15" s="8">
        <v>7565.7948519999991</v>
      </c>
      <c r="W15" s="8">
        <v>32.842986999999994</v>
      </c>
      <c r="X15" s="8">
        <v>0</v>
      </c>
      <c r="Y15" s="10">
        <v>7787.5404759999947</v>
      </c>
      <c r="Z15" s="27">
        <f t="shared" si="1"/>
        <v>2.3053070039827907E-2</v>
      </c>
      <c r="AB15" s="1">
        <v>11</v>
      </c>
      <c r="AC15" s="9">
        <v>4570.1848000000173</v>
      </c>
      <c r="AD15" s="8">
        <v>78.402884999988601</v>
      </c>
      <c r="AE15" s="8">
        <v>0</v>
      </c>
      <c r="AF15" s="8">
        <v>0</v>
      </c>
      <c r="AG15" s="8">
        <v>0</v>
      </c>
      <c r="AH15" s="8">
        <v>0</v>
      </c>
      <c r="AI15" s="8">
        <v>419.43609999999171</v>
      </c>
      <c r="AJ15" s="8">
        <v>0</v>
      </c>
      <c r="AK15" s="8">
        <v>0</v>
      </c>
      <c r="AL15" s="10">
        <v>5068.0237850000849</v>
      </c>
      <c r="AM15" s="27">
        <f t="shared" si="2"/>
        <v>4.7356874173341947E-3</v>
      </c>
    </row>
    <row r="16" spans="2:39" x14ac:dyDescent="0.2">
      <c r="B16" s="1">
        <v>12</v>
      </c>
      <c r="C16" s="9">
        <v>31249.90116900031</v>
      </c>
      <c r="D16" s="8">
        <v>3339.6067259999982</v>
      </c>
      <c r="E16" s="8">
        <v>96.260650000000169</v>
      </c>
      <c r="F16" s="8">
        <v>103.84843399999954</v>
      </c>
      <c r="G16" s="8">
        <v>4958.7400795000722</v>
      </c>
      <c r="H16" s="8">
        <v>7433.5449550000194</v>
      </c>
      <c r="I16" s="8">
        <v>30720.597019500099</v>
      </c>
      <c r="J16" s="8">
        <v>1713.8177800000121</v>
      </c>
      <c r="K16" s="8">
        <v>4430.7204200000124</v>
      </c>
      <c r="L16" s="10">
        <v>84047.037233000854</v>
      </c>
      <c r="M16" s="27">
        <f t="shared" si="0"/>
        <v>2.882929249071883E-2</v>
      </c>
      <c r="O16" s="1">
        <v>12</v>
      </c>
      <c r="P16" s="9">
        <v>342.39050199999474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97.508923999994295</v>
      </c>
      <c r="W16" s="8">
        <v>0</v>
      </c>
      <c r="X16" s="8">
        <v>161.85751499999969</v>
      </c>
      <c r="Y16" s="10">
        <v>601.75694100002875</v>
      </c>
      <c r="Z16" s="27">
        <f t="shared" si="1"/>
        <v>1.7813512431272354E-3</v>
      </c>
      <c r="AB16" s="1">
        <v>12</v>
      </c>
      <c r="AC16" s="9">
        <v>875.18118999997387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99.152490000000398</v>
      </c>
      <c r="AL16" s="10">
        <v>974.33367999992333</v>
      </c>
      <c r="AM16" s="27">
        <f t="shared" si="2"/>
        <v>9.1044161282689817E-4</v>
      </c>
    </row>
    <row r="17" spans="2:39" x14ac:dyDescent="0.2">
      <c r="B17" s="1">
        <v>13</v>
      </c>
      <c r="C17" s="9">
        <v>25113.348929999978</v>
      </c>
      <c r="D17" s="8">
        <v>4679.012684999936</v>
      </c>
      <c r="E17" s="8">
        <v>42.361651999999594</v>
      </c>
      <c r="F17" s="8">
        <v>270.60795199999848</v>
      </c>
      <c r="G17" s="8">
        <v>4954.3433470000164</v>
      </c>
      <c r="H17" s="8">
        <v>10042.399369999999</v>
      </c>
      <c r="I17" s="8">
        <v>18745.902119000326</v>
      </c>
      <c r="J17" s="8">
        <v>229.60503700000118</v>
      </c>
      <c r="K17" s="8">
        <v>48.525158000004012</v>
      </c>
      <c r="L17" s="10">
        <v>64126.106250000652</v>
      </c>
      <c r="M17" s="27">
        <f t="shared" si="0"/>
        <v>2.1996138522373639E-2</v>
      </c>
      <c r="O17" s="1">
        <v>13</v>
      </c>
      <c r="P17" s="9">
        <v>60.911243000002287</v>
      </c>
      <c r="Q17" s="8">
        <v>6872.3034000000007</v>
      </c>
      <c r="R17" s="8">
        <v>0</v>
      </c>
      <c r="S17" s="8">
        <v>0</v>
      </c>
      <c r="T17" s="8">
        <v>577.54245000000083</v>
      </c>
      <c r="U17" s="8">
        <v>0</v>
      </c>
      <c r="V17" s="8">
        <v>29.556010000000242</v>
      </c>
      <c r="W17" s="8">
        <v>0</v>
      </c>
      <c r="X17" s="8">
        <v>0</v>
      </c>
      <c r="Y17" s="10">
        <v>7540.3131029999931</v>
      </c>
      <c r="Z17" s="27">
        <f t="shared" si="1"/>
        <v>2.2321215102688741E-2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469.89040000000386</v>
      </c>
      <c r="AJ17" s="8">
        <v>0</v>
      </c>
      <c r="AK17" s="8">
        <v>3882.4865000000063</v>
      </c>
      <c r="AL17" s="10">
        <v>4352.376900000032</v>
      </c>
      <c r="AM17" s="27">
        <f t="shared" si="2"/>
        <v>4.066969176788466E-3</v>
      </c>
    </row>
    <row r="18" spans="2:39" x14ac:dyDescent="0.2">
      <c r="B18" s="1">
        <v>14</v>
      </c>
      <c r="C18" s="9">
        <v>28987.767176000052</v>
      </c>
      <c r="D18" s="8">
        <v>7638.3109910000057</v>
      </c>
      <c r="E18" s="8">
        <v>104.65655999999944</v>
      </c>
      <c r="F18" s="8">
        <v>0</v>
      </c>
      <c r="G18" s="8">
        <v>4231.1327049998799</v>
      </c>
      <c r="H18" s="8">
        <v>18183.943819999957</v>
      </c>
      <c r="I18" s="8">
        <v>37834.807085999753</v>
      </c>
      <c r="J18" s="8">
        <v>3096.4064949999884</v>
      </c>
      <c r="K18" s="8">
        <v>4658.1138299999875</v>
      </c>
      <c r="L18" s="10">
        <v>104735.13866300066</v>
      </c>
      <c r="M18" s="27">
        <f t="shared" si="0"/>
        <v>3.5925596499028815E-2</v>
      </c>
      <c r="O18" s="1">
        <v>14</v>
      </c>
      <c r="P18" s="9">
        <v>72.194259999996575</v>
      </c>
      <c r="Q18" s="8">
        <v>4495.979164999997</v>
      </c>
      <c r="R18" s="8">
        <v>0</v>
      </c>
      <c r="S18" s="8">
        <v>0</v>
      </c>
      <c r="T18" s="8">
        <v>482.334896999997</v>
      </c>
      <c r="U18" s="8">
        <v>178.82752999999866</v>
      </c>
      <c r="V18" s="8">
        <v>6815.4679400000023</v>
      </c>
      <c r="W18" s="8">
        <v>0</v>
      </c>
      <c r="X18" s="8">
        <v>110.91414000000077</v>
      </c>
      <c r="Y18" s="10">
        <v>12155.717932</v>
      </c>
      <c r="Z18" s="27">
        <f t="shared" si="1"/>
        <v>3.5983969230645223E-2</v>
      </c>
      <c r="AB18" s="1">
        <v>14</v>
      </c>
      <c r="AC18" s="9">
        <v>81.739839999994729</v>
      </c>
      <c r="AD18" s="8">
        <v>2787.2970000000205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292.30629999999655</v>
      </c>
      <c r="AK18" s="8">
        <v>0</v>
      </c>
      <c r="AL18" s="10">
        <v>3161.3431400000118</v>
      </c>
      <c r="AM18" s="27">
        <f t="shared" si="2"/>
        <v>2.9540376219788357E-3</v>
      </c>
    </row>
    <row r="19" spans="2:39" x14ac:dyDescent="0.2">
      <c r="B19" s="1">
        <v>15</v>
      </c>
      <c r="C19" s="9">
        <v>11915.296506000101</v>
      </c>
      <c r="D19" s="8">
        <v>4940.5092610000283</v>
      </c>
      <c r="E19" s="8">
        <v>0</v>
      </c>
      <c r="F19" s="8">
        <v>490.00515300000552</v>
      </c>
      <c r="G19" s="8">
        <v>3688.0347060001222</v>
      </c>
      <c r="H19" s="8">
        <v>6944.3310799999745</v>
      </c>
      <c r="I19" s="8">
        <v>18846.229714999907</v>
      </c>
      <c r="J19" s="8">
        <v>2679.8560580000194</v>
      </c>
      <c r="K19" s="8">
        <v>817.84200400000555</v>
      </c>
      <c r="L19" s="10">
        <v>50322.104482998373</v>
      </c>
      <c r="M19" s="27">
        <f t="shared" si="0"/>
        <v>1.7261175606547611E-2</v>
      </c>
      <c r="O19" s="1">
        <v>15</v>
      </c>
      <c r="P19" s="9">
        <v>503.13866000000417</v>
      </c>
      <c r="Q19" s="8">
        <v>2214.3712999999989</v>
      </c>
      <c r="R19" s="8">
        <v>0</v>
      </c>
      <c r="S19" s="8">
        <v>0</v>
      </c>
      <c r="T19" s="8">
        <v>550.99741200000062</v>
      </c>
      <c r="U19" s="8">
        <v>220.00714999999764</v>
      </c>
      <c r="V19" s="8">
        <v>0</v>
      </c>
      <c r="W19" s="8">
        <v>3689.9557999999997</v>
      </c>
      <c r="X19" s="8">
        <v>3178.2345999999998</v>
      </c>
      <c r="Y19" s="10">
        <v>10356.704922000034</v>
      </c>
      <c r="Z19" s="27">
        <f t="shared" si="1"/>
        <v>3.0658440194885655E-2</v>
      </c>
      <c r="AB19" s="1">
        <v>15</v>
      </c>
      <c r="AC19" s="9">
        <v>0</v>
      </c>
      <c r="AD19" s="8">
        <v>34.965476999990642</v>
      </c>
      <c r="AE19" s="8">
        <v>0</v>
      </c>
      <c r="AF19" s="8">
        <v>0</v>
      </c>
      <c r="AG19" s="8">
        <v>0</v>
      </c>
      <c r="AH19" s="8">
        <v>0</v>
      </c>
      <c r="AI19" s="8">
        <v>2745.7673000000068</v>
      </c>
      <c r="AJ19" s="8">
        <v>0</v>
      </c>
      <c r="AK19" s="8">
        <v>0</v>
      </c>
      <c r="AL19" s="10">
        <v>2780.7327769999392</v>
      </c>
      <c r="AM19" s="27">
        <f t="shared" si="2"/>
        <v>2.5983858367008756E-3</v>
      </c>
    </row>
    <row r="20" spans="2:39" x14ac:dyDescent="0.2">
      <c r="B20" s="1">
        <v>16</v>
      </c>
      <c r="C20" s="9">
        <v>7731.5503190000309</v>
      </c>
      <c r="D20" s="8">
        <v>10557.267560999986</v>
      </c>
      <c r="E20" s="8">
        <v>2169.1762160000035</v>
      </c>
      <c r="F20" s="8">
        <v>3352.1486000000077</v>
      </c>
      <c r="G20" s="8">
        <v>1409.050193000061</v>
      </c>
      <c r="H20" s="8">
        <v>386.39168999998947</v>
      </c>
      <c r="I20" s="8">
        <v>18588.458778333268</v>
      </c>
      <c r="J20" s="8">
        <v>2641.5627899999963</v>
      </c>
      <c r="K20" s="8">
        <v>4186.3169059999927</v>
      </c>
      <c r="L20" s="10">
        <v>51021.92305333307</v>
      </c>
      <c r="M20" s="27">
        <f t="shared" si="0"/>
        <v>1.7501223024265437E-2</v>
      </c>
      <c r="O20" s="1">
        <v>16</v>
      </c>
      <c r="P20" s="9">
        <v>0</v>
      </c>
      <c r="Q20" s="8">
        <v>1347.9723999999987</v>
      </c>
      <c r="R20" s="8">
        <v>4551.8612999999996</v>
      </c>
      <c r="S20" s="8">
        <v>0</v>
      </c>
      <c r="T20" s="8">
        <v>0</v>
      </c>
      <c r="U20" s="8">
        <v>199.79660100000183</v>
      </c>
      <c r="V20" s="8">
        <v>102.02520000000368</v>
      </c>
      <c r="W20" s="8">
        <v>0</v>
      </c>
      <c r="X20" s="8">
        <v>0</v>
      </c>
      <c r="Y20" s="10">
        <v>6201.655500999972</v>
      </c>
      <c r="Z20" s="27">
        <f t="shared" si="1"/>
        <v>1.8358453361242793E-2</v>
      </c>
      <c r="AB20" s="1">
        <v>16</v>
      </c>
      <c r="AC20" s="9">
        <v>2488.3420000000042</v>
      </c>
      <c r="AD20" s="8">
        <v>2630.6743000000133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5119.0163000002503</v>
      </c>
      <c r="AM20" s="27">
        <f t="shared" si="2"/>
        <v>4.783336091039956E-3</v>
      </c>
    </row>
    <row r="21" spans="2:39" x14ac:dyDescent="0.2">
      <c r="B21" s="1">
        <v>17</v>
      </c>
      <c r="C21" s="9">
        <v>16763.402970000054</v>
      </c>
      <c r="D21" s="8">
        <v>7544.7516500000202</v>
      </c>
      <c r="E21" s="8">
        <v>201.93211000000156</v>
      </c>
      <c r="F21" s="8">
        <v>193.32427000000462</v>
      </c>
      <c r="G21" s="8">
        <v>3405.7928949999623</v>
      </c>
      <c r="H21" s="8">
        <v>4265.2668749999721</v>
      </c>
      <c r="I21" s="8">
        <v>8819.9962180001894</v>
      </c>
      <c r="J21" s="8">
        <v>678.94938600000751</v>
      </c>
      <c r="K21" s="8">
        <v>222.53518999999505</v>
      </c>
      <c r="L21" s="10">
        <v>42095.951563999057</v>
      </c>
      <c r="M21" s="27">
        <f t="shared" si="0"/>
        <v>1.443949174495286E-2</v>
      </c>
      <c r="O21" s="1">
        <v>17</v>
      </c>
      <c r="P21" s="9">
        <v>148.14762000000337</v>
      </c>
      <c r="Q21" s="8">
        <v>0</v>
      </c>
      <c r="R21" s="8">
        <v>0</v>
      </c>
      <c r="S21" s="8">
        <v>0</v>
      </c>
      <c r="T21" s="8">
        <v>99.431570000000647</v>
      </c>
      <c r="U21" s="8">
        <v>0</v>
      </c>
      <c r="V21" s="8">
        <v>0</v>
      </c>
      <c r="W21" s="8">
        <v>123.64618299999893</v>
      </c>
      <c r="X21" s="8">
        <v>0</v>
      </c>
      <c r="Y21" s="10">
        <v>371.22537300002296</v>
      </c>
      <c r="Z21" s="27">
        <f t="shared" si="1"/>
        <v>1.0989200699122986E-3</v>
      </c>
      <c r="AB21" s="1">
        <v>17</v>
      </c>
      <c r="AC21" s="9">
        <v>72.420689999999013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72.830040000000736</v>
      </c>
      <c r="AK21" s="8">
        <v>0</v>
      </c>
      <c r="AL21" s="10">
        <v>145.25072999997064</v>
      </c>
      <c r="AM21" s="27">
        <f t="shared" si="2"/>
        <v>1.3572589308979651E-4</v>
      </c>
    </row>
    <row r="22" spans="2:39" x14ac:dyDescent="0.2">
      <c r="B22" s="1">
        <v>18</v>
      </c>
      <c r="C22" s="9">
        <v>20938.35261000006</v>
      </c>
      <c r="D22" s="8">
        <v>14947.930418999982</v>
      </c>
      <c r="E22" s="8">
        <v>0</v>
      </c>
      <c r="F22" s="8">
        <v>4403.1103999999978</v>
      </c>
      <c r="G22" s="8">
        <v>843.67290400003549</v>
      </c>
      <c r="H22" s="8">
        <v>1435.0076239999908</v>
      </c>
      <c r="I22" s="8">
        <v>4545.2672069998225</v>
      </c>
      <c r="J22" s="8">
        <v>3358.0089480000024</v>
      </c>
      <c r="K22" s="8">
        <v>2014.9352960000106</v>
      </c>
      <c r="L22" s="10">
        <v>52486.285408000462</v>
      </c>
      <c r="M22" s="27">
        <f t="shared" si="0"/>
        <v>1.8003519500440657E-2</v>
      </c>
      <c r="O22" s="1">
        <v>18</v>
      </c>
      <c r="P22" s="9">
        <v>320.79909999999654</v>
      </c>
      <c r="Q22" s="8">
        <v>4443.2486379999973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4764.047738000052</v>
      </c>
      <c r="Z22" s="27">
        <f t="shared" si="1"/>
        <v>1.4102774363185086E-2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1110.5869999999995</v>
      </c>
      <c r="AJ22" s="8">
        <v>0</v>
      </c>
      <c r="AK22" s="8">
        <v>0</v>
      </c>
      <c r="AL22" s="10">
        <v>1110.5870000000577</v>
      </c>
      <c r="AM22" s="27">
        <f t="shared" si="2"/>
        <v>1.0377601023344677E-3</v>
      </c>
    </row>
    <row r="23" spans="2:39" x14ac:dyDescent="0.2">
      <c r="B23" s="1">
        <v>19</v>
      </c>
      <c r="C23" s="9">
        <v>5526.0155590000213</v>
      </c>
      <c r="D23" s="8">
        <v>9145.6789020001306</v>
      </c>
      <c r="E23" s="8">
        <v>0</v>
      </c>
      <c r="F23" s="8">
        <v>4611.1981999999989</v>
      </c>
      <c r="G23" s="8">
        <v>1139.237414000032</v>
      </c>
      <c r="H23" s="8">
        <v>7546.3365599999961</v>
      </c>
      <c r="I23" s="8">
        <v>1865.8692320000846</v>
      </c>
      <c r="J23" s="8">
        <v>5446.0448550000001</v>
      </c>
      <c r="K23" s="8">
        <v>350.69013500001165</v>
      </c>
      <c r="L23" s="10">
        <v>35631.070856998209</v>
      </c>
      <c r="M23" s="27">
        <f t="shared" si="0"/>
        <v>1.2221948533964433E-2</v>
      </c>
      <c r="O23" s="1">
        <v>19</v>
      </c>
      <c r="P23" s="9">
        <v>72.123886000001221</v>
      </c>
      <c r="Q23" s="8">
        <v>76.836699999999837</v>
      </c>
      <c r="R23" s="8">
        <v>0</v>
      </c>
      <c r="S23" s="8">
        <v>0</v>
      </c>
      <c r="T23" s="8">
        <v>0</v>
      </c>
      <c r="U23" s="8">
        <v>121.19420000000173</v>
      </c>
      <c r="V23" s="8">
        <v>3940.7575499999948</v>
      </c>
      <c r="W23" s="8">
        <v>222.70117000000027</v>
      </c>
      <c r="X23" s="8">
        <v>0</v>
      </c>
      <c r="Y23" s="10">
        <v>4433.6135060000233</v>
      </c>
      <c r="Z23" s="27">
        <f t="shared" si="1"/>
        <v>1.3124606285943056E-2</v>
      </c>
      <c r="AB23" s="1">
        <v>19</v>
      </c>
      <c r="AC23" s="9">
        <v>0</v>
      </c>
      <c r="AD23" s="8">
        <v>13714.338900000032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13714.338899999857</v>
      </c>
      <c r="AM23" s="27">
        <f t="shared" si="2"/>
        <v>1.281501921084317E-2</v>
      </c>
    </row>
    <row r="24" spans="2:39" x14ac:dyDescent="0.2">
      <c r="B24" s="1">
        <v>20</v>
      </c>
      <c r="C24" s="9">
        <v>9848.5667320000357</v>
      </c>
      <c r="D24" s="8">
        <v>11924.644828999997</v>
      </c>
      <c r="E24" s="8">
        <v>9112.1665140000114</v>
      </c>
      <c r="F24" s="8">
        <v>294.30119400000694</v>
      </c>
      <c r="G24" s="8">
        <v>869.8946340000839</v>
      </c>
      <c r="H24" s="8">
        <v>8069.5208949999651</v>
      </c>
      <c r="I24" s="8">
        <v>12015.110280000139</v>
      </c>
      <c r="J24" s="8">
        <v>292.20459100000153</v>
      </c>
      <c r="K24" s="8">
        <v>2017.4175000000105</v>
      </c>
      <c r="L24" s="10">
        <v>54443.827169000171</v>
      </c>
      <c r="M24" s="27">
        <f t="shared" si="0"/>
        <v>1.8674983312236972E-2</v>
      </c>
      <c r="O24" s="1">
        <v>20</v>
      </c>
      <c r="P24" s="9">
        <v>1784.647333333327</v>
      </c>
      <c r="Q24" s="8">
        <v>108.57379200000287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148.1911999999993</v>
      </c>
      <c r="X24" s="8">
        <v>110.71546999999919</v>
      </c>
      <c r="Y24" s="10">
        <v>2152.1277953333338</v>
      </c>
      <c r="Z24" s="27">
        <f t="shared" si="1"/>
        <v>6.3708372307508246E-3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2">
      <c r="B25" s="1">
        <v>21</v>
      </c>
      <c r="C25" s="9">
        <v>7663.4459240001161</v>
      </c>
      <c r="D25" s="8">
        <v>16244.733130333305</v>
      </c>
      <c r="E25" s="8">
        <v>2341.6382000000012</v>
      </c>
      <c r="F25" s="8">
        <v>0</v>
      </c>
      <c r="G25" s="8">
        <v>2290.6759850000963</v>
      </c>
      <c r="H25" s="8">
        <v>12358.331969999999</v>
      </c>
      <c r="I25" s="8">
        <v>6578.2029500000644</v>
      </c>
      <c r="J25" s="8">
        <v>4332.4249860000127</v>
      </c>
      <c r="K25" s="8">
        <v>9101.2976000000199</v>
      </c>
      <c r="L25" s="10">
        <v>60910.750745333731</v>
      </c>
      <c r="M25" s="27">
        <f t="shared" si="0"/>
        <v>2.0893227255570666E-2</v>
      </c>
      <c r="O25" s="1">
        <v>21</v>
      </c>
      <c r="P25" s="9">
        <v>3301.9876539999968</v>
      </c>
      <c r="Q25" s="8">
        <v>0</v>
      </c>
      <c r="R25" s="8">
        <v>0</v>
      </c>
      <c r="S25" s="8">
        <v>0</v>
      </c>
      <c r="T25" s="8">
        <v>101.13568999999916</v>
      </c>
      <c r="U25" s="8">
        <v>108.12106000000131</v>
      </c>
      <c r="V25" s="8">
        <v>0</v>
      </c>
      <c r="W25" s="8">
        <v>0</v>
      </c>
      <c r="X25" s="8">
        <v>0</v>
      </c>
      <c r="Y25" s="10">
        <v>3511.2444039999973</v>
      </c>
      <c r="Z25" s="27">
        <f t="shared" si="1"/>
        <v>1.0394162755471474E-2</v>
      </c>
      <c r="AB25" s="1">
        <v>21</v>
      </c>
      <c r="AC25" s="9">
        <v>445.1385200000077</v>
      </c>
      <c r="AD25" s="8">
        <v>0</v>
      </c>
      <c r="AE25" s="8">
        <v>0</v>
      </c>
      <c r="AF25" s="8">
        <v>0</v>
      </c>
      <c r="AG25" s="8">
        <v>0</v>
      </c>
      <c r="AH25" s="8">
        <v>108.12106000000495</v>
      </c>
      <c r="AI25" s="8">
        <v>0</v>
      </c>
      <c r="AJ25" s="8">
        <v>0</v>
      </c>
      <c r="AK25" s="8">
        <v>0</v>
      </c>
      <c r="AL25" s="10">
        <v>553.25958000007086</v>
      </c>
      <c r="AM25" s="27">
        <f t="shared" si="2"/>
        <v>5.1697950575539631E-4</v>
      </c>
    </row>
    <row r="26" spans="2:39" x14ac:dyDescent="0.2">
      <c r="B26" s="1">
        <v>22</v>
      </c>
      <c r="C26" s="9">
        <v>9263.3362599999527</v>
      </c>
      <c r="D26" s="8">
        <v>7467.1194329999271</v>
      </c>
      <c r="E26" s="8">
        <v>4237.3886150000035</v>
      </c>
      <c r="F26" s="8">
        <v>3831.1029300000009</v>
      </c>
      <c r="G26" s="8">
        <v>531.39435900002718</v>
      </c>
      <c r="H26" s="8">
        <v>2192.5025170000154</v>
      </c>
      <c r="I26" s="8">
        <v>5649.973097999813</v>
      </c>
      <c r="J26" s="8">
        <v>1925.0904840000003</v>
      </c>
      <c r="K26" s="8">
        <v>111.67605000000913</v>
      </c>
      <c r="L26" s="10">
        <v>35209.583745999727</v>
      </c>
      <c r="M26" s="27">
        <f t="shared" si="0"/>
        <v>1.2077372644033215E-2</v>
      </c>
      <c r="O26" s="1">
        <v>22</v>
      </c>
      <c r="P26" s="9">
        <v>2500.7985999999946</v>
      </c>
      <c r="Q26" s="8">
        <v>1144.1670999999988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3644.9656999999424</v>
      </c>
      <c r="Z26" s="27">
        <f t="shared" si="1"/>
        <v>1.0790011279405784E-2</v>
      </c>
      <c r="AB26" s="1">
        <v>22</v>
      </c>
      <c r="AC26" s="9">
        <v>72.309600000007777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52.326927000001888</v>
      </c>
      <c r="AK26" s="8">
        <v>0</v>
      </c>
      <c r="AL26" s="10">
        <v>124.63652699999511</v>
      </c>
      <c r="AM26" s="27">
        <f t="shared" si="2"/>
        <v>1.1646346933119229E-4</v>
      </c>
    </row>
    <row r="27" spans="2:39" x14ac:dyDescent="0.2">
      <c r="B27" s="1">
        <v>23</v>
      </c>
      <c r="C27" s="9">
        <v>6329.4278120000963</v>
      </c>
      <c r="D27" s="8">
        <v>14308.56055600004</v>
      </c>
      <c r="E27" s="8">
        <v>258.21670600000652</v>
      </c>
      <c r="F27" s="8">
        <v>4403.5737000000008</v>
      </c>
      <c r="G27" s="8">
        <v>1405.6501749999588</v>
      </c>
      <c r="H27" s="8">
        <v>7342.5655000000261</v>
      </c>
      <c r="I27" s="8">
        <v>7667.4621199999237</v>
      </c>
      <c r="J27" s="8">
        <v>395.15847300000314</v>
      </c>
      <c r="K27" s="8">
        <v>112.07618999999249</v>
      </c>
      <c r="L27" s="10">
        <v>42222.691232001875</v>
      </c>
      <c r="M27" s="27">
        <f t="shared" si="0"/>
        <v>1.4482965198382283E-2</v>
      </c>
      <c r="O27" s="1">
        <v>23</v>
      </c>
      <c r="P27" s="9">
        <v>0</v>
      </c>
      <c r="Q27" s="8">
        <v>77.17618599999696</v>
      </c>
      <c r="R27" s="8">
        <v>0</v>
      </c>
      <c r="S27" s="8">
        <v>0</v>
      </c>
      <c r="T27" s="8">
        <v>32.389009999998962</v>
      </c>
      <c r="U27" s="8">
        <v>116.81506000000081</v>
      </c>
      <c r="V27" s="8">
        <v>365.12564000001294</v>
      </c>
      <c r="W27" s="8">
        <v>0</v>
      </c>
      <c r="X27" s="8">
        <v>0</v>
      </c>
      <c r="Y27" s="10">
        <v>591.50589599995874</v>
      </c>
      <c r="Z27" s="27">
        <f t="shared" si="1"/>
        <v>1.7510055827616377E-3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2">
      <c r="B28" s="1">
        <v>24</v>
      </c>
      <c r="C28" s="9">
        <v>15417.216072333453</v>
      </c>
      <c r="D28" s="8">
        <v>17522.373821999936</v>
      </c>
      <c r="E28" s="8">
        <v>0</v>
      </c>
      <c r="F28" s="8">
        <v>94.52978499999881</v>
      </c>
      <c r="G28" s="8">
        <v>936.48176600004081</v>
      </c>
      <c r="H28" s="8">
        <v>1856.9712399999844</v>
      </c>
      <c r="I28" s="8">
        <v>7736.7432900000131</v>
      </c>
      <c r="J28" s="8">
        <v>219.27285399999528</v>
      </c>
      <c r="K28" s="8">
        <v>191.22813000000315</v>
      </c>
      <c r="L28" s="10">
        <v>43974.81695933314</v>
      </c>
      <c r="M28" s="27">
        <f t="shared" si="0"/>
        <v>1.5083968478649169E-2</v>
      </c>
      <c r="O28" s="1">
        <v>24</v>
      </c>
      <c r="P28" s="9">
        <v>71.967789999995148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73.722724999999627</v>
      </c>
      <c r="X28" s="8">
        <v>77.804579999999987</v>
      </c>
      <c r="Y28" s="10">
        <v>223.49509500002023</v>
      </c>
      <c r="Z28" s="27">
        <f t="shared" si="1"/>
        <v>6.6160145099366055E-4</v>
      </c>
      <c r="AB28" s="1">
        <v>24</v>
      </c>
      <c r="AC28" s="9">
        <v>0</v>
      </c>
      <c r="AD28" s="8">
        <v>66.457029999990482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74.516969999996945</v>
      </c>
      <c r="AK28" s="8">
        <v>0</v>
      </c>
      <c r="AL28" s="10">
        <v>140.97399999992922</v>
      </c>
      <c r="AM28" s="27">
        <f t="shared" si="2"/>
        <v>1.3172961025693456E-4</v>
      </c>
    </row>
    <row r="29" spans="2:39" x14ac:dyDescent="0.2">
      <c r="B29" s="1">
        <v>25</v>
      </c>
      <c r="C29" s="9">
        <v>5600.7319290000014</v>
      </c>
      <c r="D29" s="8">
        <v>9517.9716930001159</v>
      </c>
      <c r="E29" s="8">
        <v>2197.3270459999985</v>
      </c>
      <c r="F29" s="8">
        <v>109.82858000000124</v>
      </c>
      <c r="G29" s="8">
        <v>925.76868300000206</v>
      </c>
      <c r="H29" s="8">
        <v>1230.7238360000192</v>
      </c>
      <c r="I29" s="8">
        <v>2558.3183760001557</v>
      </c>
      <c r="J29" s="8">
        <v>1936.7669610000012</v>
      </c>
      <c r="K29" s="8">
        <v>111.79574599998887</v>
      </c>
      <c r="L29" s="10">
        <v>24189.2328499984</v>
      </c>
      <c r="M29" s="27">
        <f t="shared" si="0"/>
        <v>8.2972403539394723E-3</v>
      </c>
      <c r="O29" s="1">
        <v>25</v>
      </c>
      <c r="P29" s="9">
        <v>144.35077999999339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3689.9557999999997</v>
      </c>
      <c r="X29" s="8">
        <v>0</v>
      </c>
      <c r="Y29" s="10">
        <v>3834.3065799999749</v>
      </c>
      <c r="Z29" s="27">
        <f t="shared" si="1"/>
        <v>1.1350507700772108E-2</v>
      </c>
      <c r="AB29" s="1">
        <v>25</v>
      </c>
      <c r="AC29" s="9">
        <v>72.150170000008075</v>
      </c>
      <c r="AD29" s="8">
        <v>144.5190199999779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216.66919000004418</v>
      </c>
      <c r="AM29" s="27">
        <f t="shared" si="2"/>
        <v>2.0246107759874768E-4</v>
      </c>
    </row>
    <row r="30" spans="2:39" x14ac:dyDescent="0.2">
      <c r="B30" s="1">
        <v>26</v>
      </c>
      <c r="C30" s="9">
        <v>5329.2467670000624</v>
      </c>
      <c r="D30" s="8">
        <v>5717.7558830000344</v>
      </c>
      <c r="E30" s="8">
        <v>0</v>
      </c>
      <c r="F30" s="8">
        <v>68.124920000002021</v>
      </c>
      <c r="G30" s="8">
        <v>1630.1892619999708</v>
      </c>
      <c r="H30" s="8">
        <v>3317.060610000015</v>
      </c>
      <c r="I30" s="8">
        <v>3469.4193900000537</v>
      </c>
      <c r="J30" s="8">
        <v>5132.5723480000015</v>
      </c>
      <c r="K30" s="8">
        <v>221.14838500000769</v>
      </c>
      <c r="L30" s="10">
        <v>24885.517565000802</v>
      </c>
      <c r="M30" s="27">
        <f t="shared" si="0"/>
        <v>8.5360756105585991E-3</v>
      </c>
      <c r="O30" s="1">
        <v>26</v>
      </c>
      <c r="P30" s="9">
        <v>217.16860000000452</v>
      </c>
      <c r="Q30" s="8">
        <v>154.93630000000121</v>
      </c>
      <c r="R30" s="8">
        <v>0</v>
      </c>
      <c r="S30" s="8">
        <v>0</v>
      </c>
      <c r="T30" s="8">
        <v>0</v>
      </c>
      <c r="U30" s="8">
        <v>0</v>
      </c>
      <c r="V30" s="8">
        <v>2780.0693000000028</v>
      </c>
      <c r="W30" s="8">
        <v>0</v>
      </c>
      <c r="X30" s="8">
        <v>0</v>
      </c>
      <c r="Y30" s="10">
        <v>3152.1741999999504</v>
      </c>
      <c r="Z30" s="27">
        <f t="shared" si="1"/>
        <v>9.3312250298135599E-3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2">
      <c r="B31" s="1">
        <v>27</v>
      </c>
      <c r="C31" s="9">
        <v>6636.2377030000789</v>
      </c>
      <c r="D31" s="8">
        <v>292.13976000004914</v>
      </c>
      <c r="E31" s="8">
        <v>0</v>
      </c>
      <c r="F31" s="8">
        <v>106.4777499999982</v>
      </c>
      <c r="G31" s="8">
        <v>1087.9698109999881</v>
      </c>
      <c r="H31" s="8">
        <v>4332.4793340000324</v>
      </c>
      <c r="I31" s="8">
        <v>5080.5260199999902</v>
      </c>
      <c r="J31" s="8">
        <v>1376.5628540000034</v>
      </c>
      <c r="K31" s="8">
        <v>0</v>
      </c>
      <c r="L31" s="10">
        <v>18912.39323200006</v>
      </c>
      <c r="M31" s="27">
        <f t="shared" si="0"/>
        <v>6.4872116154825908E-3</v>
      </c>
      <c r="O31" s="1">
        <v>27</v>
      </c>
      <c r="P31" s="9">
        <v>457.89721999999892</v>
      </c>
      <c r="Q31" s="8">
        <v>3188.1768000000011</v>
      </c>
      <c r="R31" s="8">
        <v>0</v>
      </c>
      <c r="S31" s="8">
        <v>0</v>
      </c>
      <c r="T31" s="8">
        <v>0</v>
      </c>
      <c r="U31" s="8">
        <v>119.53487400000085</v>
      </c>
      <c r="V31" s="8">
        <v>83.687514999997802</v>
      </c>
      <c r="W31" s="8">
        <v>0</v>
      </c>
      <c r="X31" s="8">
        <v>0</v>
      </c>
      <c r="Y31" s="10">
        <v>3849.2964090000023</v>
      </c>
      <c r="Z31" s="27">
        <f t="shared" si="1"/>
        <v>1.1394881348509496E-2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2">
      <c r="B32" s="1">
        <v>28</v>
      </c>
      <c r="C32" s="9">
        <v>7984.81199200009</v>
      </c>
      <c r="D32" s="8">
        <v>9506.9887970000273</v>
      </c>
      <c r="E32" s="8">
        <v>97.975899999997637</v>
      </c>
      <c r="F32" s="8">
        <v>1106.0555159999931</v>
      </c>
      <c r="G32" s="8">
        <v>1914.0105589999584</v>
      </c>
      <c r="H32" s="8">
        <v>240.10952999995789</v>
      </c>
      <c r="I32" s="8">
        <v>2489.675672999816</v>
      </c>
      <c r="J32" s="8">
        <v>212.07862000000023</v>
      </c>
      <c r="K32" s="8">
        <v>93.309165999991819</v>
      </c>
      <c r="L32" s="10">
        <v>23645.015753002372</v>
      </c>
      <c r="M32" s="27">
        <f t="shared" si="0"/>
        <v>8.1105663867863751E-3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118.03603999999905</v>
      </c>
      <c r="V32" s="8">
        <v>0</v>
      </c>
      <c r="W32" s="8">
        <v>0</v>
      </c>
      <c r="X32" s="8">
        <v>0</v>
      </c>
      <c r="Y32" s="10">
        <v>118.03603999997722</v>
      </c>
      <c r="Z32" s="27">
        <f t="shared" si="1"/>
        <v>3.4941623812157315E-4</v>
      </c>
      <c r="AB32" s="1">
        <v>28</v>
      </c>
      <c r="AC32" s="9">
        <v>0</v>
      </c>
      <c r="AD32" s="8">
        <v>103.56674666667823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103.56674666656181</v>
      </c>
      <c r="AM32" s="27">
        <f t="shared" si="2"/>
        <v>9.677534278641249E-5</v>
      </c>
    </row>
    <row r="33" spans="2:39" x14ac:dyDescent="0.2">
      <c r="B33" s="1">
        <v>29</v>
      </c>
      <c r="C33" s="9">
        <v>10594.907538000145</v>
      </c>
      <c r="D33" s="8">
        <v>7666.9551959999953</v>
      </c>
      <c r="E33" s="8">
        <v>3193.8738000000012</v>
      </c>
      <c r="F33" s="8">
        <v>0</v>
      </c>
      <c r="G33" s="8">
        <v>7770.977344999963</v>
      </c>
      <c r="H33" s="8">
        <v>4572.0521999999764</v>
      </c>
      <c r="I33" s="8">
        <v>4973.3433700000169</v>
      </c>
      <c r="J33" s="8">
        <v>4722.88396500003</v>
      </c>
      <c r="K33" s="8">
        <v>601.32287999999244</v>
      </c>
      <c r="L33" s="10">
        <v>44096.316293998621</v>
      </c>
      <c r="M33" s="27">
        <f t="shared" si="0"/>
        <v>1.5125644425497697E-2</v>
      </c>
      <c r="O33" s="1">
        <v>29</v>
      </c>
      <c r="P33" s="9">
        <v>18525.288010000004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18525.28800999996</v>
      </c>
      <c r="Z33" s="27">
        <f t="shared" si="1"/>
        <v>5.4839491790593109E-2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2">
      <c r="B34" s="1">
        <v>30</v>
      </c>
      <c r="C34" s="9">
        <v>9970.1699400000507</v>
      </c>
      <c r="D34" s="8">
        <v>653.75218099995982</v>
      </c>
      <c r="E34" s="8">
        <v>0</v>
      </c>
      <c r="F34" s="8">
        <v>0</v>
      </c>
      <c r="G34" s="8">
        <v>1269.9358580000116</v>
      </c>
      <c r="H34" s="8">
        <v>0</v>
      </c>
      <c r="I34" s="8">
        <v>5545.089760000119</v>
      </c>
      <c r="J34" s="8">
        <v>1089.3734219999897</v>
      </c>
      <c r="K34" s="8">
        <v>0</v>
      </c>
      <c r="L34" s="10">
        <v>18528.321160999592</v>
      </c>
      <c r="M34" s="27">
        <f t="shared" si="0"/>
        <v>6.3554696000955096E-3</v>
      </c>
      <c r="O34" s="1">
        <v>30</v>
      </c>
      <c r="P34" s="9">
        <v>800.73780000000261</v>
      </c>
      <c r="Q34" s="8">
        <v>77.22168000000238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877.95948000001954</v>
      </c>
      <c r="Z34" s="27">
        <f t="shared" si="1"/>
        <v>2.598979927866426E-3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2">
      <c r="B35" s="1">
        <v>31</v>
      </c>
      <c r="C35" s="9">
        <v>2286.6474760000128</v>
      </c>
      <c r="D35" s="8">
        <v>4012.1070539999637</v>
      </c>
      <c r="E35" s="8">
        <v>0</v>
      </c>
      <c r="F35" s="8">
        <v>3137.2084999999934</v>
      </c>
      <c r="G35" s="8">
        <v>2312.4832360000582</v>
      </c>
      <c r="H35" s="8">
        <v>128.1100200000219</v>
      </c>
      <c r="I35" s="8">
        <v>1453.6067599999951</v>
      </c>
      <c r="J35" s="8">
        <v>1453.4333840000036</v>
      </c>
      <c r="K35" s="8">
        <v>213.37396000002627</v>
      </c>
      <c r="L35" s="10">
        <v>14996.970389998984</v>
      </c>
      <c r="M35" s="27">
        <f t="shared" si="0"/>
        <v>5.1441676004513387E-3</v>
      </c>
      <c r="O35" s="1">
        <v>31</v>
      </c>
      <c r="P35" s="9">
        <v>0</v>
      </c>
      <c r="Q35" s="8">
        <v>78.232474999997066</v>
      </c>
      <c r="R35" s="8">
        <v>0</v>
      </c>
      <c r="S35" s="8">
        <v>0</v>
      </c>
      <c r="T35" s="8">
        <v>91.625314000000799</v>
      </c>
      <c r="U35" s="8">
        <v>0</v>
      </c>
      <c r="V35" s="8">
        <v>0</v>
      </c>
      <c r="W35" s="8">
        <v>51.717509999998583</v>
      </c>
      <c r="X35" s="8">
        <v>0</v>
      </c>
      <c r="Y35" s="10">
        <v>221.57529900001828</v>
      </c>
      <c r="Z35" s="27">
        <f t="shared" si="1"/>
        <v>6.5591837405985581E-4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2">
      <c r="B36" s="1">
        <v>32</v>
      </c>
      <c r="C36" s="9">
        <v>6860.349814999965</v>
      </c>
      <c r="D36" s="8">
        <v>8934.9214539999957</v>
      </c>
      <c r="E36" s="8">
        <v>0</v>
      </c>
      <c r="F36" s="8">
        <v>0</v>
      </c>
      <c r="G36" s="8">
        <v>4250.6781099999789</v>
      </c>
      <c r="H36" s="8">
        <v>216.24211999995168</v>
      </c>
      <c r="I36" s="8">
        <v>995.33580000011716</v>
      </c>
      <c r="J36" s="8">
        <v>2654.2354459999915</v>
      </c>
      <c r="K36" s="8">
        <v>0</v>
      </c>
      <c r="L36" s="10">
        <v>23911.762744998559</v>
      </c>
      <c r="M36" s="27">
        <f t="shared" si="0"/>
        <v>8.2020642825653602E-3</v>
      </c>
      <c r="O36" s="1">
        <v>32</v>
      </c>
      <c r="P36" s="9">
        <v>0</v>
      </c>
      <c r="Q36" s="8">
        <v>0</v>
      </c>
      <c r="R36" s="8">
        <v>0</v>
      </c>
      <c r="S36" s="8">
        <v>109.8285800000001</v>
      </c>
      <c r="T36" s="8">
        <v>141.36229000000094</v>
      </c>
      <c r="U36" s="8">
        <v>0</v>
      </c>
      <c r="V36" s="8">
        <v>2618.3064000000013</v>
      </c>
      <c r="W36" s="8">
        <v>74.155790000000707</v>
      </c>
      <c r="X36" s="8">
        <v>0</v>
      </c>
      <c r="Y36" s="10">
        <v>2943.6530599999824</v>
      </c>
      <c r="Z36" s="27">
        <f t="shared" si="1"/>
        <v>8.7139502355420423E-3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2">
      <c r="B37" s="1">
        <v>33</v>
      </c>
      <c r="C37" s="9">
        <v>6412.2427009998355</v>
      </c>
      <c r="D37" s="8">
        <v>256.57254000002285</v>
      </c>
      <c r="E37" s="8">
        <v>5526.1619999999966</v>
      </c>
      <c r="F37" s="8">
        <v>0</v>
      </c>
      <c r="G37" s="8">
        <v>1184.5340430001379</v>
      </c>
      <c r="H37" s="8">
        <v>222.99483000003966</v>
      </c>
      <c r="I37" s="8">
        <v>7692.5457859999733</v>
      </c>
      <c r="J37" s="8">
        <v>6805.1626669999823</v>
      </c>
      <c r="K37" s="8">
        <v>3423.6048099999898</v>
      </c>
      <c r="L37" s="10">
        <v>31523.819376999047</v>
      </c>
      <c r="M37" s="27">
        <f t="shared" si="0"/>
        <v>1.0813104651442177E-2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154.79193999999916</v>
      </c>
      <c r="U37" s="8">
        <v>0</v>
      </c>
      <c r="V37" s="8">
        <v>0</v>
      </c>
      <c r="W37" s="8">
        <v>67.381445999999414</v>
      </c>
      <c r="X37" s="8">
        <v>0</v>
      </c>
      <c r="Y37" s="10">
        <v>222.17338599998038</v>
      </c>
      <c r="Z37" s="27">
        <f t="shared" si="1"/>
        <v>6.5768886135844878E-4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2">
      <c r="B38" s="1">
        <v>34</v>
      </c>
      <c r="C38" s="9">
        <v>4924.1873129999731</v>
      </c>
      <c r="D38" s="8">
        <v>9214.3762949999073</v>
      </c>
      <c r="E38" s="8">
        <v>0</v>
      </c>
      <c r="F38" s="8">
        <v>0</v>
      </c>
      <c r="G38" s="8">
        <v>1504.758984999964</v>
      </c>
      <c r="H38" s="8">
        <v>581.18369999999413</v>
      </c>
      <c r="I38" s="8">
        <v>598.40619999996852</v>
      </c>
      <c r="J38" s="8">
        <v>418.35518600000069</v>
      </c>
      <c r="K38" s="8">
        <v>110.23424499999965</v>
      </c>
      <c r="L38" s="10">
        <v>17351.501923999749</v>
      </c>
      <c r="M38" s="27">
        <f t="shared" si="0"/>
        <v>5.9518043775116519E-3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2">
      <c r="B39" s="1">
        <v>35</v>
      </c>
      <c r="C39" s="9">
        <v>1863.2951500000199</v>
      </c>
      <c r="D39" s="8">
        <v>232.44360600004438</v>
      </c>
      <c r="E39" s="8">
        <v>0</v>
      </c>
      <c r="F39" s="8">
        <v>0</v>
      </c>
      <c r="G39" s="8">
        <v>1065.6609110000427</v>
      </c>
      <c r="H39" s="8">
        <v>270.8855999999796</v>
      </c>
      <c r="I39" s="8">
        <v>131.66206200001761</v>
      </c>
      <c r="J39" s="8">
        <v>146.70035400000052</v>
      </c>
      <c r="K39" s="8">
        <v>0</v>
      </c>
      <c r="L39" s="10">
        <v>3710.6476829997264</v>
      </c>
      <c r="M39" s="27">
        <f t="shared" si="0"/>
        <v>1.2728033123480958E-3</v>
      </c>
      <c r="O39" s="1">
        <v>35</v>
      </c>
      <c r="P39" s="9">
        <v>0</v>
      </c>
      <c r="Q39" s="8">
        <v>0</v>
      </c>
      <c r="R39" s="8">
        <v>0</v>
      </c>
      <c r="S39" s="8">
        <v>3834.3103000000001</v>
      </c>
      <c r="T39" s="8">
        <v>0</v>
      </c>
      <c r="U39" s="8">
        <v>101.99689999999828</v>
      </c>
      <c r="V39" s="8">
        <v>112.42289000000164</v>
      </c>
      <c r="W39" s="8">
        <v>113.66733000000022</v>
      </c>
      <c r="X39" s="8">
        <v>0</v>
      </c>
      <c r="Y39" s="10">
        <v>4162.3974200000521</v>
      </c>
      <c r="Z39" s="27">
        <f t="shared" si="1"/>
        <v>1.2321738750839495E-2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2">
      <c r="B40" s="1">
        <v>36</v>
      </c>
      <c r="C40" s="9">
        <v>4573.0309500001604</v>
      </c>
      <c r="D40" s="8">
        <v>9381.8144500000053</v>
      </c>
      <c r="E40" s="8">
        <v>0</v>
      </c>
      <c r="F40" s="8">
        <v>100.99330000000191</v>
      </c>
      <c r="G40" s="8">
        <v>1393.3943950000103</v>
      </c>
      <c r="H40" s="8">
        <v>157.53248300001724</v>
      </c>
      <c r="I40" s="8">
        <v>142.85443199996371</v>
      </c>
      <c r="J40" s="8">
        <v>168.05100999999559</v>
      </c>
      <c r="K40" s="8">
        <v>0</v>
      </c>
      <c r="L40" s="10">
        <v>15917.671019999776</v>
      </c>
      <c r="M40" s="27">
        <f t="shared" si="0"/>
        <v>5.459980609839132E-3</v>
      </c>
      <c r="O40" s="1">
        <v>36</v>
      </c>
      <c r="P40" s="9">
        <v>2362.9973000000027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2362.9972999999882</v>
      </c>
      <c r="Z40" s="27">
        <f t="shared" si="1"/>
        <v>6.9950637725358263E-3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2">
      <c r="B41" s="1">
        <v>37</v>
      </c>
      <c r="C41" s="9">
        <v>1595.7908499999903</v>
      </c>
      <c r="D41" s="8">
        <v>77.628589999978431</v>
      </c>
      <c r="E41" s="8">
        <v>0</v>
      </c>
      <c r="F41" s="8">
        <v>0</v>
      </c>
      <c r="G41" s="8">
        <v>1561.9102350000758</v>
      </c>
      <c r="H41" s="8">
        <v>0</v>
      </c>
      <c r="I41" s="8">
        <v>1979.4814840001054</v>
      </c>
      <c r="J41" s="8">
        <v>145.84984000000986</v>
      </c>
      <c r="K41" s="8">
        <v>0</v>
      </c>
      <c r="L41" s="10">
        <v>5360.6609990005381</v>
      </c>
      <c r="M41" s="27">
        <f t="shared" si="0"/>
        <v>1.8387806277494118E-3</v>
      </c>
      <c r="O41" s="1">
        <v>37</v>
      </c>
      <c r="P41" s="9">
        <v>0</v>
      </c>
      <c r="Q41" s="8">
        <v>0</v>
      </c>
      <c r="R41" s="8">
        <v>0</v>
      </c>
      <c r="S41" s="8">
        <v>591.30109999999968</v>
      </c>
      <c r="T41" s="8">
        <v>36.346269999998185</v>
      </c>
      <c r="U41" s="8">
        <v>0</v>
      </c>
      <c r="V41" s="8">
        <v>0</v>
      </c>
      <c r="W41" s="8">
        <v>0</v>
      </c>
      <c r="X41" s="8">
        <v>0</v>
      </c>
      <c r="Y41" s="10">
        <v>627.64736999996239</v>
      </c>
      <c r="Z41" s="27">
        <f t="shared" si="1"/>
        <v>1.8579933966975538E-3</v>
      </c>
      <c r="AB41" s="1">
        <v>37</v>
      </c>
      <c r="AC41" s="9">
        <v>553.91109999999753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553.91109999991022</v>
      </c>
      <c r="AM41" s="27">
        <f t="shared" si="2"/>
        <v>5.1758830224023374E-4</v>
      </c>
    </row>
    <row r="42" spans="2:39" x14ac:dyDescent="0.2">
      <c r="B42" s="1">
        <v>38</v>
      </c>
      <c r="C42" s="9">
        <v>1460.2784609999508</v>
      </c>
      <c r="D42" s="8">
        <v>300.55727399996249</v>
      </c>
      <c r="E42" s="8">
        <v>0</v>
      </c>
      <c r="F42" s="8">
        <v>102.19475599999714</v>
      </c>
      <c r="G42" s="8">
        <v>2094.5423950001132</v>
      </c>
      <c r="H42" s="8">
        <v>0</v>
      </c>
      <c r="I42" s="8">
        <v>3746.6685829999624</v>
      </c>
      <c r="J42" s="8">
        <v>72.429180000006454</v>
      </c>
      <c r="K42" s="8">
        <v>4572.3295999999973</v>
      </c>
      <c r="L42" s="10">
        <v>12349.000249000266</v>
      </c>
      <c r="M42" s="27">
        <f t="shared" si="0"/>
        <v>4.2358773356807955E-3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2">
      <c r="B43" s="1">
        <v>39</v>
      </c>
      <c r="C43" s="9">
        <v>1403.5429780000122</v>
      </c>
      <c r="D43" s="8">
        <v>233.57205499999691</v>
      </c>
      <c r="E43" s="8">
        <v>0</v>
      </c>
      <c r="F43" s="8">
        <v>0</v>
      </c>
      <c r="G43" s="8">
        <v>441.1232799999998</v>
      </c>
      <c r="H43" s="8">
        <v>1072.4548999999533</v>
      </c>
      <c r="I43" s="8">
        <v>1684.4488200000487</v>
      </c>
      <c r="J43" s="8">
        <v>72.40346000000136</v>
      </c>
      <c r="K43" s="8">
        <v>113.09401000000071</v>
      </c>
      <c r="L43" s="10">
        <v>5020.6395030003041</v>
      </c>
      <c r="M43" s="27">
        <f t="shared" si="0"/>
        <v>1.7221485668934514E-3</v>
      </c>
      <c r="O43" s="1">
        <v>39</v>
      </c>
      <c r="P43" s="9">
        <v>0</v>
      </c>
      <c r="Q43" s="8">
        <v>1050.9046999999991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1050.9047000000137</v>
      </c>
      <c r="Z43" s="27">
        <f t="shared" si="1"/>
        <v>3.1109410896735953E-3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2">
      <c r="B44" s="1">
        <v>40</v>
      </c>
      <c r="C44" s="9">
        <v>2601.7426500000292</v>
      </c>
      <c r="D44" s="8">
        <v>77.37375000002794</v>
      </c>
      <c r="E44" s="8">
        <v>3121.7485000000015</v>
      </c>
      <c r="F44" s="8">
        <v>0</v>
      </c>
      <c r="G44" s="8">
        <v>1491.6201460000593</v>
      </c>
      <c r="H44" s="8">
        <v>0</v>
      </c>
      <c r="I44" s="8">
        <v>1013.6721740000648</v>
      </c>
      <c r="J44" s="8">
        <v>73.366920000000391</v>
      </c>
      <c r="K44" s="8">
        <v>220.21843999999692</v>
      </c>
      <c r="L44" s="10">
        <v>8599.7425800003111</v>
      </c>
      <c r="M44" s="27">
        <f t="shared" si="0"/>
        <v>2.9498302658356053E-3</v>
      </c>
      <c r="O44" s="1">
        <v>40</v>
      </c>
      <c r="P44" s="9">
        <v>184.60202000000572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101.91048000000592</v>
      </c>
      <c r="W44" s="8">
        <v>0</v>
      </c>
      <c r="X44" s="8">
        <v>0</v>
      </c>
      <c r="Y44" s="10">
        <v>286.51250000001164</v>
      </c>
      <c r="Z44" s="27">
        <f t="shared" si="1"/>
        <v>8.4814875121895505E-4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2">
      <c r="B45" s="1">
        <v>41</v>
      </c>
      <c r="C45" s="9">
        <v>708.08354799984954</v>
      </c>
      <c r="D45" s="8">
        <v>2917.4319999999716</v>
      </c>
      <c r="E45" s="8">
        <v>3121.7484999999942</v>
      </c>
      <c r="F45" s="8">
        <v>0</v>
      </c>
      <c r="G45" s="8">
        <v>2159.2033529999899</v>
      </c>
      <c r="H45" s="8">
        <v>0</v>
      </c>
      <c r="I45" s="8">
        <v>6865.9239999999991</v>
      </c>
      <c r="J45" s="8">
        <v>3144.4644130000088</v>
      </c>
      <c r="K45" s="8">
        <v>0</v>
      </c>
      <c r="L45" s="10">
        <v>18916.85581399966</v>
      </c>
      <c r="M45" s="27">
        <f t="shared" si="0"/>
        <v>6.4887423426321228E-3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49.610474000000977</v>
      </c>
      <c r="W45" s="8">
        <v>76.095120000001771</v>
      </c>
      <c r="X45" s="8">
        <v>0</v>
      </c>
      <c r="Y45" s="10">
        <v>125.70559399999911</v>
      </c>
      <c r="Z45" s="27">
        <f t="shared" si="1"/>
        <v>3.7212003864519656E-4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2">
      <c r="B46" s="1">
        <v>42</v>
      </c>
      <c r="C46" s="9">
        <v>1066.8891799998237</v>
      </c>
      <c r="D46" s="8">
        <v>8971.9468330000527</v>
      </c>
      <c r="E46" s="8">
        <v>0</v>
      </c>
      <c r="F46" s="8">
        <v>0</v>
      </c>
      <c r="G46" s="8">
        <v>4380.1326540000737</v>
      </c>
      <c r="H46" s="8">
        <v>0</v>
      </c>
      <c r="I46" s="8">
        <v>159.61577000003308</v>
      </c>
      <c r="J46" s="8">
        <v>74.851360000000568</v>
      </c>
      <c r="K46" s="8">
        <v>112.80311999999685</v>
      </c>
      <c r="L46" s="10">
        <v>14766.238917000592</v>
      </c>
      <c r="M46" s="27">
        <f t="shared" si="0"/>
        <v>5.0650235242188308E-3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96.616479999996955</v>
      </c>
      <c r="W46" s="8">
        <v>0</v>
      </c>
      <c r="X46" s="8">
        <v>0</v>
      </c>
      <c r="Y46" s="10">
        <v>96.616480000026058</v>
      </c>
      <c r="Z46" s="27">
        <f t="shared" si="1"/>
        <v>2.8600897642926544E-4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2">
      <c r="B47" s="1">
        <v>43</v>
      </c>
      <c r="C47" s="9">
        <v>212.65561600006185</v>
      </c>
      <c r="D47" s="8">
        <v>140.34789999999339</v>
      </c>
      <c r="E47" s="8">
        <v>0</v>
      </c>
      <c r="F47" s="8">
        <v>0</v>
      </c>
      <c r="G47" s="8">
        <v>3382.5178525000229</v>
      </c>
      <c r="H47" s="8">
        <v>4579.8680000000168</v>
      </c>
      <c r="I47" s="8">
        <v>233.86956599995028</v>
      </c>
      <c r="J47" s="8">
        <v>0</v>
      </c>
      <c r="K47" s="8">
        <v>2284.0391699999745</v>
      </c>
      <c r="L47" s="10">
        <v>10833.298104499932</v>
      </c>
      <c r="M47" s="27">
        <f t="shared" si="0"/>
        <v>3.7159706037936126E-3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2">
      <c r="B48" s="1">
        <v>44</v>
      </c>
      <c r="C48" s="9">
        <v>725.03440499992575</v>
      </c>
      <c r="D48" s="8">
        <v>4611.4907879999955</v>
      </c>
      <c r="E48" s="8">
        <v>0</v>
      </c>
      <c r="F48" s="8">
        <v>0</v>
      </c>
      <c r="G48" s="8">
        <v>2200.8632489999873</v>
      </c>
      <c r="H48" s="8">
        <v>0</v>
      </c>
      <c r="I48" s="8">
        <v>784.28862000000663</v>
      </c>
      <c r="J48" s="8">
        <v>74.155789999989793</v>
      </c>
      <c r="K48" s="8">
        <v>0</v>
      </c>
      <c r="L48" s="10">
        <v>8395.832851999905</v>
      </c>
      <c r="M48" s="27">
        <f t="shared" si="0"/>
        <v>2.8798864179170923E-3</v>
      </c>
      <c r="O48" s="1">
        <v>44</v>
      </c>
      <c r="P48" s="9">
        <v>0</v>
      </c>
      <c r="Q48" s="8">
        <v>77.904593999999634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77.904594000021461</v>
      </c>
      <c r="Z48" s="27">
        <f t="shared" si="1"/>
        <v>2.306171078585933E-4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2">
      <c r="B49" s="1">
        <v>45</v>
      </c>
      <c r="C49" s="9">
        <v>187.92115000006743</v>
      </c>
      <c r="D49" s="8">
        <v>137.52737000002526</v>
      </c>
      <c r="E49" s="8">
        <v>0</v>
      </c>
      <c r="F49" s="8">
        <v>102.00197599999956</v>
      </c>
      <c r="G49" s="8">
        <v>605.94017300009727</v>
      </c>
      <c r="H49" s="8">
        <v>0</v>
      </c>
      <c r="I49" s="8">
        <v>2148.5595899999607</v>
      </c>
      <c r="J49" s="8">
        <v>2209.6425999999919</v>
      </c>
      <c r="K49" s="8">
        <v>219.8356559999811</v>
      </c>
      <c r="L49" s="10">
        <v>5611.4285149998032</v>
      </c>
      <c r="M49" s="27">
        <f t="shared" si="0"/>
        <v>1.9247973429593944E-3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2">
      <c r="B50" s="1">
        <v>46</v>
      </c>
      <c r="C50" s="9">
        <v>356.8376200000057</v>
      </c>
      <c r="D50" s="8">
        <v>154.3426450000261</v>
      </c>
      <c r="E50" s="8">
        <v>3193.8738000000012</v>
      </c>
      <c r="F50" s="8">
        <v>182.60383599999477</v>
      </c>
      <c r="G50" s="8">
        <v>916.7765879999497</v>
      </c>
      <c r="H50" s="8">
        <v>0</v>
      </c>
      <c r="I50" s="8">
        <v>2878.3261700001312</v>
      </c>
      <c r="J50" s="8">
        <v>0</v>
      </c>
      <c r="K50" s="8">
        <v>4653.8464649999805</v>
      </c>
      <c r="L50" s="10">
        <v>12336.607123998459</v>
      </c>
      <c r="M50" s="27">
        <f t="shared" si="0"/>
        <v>4.2316263229465736E-3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881.4664300000004</v>
      </c>
      <c r="U50" s="8">
        <v>0</v>
      </c>
      <c r="V50" s="8">
        <v>0</v>
      </c>
      <c r="W50" s="8">
        <v>0</v>
      </c>
      <c r="X50" s="8">
        <v>0</v>
      </c>
      <c r="Y50" s="10">
        <v>881.4664299999713</v>
      </c>
      <c r="Z50" s="27">
        <f t="shared" si="1"/>
        <v>2.6093613781104689E-3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2">
      <c r="B51" s="1">
        <v>47</v>
      </c>
      <c r="C51" s="9">
        <v>71.984719999949448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5713.3881299999775</v>
      </c>
      <c r="J51" s="8">
        <v>0</v>
      </c>
      <c r="K51" s="8">
        <v>2044.9580999999889</v>
      </c>
      <c r="L51" s="10">
        <v>7830.3309500003234</v>
      </c>
      <c r="M51" s="27">
        <f t="shared" si="0"/>
        <v>2.6859114692034639E-3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2">
      <c r="B52" s="1">
        <v>48</v>
      </c>
      <c r="C52" s="9">
        <v>108.34062999999151</v>
      </c>
      <c r="D52" s="8">
        <v>105.61800399998901</v>
      </c>
      <c r="E52" s="8">
        <v>107.46219000000565</v>
      </c>
      <c r="F52" s="8">
        <v>0</v>
      </c>
      <c r="G52" s="8">
        <v>0</v>
      </c>
      <c r="H52" s="8">
        <v>0</v>
      </c>
      <c r="I52" s="8">
        <v>0</v>
      </c>
      <c r="J52" s="8">
        <v>2760.4395000000077</v>
      </c>
      <c r="K52" s="8">
        <v>0</v>
      </c>
      <c r="L52" s="10">
        <v>3081.8603239995427</v>
      </c>
      <c r="M52" s="27">
        <f t="shared" si="0"/>
        <v>1.0571205793943018E-3</v>
      </c>
      <c r="O52" s="1">
        <v>48</v>
      </c>
      <c r="P52" s="9">
        <v>72.041144999995595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3260.1739999999991</v>
      </c>
      <c r="W52" s="8">
        <v>0</v>
      </c>
      <c r="X52" s="8">
        <v>0</v>
      </c>
      <c r="Y52" s="10">
        <v>3332.2151450000238</v>
      </c>
      <c r="Z52" s="27">
        <f t="shared" si="1"/>
        <v>9.8641913146007391E-3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2">
      <c r="B53" s="1">
        <v>49</v>
      </c>
      <c r="C53" s="9">
        <v>0</v>
      </c>
      <c r="D53" s="8">
        <v>0</v>
      </c>
      <c r="E53" s="8">
        <v>0</v>
      </c>
      <c r="F53" s="8">
        <v>111.72867599999881</v>
      </c>
      <c r="G53" s="8">
        <v>486.71078599995235</v>
      </c>
      <c r="H53" s="8">
        <v>0</v>
      </c>
      <c r="I53" s="8">
        <v>1989.0117300000275</v>
      </c>
      <c r="J53" s="8">
        <v>72.062835999997333</v>
      </c>
      <c r="K53" s="8">
        <v>0</v>
      </c>
      <c r="L53" s="10">
        <v>2659.5140280006453</v>
      </c>
      <c r="M53" s="27">
        <f t="shared" si="0"/>
        <v>9.1224997716273285E-4</v>
      </c>
      <c r="O53" s="1">
        <v>49</v>
      </c>
      <c r="P53" s="9">
        <v>0</v>
      </c>
      <c r="Q53" s="8">
        <v>0</v>
      </c>
      <c r="R53" s="8">
        <v>0</v>
      </c>
      <c r="S53" s="8">
        <v>94.898180000000139</v>
      </c>
      <c r="T53" s="8">
        <v>0</v>
      </c>
      <c r="U53" s="8">
        <v>0</v>
      </c>
      <c r="V53" s="8">
        <v>0</v>
      </c>
      <c r="W53" s="8">
        <v>2921.4147999999986</v>
      </c>
      <c r="X53" s="8">
        <v>0</v>
      </c>
      <c r="Y53" s="10">
        <v>3016.3129800000461</v>
      </c>
      <c r="Z53" s="27">
        <f t="shared" si="1"/>
        <v>8.9290417949389987E-3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2">
      <c r="B54" s="1">
        <v>50</v>
      </c>
      <c r="C54" s="9">
        <v>0</v>
      </c>
      <c r="D54" s="8">
        <v>34.620820000011008</v>
      </c>
      <c r="E54" s="8">
        <v>0</v>
      </c>
      <c r="F54" s="8">
        <v>85.486749999996391</v>
      </c>
      <c r="G54" s="8">
        <v>351.54022999998415</v>
      </c>
      <c r="H54" s="8">
        <v>0</v>
      </c>
      <c r="I54" s="8">
        <v>1199.7071500000311</v>
      </c>
      <c r="J54" s="8">
        <v>0</v>
      </c>
      <c r="K54" s="8">
        <v>334.3572550000099</v>
      </c>
      <c r="L54" s="10">
        <v>2005.7122049997561</v>
      </c>
      <c r="M54" s="27">
        <f t="shared" si="0"/>
        <v>6.8798693819320511E-4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2">
      <c r="B55" s="1">
        <v>51</v>
      </c>
      <c r="C55" s="11">
        <v>0</v>
      </c>
      <c r="D55" s="12">
        <v>3272.8302999999723</v>
      </c>
      <c r="E55" s="12">
        <v>0</v>
      </c>
      <c r="F55" s="12">
        <v>0</v>
      </c>
      <c r="G55" s="12">
        <v>201.46688800002448</v>
      </c>
      <c r="H55" s="12">
        <v>0</v>
      </c>
      <c r="I55" s="12">
        <v>317.98282000003383</v>
      </c>
      <c r="J55" s="12">
        <v>125.22909600002458</v>
      </c>
      <c r="K55" s="12">
        <v>0</v>
      </c>
      <c r="L55" s="13">
        <v>3917.5091040004045</v>
      </c>
      <c r="M55" s="27">
        <f t="shared" si="0"/>
        <v>1.3437596316594048E-3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366.53110000000015</v>
      </c>
      <c r="U55" s="12">
        <v>0</v>
      </c>
      <c r="V55" s="12">
        <v>0</v>
      </c>
      <c r="W55" s="12">
        <v>0</v>
      </c>
      <c r="X55" s="12">
        <v>0</v>
      </c>
      <c r="Y55" s="13">
        <v>366.53110000002198</v>
      </c>
      <c r="Z55" s="27">
        <f t="shared" si="1"/>
        <v>1.0850238462472525E-3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2">
      <c r="L56" s="31">
        <f>SUM(L5:L55)</f>
        <v>2915334.7158990661</v>
      </c>
      <c r="M56" s="27">
        <f t="shared" si="0"/>
        <v>1</v>
      </c>
      <c r="Y56" s="31">
        <f>SUM(Y5:Y55)</f>
        <v>337809.2576193001</v>
      </c>
      <c r="Z56" s="27">
        <f t="shared" si="1"/>
        <v>1</v>
      </c>
      <c r="AL56" s="31">
        <f>SUM(AL5:AL55)</f>
        <v>1070177.0067106686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N22" sqref="N22"/>
    </sheetView>
  </sheetViews>
  <sheetFormatPr defaultRowHeight="15" x14ac:dyDescent="0.25"/>
  <cols>
    <col min="1" max="1" width="11.42578125" customWidth="1"/>
  </cols>
  <sheetData>
    <row r="1" spans="1:4" x14ac:dyDescent="0.25">
      <c r="A1" s="2" t="s">
        <v>499</v>
      </c>
    </row>
    <row r="2" spans="1:4" x14ac:dyDescent="0.25">
      <c r="A2" s="16" t="s">
        <v>524</v>
      </c>
    </row>
    <row r="3" spans="1:4" x14ac:dyDescent="0.25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25">
      <c r="A4" s="1" t="s">
        <v>16</v>
      </c>
      <c r="B4" s="1">
        <v>12.247568512922573</v>
      </c>
      <c r="C4" s="1">
        <v>11.174398647372742</v>
      </c>
      <c r="D4" s="1">
        <v>3.0610676770478427</v>
      </c>
    </row>
    <row r="5" spans="1:4" x14ac:dyDescent="0.25">
      <c r="A5" s="1" t="s">
        <v>17</v>
      </c>
      <c r="B5" s="1">
        <v>14.702264748303573</v>
      </c>
      <c r="C5" s="1">
        <v>10.251184238383937</v>
      </c>
      <c r="D5" s="1">
        <v>4.2363864389882462</v>
      </c>
    </row>
    <row r="6" spans="1:4" x14ac:dyDescent="0.25">
      <c r="A6" s="1" t="s">
        <v>21</v>
      </c>
      <c r="B6" s="1">
        <v>20.684611703099765</v>
      </c>
      <c r="C6" s="1">
        <v>15.549999999999999</v>
      </c>
      <c r="D6" s="1">
        <v>4.1412316190836123</v>
      </c>
    </row>
    <row r="7" spans="1:4" x14ac:dyDescent="0.25">
      <c r="A7" s="1" t="s">
        <v>19</v>
      </c>
      <c r="B7" s="1">
        <v>11.363760515390993</v>
      </c>
      <c r="C7" s="1">
        <v>28.625463857357609</v>
      </c>
      <c r="D7" s="1">
        <v>3.7473344253367857</v>
      </c>
    </row>
    <row r="8" spans="1:4" x14ac:dyDescent="0.25">
      <c r="A8" s="1" t="s">
        <v>13</v>
      </c>
      <c r="B8" s="1">
        <v>8.9239592993083665</v>
      </c>
      <c r="C8" s="1">
        <v>5.6721385190388354</v>
      </c>
      <c r="D8" s="1">
        <v>2.9845946737817424</v>
      </c>
    </row>
    <row r="9" spans="1:4" x14ac:dyDescent="0.25">
      <c r="A9" s="1" t="s">
        <v>14</v>
      </c>
      <c r="B9" s="1">
        <v>10.834499995177872</v>
      </c>
      <c r="C9" s="1">
        <v>5.9961439965570911</v>
      </c>
      <c r="D9" s="1">
        <v>2.0093309442927763</v>
      </c>
    </row>
    <row r="10" spans="1:4" x14ac:dyDescent="0.25">
      <c r="A10" s="1" t="s">
        <v>15</v>
      </c>
      <c r="B10" s="1">
        <v>10.366097171953868</v>
      </c>
      <c r="C10" s="1">
        <v>8.4066790808872049</v>
      </c>
      <c r="D10" s="1">
        <v>3.1528322303312617</v>
      </c>
    </row>
    <row r="11" spans="1:4" x14ac:dyDescent="0.25">
      <c r="A11" s="1" t="s">
        <v>18</v>
      </c>
      <c r="B11" s="1">
        <v>15.267580832844891</v>
      </c>
      <c r="C11" s="1">
        <v>15.045676312837791</v>
      </c>
      <c r="D11" s="1">
        <v>3.7747515345627614</v>
      </c>
    </row>
    <row r="12" spans="1:4" x14ac:dyDescent="0.25">
      <c r="A12" s="1" t="s">
        <v>20</v>
      </c>
      <c r="B12" s="1">
        <v>14.037383715865124</v>
      </c>
      <c r="C12" s="1">
        <v>7.6805437825724931</v>
      </c>
      <c r="D12" s="1">
        <v>6.5533265366215279</v>
      </c>
    </row>
    <row r="13" spans="1:4" x14ac:dyDescent="0.25">
      <c r="A13" s="1" t="s">
        <v>59</v>
      </c>
      <c r="B13" s="1">
        <v>12.040414369708092</v>
      </c>
      <c r="C13" s="1">
        <v>9.9152781406007904</v>
      </c>
      <c r="D13" s="1">
        <v>3.5405386233281555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5" x14ac:dyDescent="0.25"/>
  <sheetData>
    <row r="1" spans="1:43" x14ac:dyDescent="0.25">
      <c r="A1" s="221" t="s">
        <v>493</v>
      </c>
    </row>
    <row r="2" spans="1:43" x14ac:dyDescent="0.25">
      <c r="A2" s="220" t="s">
        <v>492</v>
      </c>
    </row>
    <row r="3" spans="1:43" x14ac:dyDescent="0.25">
      <c r="A3" t="s">
        <v>158</v>
      </c>
      <c r="B3" t="s">
        <v>491</v>
      </c>
      <c r="C3" t="s">
        <v>157</v>
      </c>
      <c r="D3" t="s">
        <v>156</v>
      </c>
      <c r="E3" t="s">
        <v>490</v>
      </c>
      <c r="F3" t="s">
        <v>489</v>
      </c>
      <c r="G3" t="s">
        <v>488</v>
      </c>
      <c r="H3" t="s">
        <v>487</v>
      </c>
      <c r="I3" t="s">
        <v>486</v>
      </c>
      <c r="J3" t="s">
        <v>485</v>
      </c>
      <c r="K3" t="s">
        <v>484</v>
      </c>
      <c r="L3" t="s">
        <v>483</v>
      </c>
      <c r="M3" t="s">
        <v>482</v>
      </c>
      <c r="N3" t="s">
        <v>481</v>
      </c>
      <c r="O3" t="s">
        <v>480</v>
      </c>
      <c r="P3" t="s">
        <v>479</v>
      </c>
      <c r="Q3" t="s">
        <v>478</v>
      </c>
      <c r="R3" t="s">
        <v>477</v>
      </c>
      <c r="S3" t="s">
        <v>476</v>
      </c>
      <c r="T3" t="s">
        <v>475</v>
      </c>
      <c r="U3" t="s">
        <v>474</v>
      </c>
      <c r="V3" t="s">
        <v>473</v>
      </c>
      <c r="W3" t="s">
        <v>472</v>
      </c>
      <c r="X3" t="s">
        <v>471</v>
      </c>
      <c r="Y3" t="s">
        <v>470</v>
      </c>
      <c r="Z3" t="s">
        <v>469</v>
      </c>
      <c r="AA3" t="s">
        <v>468</v>
      </c>
      <c r="AB3" t="s">
        <v>467</v>
      </c>
      <c r="AC3" t="s">
        <v>466</v>
      </c>
      <c r="AD3" t="s">
        <v>465</v>
      </c>
      <c r="AE3" t="s">
        <v>464</v>
      </c>
      <c r="AF3" t="s">
        <v>463</v>
      </c>
      <c r="AG3" t="s">
        <v>462</v>
      </c>
      <c r="AH3" t="s">
        <v>461</v>
      </c>
      <c r="AI3" t="s">
        <v>460</v>
      </c>
      <c r="AJ3" t="s">
        <v>459</v>
      </c>
      <c r="AK3" t="s">
        <v>458</v>
      </c>
      <c r="AL3" t="s">
        <v>457</v>
      </c>
      <c r="AM3" t="s">
        <v>456</v>
      </c>
      <c r="AN3" t="s">
        <v>455</v>
      </c>
      <c r="AO3" t="s">
        <v>454</v>
      </c>
      <c r="AP3" t="s">
        <v>453</v>
      </c>
      <c r="AQ3" t="s">
        <v>452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421</v>
      </c>
      <c r="B2" s="1"/>
      <c r="C2" s="1"/>
      <c r="D2" s="1"/>
    </row>
    <row r="3" spans="1:4" x14ac:dyDescent="0.25">
      <c r="A3" s="16" t="s">
        <v>422</v>
      </c>
      <c r="B3" s="1"/>
      <c r="C3" s="1"/>
      <c r="D3" s="1"/>
    </row>
    <row r="4" spans="1:4" x14ac:dyDescent="0.25">
      <c r="A4" s="24" t="s">
        <v>494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411</v>
      </c>
      <c r="C7" s="14" t="s">
        <v>412</v>
      </c>
      <c r="D7" s="14" t="s">
        <v>413</v>
      </c>
    </row>
    <row r="8" spans="1:4" x14ac:dyDescent="0.25">
      <c r="A8" s="1"/>
      <c r="B8" s="1" t="s">
        <v>414</v>
      </c>
      <c r="C8" s="218">
        <v>2589414.5290000001</v>
      </c>
      <c r="D8" s="218">
        <f t="shared" ref="D8:D14" si="0">C8/$C$15</f>
        <v>0.65713768768047787</v>
      </c>
    </row>
    <row r="9" spans="1:4" x14ac:dyDescent="0.25">
      <c r="A9" s="1"/>
      <c r="B9" s="1" t="s">
        <v>415</v>
      </c>
      <c r="C9" s="218">
        <v>212864.00940000001</v>
      </c>
      <c r="D9" s="218">
        <f t="shared" si="0"/>
        <v>5.4020305115663275E-2</v>
      </c>
    </row>
    <row r="10" spans="1:4" x14ac:dyDescent="0.25">
      <c r="A10" s="1"/>
      <c r="B10" s="1" t="s">
        <v>416</v>
      </c>
      <c r="C10" s="218">
        <v>561030.62199999997</v>
      </c>
      <c r="D10" s="218">
        <f t="shared" si="0"/>
        <v>0.14237749944246961</v>
      </c>
    </row>
    <row r="11" spans="1:4" x14ac:dyDescent="0.25">
      <c r="A11" s="1"/>
      <c r="B11" s="1" t="s">
        <v>417</v>
      </c>
      <c r="C11" s="218">
        <v>177385.8904</v>
      </c>
      <c r="D11" s="218">
        <f t="shared" si="0"/>
        <v>4.5016721942011888E-2</v>
      </c>
    </row>
    <row r="12" spans="1:4" x14ac:dyDescent="0.25">
      <c r="A12" s="1"/>
      <c r="B12" s="1" t="s">
        <v>418</v>
      </c>
      <c r="C12" s="218">
        <v>40416.0265</v>
      </c>
      <c r="D12" s="218">
        <f t="shared" si="0"/>
        <v>1.0256717841812542E-2</v>
      </c>
    </row>
    <row r="13" spans="1:4" x14ac:dyDescent="0.25">
      <c r="A13" s="1"/>
      <c r="B13" s="1" t="s">
        <v>419</v>
      </c>
      <c r="C13" s="218">
        <v>83663.91519</v>
      </c>
      <c r="D13" s="218">
        <f t="shared" si="0"/>
        <v>2.1232101370607631E-2</v>
      </c>
    </row>
    <row r="14" spans="1:4" x14ac:dyDescent="0.25">
      <c r="A14" s="1"/>
      <c r="B14" s="1" t="s">
        <v>420</v>
      </c>
      <c r="C14" s="218">
        <v>275669.41899999999</v>
      </c>
      <c r="D14" s="218">
        <f t="shared" si="0"/>
        <v>6.995896660695719E-2</v>
      </c>
    </row>
    <row r="15" spans="1:4" x14ac:dyDescent="0.25">
      <c r="A15" s="1"/>
      <c r="B15" s="14" t="s">
        <v>450</v>
      </c>
      <c r="C15" s="219">
        <f>SUM(C8:C14)</f>
        <v>3940444.4114899999</v>
      </c>
      <c r="D15" s="215"/>
    </row>
    <row r="17" spans="1:9" x14ac:dyDescent="0.25">
      <c r="A17" s="2" t="s">
        <v>449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451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423</v>
      </c>
      <c r="C21" s="14" t="s">
        <v>424</v>
      </c>
      <c r="D21" s="14" t="s">
        <v>425</v>
      </c>
      <c r="E21" s="14" t="s">
        <v>426</v>
      </c>
      <c r="F21" s="14" t="s">
        <v>427</v>
      </c>
      <c r="G21" s="1"/>
      <c r="H21" s="1"/>
      <c r="I21" s="1"/>
    </row>
    <row r="22" spans="1:9" x14ac:dyDescent="0.25">
      <c r="A22" s="14" t="s">
        <v>428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429</v>
      </c>
      <c r="B23" s="1" t="s">
        <v>430</v>
      </c>
      <c r="C23" s="8">
        <v>31334</v>
      </c>
      <c r="D23" s="8">
        <v>3194003</v>
      </c>
      <c r="E23" s="217">
        <v>0.79600000000000004</v>
      </c>
      <c r="F23" s="1" t="s">
        <v>431</v>
      </c>
      <c r="G23" s="1"/>
      <c r="H23" s="1"/>
      <c r="I23" s="1"/>
    </row>
    <row r="24" spans="1:9" x14ac:dyDescent="0.25">
      <c r="A24" s="1" t="s">
        <v>432</v>
      </c>
      <c r="B24" s="1" t="s">
        <v>433</v>
      </c>
      <c r="C24" s="8">
        <v>5821</v>
      </c>
      <c r="D24" s="8">
        <v>552132</v>
      </c>
      <c r="E24" s="217">
        <v>0.13800000000000001</v>
      </c>
      <c r="F24" s="1" t="s">
        <v>431</v>
      </c>
      <c r="G24" s="1"/>
      <c r="H24" s="1"/>
      <c r="I24" s="1"/>
    </row>
    <row r="25" spans="1:9" x14ac:dyDescent="0.25">
      <c r="A25" s="1" t="s">
        <v>434</v>
      </c>
      <c r="B25" s="1" t="s">
        <v>435</v>
      </c>
      <c r="C25" s="8">
        <v>1263</v>
      </c>
      <c r="D25" s="8">
        <v>111927</v>
      </c>
      <c r="E25" s="217">
        <v>2.8000000000000001E-2</v>
      </c>
      <c r="F25" s="1" t="s">
        <v>431</v>
      </c>
      <c r="G25" s="1"/>
      <c r="H25" s="1"/>
      <c r="I25" s="1"/>
    </row>
    <row r="26" spans="1:9" x14ac:dyDescent="0.25">
      <c r="A26" s="1" t="s">
        <v>436</v>
      </c>
      <c r="B26" s="1" t="s">
        <v>437</v>
      </c>
      <c r="C26" s="8">
        <v>1468</v>
      </c>
      <c r="D26" s="8">
        <v>156289</v>
      </c>
      <c r="E26" s="217">
        <v>3.9E-2</v>
      </c>
      <c r="F26" s="1" t="s">
        <v>431</v>
      </c>
      <c r="G26" s="1"/>
      <c r="H26" s="1"/>
      <c r="I26" s="1"/>
    </row>
    <row r="27" spans="1:9" x14ac:dyDescent="0.25">
      <c r="A27" s="1" t="s">
        <v>438</v>
      </c>
      <c r="B27" s="1" t="s">
        <v>439</v>
      </c>
      <c r="C27" s="8">
        <v>2137</v>
      </c>
      <c r="D27" s="8">
        <v>226360</v>
      </c>
      <c r="E27" s="217">
        <v>5.5E-2</v>
      </c>
      <c r="F27" s="1" t="s">
        <v>440</v>
      </c>
      <c r="G27" s="1"/>
      <c r="H27" s="1"/>
      <c r="I27" s="1"/>
    </row>
    <row r="28" spans="1:9" x14ac:dyDescent="0.25">
      <c r="A28" s="1" t="s">
        <v>441</v>
      </c>
      <c r="B28" s="1" t="s">
        <v>442</v>
      </c>
      <c r="C28" s="8">
        <v>2392</v>
      </c>
      <c r="D28" s="8">
        <v>235366</v>
      </c>
      <c r="E28" s="217">
        <v>6.5000000000000002E-2</v>
      </c>
      <c r="F28" s="1" t="s">
        <v>443</v>
      </c>
      <c r="G28" s="1"/>
      <c r="H28" s="1"/>
      <c r="I28" s="1"/>
    </row>
    <row r="29" spans="1:9" x14ac:dyDescent="0.25">
      <c r="A29" s="1" t="s">
        <v>444</v>
      </c>
      <c r="B29" s="1" t="s">
        <v>445</v>
      </c>
      <c r="C29" s="8">
        <v>36273</v>
      </c>
      <c r="D29" s="8">
        <v>3398650</v>
      </c>
      <c r="E29" s="217">
        <v>0.93500000000000005</v>
      </c>
      <c r="F29" s="1" t="s">
        <v>443</v>
      </c>
      <c r="G29" s="1"/>
      <c r="H29" s="1"/>
      <c r="I29" s="1"/>
    </row>
    <row r="30" spans="1:9" x14ac:dyDescent="0.25">
      <c r="A30" s="1" t="s">
        <v>446</v>
      </c>
      <c r="B30" s="1" t="s">
        <v>447</v>
      </c>
      <c r="C30" s="8">
        <v>3342200</v>
      </c>
      <c r="D30" s="8">
        <v>332236263</v>
      </c>
      <c r="E30" s="1" t="s">
        <v>448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163</v>
      </c>
      <c r="AO1" s="2" t="s">
        <v>167</v>
      </c>
      <c r="AZ1" s="2" t="s">
        <v>168</v>
      </c>
    </row>
    <row r="2" spans="1:62" x14ac:dyDescent="0.25">
      <c r="A2" s="2" t="s">
        <v>162</v>
      </c>
    </row>
    <row r="3" spans="1:62" x14ac:dyDescent="0.25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5.25" thickBot="1" x14ac:dyDescent="0.3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25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25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25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25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25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25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25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25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25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25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25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25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25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25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25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25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25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25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25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25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25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25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.75" thickBot="1" x14ac:dyDescent="0.3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25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40625"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2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AvgTourLen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2018-12-14T23:36:13Z</cp:lastPrinted>
  <dcterms:created xsi:type="dcterms:W3CDTF">2018-11-21T22:32:56Z</dcterms:created>
  <dcterms:modified xsi:type="dcterms:W3CDTF">2026-07-22T01:33:05Z</dcterms:modified>
</cp:coreProperties>
</file>