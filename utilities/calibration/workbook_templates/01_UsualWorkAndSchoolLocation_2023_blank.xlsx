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1.xml" ContentType="application/vnd.openxmlformats-officedocument.themeOverrid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2.xml" ContentType="application/vnd.openxmlformats-officedocument.themeOverrid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updateLinks="always" hidePivotFieldList="1"/>
  <mc:AlternateContent xmlns:mc="http://schemas.openxmlformats.org/markup-compatibility/2006">
    <mc:Choice Requires="x15">
      <x15ac:absPath xmlns:x15ac="http://schemas.microsoft.com/office/spreadsheetml/2010/11/ac" url="E:\GitHub\travel-model-one-tm1.7_calibration\utilities\calibration\workbook_templates\"/>
    </mc:Choice>
  </mc:AlternateContent>
  <xr:revisionPtr revIDLastSave="0" documentId="8_{3D4E7B49-7739-4DB6-AABB-FAB3758A7309}" xr6:coauthVersionLast="47" xr6:coauthVersionMax="47" xr10:uidLastSave="{00000000-0000-0000-0000-000000000000}"/>
  <bookViews>
    <workbookView xWindow="-120" yWindow="-120" windowWidth="27120" windowHeight="16320" tabRatio="818" activeTab="1" xr2:uid="{C9A7EA74-0536-4FC6-A8EC-B0131EB95488}"/>
  </bookViews>
  <sheets>
    <sheet name="WorkPlaceLocationChoice" sheetId="1" r:id="rId1"/>
    <sheet name="calibration" sheetId="5" r:id="rId2"/>
    <sheet name="modeldata" sheetId="2" r:id="rId3"/>
    <sheet name="ACS_2023_1YR_B08501" sheetId="3" r:id="rId4"/>
    <sheet name="PUMS 2023" sheetId="14" r:id="rId5"/>
    <sheet name="BATS 2023 TLFD" sheetId="4" r:id="rId6"/>
    <sheet name="BATS 2023 AvgTourLen" sheetId="10" r:id="rId7"/>
    <sheet name="TAZ Data" sheetId="15" r:id="rId8"/>
    <sheet name="Personas - For Reference" sheetId="16" r:id="rId9"/>
    <sheet name="OBS Transit" sheetId="13" r:id="rId10"/>
    <sheet name="taz-superdistrict-county" sheetId="12" r:id="rId11"/>
  </sheets>
  <definedNames>
    <definedName name="AL_SC_model">WorkPlaceLocationChoice!$S$10</definedName>
    <definedName name="AL_SC_obs">WorkPlaceLocationChoice!$E$30</definedName>
    <definedName name="AL_tot_model">WorkPlaceLocationChoice!$Z$10</definedName>
    <definedName name="AL_tot_obs">WorkPlaceLocationChoice!$M$30</definedName>
    <definedName name="atwork_damp">#REF!</definedName>
    <definedName name="atwork_new">#REF!</definedName>
    <definedName name="CC_SC_model">WorkPlaceLocationChoice!$S$11</definedName>
    <definedName name="CC_SC_obs">WorkPlaceLocationChoice!$E$31</definedName>
    <definedName name="CC_SM_model">WorkPlaceLocationChoice!$R$11</definedName>
    <definedName name="CC_SM_obs">WorkPlaceLocationChoice!$D$31</definedName>
    <definedName name="CC_tot_model">WorkPlaceLocationChoice!$Z$11</definedName>
    <definedName name="CC_tot_obs">WorkPlaceLocationChoice!$M$31</definedName>
    <definedName name="damp_county_work" localSheetId="7">#REF!</definedName>
    <definedName name="damp_county_work">calibration!$I$1</definedName>
    <definedName name="damp_school" localSheetId="7">#REF!</definedName>
    <definedName name="damp_school">calibration!$AA$1</definedName>
    <definedName name="damp_university" localSheetId="7">#REF!</definedName>
    <definedName name="damp_university">calibration!$O$1</definedName>
    <definedName name="damp_work" localSheetId="7">#REF!</definedName>
    <definedName name="damp_work">calibration!$C$1</definedName>
    <definedName name="eatout_c_ivt">#REF!</definedName>
    <definedName name="escort_c_ivt">#REF!</definedName>
    <definedName name="indivdisc_damp">#REF!</definedName>
    <definedName name="indivdisc_new">#REF!</definedName>
    <definedName name="indivmaint_damp">#REF!</definedName>
    <definedName name="indivmaint_new">#REF!</definedName>
    <definedName name="joint_damp">#REF!</definedName>
    <definedName name="joint_existing">#REF!</definedName>
    <definedName name="joint_new">#REF!</definedName>
    <definedName name="othdisc_existing">#REF!</definedName>
    <definedName name="othdiscr_c_ivt">#REF!</definedName>
    <definedName name="othmaint_c_ivt">#REF!</definedName>
    <definedName name="SC_SC_model">WorkPlaceLocationChoice!$S$9</definedName>
    <definedName name="SC_SC_obs">WorkPlaceLocationChoice!$E$29</definedName>
    <definedName name="SC_SF_model">WorkPlaceLocationChoice!$Q$9</definedName>
    <definedName name="SC_SF_obs">WorkPlaceLocationChoice!$C$29</definedName>
    <definedName name="SC_tot_model">WorkPlaceLocationChoice!$Z$9</definedName>
    <definedName name="SC_tot_obs">WorkPlaceLocationChoice!$M$29</definedName>
    <definedName name="school_c_ivt">#REF!</definedName>
    <definedName name="school_damp">#REF!</definedName>
    <definedName name="school_existing">#REF!</definedName>
    <definedName name="school_new">#REF!</definedName>
    <definedName name="SF_SC_model">WorkPlaceLocationChoice!$S$7</definedName>
    <definedName name="SF_SC_obs">WorkPlaceLocationChoice!$E$27</definedName>
    <definedName name="SF_SF_model">WorkPlaceLocationChoice!$Q$7</definedName>
    <definedName name="SF_SF_obs">WorkPlaceLocationChoice!$C$27</definedName>
    <definedName name="SF_SM_model">WorkPlaceLocationChoice!$R$7</definedName>
    <definedName name="SF_SM_obs">WorkPlaceLocationChoice!$D$27</definedName>
    <definedName name="SF_tot_model">WorkPlaceLocationChoice!$Z$7</definedName>
    <definedName name="SF_tot_obs">WorkPlaceLocationChoice!$M$27</definedName>
    <definedName name="shopping_c_ivt">#REF!</definedName>
    <definedName name="shopping_existing">#REF!</definedName>
    <definedName name="SM_AL_model">WorkPlaceLocationChoice!$T$8</definedName>
    <definedName name="SM_AL_obs">WorkPlaceLocationChoice!$F$28</definedName>
    <definedName name="SM_SC_model">WorkPlaceLocationChoice!$S$8</definedName>
    <definedName name="SM_SC_obs">WorkPlaceLocationChoice!$E$28</definedName>
    <definedName name="SM_tot_model">WorkPlaceLocationChoice!$Z$8</definedName>
    <definedName name="SM_tot_obs">WorkPlaceLocationChoice!$M$28</definedName>
    <definedName name="social_c_ivt">#REF!</definedName>
    <definedName name="sub_atwork_damp">#REF!</definedName>
    <definedName name="sub_indivdisc_damp">#REF!</definedName>
    <definedName name="sub_indivmaint_damp">#REF!</definedName>
    <definedName name="sub_school_damp">#REF!</definedName>
    <definedName name="sub_university_damp">#REF!</definedName>
    <definedName name="sub_work_damp">#REF!</definedName>
    <definedName name="tour_modes">#REF!</definedName>
    <definedName name="tour_purposes">#REF!</definedName>
    <definedName name="university_c_ivt">#REF!</definedName>
    <definedName name="university_damp">#REF!</definedName>
    <definedName name="university_existing">#REF!</definedName>
    <definedName name="university_new">#REF!</definedName>
    <definedName name="work_c_ivt">#REF!</definedName>
    <definedName name="work_damp">#REF!</definedName>
    <definedName name="work_existing">#REF!</definedName>
    <definedName name="work_new">#REF!</definedName>
    <definedName name="workbased_c_ivt">#REF!</definedName>
    <definedName name="workbased_existing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K6" i="5" l="1"/>
  <c r="K13" i="5"/>
  <c r="K12" i="5"/>
  <c r="K11" i="5"/>
  <c r="K10" i="5"/>
  <c r="K9" i="5"/>
  <c r="K8" i="5"/>
  <c r="K7" i="5"/>
  <c r="K5" i="5"/>
  <c r="K4" i="5"/>
  <c r="AQ16" i="1"/>
  <c r="AR16" i="1"/>
  <c r="AS16" i="1"/>
  <c r="AT16" i="1"/>
  <c r="AU16" i="1"/>
  <c r="AV16" i="1"/>
  <c r="AW16" i="1"/>
  <c r="AP16" i="1"/>
  <c r="AX16" i="1"/>
  <c r="AY16" i="1"/>
  <c r="AY8" i="1"/>
  <c r="AY9" i="1"/>
  <c r="AY10" i="1"/>
  <c r="AY11" i="1"/>
  <c r="AY12" i="1"/>
  <c r="AY13" i="1"/>
  <c r="AY14" i="1"/>
  <c r="AY15" i="1"/>
  <c r="AY7" i="1"/>
  <c r="L8" i="1"/>
  <c r="L9" i="1"/>
  <c r="L10" i="1"/>
  <c r="L11" i="1"/>
  <c r="L12" i="1"/>
  <c r="L13" i="1"/>
  <c r="L14" i="1"/>
  <c r="L15" i="1"/>
  <c r="L7" i="1"/>
  <c r="D7" i="1"/>
  <c r="E7" i="1"/>
  <c r="F7" i="1"/>
  <c r="G7" i="1"/>
  <c r="H7" i="1"/>
  <c r="I7" i="1"/>
  <c r="J7" i="1"/>
  <c r="K7" i="1"/>
  <c r="D8" i="1"/>
  <c r="E8" i="1"/>
  <c r="F8" i="1"/>
  <c r="G8" i="1"/>
  <c r="H8" i="1"/>
  <c r="I8" i="1"/>
  <c r="J8" i="1"/>
  <c r="K8" i="1"/>
  <c r="D9" i="1"/>
  <c r="E9" i="1"/>
  <c r="F9" i="1"/>
  <c r="G9" i="1"/>
  <c r="H9" i="1"/>
  <c r="I9" i="1"/>
  <c r="J9" i="1"/>
  <c r="K9" i="1"/>
  <c r="D10" i="1"/>
  <c r="E10" i="1"/>
  <c r="F10" i="1"/>
  <c r="G10" i="1"/>
  <c r="H10" i="1"/>
  <c r="I10" i="1"/>
  <c r="J10" i="1"/>
  <c r="K10" i="1"/>
  <c r="D11" i="1"/>
  <c r="E11" i="1"/>
  <c r="F11" i="1"/>
  <c r="G11" i="1"/>
  <c r="H11" i="1"/>
  <c r="I11" i="1"/>
  <c r="J11" i="1"/>
  <c r="K11" i="1"/>
  <c r="D12" i="1"/>
  <c r="E12" i="1"/>
  <c r="F12" i="1"/>
  <c r="G12" i="1"/>
  <c r="H12" i="1"/>
  <c r="I12" i="1"/>
  <c r="J12" i="1"/>
  <c r="K12" i="1"/>
  <c r="D13" i="1"/>
  <c r="E13" i="1"/>
  <c r="F13" i="1"/>
  <c r="G13" i="1"/>
  <c r="H13" i="1"/>
  <c r="I13" i="1"/>
  <c r="J13" i="1"/>
  <c r="K13" i="1"/>
  <c r="D14" i="1"/>
  <c r="E14" i="1"/>
  <c r="F14" i="1"/>
  <c r="G14" i="1"/>
  <c r="H14" i="1"/>
  <c r="I14" i="1"/>
  <c r="J14" i="1"/>
  <c r="K14" i="1"/>
  <c r="D15" i="1"/>
  <c r="E15" i="1"/>
  <c r="F15" i="1"/>
  <c r="G15" i="1"/>
  <c r="H15" i="1"/>
  <c r="I15" i="1"/>
  <c r="J15" i="1"/>
  <c r="K15" i="1"/>
  <c r="C8" i="1"/>
  <c r="C9" i="1"/>
  <c r="C10" i="1"/>
  <c r="C11" i="1"/>
  <c r="C12" i="1"/>
  <c r="C13" i="1"/>
  <c r="C14" i="1"/>
  <c r="C15" i="1"/>
  <c r="C7" i="1"/>
  <c r="H16" i="1" l="1"/>
  <c r="H17" i="1" s="1"/>
  <c r="G16" i="1"/>
  <c r="G17" i="1" s="1"/>
  <c r="M9" i="1"/>
  <c r="N9" i="1" s="1"/>
  <c r="M11" i="1"/>
  <c r="N11" i="1" s="1"/>
  <c r="I16" i="1"/>
  <c r="I17" i="1" s="1"/>
  <c r="M8" i="1"/>
  <c r="N8" i="1" s="1"/>
  <c r="K16" i="1"/>
  <c r="K17" i="1" s="1"/>
  <c r="L16" i="1"/>
  <c r="J16" i="1"/>
  <c r="J17" i="1" s="1"/>
  <c r="C16" i="1"/>
  <c r="C17" i="1" s="1"/>
  <c r="M15" i="1"/>
  <c r="N15" i="1" s="1"/>
  <c r="M14" i="1"/>
  <c r="N14" i="1" s="1"/>
  <c r="M13" i="1"/>
  <c r="N13" i="1" s="1"/>
  <c r="E16" i="1"/>
  <c r="E17" i="1" s="1"/>
  <c r="D16" i="1"/>
  <c r="D17" i="1" s="1"/>
  <c r="M10" i="1"/>
  <c r="N10" i="1" s="1"/>
  <c r="M12" i="1"/>
  <c r="N12" i="1" s="1"/>
  <c r="F16" i="1"/>
  <c r="F17" i="1" s="1"/>
  <c r="M7" i="1"/>
  <c r="N7" i="1" s="1"/>
  <c r="M16" i="1" l="1"/>
  <c r="B97" i="1" l="1"/>
  <c r="C9" i="5" l="1"/>
  <c r="O9" i="5"/>
  <c r="AF9" i="5"/>
  <c r="AE9" i="5"/>
  <c r="R19" i="1"/>
  <c r="S19" i="1"/>
  <c r="T19" i="1"/>
  <c r="U19" i="1"/>
  <c r="V19" i="1"/>
  <c r="W19" i="1"/>
  <c r="X19" i="1"/>
  <c r="Y19" i="1"/>
  <c r="Q19" i="1"/>
  <c r="C15" i="16"/>
  <c r="D8" i="16" s="1"/>
  <c r="D12" i="16" l="1"/>
  <c r="D14" i="16"/>
  <c r="D13" i="16"/>
  <c r="D11" i="16"/>
  <c r="D10" i="16"/>
  <c r="D9" i="16"/>
  <c r="M47" i="1" l="1"/>
  <c r="M48" i="1"/>
  <c r="M49" i="1"/>
  <c r="M50" i="1"/>
  <c r="M51" i="1"/>
  <c r="M52" i="1"/>
  <c r="M53" i="1"/>
  <c r="M54" i="1"/>
  <c r="M46" i="1"/>
  <c r="K55" i="1"/>
  <c r="D55" i="1"/>
  <c r="E55" i="1"/>
  <c r="F55" i="1"/>
  <c r="G55" i="1"/>
  <c r="H55" i="1"/>
  <c r="I55" i="1"/>
  <c r="J55" i="1"/>
  <c r="C55" i="1"/>
  <c r="B96" i="1"/>
  <c r="Q7" i="1"/>
  <c r="C18" i="5"/>
  <c r="DL5" i="3"/>
  <c r="M55" i="1" l="1"/>
  <c r="AP7" i="13" l="1"/>
  <c r="BB7" i="13" s="1"/>
  <c r="AQ7" i="13"/>
  <c r="BC7" i="13" s="1"/>
  <c r="AR7" i="13"/>
  <c r="AS7" i="13"/>
  <c r="AT7" i="13"/>
  <c r="AU7" i="13"/>
  <c r="AV7" i="13"/>
  <c r="BH7" i="13" s="1"/>
  <c r="AW7" i="13"/>
  <c r="AP8" i="13"/>
  <c r="AQ8" i="13"/>
  <c r="AR8" i="13"/>
  <c r="AS8" i="13"/>
  <c r="AT8" i="13"/>
  <c r="AU8" i="13"/>
  <c r="AV8" i="13"/>
  <c r="AW8" i="13"/>
  <c r="AP9" i="13"/>
  <c r="AQ9" i="13"/>
  <c r="AR9" i="13"/>
  <c r="AS9" i="13"/>
  <c r="AT9" i="13"/>
  <c r="AU9" i="13"/>
  <c r="AV9" i="13"/>
  <c r="AW9" i="13"/>
  <c r="AP10" i="13"/>
  <c r="AQ10" i="13"/>
  <c r="AR10" i="13"/>
  <c r="AS10" i="13"/>
  <c r="AT10" i="13"/>
  <c r="AU10" i="13"/>
  <c r="AV10" i="13"/>
  <c r="AW10" i="13"/>
  <c r="AP11" i="13"/>
  <c r="AQ11" i="13"/>
  <c r="AR11" i="13"/>
  <c r="AS11" i="13"/>
  <c r="AT11" i="13"/>
  <c r="BF8" i="13" s="1"/>
  <c r="AU11" i="13"/>
  <c r="AV11" i="13"/>
  <c r="AW11" i="13"/>
  <c r="BI8" i="13" s="1"/>
  <c r="AP12" i="13"/>
  <c r="AQ12" i="13"/>
  <c r="AR12" i="13"/>
  <c r="AS12" i="13"/>
  <c r="AT12" i="13"/>
  <c r="AU12" i="13"/>
  <c r="AV12" i="13"/>
  <c r="AW12" i="13"/>
  <c r="AP13" i="13"/>
  <c r="AQ13" i="13"/>
  <c r="AR13" i="13"/>
  <c r="AS13" i="13"/>
  <c r="AT13" i="13"/>
  <c r="AU13" i="13"/>
  <c r="AV13" i="13"/>
  <c r="AW13" i="13"/>
  <c r="AP14" i="13"/>
  <c r="AQ14" i="13"/>
  <c r="AR14" i="13"/>
  <c r="AS14" i="13"/>
  <c r="AT14" i="13"/>
  <c r="BF9" i="13" s="1"/>
  <c r="AU14" i="13"/>
  <c r="BG9" i="13" s="1"/>
  <c r="AV14" i="13"/>
  <c r="AW14" i="13"/>
  <c r="AP15" i="13"/>
  <c r="AQ15" i="13"/>
  <c r="AR15" i="13"/>
  <c r="AS15" i="13"/>
  <c r="AT15" i="13"/>
  <c r="AU15" i="13"/>
  <c r="AV15" i="13"/>
  <c r="AW15" i="13"/>
  <c r="AP16" i="13"/>
  <c r="AQ16" i="13"/>
  <c r="AR16" i="13"/>
  <c r="AS16" i="13"/>
  <c r="AT16" i="13"/>
  <c r="AU16" i="13"/>
  <c r="AV16" i="13"/>
  <c r="AW16" i="13"/>
  <c r="AP17" i="13"/>
  <c r="AQ17" i="13"/>
  <c r="AR17" i="13"/>
  <c r="AS17" i="13"/>
  <c r="AT17" i="13"/>
  <c r="AU17" i="13"/>
  <c r="AV17" i="13"/>
  <c r="AW17" i="13"/>
  <c r="AP18" i="13"/>
  <c r="AQ18" i="13"/>
  <c r="AR18" i="13"/>
  <c r="AS18" i="13"/>
  <c r="AT18" i="13"/>
  <c r="AU18" i="13"/>
  <c r="AV18" i="13"/>
  <c r="AW18" i="13"/>
  <c r="AP19" i="13"/>
  <c r="AQ19" i="13"/>
  <c r="AR19" i="13"/>
  <c r="AS19" i="13"/>
  <c r="AT19" i="13"/>
  <c r="AU19" i="13"/>
  <c r="AV19" i="13"/>
  <c r="AW19" i="13"/>
  <c r="AP20" i="13"/>
  <c r="AQ20" i="13"/>
  <c r="AR20" i="13"/>
  <c r="AS20" i="13"/>
  <c r="AT20" i="13"/>
  <c r="AU20" i="13"/>
  <c r="AV20" i="13"/>
  <c r="AW20" i="13"/>
  <c r="AP21" i="13"/>
  <c r="AQ21" i="13"/>
  <c r="AR21" i="13"/>
  <c r="AS21" i="13"/>
  <c r="AT21" i="13"/>
  <c r="BF10" i="13" s="1"/>
  <c r="AU21" i="13"/>
  <c r="AV21" i="13"/>
  <c r="AW21" i="13"/>
  <c r="BI10" i="13" s="1"/>
  <c r="AP22" i="13"/>
  <c r="AQ22" i="13"/>
  <c r="AR22" i="13"/>
  <c r="AS22" i="13"/>
  <c r="AT22" i="13"/>
  <c r="AU22" i="13"/>
  <c r="AV22" i="13"/>
  <c r="AW22" i="13"/>
  <c r="AP23" i="13"/>
  <c r="AQ23" i="13"/>
  <c r="AR23" i="13"/>
  <c r="AS23" i="13"/>
  <c r="AT23" i="13"/>
  <c r="AU23" i="13"/>
  <c r="AV23" i="13"/>
  <c r="AW23" i="13"/>
  <c r="AP24" i="13"/>
  <c r="AQ24" i="13"/>
  <c r="AR24" i="13"/>
  <c r="AS24" i="13"/>
  <c r="AT24" i="13"/>
  <c r="AU24" i="13"/>
  <c r="AV24" i="13"/>
  <c r="AW24" i="13"/>
  <c r="AP25" i="13"/>
  <c r="AQ25" i="13"/>
  <c r="AR25" i="13"/>
  <c r="AS25" i="13"/>
  <c r="AT25" i="13"/>
  <c r="AU25" i="13"/>
  <c r="AV25" i="13"/>
  <c r="AW25" i="13"/>
  <c r="AP26" i="13"/>
  <c r="AQ26" i="13"/>
  <c r="AR26" i="13"/>
  <c r="AS26" i="13"/>
  <c r="AT26" i="13"/>
  <c r="BF11" i="13" s="1"/>
  <c r="AU26" i="13"/>
  <c r="AV26" i="13"/>
  <c r="AW26" i="13"/>
  <c r="BI11" i="13" s="1"/>
  <c r="AP27" i="13"/>
  <c r="AQ27" i="13"/>
  <c r="AR27" i="13"/>
  <c r="AS27" i="13"/>
  <c r="AT27" i="13"/>
  <c r="AU27" i="13"/>
  <c r="AV27" i="13"/>
  <c r="AW27" i="13"/>
  <c r="AP28" i="13"/>
  <c r="AQ28" i="13"/>
  <c r="AR28" i="13"/>
  <c r="AS28" i="13"/>
  <c r="AT28" i="13"/>
  <c r="AU28" i="13"/>
  <c r="AV28" i="13"/>
  <c r="AW28" i="13"/>
  <c r="AP29" i="13"/>
  <c r="AQ29" i="13"/>
  <c r="AR29" i="13"/>
  <c r="AS29" i="13"/>
  <c r="AT29" i="13"/>
  <c r="AU29" i="13"/>
  <c r="AV29" i="13"/>
  <c r="AW29" i="13"/>
  <c r="AP30" i="13"/>
  <c r="AQ30" i="13"/>
  <c r="AR30" i="13"/>
  <c r="AS30" i="13"/>
  <c r="AT30" i="13"/>
  <c r="AU30" i="13"/>
  <c r="AV30" i="13"/>
  <c r="AW30" i="13"/>
  <c r="AP31" i="13"/>
  <c r="BB12" i="13" s="1"/>
  <c r="AQ31" i="13"/>
  <c r="AR31" i="13"/>
  <c r="BD12" i="13" s="1"/>
  <c r="AS31" i="13"/>
  <c r="BE12" i="13" s="1"/>
  <c r="AT31" i="13"/>
  <c r="BF12" i="13" s="1"/>
  <c r="AU31" i="13"/>
  <c r="AV31" i="13"/>
  <c r="AW31" i="13"/>
  <c r="BI12" i="13" s="1"/>
  <c r="AP32" i="13"/>
  <c r="AQ32" i="13"/>
  <c r="AR32" i="13"/>
  <c r="AS32" i="13"/>
  <c r="AT32" i="13"/>
  <c r="AU32" i="13"/>
  <c r="AV32" i="13"/>
  <c r="AW32" i="13"/>
  <c r="AP33" i="13"/>
  <c r="AQ33" i="13"/>
  <c r="AR33" i="13"/>
  <c r="AS33" i="13"/>
  <c r="AT33" i="13"/>
  <c r="AU33" i="13"/>
  <c r="AV33" i="13"/>
  <c r="BH13" i="13" s="1"/>
  <c r="AW33" i="13"/>
  <c r="BI13" i="13" s="1"/>
  <c r="AP34" i="13"/>
  <c r="AQ34" i="13"/>
  <c r="AR34" i="13"/>
  <c r="AS34" i="13"/>
  <c r="AT34" i="13"/>
  <c r="AU34" i="13"/>
  <c r="AV34" i="13"/>
  <c r="AW34" i="13"/>
  <c r="AP35" i="13"/>
  <c r="AQ35" i="13"/>
  <c r="AR35" i="13"/>
  <c r="BD14" i="13" s="1"/>
  <c r="AS35" i="13"/>
  <c r="BE14" i="13" s="1"/>
  <c r="AT35" i="13"/>
  <c r="BF14" i="13" s="1"/>
  <c r="AU35" i="13"/>
  <c r="AV35" i="13"/>
  <c r="AW35" i="13"/>
  <c r="AP36" i="13"/>
  <c r="AQ36" i="13"/>
  <c r="AR36" i="13"/>
  <c r="AS36" i="13"/>
  <c r="AT36" i="13"/>
  <c r="AU36" i="13"/>
  <c r="AV36" i="13"/>
  <c r="AW36" i="13"/>
  <c r="AP37" i="13"/>
  <c r="AQ37" i="13"/>
  <c r="AR37" i="13"/>
  <c r="AS37" i="13"/>
  <c r="AT37" i="13"/>
  <c r="AU37" i="13"/>
  <c r="AV37" i="13"/>
  <c r="AW37" i="13"/>
  <c r="AP38" i="13"/>
  <c r="AQ38" i="13"/>
  <c r="AR38" i="13"/>
  <c r="AS38" i="13"/>
  <c r="AT38" i="13"/>
  <c r="AU38" i="13"/>
  <c r="AV38" i="13"/>
  <c r="BH15" i="13" s="1"/>
  <c r="AW38" i="13"/>
  <c r="AP39" i="13"/>
  <c r="AQ39" i="13"/>
  <c r="AR39" i="13"/>
  <c r="AS39" i="13"/>
  <c r="AT39" i="13"/>
  <c r="AU39" i="13"/>
  <c r="AV39" i="13"/>
  <c r="AW39" i="13"/>
  <c r="AP40" i="13"/>
  <c r="AQ40" i="13"/>
  <c r="AR40" i="13"/>
  <c r="AS40" i="13"/>
  <c r="AT40" i="13"/>
  <c r="AU40" i="13"/>
  <c r="AV40" i="13"/>
  <c r="AW40" i="13"/>
  <c r="AO8" i="13"/>
  <c r="AX8" i="13" s="1"/>
  <c r="AO9" i="13"/>
  <c r="AO10" i="13"/>
  <c r="AO11" i="13"/>
  <c r="AO12" i="13"/>
  <c r="AO13" i="13"/>
  <c r="AX13" i="13" s="1"/>
  <c r="AO14" i="13"/>
  <c r="AO15" i="13"/>
  <c r="AX15" i="13" s="1"/>
  <c r="AO16" i="13"/>
  <c r="AX16" i="13" s="1"/>
  <c r="AO17" i="13"/>
  <c r="AO18" i="13"/>
  <c r="AX18" i="13" s="1"/>
  <c r="AO19" i="13"/>
  <c r="AO20" i="13"/>
  <c r="AO21" i="13"/>
  <c r="AO22" i="13"/>
  <c r="AO23" i="13"/>
  <c r="AO24" i="13"/>
  <c r="AO25" i="13"/>
  <c r="AO26" i="13"/>
  <c r="AO27" i="13"/>
  <c r="AO28" i="13"/>
  <c r="AO29" i="13"/>
  <c r="AO30" i="13"/>
  <c r="AO31" i="13"/>
  <c r="AO32" i="13"/>
  <c r="AO33" i="13"/>
  <c r="AO34" i="13"/>
  <c r="AO35" i="13"/>
  <c r="AO36" i="13"/>
  <c r="AX36" i="13" s="1"/>
  <c r="AO37" i="13"/>
  <c r="AO38" i="13"/>
  <c r="AO39" i="13"/>
  <c r="AO40" i="13"/>
  <c r="AO7" i="13"/>
  <c r="BA7" i="13" s="1"/>
  <c r="AX17" i="13" l="1"/>
  <c r="BC14" i="13"/>
  <c r="BG7" i="13"/>
  <c r="BA10" i="13"/>
  <c r="AX20" i="13"/>
  <c r="BB14" i="13"/>
  <c r="BF7" i="13"/>
  <c r="BI9" i="13"/>
  <c r="BE7" i="13"/>
  <c r="AX38" i="13"/>
  <c r="BH9" i="13"/>
  <c r="BD7" i="13"/>
  <c r="BD16" i="13" s="1"/>
  <c r="BE9" i="13"/>
  <c r="BE16" i="13" s="1"/>
  <c r="BH11" i="13"/>
  <c r="BH10" i="13"/>
  <c r="BH16" i="13" s="1"/>
  <c r="BD9" i="13"/>
  <c r="BH8" i="13"/>
  <c r="BH12" i="13"/>
  <c r="BA13" i="13"/>
  <c r="BG12" i="13"/>
  <c r="BG11" i="13"/>
  <c r="BG10" i="13"/>
  <c r="BC9" i="13"/>
  <c r="BG8" i="13"/>
  <c r="BG16" i="13" s="1"/>
  <c r="BB9" i="13"/>
  <c r="BA12" i="13"/>
  <c r="BA8" i="13"/>
  <c r="BI15" i="13"/>
  <c r="BE11" i="13"/>
  <c r="BE10" i="13"/>
  <c r="BE8" i="13"/>
  <c r="BD11" i="13"/>
  <c r="BD10" i="13"/>
  <c r="BD8" i="13"/>
  <c r="AX10" i="13"/>
  <c r="BG15" i="13"/>
  <c r="BG13" i="13"/>
  <c r="BC12" i="13"/>
  <c r="BC11" i="13"/>
  <c r="BC10" i="13"/>
  <c r="BJ10" i="13" s="1"/>
  <c r="BC8" i="13"/>
  <c r="BC16" i="13" s="1"/>
  <c r="BA14" i="13"/>
  <c r="BF15" i="13"/>
  <c r="BF13" i="13"/>
  <c r="BF16" i="13" s="1"/>
  <c r="BB11" i="13"/>
  <c r="BB10" i="13"/>
  <c r="BB8" i="13"/>
  <c r="BA9" i="13"/>
  <c r="BE13" i="13"/>
  <c r="BD15" i="13"/>
  <c r="BE15" i="13"/>
  <c r="BD13" i="13"/>
  <c r="BC15" i="13"/>
  <c r="BG14" i="13"/>
  <c r="BC13" i="13"/>
  <c r="BI14" i="13"/>
  <c r="BA11" i="13"/>
  <c r="BJ11" i="13" s="1"/>
  <c r="BH14" i="13"/>
  <c r="BB15" i="13"/>
  <c r="BB13" i="13"/>
  <c r="BJ13" i="13" s="1"/>
  <c r="BI7" i="13"/>
  <c r="BI16" i="13" s="1"/>
  <c r="BA15" i="13"/>
  <c r="BJ15" i="13" s="1"/>
  <c r="AX12" i="13"/>
  <c r="AX27" i="13"/>
  <c r="AX21" i="13"/>
  <c r="AX33" i="13"/>
  <c r="AX26" i="13"/>
  <c r="AX25" i="13"/>
  <c r="AX9" i="13"/>
  <c r="AX35" i="13"/>
  <c r="AX34" i="13"/>
  <c r="AX14" i="13"/>
  <c r="AX23" i="13"/>
  <c r="AX22" i="13"/>
  <c r="AX32" i="13"/>
  <c r="AX31" i="13"/>
  <c r="AX11" i="13"/>
  <c r="AS41" i="13"/>
  <c r="AT41" i="13"/>
  <c r="AX30" i="13"/>
  <c r="AX29" i="13"/>
  <c r="AX28" i="13"/>
  <c r="AX24" i="13"/>
  <c r="AW41" i="13"/>
  <c r="AV41" i="13"/>
  <c r="AU41" i="13"/>
  <c r="AO41" i="13"/>
  <c r="AX40" i="13"/>
  <c r="AX39" i="13"/>
  <c r="AX19" i="13"/>
  <c r="AR41" i="13"/>
  <c r="AQ41" i="13"/>
  <c r="AP41" i="13"/>
  <c r="AX37" i="13"/>
  <c r="AX7" i="13"/>
  <c r="BJ9" i="13" l="1"/>
  <c r="BJ7" i="13"/>
  <c r="BB16" i="13"/>
  <c r="BJ8" i="13"/>
  <c r="BJ12" i="13"/>
  <c r="BJ14" i="13"/>
  <c r="BA16" i="13"/>
  <c r="BJ16" i="13" s="1"/>
  <c r="AX41" i="13"/>
  <c r="Q35" i="1"/>
  <c r="Q28" i="1" l="1"/>
  <c r="R28" i="1"/>
  <c r="S28" i="1"/>
  <c r="T28" i="1"/>
  <c r="U28" i="1"/>
  <c r="V28" i="1"/>
  <c r="Q29" i="1"/>
  <c r="R29" i="1"/>
  <c r="S29" i="1"/>
  <c r="T29" i="1"/>
  <c r="U29" i="1"/>
  <c r="V29" i="1"/>
  <c r="Q30" i="1"/>
  <c r="R30" i="1"/>
  <c r="S30" i="1"/>
  <c r="T30" i="1"/>
  <c r="U30" i="1"/>
  <c r="V30" i="1"/>
  <c r="Q31" i="1"/>
  <c r="R31" i="1"/>
  <c r="S31" i="1"/>
  <c r="T31" i="1"/>
  <c r="U31" i="1"/>
  <c r="V31" i="1"/>
  <c r="Q32" i="1"/>
  <c r="R32" i="1"/>
  <c r="S32" i="1"/>
  <c r="T32" i="1"/>
  <c r="U32" i="1"/>
  <c r="V32" i="1"/>
  <c r="Q33" i="1"/>
  <c r="R33" i="1"/>
  <c r="S33" i="1"/>
  <c r="T33" i="1"/>
  <c r="U33" i="1"/>
  <c r="V33" i="1"/>
  <c r="Q34" i="1"/>
  <c r="R34" i="1"/>
  <c r="S34" i="1"/>
  <c r="T34" i="1"/>
  <c r="U34" i="1"/>
  <c r="V34" i="1"/>
  <c r="R35" i="1"/>
  <c r="S35" i="1"/>
  <c r="T35" i="1"/>
  <c r="U35" i="1"/>
  <c r="V35" i="1"/>
  <c r="Q36" i="1"/>
  <c r="R36" i="1"/>
  <c r="S36" i="1"/>
  <c r="T36" i="1"/>
  <c r="U36" i="1"/>
  <c r="V36" i="1"/>
  <c r="V27" i="1"/>
  <c r="T27" i="1"/>
  <c r="R27" i="1"/>
  <c r="S27" i="1"/>
  <c r="U27" i="1"/>
  <c r="Q27" i="1"/>
  <c r="Z19" i="1" l="1"/>
  <c r="Z20" i="1" l="1"/>
  <c r="L97" i="1" s="1"/>
  <c r="U20" i="1"/>
  <c r="G97" i="1" s="1"/>
  <c r="X20" i="1"/>
  <c r="J97" i="1" s="1"/>
  <c r="V20" i="1"/>
  <c r="H97" i="1" s="1"/>
  <c r="T20" i="1"/>
  <c r="F97" i="1" s="1"/>
  <c r="S20" i="1"/>
  <c r="E97" i="1" s="1"/>
  <c r="W20" i="1"/>
  <c r="I97" i="1" s="1"/>
  <c r="Q20" i="1"/>
  <c r="C97" i="1" s="1"/>
  <c r="R20" i="1"/>
  <c r="D97" i="1" s="1"/>
  <c r="Y20" i="1"/>
  <c r="K97" i="1" s="1"/>
  <c r="AA6" i="5"/>
  <c r="AA20" i="5" s="1"/>
  <c r="AA21" i="5" s="1"/>
  <c r="AA22" i="5" s="1"/>
  <c r="AA7" i="5"/>
  <c r="AA23" i="5" s="1"/>
  <c r="AA24" i="5" s="1"/>
  <c r="AA25" i="5" s="1"/>
  <c r="AA26" i="5" s="1"/>
  <c r="AA27" i="5" s="1"/>
  <c r="AA28" i="5" s="1"/>
  <c r="AA29" i="5" s="1"/>
  <c r="AA30" i="5" s="1"/>
  <c r="AA31" i="5" s="1"/>
  <c r="AA32" i="5" s="1"/>
  <c r="AA8" i="5"/>
  <c r="AA33" i="5" s="1"/>
  <c r="AA34" i="5" s="1"/>
  <c r="AA35" i="5" s="1"/>
  <c r="AA36" i="5" s="1"/>
  <c r="AA37" i="5" s="1"/>
  <c r="AA38" i="5" s="1"/>
  <c r="AA39" i="5" s="1"/>
  <c r="AA40" i="5" s="1"/>
  <c r="AA41" i="5" s="1"/>
  <c r="AA42" i="5" s="1"/>
  <c r="AA43" i="5" s="1"/>
  <c r="AA44" i="5" s="1"/>
  <c r="AA45" i="5" s="1"/>
  <c r="AA46" i="5" s="1"/>
  <c r="AA47" i="5" s="1"/>
  <c r="AA48" i="5" s="1"/>
  <c r="AA49" i="5" s="1"/>
  <c r="AA50" i="5" s="1"/>
  <c r="AA51" i="5" s="1"/>
  <c r="AA52" i="5" s="1"/>
  <c r="AA53" i="5" s="1"/>
  <c r="AA54" i="5" s="1"/>
  <c r="AA55" i="5" s="1"/>
  <c r="AA56" i="5" s="1"/>
  <c r="AA57" i="5" s="1"/>
  <c r="AA58" i="5" s="1"/>
  <c r="AA59" i="5" s="1"/>
  <c r="AA60" i="5" s="1"/>
  <c r="AA61" i="5" s="1"/>
  <c r="AA62" i="5" s="1"/>
  <c r="AA63" i="5" s="1"/>
  <c r="AA64" i="5" s="1"/>
  <c r="AA65" i="5" s="1"/>
  <c r="AA66" i="5" s="1"/>
  <c r="AA67" i="5" s="1"/>
  <c r="AA68" i="5" s="1"/>
  <c r="AA4" i="5"/>
  <c r="AA18" i="5" s="1"/>
  <c r="AB19" i="5" s="1"/>
  <c r="AA5" i="5"/>
  <c r="AA19" i="5" s="1"/>
  <c r="O33" i="5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19" i="5"/>
  <c r="O20" i="5"/>
  <c r="O21" i="5" s="1"/>
  <c r="O22" i="5" s="1"/>
  <c r="O23" i="5"/>
  <c r="O24" i="5" s="1"/>
  <c r="O25" i="5" s="1"/>
  <c r="O26" i="5" s="1"/>
  <c r="O27" i="5" s="1"/>
  <c r="O28" i="5" s="1"/>
  <c r="O29" i="5" s="1"/>
  <c r="O30" i="5" s="1"/>
  <c r="O31" i="5" s="1"/>
  <c r="O32" i="5" s="1"/>
  <c r="O18" i="5"/>
  <c r="P19" i="5" s="1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L169" i="2"/>
  <c r="AL168" i="2"/>
  <c r="AL167" i="2"/>
  <c r="AL166" i="2"/>
  <c r="AL165" i="2"/>
  <c r="AL164" i="2"/>
  <c r="AL163" i="2"/>
  <c r="AL162" i="2"/>
  <c r="AL161" i="2"/>
  <c r="AL160" i="2"/>
  <c r="AL159" i="2"/>
  <c r="AL158" i="2"/>
  <c r="AL157" i="2"/>
  <c r="AL156" i="2"/>
  <c r="AL155" i="2"/>
  <c r="AL154" i="2"/>
  <c r="AL153" i="2"/>
  <c r="AL152" i="2"/>
  <c r="AL151" i="2"/>
  <c r="AL150" i="2"/>
  <c r="AL149" i="2"/>
  <c r="AL148" i="2"/>
  <c r="AL147" i="2"/>
  <c r="AL146" i="2"/>
  <c r="AL145" i="2"/>
  <c r="AL144" i="2"/>
  <c r="AL143" i="2"/>
  <c r="AL142" i="2"/>
  <c r="AL141" i="2"/>
  <c r="AL140" i="2"/>
  <c r="AL139" i="2"/>
  <c r="AL138" i="2"/>
  <c r="AL137" i="2"/>
  <c r="AL136" i="2"/>
  <c r="AL135" i="2"/>
  <c r="AL134" i="2"/>
  <c r="AL133" i="2"/>
  <c r="AL132" i="2"/>
  <c r="AL131" i="2"/>
  <c r="AL130" i="2"/>
  <c r="AL129" i="2"/>
  <c r="AL128" i="2"/>
  <c r="AL127" i="2"/>
  <c r="AL126" i="2"/>
  <c r="AL125" i="2"/>
  <c r="AL124" i="2"/>
  <c r="AL123" i="2"/>
  <c r="AL122" i="2"/>
  <c r="AL121" i="2"/>
  <c r="AL120" i="2"/>
  <c r="AL119" i="2"/>
  <c r="AL118" i="2"/>
  <c r="AL117" i="2"/>
  <c r="AL116" i="2"/>
  <c r="AL115" i="2"/>
  <c r="AL114" i="2"/>
  <c r="AL113" i="2"/>
  <c r="AL112" i="2"/>
  <c r="AL111" i="2"/>
  <c r="AL110" i="2"/>
  <c r="AL109" i="2"/>
  <c r="AL108" i="2"/>
  <c r="AL107" i="2"/>
  <c r="AL106" i="2"/>
  <c r="AL105" i="2"/>
  <c r="AL104" i="2"/>
  <c r="AL103" i="2"/>
  <c r="AL102" i="2"/>
  <c r="AL101" i="2"/>
  <c r="AL100" i="2"/>
  <c r="AL99" i="2"/>
  <c r="AL98" i="2"/>
  <c r="AL97" i="2"/>
  <c r="AL96" i="2"/>
  <c r="AL95" i="2"/>
  <c r="AL94" i="2"/>
  <c r="AL93" i="2"/>
  <c r="AL92" i="2"/>
  <c r="AL91" i="2"/>
  <c r="AL90" i="2"/>
  <c r="AL89" i="2"/>
  <c r="AL88" i="2"/>
  <c r="AL87" i="2"/>
  <c r="AL86" i="2"/>
  <c r="AL85" i="2"/>
  <c r="AL84" i="2"/>
  <c r="AL83" i="2"/>
  <c r="AL82" i="2"/>
  <c r="AL81" i="2"/>
  <c r="AL80" i="2"/>
  <c r="AL79" i="2"/>
  <c r="AL78" i="2"/>
  <c r="AL77" i="2"/>
  <c r="AL76" i="2"/>
  <c r="AL75" i="2"/>
  <c r="AL74" i="2"/>
  <c r="AL73" i="2"/>
  <c r="AL72" i="2"/>
  <c r="AL71" i="2"/>
  <c r="AL70" i="2"/>
  <c r="AL69" i="2"/>
  <c r="AD67" i="5" s="1"/>
  <c r="AL68" i="2"/>
  <c r="AD66" i="5" s="1"/>
  <c r="AL67" i="2"/>
  <c r="AD65" i="5" s="1"/>
  <c r="AL66" i="2"/>
  <c r="AD64" i="5" s="1"/>
  <c r="AL65" i="2"/>
  <c r="AD63" i="5" s="1"/>
  <c r="AL64" i="2"/>
  <c r="AD62" i="5" s="1"/>
  <c r="AL63" i="2"/>
  <c r="AD61" i="5" s="1"/>
  <c r="AL62" i="2"/>
  <c r="AD60" i="5" s="1"/>
  <c r="AL61" i="2"/>
  <c r="AD59" i="5" s="1"/>
  <c r="AL60" i="2"/>
  <c r="AD58" i="5" s="1"/>
  <c r="AL59" i="2"/>
  <c r="AD57" i="5" s="1"/>
  <c r="AL58" i="2"/>
  <c r="AD56" i="5" s="1"/>
  <c r="AL57" i="2"/>
  <c r="AD55" i="5" s="1"/>
  <c r="AL56" i="2"/>
  <c r="AD54" i="5" s="1"/>
  <c r="AL55" i="2"/>
  <c r="AD53" i="5" s="1"/>
  <c r="AL54" i="2"/>
  <c r="AD52" i="5" s="1"/>
  <c r="AL53" i="2"/>
  <c r="AD51" i="5" s="1"/>
  <c r="AL52" i="2"/>
  <c r="AD50" i="5" s="1"/>
  <c r="AL51" i="2"/>
  <c r="AD49" i="5" s="1"/>
  <c r="AL50" i="2"/>
  <c r="AD48" i="5" s="1"/>
  <c r="AL49" i="2"/>
  <c r="AD47" i="5" s="1"/>
  <c r="AL48" i="2"/>
  <c r="AD46" i="5" s="1"/>
  <c r="AL47" i="2"/>
  <c r="AD45" i="5" s="1"/>
  <c r="AL46" i="2"/>
  <c r="AD44" i="5" s="1"/>
  <c r="AL45" i="2"/>
  <c r="AD43" i="5" s="1"/>
  <c r="AL44" i="2"/>
  <c r="AD42" i="5" s="1"/>
  <c r="AL43" i="2"/>
  <c r="AD41" i="5" s="1"/>
  <c r="AL42" i="2"/>
  <c r="AD40" i="5" s="1"/>
  <c r="AL41" i="2"/>
  <c r="AD39" i="5" s="1"/>
  <c r="AL40" i="2"/>
  <c r="AD38" i="5" s="1"/>
  <c r="AL39" i="2"/>
  <c r="AD37" i="5" s="1"/>
  <c r="AL38" i="2"/>
  <c r="AD36" i="5" s="1"/>
  <c r="AL37" i="2"/>
  <c r="AD35" i="5" s="1"/>
  <c r="AL36" i="2"/>
  <c r="AD34" i="5" s="1"/>
  <c r="AL35" i="2"/>
  <c r="AD33" i="5" s="1"/>
  <c r="AL34" i="2"/>
  <c r="AD32" i="5" s="1"/>
  <c r="AL33" i="2"/>
  <c r="AD31" i="5" s="1"/>
  <c r="AL32" i="2"/>
  <c r="AD30" i="5" s="1"/>
  <c r="AL31" i="2"/>
  <c r="AD29" i="5" s="1"/>
  <c r="AL30" i="2"/>
  <c r="AD28" i="5" s="1"/>
  <c r="AL29" i="2"/>
  <c r="AD27" i="5" s="1"/>
  <c r="AL28" i="2"/>
  <c r="AD26" i="5" s="1"/>
  <c r="AL27" i="2"/>
  <c r="AD25" i="5" s="1"/>
  <c r="AL26" i="2"/>
  <c r="AD24" i="5" s="1"/>
  <c r="AL25" i="2"/>
  <c r="AD23" i="5" s="1"/>
  <c r="AL24" i="2"/>
  <c r="AD22" i="5" s="1"/>
  <c r="AL23" i="2"/>
  <c r="AD21" i="5" s="1"/>
  <c r="AL22" i="2"/>
  <c r="AD20" i="5" s="1"/>
  <c r="AL21" i="2"/>
  <c r="AD19" i="5" s="1"/>
  <c r="AL20" i="2"/>
  <c r="AD18" i="5" s="1"/>
  <c r="Y169" i="2"/>
  <c r="Y168" i="2"/>
  <c r="Y167" i="2"/>
  <c r="Y166" i="2"/>
  <c r="Y165" i="2"/>
  <c r="Y164" i="2"/>
  <c r="Y163" i="2"/>
  <c r="Y162" i="2"/>
  <c r="Y161" i="2"/>
  <c r="Y160" i="2"/>
  <c r="Y159" i="2"/>
  <c r="Y158" i="2"/>
  <c r="Y157" i="2"/>
  <c r="Y156" i="2"/>
  <c r="Y155" i="2"/>
  <c r="Y154" i="2"/>
  <c r="Y153" i="2"/>
  <c r="Y152" i="2"/>
  <c r="Y151" i="2"/>
  <c r="Y150" i="2"/>
  <c r="Y149" i="2"/>
  <c r="Y148" i="2"/>
  <c r="Y147" i="2"/>
  <c r="Y146" i="2"/>
  <c r="Y145" i="2"/>
  <c r="Y144" i="2"/>
  <c r="Y143" i="2"/>
  <c r="Y142" i="2"/>
  <c r="Y141" i="2"/>
  <c r="Y140" i="2"/>
  <c r="Y139" i="2"/>
  <c r="Y138" i="2"/>
  <c r="Y137" i="2"/>
  <c r="Y136" i="2"/>
  <c r="Y135" i="2"/>
  <c r="Y134" i="2"/>
  <c r="Y133" i="2"/>
  <c r="Y132" i="2"/>
  <c r="Y131" i="2"/>
  <c r="Y130" i="2"/>
  <c r="Y129" i="2"/>
  <c r="Y128" i="2"/>
  <c r="Y127" i="2"/>
  <c r="Y126" i="2"/>
  <c r="Y125" i="2"/>
  <c r="Y124" i="2"/>
  <c r="Y123" i="2"/>
  <c r="Y122" i="2"/>
  <c r="Y121" i="2"/>
  <c r="Y120" i="2"/>
  <c r="Y119" i="2"/>
  <c r="Y118" i="2"/>
  <c r="Y117" i="2"/>
  <c r="Y116" i="2"/>
  <c r="Y115" i="2"/>
  <c r="Y114" i="2"/>
  <c r="Y113" i="2"/>
  <c r="Y112" i="2"/>
  <c r="Y111" i="2"/>
  <c r="Y110" i="2"/>
  <c r="Y109" i="2"/>
  <c r="Y108" i="2"/>
  <c r="Y107" i="2"/>
  <c r="Y106" i="2"/>
  <c r="Y105" i="2"/>
  <c r="Y104" i="2"/>
  <c r="Y103" i="2"/>
  <c r="Y102" i="2"/>
  <c r="Y101" i="2"/>
  <c r="Y100" i="2"/>
  <c r="Y99" i="2"/>
  <c r="Y98" i="2"/>
  <c r="Y97" i="2"/>
  <c r="Y96" i="2"/>
  <c r="Y95" i="2"/>
  <c r="Y94" i="2"/>
  <c r="Y93" i="2"/>
  <c r="Y92" i="2"/>
  <c r="Y91" i="2"/>
  <c r="Y90" i="2"/>
  <c r="Y89" i="2"/>
  <c r="Y88" i="2"/>
  <c r="Y87" i="2"/>
  <c r="Y86" i="2"/>
  <c r="Y85" i="2"/>
  <c r="Y84" i="2"/>
  <c r="Y83" i="2"/>
  <c r="Y82" i="2"/>
  <c r="Y81" i="2"/>
  <c r="Y80" i="2"/>
  <c r="Y79" i="2"/>
  <c r="Y78" i="2"/>
  <c r="Y77" i="2"/>
  <c r="Y76" i="2"/>
  <c r="Y75" i="2"/>
  <c r="Y74" i="2"/>
  <c r="Y73" i="2"/>
  <c r="Y72" i="2"/>
  <c r="Y71" i="2"/>
  <c r="Y70" i="2"/>
  <c r="Y69" i="2"/>
  <c r="R67" i="5" s="1"/>
  <c r="Y68" i="2"/>
  <c r="R66" i="5" s="1"/>
  <c r="Y67" i="2"/>
  <c r="R65" i="5" s="1"/>
  <c r="Y66" i="2"/>
  <c r="R64" i="5" s="1"/>
  <c r="Y65" i="2"/>
  <c r="R63" i="5" s="1"/>
  <c r="Y64" i="2"/>
  <c r="R62" i="5" s="1"/>
  <c r="Y63" i="2"/>
  <c r="R61" i="5" s="1"/>
  <c r="Y62" i="2"/>
  <c r="R60" i="5" s="1"/>
  <c r="Y61" i="2"/>
  <c r="R59" i="5" s="1"/>
  <c r="Y60" i="2"/>
  <c r="R58" i="5" s="1"/>
  <c r="Y59" i="2"/>
  <c r="R57" i="5" s="1"/>
  <c r="Y58" i="2"/>
  <c r="R56" i="5" s="1"/>
  <c r="Y57" i="2"/>
  <c r="R55" i="5" s="1"/>
  <c r="Y56" i="2"/>
  <c r="R54" i="5" s="1"/>
  <c r="Y55" i="2"/>
  <c r="R53" i="5" s="1"/>
  <c r="Y54" i="2"/>
  <c r="R52" i="5" s="1"/>
  <c r="Y53" i="2"/>
  <c r="R51" i="5" s="1"/>
  <c r="Y52" i="2"/>
  <c r="R50" i="5" s="1"/>
  <c r="Y51" i="2"/>
  <c r="R49" i="5" s="1"/>
  <c r="Y50" i="2"/>
  <c r="R48" i="5" s="1"/>
  <c r="Y49" i="2"/>
  <c r="R47" i="5" s="1"/>
  <c r="Y48" i="2"/>
  <c r="R46" i="5" s="1"/>
  <c r="Y47" i="2"/>
  <c r="R45" i="5" s="1"/>
  <c r="Y46" i="2"/>
  <c r="R44" i="5" s="1"/>
  <c r="Y45" i="2"/>
  <c r="R43" i="5" s="1"/>
  <c r="Y44" i="2"/>
  <c r="R42" i="5" s="1"/>
  <c r="Y43" i="2"/>
  <c r="R41" i="5" s="1"/>
  <c r="Y42" i="2"/>
  <c r="R40" i="5" s="1"/>
  <c r="Y41" i="2"/>
  <c r="R39" i="5" s="1"/>
  <c r="Y40" i="2"/>
  <c r="R38" i="5" s="1"/>
  <c r="Y39" i="2"/>
  <c r="R37" i="5" s="1"/>
  <c r="Y38" i="2"/>
  <c r="R36" i="5" s="1"/>
  <c r="Y37" i="2"/>
  <c r="R35" i="5" s="1"/>
  <c r="Y36" i="2"/>
  <c r="R34" i="5" s="1"/>
  <c r="Y35" i="2"/>
  <c r="R33" i="5" s="1"/>
  <c r="Y34" i="2"/>
  <c r="R32" i="5" s="1"/>
  <c r="Y33" i="2"/>
  <c r="R31" i="5" s="1"/>
  <c r="Y32" i="2"/>
  <c r="R30" i="5" s="1"/>
  <c r="Y31" i="2"/>
  <c r="R29" i="5" s="1"/>
  <c r="Y30" i="2"/>
  <c r="R28" i="5" s="1"/>
  <c r="Y29" i="2"/>
  <c r="R27" i="5" s="1"/>
  <c r="Y28" i="2"/>
  <c r="R26" i="5" s="1"/>
  <c r="Y27" i="2"/>
  <c r="R25" i="5" s="1"/>
  <c r="Y26" i="2"/>
  <c r="R24" i="5" s="1"/>
  <c r="Y25" i="2"/>
  <c r="R23" i="5" s="1"/>
  <c r="Y24" i="2"/>
  <c r="R22" i="5" s="1"/>
  <c r="Y23" i="2"/>
  <c r="R21" i="5" s="1"/>
  <c r="Y22" i="2"/>
  <c r="R20" i="5" s="1"/>
  <c r="Y21" i="2"/>
  <c r="R19" i="5" s="1"/>
  <c r="Y20" i="2"/>
  <c r="R18" i="5" s="1"/>
  <c r="L21" i="2"/>
  <c r="F19" i="5" s="1"/>
  <c r="L22" i="2"/>
  <c r="F20" i="5" s="1"/>
  <c r="L23" i="2"/>
  <c r="F21" i="5" s="1"/>
  <c r="L24" i="2"/>
  <c r="F22" i="5" s="1"/>
  <c r="L25" i="2"/>
  <c r="F23" i="5" s="1"/>
  <c r="L26" i="2"/>
  <c r="F24" i="5" s="1"/>
  <c r="L27" i="2"/>
  <c r="F25" i="5" s="1"/>
  <c r="L28" i="2"/>
  <c r="F26" i="5" s="1"/>
  <c r="L29" i="2"/>
  <c r="F27" i="5" s="1"/>
  <c r="L30" i="2"/>
  <c r="F28" i="5" s="1"/>
  <c r="L31" i="2"/>
  <c r="F29" i="5" s="1"/>
  <c r="L32" i="2"/>
  <c r="F30" i="5" s="1"/>
  <c r="L33" i="2"/>
  <c r="F31" i="5" s="1"/>
  <c r="L34" i="2"/>
  <c r="F32" i="5" s="1"/>
  <c r="L35" i="2"/>
  <c r="F33" i="5" s="1"/>
  <c r="L36" i="2"/>
  <c r="F34" i="5" s="1"/>
  <c r="L37" i="2"/>
  <c r="F35" i="5" s="1"/>
  <c r="L38" i="2"/>
  <c r="F36" i="5" s="1"/>
  <c r="L39" i="2"/>
  <c r="F37" i="5" s="1"/>
  <c r="L40" i="2"/>
  <c r="F38" i="5" s="1"/>
  <c r="L41" i="2"/>
  <c r="F39" i="5" s="1"/>
  <c r="L42" i="2"/>
  <c r="F40" i="5" s="1"/>
  <c r="L43" i="2"/>
  <c r="F41" i="5" s="1"/>
  <c r="L44" i="2"/>
  <c r="F42" i="5" s="1"/>
  <c r="L45" i="2"/>
  <c r="F43" i="5" s="1"/>
  <c r="L46" i="2"/>
  <c r="F44" i="5" s="1"/>
  <c r="L47" i="2"/>
  <c r="F45" i="5" s="1"/>
  <c r="L48" i="2"/>
  <c r="F46" i="5" s="1"/>
  <c r="L49" i="2"/>
  <c r="F47" i="5" s="1"/>
  <c r="L50" i="2"/>
  <c r="F48" i="5" s="1"/>
  <c r="L51" i="2"/>
  <c r="F49" i="5" s="1"/>
  <c r="L52" i="2"/>
  <c r="F50" i="5" s="1"/>
  <c r="L53" i="2"/>
  <c r="F51" i="5" s="1"/>
  <c r="L54" i="2"/>
  <c r="F52" i="5" s="1"/>
  <c r="L55" i="2"/>
  <c r="F53" i="5" s="1"/>
  <c r="L56" i="2"/>
  <c r="F54" i="5" s="1"/>
  <c r="L57" i="2"/>
  <c r="F55" i="5" s="1"/>
  <c r="L58" i="2"/>
  <c r="F56" i="5" s="1"/>
  <c r="L59" i="2"/>
  <c r="F57" i="5" s="1"/>
  <c r="L60" i="2"/>
  <c r="F58" i="5" s="1"/>
  <c r="L61" i="2"/>
  <c r="F59" i="5" s="1"/>
  <c r="L62" i="2"/>
  <c r="F60" i="5" s="1"/>
  <c r="L63" i="2"/>
  <c r="F61" i="5" s="1"/>
  <c r="L64" i="2"/>
  <c r="F62" i="5" s="1"/>
  <c r="L65" i="2"/>
  <c r="F63" i="5" s="1"/>
  <c r="L66" i="2"/>
  <c r="F64" i="5" s="1"/>
  <c r="L67" i="2"/>
  <c r="F65" i="5" s="1"/>
  <c r="L68" i="2"/>
  <c r="F66" i="5" s="1"/>
  <c r="L69" i="2"/>
  <c r="F67" i="5" s="1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20" i="2"/>
  <c r="F18" i="5" s="1"/>
  <c r="C19" i="5"/>
  <c r="C20" i="5"/>
  <c r="C21" i="5" s="1"/>
  <c r="C22" i="5" s="1"/>
  <c r="C23" i="5"/>
  <c r="C24" i="5" s="1"/>
  <c r="C25" i="5" s="1"/>
  <c r="C26" i="5" s="1"/>
  <c r="C27" i="5" s="1"/>
  <c r="C28" i="5" s="1"/>
  <c r="C29" i="5" s="1"/>
  <c r="C30" i="5" s="1"/>
  <c r="C31" i="5" s="1"/>
  <c r="C32" i="5" s="1"/>
  <c r="D19" i="5"/>
  <c r="AD68" i="5" l="1"/>
  <c r="R68" i="5"/>
  <c r="F68" i="5"/>
  <c r="D20" i="5"/>
  <c r="P20" i="5"/>
  <c r="P21" i="5" s="1"/>
  <c r="AA9" i="5"/>
  <c r="C33" i="5"/>
  <c r="C34" i="5" s="1"/>
  <c r="C35" i="5" s="1"/>
  <c r="C36" i="5" s="1"/>
  <c r="C37" i="5" s="1"/>
  <c r="C38" i="5" s="1"/>
  <c r="C39" i="5" s="1"/>
  <c r="C40" i="5" s="1"/>
  <c r="C41" i="5" s="1"/>
  <c r="C42" i="5" s="1"/>
  <c r="C43" i="5" s="1"/>
  <c r="C44" i="5" s="1"/>
  <c r="C45" i="5" s="1"/>
  <c r="C46" i="5" s="1"/>
  <c r="C47" i="5" s="1"/>
  <c r="C48" i="5" s="1"/>
  <c r="C49" i="5" s="1"/>
  <c r="C50" i="5" s="1"/>
  <c r="C51" i="5" s="1"/>
  <c r="C52" i="5" s="1"/>
  <c r="C53" i="5" s="1"/>
  <c r="C54" i="5" s="1"/>
  <c r="C55" i="5" s="1"/>
  <c r="C56" i="5" s="1"/>
  <c r="C57" i="5" s="1"/>
  <c r="C58" i="5" s="1"/>
  <c r="C59" i="5" s="1"/>
  <c r="C60" i="5" s="1"/>
  <c r="C61" i="5" s="1"/>
  <c r="C62" i="5" s="1"/>
  <c r="C63" i="5" s="1"/>
  <c r="C64" i="5" s="1"/>
  <c r="C65" i="5" s="1"/>
  <c r="C66" i="5" s="1"/>
  <c r="C67" i="5" s="1"/>
  <c r="C68" i="5" s="1"/>
  <c r="AB20" i="5"/>
  <c r="AL56" i="4"/>
  <c r="AM52" i="4" s="1"/>
  <c r="AC65" i="5" s="1"/>
  <c r="Y56" i="4"/>
  <c r="Z56" i="4" s="1"/>
  <c r="L56" i="4"/>
  <c r="M10" i="4" s="1"/>
  <c r="E23" i="5" s="1"/>
  <c r="DL6" i="3"/>
  <c r="DL7" i="3"/>
  <c r="DL8" i="3"/>
  <c r="DL9" i="3"/>
  <c r="DL10" i="3"/>
  <c r="DL11" i="3"/>
  <c r="DL12" i="3"/>
  <c r="DL13" i="3"/>
  <c r="CV14" i="3"/>
  <c r="D14" i="3"/>
  <c r="Z10" i="4" l="1"/>
  <c r="Q23" i="5" s="1"/>
  <c r="T23" i="5" s="1"/>
  <c r="Z11" i="4"/>
  <c r="Q24" i="5" s="1"/>
  <c r="AM39" i="4"/>
  <c r="AC52" i="5" s="1"/>
  <c r="AE52" i="5" s="1"/>
  <c r="Z13" i="4"/>
  <c r="Q26" i="5" s="1"/>
  <c r="T26" i="5" s="1"/>
  <c r="AM41" i="4"/>
  <c r="AC54" i="5" s="1"/>
  <c r="AE54" i="5" s="1"/>
  <c r="Z17" i="4"/>
  <c r="Q30" i="5" s="1"/>
  <c r="T30" i="5" s="1"/>
  <c r="AM42" i="4"/>
  <c r="AC55" i="5" s="1"/>
  <c r="AF55" i="5" s="1"/>
  <c r="Z42" i="4"/>
  <c r="Q55" i="5" s="1"/>
  <c r="AM43" i="4"/>
  <c r="AC56" i="5" s="1"/>
  <c r="AF56" i="5" s="1"/>
  <c r="Z9" i="4"/>
  <c r="Q22" i="5" s="1"/>
  <c r="AM45" i="4"/>
  <c r="AC58" i="5" s="1"/>
  <c r="AE58" i="5" s="1"/>
  <c r="AM17" i="4"/>
  <c r="AC30" i="5" s="1"/>
  <c r="AE30" i="5" s="1"/>
  <c r="AM21" i="4"/>
  <c r="AC34" i="5" s="1"/>
  <c r="AF34" i="5" s="1"/>
  <c r="Z12" i="4"/>
  <c r="Q25" i="5" s="1"/>
  <c r="Z44" i="4"/>
  <c r="Q57" i="5" s="1"/>
  <c r="AM18" i="4"/>
  <c r="AC31" i="5" s="1"/>
  <c r="AE31" i="5" s="1"/>
  <c r="AM23" i="4"/>
  <c r="AC36" i="5" s="1"/>
  <c r="AE36" i="5" s="1"/>
  <c r="AM19" i="4"/>
  <c r="AC32" i="5" s="1"/>
  <c r="AF32" i="5" s="1"/>
  <c r="AM22" i="4"/>
  <c r="AC35" i="5" s="1"/>
  <c r="AE35" i="5" s="1"/>
  <c r="AM40" i="4"/>
  <c r="AC53" i="5" s="1"/>
  <c r="AE53" i="5" s="1"/>
  <c r="Z51" i="4"/>
  <c r="Q64" i="5" s="1"/>
  <c r="T64" i="5" s="1"/>
  <c r="Z5" i="4"/>
  <c r="Q18" i="5" s="1"/>
  <c r="Z43" i="4"/>
  <c r="Q56" i="5" s="1"/>
  <c r="T56" i="5" s="1"/>
  <c r="Z45" i="4"/>
  <c r="Q58" i="5" s="1"/>
  <c r="T58" i="5" s="1"/>
  <c r="Z50" i="4"/>
  <c r="Q63" i="5" s="1"/>
  <c r="Z52" i="4"/>
  <c r="Q65" i="5" s="1"/>
  <c r="AM16" i="4"/>
  <c r="AC29" i="5" s="1"/>
  <c r="AE29" i="5" s="1"/>
  <c r="M32" i="4"/>
  <c r="E45" i="5" s="1"/>
  <c r="H45" i="5" s="1"/>
  <c r="M29" i="4"/>
  <c r="E42" i="5" s="1"/>
  <c r="M54" i="4"/>
  <c r="E67" i="5" s="1"/>
  <c r="G67" i="5" s="1"/>
  <c r="M31" i="4"/>
  <c r="E44" i="5" s="1"/>
  <c r="M56" i="4"/>
  <c r="M25" i="4"/>
  <c r="E38" i="5" s="1"/>
  <c r="H38" i="5" s="1"/>
  <c r="AM46" i="4"/>
  <c r="AC59" i="5" s="1"/>
  <c r="AM47" i="4"/>
  <c r="AC60" i="5" s="1"/>
  <c r="AF60" i="5" s="1"/>
  <c r="M53" i="4"/>
  <c r="E66" i="5" s="1"/>
  <c r="G66" i="5" s="1"/>
  <c r="AM25" i="4"/>
  <c r="AC38" i="5" s="1"/>
  <c r="AF38" i="5" s="1"/>
  <c r="AM48" i="4"/>
  <c r="AC61" i="5" s="1"/>
  <c r="Z55" i="4"/>
  <c r="Q68" i="5" s="1"/>
  <c r="S68" i="5" s="1"/>
  <c r="M21" i="4"/>
  <c r="E34" i="5" s="1"/>
  <c r="AM26" i="4"/>
  <c r="AC39" i="5" s="1"/>
  <c r="AF39" i="5" s="1"/>
  <c r="AM49" i="4"/>
  <c r="AC62" i="5" s="1"/>
  <c r="AE62" i="5" s="1"/>
  <c r="DL14" i="3"/>
  <c r="M46" i="4"/>
  <c r="E59" i="5" s="1"/>
  <c r="H59" i="5" s="1"/>
  <c r="Z21" i="4"/>
  <c r="Q34" i="5" s="1"/>
  <c r="T34" i="5" s="1"/>
  <c r="AM6" i="4"/>
  <c r="AC19" i="5" s="1"/>
  <c r="AM29" i="4"/>
  <c r="AC42" i="5" s="1"/>
  <c r="AM51" i="4"/>
  <c r="AC64" i="5" s="1"/>
  <c r="AF64" i="5" s="1"/>
  <c r="M27" i="4"/>
  <c r="E40" i="5" s="1"/>
  <c r="AM53" i="4"/>
  <c r="AC66" i="5" s="1"/>
  <c r="M23" i="4"/>
  <c r="E36" i="5" s="1"/>
  <c r="H36" i="5" s="1"/>
  <c r="M22" i="4"/>
  <c r="E35" i="5" s="1"/>
  <c r="H35" i="5" s="1"/>
  <c r="M47" i="4"/>
  <c r="E60" i="5" s="1"/>
  <c r="H60" i="5" s="1"/>
  <c r="AM27" i="4"/>
  <c r="AC40" i="5" s="1"/>
  <c r="AE40" i="5" s="1"/>
  <c r="M16" i="4"/>
  <c r="E29" i="5" s="1"/>
  <c r="H29" i="5" s="1"/>
  <c r="M41" i="4"/>
  <c r="E54" i="5" s="1"/>
  <c r="H54" i="5" s="1"/>
  <c r="M15" i="4"/>
  <c r="E28" i="5" s="1"/>
  <c r="Z26" i="4"/>
  <c r="Q39" i="5" s="1"/>
  <c r="AM8" i="4"/>
  <c r="AC21" i="5" s="1"/>
  <c r="AF21" i="5" s="1"/>
  <c r="AM31" i="4"/>
  <c r="AC44" i="5" s="1"/>
  <c r="AE44" i="5" s="1"/>
  <c r="AM54" i="4"/>
  <c r="AC67" i="5" s="1"/>
  <c r="M55" i="4"/>
  <c r="E68" i="5" s="1"/>
  <c r="H68" i="5" s="1"/>
  <c r="AM9" i="4"/>
  <c r="AC22" i="5" s="1"/>
  <c r="AF22" i="5" s="1"/>
  <c r="AM55" i="4"/>
  <c r="AC68" i="5" s="1"/>
  <c r="AF68" i="5" s="1"/>
  <c r="M45" i="4"/>
  <c r="E58" i="5" s="1"/>
  <c r="AM30" i="4"/>
  <c r="AC43" i="5" s="1"/>
  <c r="M40" i="4"/>
  <c r="E53" i="5" s="1"/>
  <c r="H53" i="5" s="1"/>
  <c r="M14" i="4"/>
  <c r="E27" i="5" s="1"/>
  <c r="Z27" i="4"/>
  <c r="Q40" i="5" s="1"/>
  <c r="AM32" i="4"/>
  <c r="AC45" i="5" s="1"/>
  <c r="AF45" i="5" s="1"/>
  <c r="M39" i="4"/>
  <c r="E52" i="5" s="1"/>
  <c r="M13" i="4"/>
  <c r="E26" i="5" s="1"/>
  <c r="G26" i="5" s="1"/>
  <c r="Z28" i="4"/>
  <c r="Q41" i="5" s="1"/>
  <c r="T41" i="5" s="1"/>
  <c r="AM10" i="4"/>
  <c r="AC23" i="5" s="1"/>
  <c r="AE23" i="5" s="1"/>
  <c r="AM33" i="4"/>
  <c r="AC46" i="5" s="1"/>
  <c r="AM56" i="4"/>
  <c r="M5" i="4"/>
  <c r="E18" i="5" s="1"/>
  <c r="H18" i="5" s="1"/>
  <c r="I18" i="5" s="1"/>
  <c r="J18" i="5" s="1"/>
  <c r="M30" i="4"/>
  <c r="E43" i="5" s="1"/>
  <c r="H43" i="5" s="1"/>
  <c r="AM50" i="4"/>
  <c r="AC63" i="5" s="1"/>
  <c r="AE63" i="5" s="1"/>
  <c r="Z33" i="4"/>
  <c r="Q46" i="5" s="1"/>
  <c r="T46" i="5" s="1"/>
  <c r="AM11" i="4"/>
  <c r="AC24" i="5" s="1"/>
  <c r="AM34" i="4"/>
  <c r="AC47" i="5" s="1"/>
  <c r="AF47" i="5" s="1"/>
  <c r="Z18" i="4"/>
  <c r="Q31" i="5" s="1"/>
  <c r="Z20" i="4"/>
  <c r="Q33" i="5" s="1"/>
  <c r="T33" i="5" s="1"/>
  <c r="M43" i="4"/>
  <c r="E56" i="5" s="1"/>
  <c r="H56" i="5" s="1"/>
  <c r="M37" i="4"/>
  <c r="E50" i="5" s="1"/>
  <c r="Z34" i="4"/>
  <c r="Q47" i="5" s="1"/>
  <c r="T47" i="5" s="1"/>
  <c r="AM13" i="4"/>
  <c r="AC26" i="5" s="1"/>
  <c r="AM35" i="4"/>
  <c r="AC48" i="5" s="1"/>
  <c r="M6" i="4"/>
  <c r="E19" i="5" s="1"/>
  <c r="H19" i="5" s="1"/>
  <c r="M51" i="4"/>
  <c r="E64" i="5" s="1"/>
  <c r="H64" i="5" s="1"/>
  <c r="M24" i="4"/>
  <c r="E37" i="5" s="1"/>
  <c r="H37" i="5" s="1"/>
  <c r="M49" i="4"/>
  <c r="E62" i="5" s="1"/>
  <c r="H62" i="5" s="1"/>
  <c r="M48" i="4"/>
  <c r="E61" i="5" s="1"/>
  <c r="H61" i="5" s="1"/>
  <c r="AM5" i="4"/>
  <c r="AC18" i="5" s="1"/>
  <c r="M17" i="4"/>
  <c r="E30" i="5" s="1"/>
  <c r="G30" i="5" s="1"/>
  <c r="Z25" i="4"/>
  <c r="Q38" i="5" s="1"/>
  <c r="T38" i="5" s="1"/>
  <c r="M11" i="4"/>
  <c r="E24" i="5" s="1"/>
  <c r="M9" i="4"/>
  <c r="E22" i="5" s="1"/>
  <c r="G22" i="5" s="1"/>
  <c r="M35" i="4"/>
  <c r="E48" i="5" s="1"/>
  <c r="M8" i="4"/>
  <c r="E21" i="5" s="1"/>
  <c r="H21" i="5" s="1"/>
  <c r="Z35" i="4"/>
  <c r="Q48" i="5" s="1"/>
  <c r="AM14" i="4"/>
  <c r="AC27" i="5" s="1"/>
  <c r="AE27" i="5" s="1"/>
  <c r="AM37" i="4"/>
  <c r="AC50" i="5" s="1"/>
  <c r="AM24" i="4"/>
  <c r="AC37" i="5" s="1"/>
  <c r="AE37" i="5" s="1"/>
  <c r="Z19" i="4"/>
  <c r="Q32" i="5" s="1"/>
  <c r="T32" i="5" s="1"/>
  <c r="M19" i="4"/>
  <c r="E32" i="5" s="1"/>
  <c r="AM7" i="4"/>
  <c r="AC20" i="5" s="1"/>
  <c r="AF20" i="5" s="1"/>
  <c r="M38" i="4"/>
  <c r="E51" i="5" s="1"/>
  <c r="G51" i="5" s="1"/>
  <c r="M33" i="4"/>
  <c r="E46" i="5" s="1"/>
  <c r="G46" i="5" s="1"/>
  <c r="M7" i="4"/>
  <c r="E20" i="5" s="1"/>
  <c r="H20" i="5" s="1"/>
  <c r="Z37" i="4"/>
  <c r="Q50" i="5" s="1"/>
  <c r="AM15" i="4"/>
  <c r="AC28" i="5" s="1"/>
  <c r="AE28" i="5" s="1"/>
  <c r="AM38" i="4"/>
  <c r="AC51" i="5" s="1"/>
  <c r="AE65" i="5"/>
  <c r="AF65" i="5"/>
  <c r="H23" i="5"/>
  <c r="G23" i="5"/>
  <c r="S64" i="5"/>
  <c r="S23" i="5"/>
  <c r="Z29" i="4"/>
  <c r="Q42" i="5" s="1"/>
  <c r="T42" i="5" s="1"/>
  <c r="Z38" i="4"/>
  <c r="Q51" i="5" s="1"/>
  <c r="T51" i="5" s="1"/>
  <c r="Z46" i="4"/>
  <c r="Q59" i="5" s="1"/>
  <c r="T59" i="5" s="1"/>
  <c r="AF52" i="5"/>
  <c r="M52" i="4"/>
  <c r="E65" i="5" s="1"/>
  <c r="M44" i="4"/>
  <c r="E57" i="5" s="1"/>
  <c r="M36" i="4"/>
  <c r="E49" i="5" s="1"/>
  <c r="M28" i="4"/>
  <c r="E41" i="5" s="1"/>
  <c r="M20" i="4"/>
  <c r="E33" i="5" s="1"/>
  <c r="M12" i="4"/>
  <c r="E25" i="5" s="1"/>
  <c r="Z6" i="4"/>
  <c r="Q19" i="5" s="1"/>
  <c r="T19" i="5" s="1"/>
  <c r="Z14" i="4"/>
  <c r="Q27" i="5" s="1"/>
  <c r="T27" i="5" s="1"/>
  <c r="Z22" i="4"/>
  <c r="Q35" i="5" s="1"/>
  <c r="T35" i="5" s="1"/>
  <c r="Z30" i="4"/>
  <c r="Q43" i="5" s="1"/>
  <c r="T43" i="5" s="1"/>
  <c r="Z39" i="4"/>
  <c r="Q52" i="5" s="1"/>
  <c r="T52" i="5" s="1"/>
  <c r="Z47" i="4"/>
  <c r="Q60" i="5" s="1"/>
  <c r="T60" i="5" s="1"/>
  <c r="AM12" i="4"/>
  <c r="AC25" i="5" s="1"/>
  <c r="AM20" i="4"/>
  <c r="AC33" i="5" s="1"/>
  <c r="AM28" i="4"/>
  <c r="AC41" i="5" s="1"/>
  <c r="AM36" i="4"/>
  <c r="AC49" i="5" s="1"/>
  <c r="AM44" i="4"/>
  <c r="AC57" i="5" s="1"/>
  <c r="Z7" i="4"/>
  <c r="Q20" i="5" s="1"/>
  <c r="T20" i="5" s="1"/>
  <c r="Z23" i="4"/>
  <c r="Q36" i="5" s="1"/>
  <c r="T36" i="5" s="1"/>
  <c r="Z31" i="4"/>
  <c r="Q44" i="5" s="1"/>
  <c r="T44" i="5" s="1"/>
  <c r="Z40" i="4"/>
  <c r="Q53" i="5" s="1"/>
  <c r="T53" i="5" s="1"/>
  <c r="Z48" i="4"/>
  <c r="Q61" i="5" s="1"/>
  <c r="T61" i="5" s="1"/>
  <c r="D21" i="5"/>
  <c r="Z15" i="4"/>
  <c r="Q28" i="5" s="1"/>
  <c r="T28" i="5" s="1"/>
  <c r="M50" i="4"/>
  <c r="E63" i="5" s="1"/>
  <c r="M42" i="4"/>
  <c r="E55" i="5" s="1"/>
  <c r="M34" i="4"/>
  <c r="E47" i="5" s="1"/>
  <c r="M26" i="4"/>
  <c r="E39" i="5" s="1"/>
  <c r="M18" i="4"/>
  <c r="E31" i="5" s="1"/>
  <c r="Z8" i="4"/>
  <c r="Q21" i="5" s="1"/>
  <c r="T21" i="5" s="1"/>
  <c r="Z16" i="4"/>
  <c r="Q29" i="5" s="1"/>
  <c r="T29" i="5" s="1"/>
  <c r="Z24" i="4"/>
  <c r="Q37" i="5" s="1"/>
  <c r="T37" i="5" s="1"/>
  <c r="Z32" i="4"/>
  <c r="Q45" i="5" s="1"/>
  <c r="T45" i="5" s="1"/>
  <c r="Z41" i="4"/>
  <c r="Q54" i="5" s="1"/>
  <c r="T54" i="5" s="1"/>
  <c r="Z49" i="4"/>
  <c r="Q62" i="5" s="1"/>
  <c r="T62" i="5" s="1"/>
  <c r="AB21" i="5"/>
  <c r="P22" i="5"/>
  <c r="Z53" i="4"/>
  <c r="Q66" i="5" s="1"/>
  <c r="T66" i="5" s="1"/>
  <c r="Z54" i="4"/>
  <c r="Q67" i="5" s="1"/>
  <c r="T67" i="5" s="1"/>
  <c r="Z36" i="4"/>
  <c r="Q49" i="5" s="1"/>
  <c r="T49" i="5" s="1"/>
  <c r="Y15" i="1"/>
  <c r="X15" i="1"/>
  <c r="W15" i="1"/>
  <c r="V15" i="1"/>
  <c r="U15" i="1"/>
  <c r="T15" i="1"/>
  <c r="S15" i="1"/>
  <c r="R15" i="1"/>
  <c r="Q15" i="1"/>
  <c r="Y14" i="1"/>
  <c r="X14" i="1"/>
  <c r="W14" i="1"/>
  <c r="V14" i="1"/>
  <c r="U14" i="1"/>
  <c r="T14" i="1"/>
  <c r="S14" i="1"/>
  <c r="R14" i="1"/>
  <c r="Q14" i="1"/>
  <c r="Y13" i="1"/>
  <c r="X13" i="1"/>
  <c r="W13" i="1"/>
  <c r="V13" i="1"/>
  <c r="U13" i="1"/>
  <c r="T13" i="1"/>
  <c r="S13" i="1"/>
  <c r="R13" i="1"/>
  <c r="Q13" i="1"/>
  <c r="Y12" i="1"/>
  <c r="X12" i="1"/>
  <c r="W12" i="1"/>
  <c r="V12" i="1"/>
  <c r="U12" i="1"/>
  <c r="T12" i="1"/>
  <c r="S12" i="1"/>
  <c r="R12" i="1"/>
  <c r="Q12" i="1"/>
  <c r="Y11" i="1"/>
  <c r="X11" i="1"/>
  <c r="W11" i="1"/>
  <c r="V11" i="1"/>
  <c r="U11" i="1"/>
  <c r="T11" i="1"/>
  <c r="S11" i="1"/>
  <c r="R11" i="1"/>
  <c r="Q11" i="1"/>
  <c r="Y10" i="1"/>
  <c r="X10" i="1"/>
  <c r="W10" i="1"/>
  <c r="V10" i="1"/>
  <c r="U10" i="1"/>
  <c r="T10" i="1"/>
  <c r="S10" i="1"/>
  <c r="R10" i="1"/>
  <c r="Q10" i="1"/>
  <c r="Y9" i="1"/>
  <c r="X9" i="1"/>
  <c r="W9" i="1"/>
  <c r="V9" i="1"/>
  <c r="U9" i="1"/>
  <c r="T9" i="1"/>
  <c r="S9" i="1"/>
  <c r="R9" i="1"/>
  <c r="Q9" i="1"/>
  <c r="Y8" i="1"/>
  <c r="X8" i="1"/>
  <c r="W8" i="1"/>
  <c r="V8" i="1"/>
  <c r="U8" i="1"/>
  <c r="T8" i="1"/>
  <c r="S8" i="1"/>
  <c r="R8" i="1"/>
  <c r="Q8" i="1"/>
  <c r="Y7" i="1"/>
  <c r="X7" i="1"/>
  <c r="W7" i="1"/>
  <c r="V7" i="1"/>
  <c r="U7" i="1"/>
  <c r="T7" i="1"/>
  <c r="S7" i="1"/>
  <c r="R7" i="1"/>
  <c r="Q16" i="1" l="1"/>
  <c r="AE55" i="5"/>
  <c r="AF54" i="5"/>
  <c r="AE68" i="5"/>
  <c r="AF29" i="5"/>
  <c r="AE22" i="5"/>
  <c r="S56" i="5"/>
  <c r="S26" i="5"/>
  <c r="S30" i="5"/>
  <c r="AF30" i="5"/>
  <c r="S46" i="5"/>
  <c r="AF44" i="5"/>
  <c r="H67" i="5"/>
  <c r="I67" i="5" s="1"/>
  <c r="H30" i="5"/>
  <c r="I30" i="5" s="1"/>
  <c r="S47" i="5"/>
  <c r="G18" i="5"/>
  <c r="S38" i="5"/>
  <c r="AE21" i="5"/>
  <c r="AF58" i="5"/>
  <c r="G54" i="5"/>
  <c r="S57" i="5"/>
  <c r="T57" i="5"/>
  <c r="T25" i="5"/>
  <c r="T40" i="5"/>
  <c r="AE34" i="5"/>
  <c r="S22" i="5"/>
  <c r="T22" i="5"/>
  <c r="S31" i="5"/>
  <c r="T31" i="5"/>
  <c r="S55" i="5"/>
  <c r="T55" i="5"/>
  <c r="S48" i="5"/>
  <c r="T48" i="5"/>
  <c r="S65" i="5"/>
  <c r="T65" i="5"/>
  <c r="AE56" i="5"/>
  <c r="S63" i="5"/>
  <c r="T63" i="5"/>
  <c r="S50" i="5"/>
  <c r="T50" i="5"/>
  <c r="G45" i="5"/>
  <c r="S39" i="5"/>
  <c r="T39" i="5"/>
  <c r="S18" i="5"/>
  <c r="T18" i="5"/>
  <c r="U18" i="5" s="1"/>
  <c r="V18" i="5" s="1"/>
  <c r="S24" i="5"/>
  <c r="T24" i="5"/>
  <c r="T68" i="5"/>
  <c r="I60" i="5"/>
  <c r="I53" i="5"/>
  <c r="I64" i="5"/>
  <c r="I56" i="5"/>
  <c r="I35" i="5"/>
  <c r="I43" i="5"/>
  <c r="I37" i="5"/>
  <c r="I19" i="5"/>
  <c r="J19" i="5" s="1"/>
  <c r="D4" i="5" s="1"/>
  <c r="I36" i="5"/>
  <c r="I38" i="5"/>
  <c r="I54" i="5"/>
  <c r="I20" i="5"/>
  <c r="J20" i="5" s="1"/>
  <c r="AE38" i="5"/>
  <c r="G61" i="5"/>
  <c r="AE39" i="5"/>
  <c r="G60" i="5"/>
  <c r="G64" i="5"/>
  <c r="AE47" i="5"/>
  <c r="G38" i="5"/>
  <c r="AE60" i="5"/>
  <c r="AF53" i="5"/>
  <c r="AF40" i="5"/>
  <c r="AF35" i="5"/>
  <c r="G20" i="5"/>
  <c r="AF37" i="5"/>
  <c r="AF36" i="5"/>
  <c r="AF27" i="5"/>
  <c r="G59" i="5"/>
  <c r="H22" i="5"/>
  <c r="I22" i="5" s="1"/>
  <c r="AF31" i="5"/>
  <c r="S25" i="5"/>
  <c r="AF63" i="5"/>
  <c r="I59" i="5"/>
  <c r="I23" i="5"/>
  <c r="I62" i="5"/>
  <c r="I29" i="5"/>
  <c r="I21" i="5"/>
  <c r="J21" i="5" s="1"/>
  <c r="I68" i="5"/>
  <c r="I45" i="5"/>
  <c r="I61" i="5"/>
  <c r="G37" i="5"/>
  <c r="AE32" i="5"/>
  <c r="AF62" i="5"/>
  <c r="S58" i="5"/>
  <c r="H26" i="5"/>
  <c r="I26" i="5" s="1"/>
  <c r="AE64" i="5"/>
  <c r="G19" i="5"/>
  <c r="G21" i="5"/>
  <c r="H51" i="5"/>
  <c r="I51" i="5" s="1"/>
  <c r="G56" i="5"/>
  <c r="S41" i="5"/>
  <c r="AE61" i="5"/>
  <c r="AF61" i="5"/>
  <c r="G52" i="5"/>
  <c r="H52" i="5"/>
  <c r="I52" i="5" s="1"/>
  <c r="AF48" i="5"/>
  <c r="AE48" i="5"/>
  <c r="G32" i="5"/>
  <c r="H32" i="5"/>
  <c r="I32" i="5" s="1"/>
  <c r="AE26" i="5"/>
  <c r="AF26" i="5"/>
  <c r="S32" i="5"/>
  <c r="G27" i="5"/>
  <c r="H27" i="5"/>
  <c r="I27" i="5" s="1"/>
  <c r="AF66" i="5"/>
  <c r="AE66" i="5"/>
  <c r="AF59" i="5"/>
  <c r="AE59" i="5"/>
  <c r="G36" i="5"/>
  <c r="H50" i="5"/>
  <c r="I50" i="5" s="1"/>
  <c r="G50" i="5"/>
  <c r="G40" i="5"/>
  <c r="H40" i="5"/>
  <c r="I40" i="5" s="1"/>
  <c r="AE45" i="5"/>
  <c r="AE43" i="5"/>
  <c r="AF43" i="5"/>
  <c r="AF50" i="5"/>
  <c r="AE50" i="5"/>
  <c r="H58" i="5"/>
  <c r="I58" i="5" s="1"/>
  <c r="G58" i="5"/>
  <c r="G44" i="5"/>
  <c r="H44" i="5"/>
  <c r="I44" i="5" s="1"/>
  <c r="AF42" i="5"/>
  <c r="AE42" i="5"/>
  <c r="G68" i="5"/>
  <c r="AE19" i="5"/>
  <c r="AF19" i="5"/>
  <c r="S34" i="5"/>
  <c r="G42" i="5"/>
  <c r="H42" i="5"/>
  <c r="I42" i="5" s="1"/>
  <c r="H66" i="5"/>
  <c r="I66" i="5" s="1"/>
  <c r="AF28" i="5"/>
  <c r="S40" i="5"/>
  <c r="H48" i="5"/>
  <c r="I48" i="5" s="1"/>
  <c r="G48" i="5"/>
  <c r="AE24" i="5"/>
  <c r="AF24" i="5"/>
  <c r="H46" i="5"/>
  <c r="I46" i="5" s="1"/>
  <c r="AE67" i="5"/>
  <c r="AF67" i="5"/>
  <c r="G29" i="5"/>
  <c r="G62" i="5"/>
  <c r="H24" i="5"/>
  <c r="I24" i="5" s="1"/>
  <c r="G24" i="5"/>
  <c r="AF23" i="5"/>
  <c r="G43" i="5"/>
  <c r="S33" i="5"/>
  <c r="G53" i="5"/>
  <c r="AF51" i="5"/>
  <c r="AE51" i="5"/>
  <c r="AE18" i="5"/>
  <c r="AF18" i="5"/>
  <c r="H28" i="5"/>
  <c r="I28" i="5" s="1"/>
  <c r="G28" i="5"/>
  <c r="H34" i="5"/>
  <c r="I34" i="5" s="1"/>
  <c r="G34" i="5"/>
  <c r="AE20" i="5"/>
  <c r="G35" i="5"/>
  <c r="AE46" i="5"/>
  <c r="AF46" i="5"/>
  <c r="S20" i="5"/>
  <c r="S19" i="5"/>
  <c r="S21" i="5"/>
  <c r="H25" i="5"/>
  <c r="I25" i="5" s="1"/>
  <c r="G25" i="5"/>
  <c r="S49" i="5"/>
  <c r="H31" i="5"/>
  <c r="I31" i="5" s="1"/>
  <c r="G31" i="5"/>
  <c r="S67" i="5"/>
  <c r="H41" i="5"/>
  <c r="I41" i="5" s="1"/>
  <c r="G41" i="5"/>
  <c r="S54" i="5"/>
  <c r="G55" i="5"/>
  <c r="H55" i="5"/>
  <c r="I55" i="5" s="1"/>
  <c r="S53" i="5"/>
  <c r="S43" i="5"/>
  <c r="G57" i="5"/>
  <c r="H57" i="5"/>
  <c r="I57" i="5" s="1"/>
  <c r="S42" i="5"/>
  <c r="AE25" i="5"/>
  <c r="AF25" i="5"/>
  <c r="S60" i="5"/>
  <c r="S59" i="5"/>
  <c r="S66" i="5"/>
  <c r="S62" i="5"/>
  <c r="S61" i="5"/>
  <c r="H49" i="5"/>
  <c r="I49" i="5" s="1"/>
  <c r="G49" i="5"/>
  <c r="D22" i="5"/>
  <c r="S45" i="5"/>
  <c r="G63" i="5"/>
  <c r="H63" i="5"/>
  <c r="I63" i="5" s="1"/>
  <c r="S44" i="5"/>
  <c r="AF57" i="5"/>
  <c r="AE57" i="5"/>
  <c r="S35" i="5"/>
  <c r="G65" i="5"/>
  <c r="H65" i="5"/>
  <c r="I65" i="5" s="1"/>
  <c r="S29" i="5"/>
  <c r="AE41" i="5"/>
  <c r="AF41" i="5"/>
  <c r="AF33" i="5"/>
  <c r="AE33" i="5"/>
  <c r="H33" i="5"/>
  <c r="I33" i="5" s="1"/>
  <c r="G33" i="5"/>
  <c r="G39" i="5"/>
  <c r="H39" i="5"/>
  <c r="I39" i="5" s="1"/>
  <c r="G47" i="5"/>
  <c r="H47" i="5"/>
  <c r="I47" i="5" s="1"/>
  <c r="S52" i="5"/>
  <c r="S51" i="5"/>
  <c r="S37" i="5"/>
  <c r="S28" i="5"/>
  <c r="S36" i="5"/>
  <c r="AF49" i="5"/>
  <c r="AE49" i="5"/>
  <c r="S27" i="5"/>
  <c r="AB22" i="5"/>
  <c r="P23" i="5"/>
  <c r="Y16" i="1"/>
  <c r="Z10" i="1"/>
  <c r="Z8" i="1"/>
  <c r="Z15" i="1"/>
  <c r="Z11" i="1"/>
  <c r="Z12" i="1"/>
  <c r="Z9" i="1"/>
  <c r="T16" i="1"/>
  <c r="U16" i="1"/>
  <c r="Z14" i="1"/>
  <c r="W16" i="1"/>
  <c r="S16" i="1"/>
  <c r="Z7" i="1"/>
  <c r="V16" i="1"/>
  <c r="X16" i="1"/>
  <c r="R16" i="1"/>
  <c r="Z13" i="1"/>
  <c r="C64" i="1" l="1"/>
  <c r="AD64" i="1" s="1"/>
  <c r="K18" i="5"/>
  <c r="L19" i="5" s="1"/>
  <c r="U31" i="5"/>
  <c r="I64" i="1"/>
  <c r="J64" i="1"/>
  <c r="G64" i="1"/>
  <c r="D64" i="1"/>
  <c r="F64" i="1"/>
  <c r="K64" i="1"/>
  <c r="H64" i="1"/>
  <c r="E64" i="1"/>
  <c r="I71" i="1"/>
  <c r="AJ71" i="1" s="1"/>
  <c r="AV71" i="1" s="1"/>
  <c r="G71" i="1"/>
  <c r="AH71" i="1" s="1"/>
  <c r="AT71" i="1" s="1"/>
  <c r="D71" i="1"/>
  <c r="AE71" i="1" s="1"/>
  <c r="AQ71" i="1" s="1"/>
  <c r="K71" i="1"/>
  <c r="AL71" i="1" s="1"/>
  <c r="AX71" i="1" s="1"/>
  <c r="E71" i="1"/>
  <c r="AF71" i="1" s="1"/>
  <c r="AR71" i="1" s="1"/>
  <c r="H71" i="1"/>
  <c r="AI71" i="1" s="1"/>
  <c r="AU71" i="1" s="1"/>
  <c r="C71" i="1"/>
  <c r="J71" i="1"/>
  <c r="AK71" i="1" s="1"/>
  <c r="AW71" i="1" s="1"/>
  <c r="F71" i="1"/>
  <c r="AG71" i="1" s="1"/>
  <c r="AS71" i="1" s="1"/>
  <c r="H69" i="1"/>
  <c r="AI69" i="1" s="1"/>
  <c r="AU69" i="1" s="1"/>
  <c r="E69" i="1"/>
  <c r="AF69" i="1" s="1"/>
  <c r="AR69" i="1" s="1"/>
  <c r="J69" i="1"/>
  <c r="AK69" i="1" s="1"/>
  <c r="AW69" i="1" s="1"/>
  <c r="G69" i="1"/>
  <c r="AH69" i="1" s="1"/>
  <c r="AT69" i="1" s="1"/>
  <c r="F69" i="1"/>
  <c r="AG69" i="1" s="1"/>
  <c r="AS69" i="1" s="1"/>
  <c r="K69" i="1"/>
  <c r="AL69" i="1" s="1"/>
  <c r="AX69" i="1" s="1"/>
  <c r="I69" i="1"/>
  <c r="AJ69" i="1" s="1"/>
  <c r="AV69" i="1" s="1"/>
  <c r="D69" i="1"/>
  <c r="AE69" i="1" s="1"/>
  <c r="AQ69" i="1" s="1"/>
  <c r="C69" i="1"/>
  <c r="J65" i="1"/>
  <c r="AK65" i="1" s="1"/>
  <c r="AW65" i="1" s="1"/>
  <c r="H65" i="1"/>
  <c r="AI65" i="1" s="1"/>
  <c r="AU65" i="1" s="1"/>
  <c r="G65" i="1"/>
  <c r="AH65" i="1" s="1"/>
  <c r="AT65" i="1" s="1"/>
  <c r="I65" i="1"/>
  <c r="AJ65" i="1" s="1"/>
  <c r="AV65" i="1" s="1"/>
  <c r="F65" i="1"/>
  <c r="E65" i="1"/>
  <c r="C65" i="1"/>
  <c r="K65" i="1"/>
  <c r="AL65" i="1" s="1"/>
  <c r="AX65" i="1" s="1"/>
  <c r="D65" i="1"/>
  <c r="AE65" i="1" s="1"/>
  <c r="AQ65" i="1" s="1"/>
  <c r="G68" i="1"/>
  <c r="AH68" i="1" s="1"/>
  <c r="AT68" i="1" s="1"/>
  <c r="C68" i="1"/>
  <c r="AD68" i="1" s="1"/>
  <c r="AP68" i="1" s="1"/>
  <c r="F68" i="1"/>
  <c r="AG68" i="1" s="1"/>
  <c r="AS68" i="1" s="1"/>
  <c r="E68" i="1"/>
  <c r="H68" i="1"/>
  <c r="D68" i="1"/>
  <c r="J68" i="1"/>
  <c r="AK68" i="1" s="1"/>
  <c r="AW68" i="1" s="1"/>
  <c r="I68" i="1"/>
  <c r="AJ68" i="1" s="1"/>
  <c r="AV68" i="1" s="1"/>
  <c r="K68" i="1"/>
  <c r="AL68" i="1" s="1"/>
  <c r="AX68" i="1" s="1"/>
  <c r="K67" i="1"/>
  <c r="AL67" i="1" s="1"/>
  <c r="AX67" i="1" s="1"/>
  <c r="H67" i="1"/>
  <c r="AI67" i="1" s="1"/>
  <c r="AU67" i="1" s="1"/>
  <c r="G67" i="1"/>
  <c r="AH67" i="1" s="1"/>
  <c r="AT67" i="1" s="1"/>
  <c r="C67" i="1"/>
  <c r="I67" i="1"/>
  <c r="AJ67" i="1" s="1"/>
  <c r="AV67" i="1" s="1"/>
  <c r="F67" i="1"/>
  <c r="AG67" i="1" s="1"/>
  <c r="AS67" i="1" s="1"/>
  <c r="J67" i="1"/>
  <c r="AK67" i="1" s="1"/>
  <c r="AW67" i="1" s="1"/>
  <c r="E67" i="1"/>
  <c r="D67" i="1"/>
  <c r="AE67" i="1" s="1"/>
  <c r="AQ67" i="1" s="1"/>
  <c r="K72" i="1"/>
  <c r="AL72" i="1" s="1"/>
  <c r="AX72" i="1" s="1"/>
  <c r="G72" i="1"/>
  <c r="AH72" i="1" s="1"/>
  <c r="AT72" i="1" s="1"/>
  <c r="J72" i="1"/>
  <c r="AK72" i="1" s="1"/>
  <c r="AW72" i="1" s="1"/>
  <c r="I72" i="1"/>
  <c r="AJ72" i="1" s="1"/>
  <c r="AV72" i="1" s="1"/>
  <c r="H72" i="1"/>
  <c r="AI72" i="1" s="1"/>
  <c r="AU72" i="1" s="1"/>
  <c r="D72" i="1"/>
  <c r="AE72" i="1" s="1"/>
  <c r="AQ72" i="1" s="1"/>
  <c r="F72" i="1"/>
  <c r="AG72" i="1" s="1"/>
  <c r="AS72" i="1" s="1"/>
  <c r="E72" i="1"/>
  <c r="AF72" i="1" s="1"/>
  <c r="AR72" i="1" s="1"/>
  <c r="C72" i="1"/>
  <c r="E66" i="1"/>
  <c r="D66" i="1"/>
  <c r="AE66" i="1" s="1"/>
  <c r="AQ66" i="1" s="1"/>
  <c r="I66" i="1"/>
  <c r="AJ66" i="1" s="1"/>
  <c r="AV66" i="1" s="1"/>
  <c r="C66" i="1"/>
  <c r="K66" i="1"/>
  <c r="AL66" i="1" s="1"/>
  <c r="AX66" i="1" s="1"/>
  <c r="J66" i="1"/>
  <c r="AK66" i="1" s="1"/>
  <c r="AW66" i="1" s="1"/>
  <c r="F66" i="1"/>
  <c r="AG66" i="1" s="1"/>
  <c r="AS66" i="1" s="1"/>
  <c r="G66" i="1"/>
  <c r="AH66" i="1" s="1"/>
  <c r="AT66" i="1" s="1"/>
  <c r="H66" i="1"/>
  <c r="AI66" i="1" s="1"/>
  <c r="AU66" i="1" s="1"/>
  <c r="I70" i="1"/>
  <c r="AJ70" i="1" s="1"/>
  <c r="AV70" i="1" s="1"/>
  <c r="H70" i="1"/>
  <c r="AI70" i="1" s="1"/>
  <c r="AU70" i="1" s="1"/>
  <c r="G70" i="1"/>
  <c r="AH70" i="1" s="1"/>
  <c r="AT70" i="1" s="1"/>
  <c r="E70" i="1"/>
  <c r="AF70" i="1" s="1"/>
  <c r="AR70" i="1" s="1"/>
  <c r="F70" i="1"/>
  <c r="AG70" i="1" s="1"/>
  <c r="AS70" i="1" s="1"/>
  <c r="K70" i="1"/>
  <c r="AL70" i="1" s="1"/>
  <c r="AX70" i="1" s="1"/>
  <c r="D70" i="1"/>
  <c r="J70" i="1"/>
  <c r="AK70" i="1" s="1"/>
  <c r="AW70" i="1" s="1"/>
  <c r="C70" i="1"/>
  <c r="AD70" i="1" s="1"/>
  <c r="AP70" i="1" s="1"/>
  <c r="U68" i="5"/>
  <c r="U24" i="5"/>
  <c r="U55" i="5"/>
  <c r="U64" i="5"/>
  <c r="U51" i="5"/>
  <c r="U27" i="5"/>
  <c r="U29" i="5"/>
  <c r="U34" i="5"/>
  <c r="U28" i="5"/>
  <c r="U52" i="5"/>
  <c r="U37" i="5"/>
  <c r="U59" i="5"/>
  <c r="U36" i="5"/>
  <c r="U33" i="5"/>
  <c r="U49" i="5"/>
  <c r="U65" i="5"/>
  <c r="U50" i="5"/>
  <c r="U53" i="5"/>
  <c r="U20" i="5"/>
  <c r="V20" i="5" s="1"/>
  <c r="U21" i="5"/>
  <c r="V21" i="5" s="1"/>
  <c r="U54" i="5"/>
  <c r="U45" i="5"/>
  <c r="U39" i="5"/>
  <c r="AG57" i="5"/>
  <c r="U57" i="5"/>
  <c r="U26" i="5"/>
  <c r="U32" i="5"/>
  <c r="U67" i="5"/>
  <c r="U48" i="5"/>
  <c r="U22" i="5"/>
  <c r="V22" i="5" s="1"/>
  <c r="U38" i="5"/>
  <c r="U46" i="5"/>
  <c r="U35" i="5"/>
  <c r="U19" i="5"/>
  <c r="V19" i="5" s="1"/>
  <c r="P4" i="5" s="1"/>
  <c r="U60" i="5"/>
  <c r="U44" i="5"/>
  <c r="U61" i="5"/>
  <c r="U42" i="5"/>
  <c r="U62" i="5"/>
  <c r="U66" i="5"/>
  <c r="U43" i="5"/>
  <c r="U56" i="5"/>
  <c r="U40" i="5"/>
  <c r="U25" i="5"/>
  <c r="U23" i="5"/>
  <c r="V23" i="5" s="1"/>
  <c r="U47" i="5"/>
  <c r="U63" i="5"/>
  <c r="U58" i="5"/>
  <c r="U41" i="5"/>
  <c r="D5" i="5"/>
  <c r="K19" i="5" s="1"/>
  <c r="U30" i="5"/>
  <c r="J22" i="5"/>
  <c r="AG27" i="5"/>
  <c r="AG24" i="5"/>
  <c r="AG46" i="5"/>
  <c r="AG33" i="5"/>
  <c r="AG41" i="5"/>
  <c r="AG51" i="5"/>
  <c r="AG49" i="5"/>
  <c r="AG25" i="5"/>
  <c r="AG66" i="5"/>
  <c r="AG42" i="5"/>
  <c r="AG36" i="5"/>
  <c r="AG39" i="5"/>
  <c r="AG28" i="5"/>
  <c r="AG50" i="5"/>
  <c r="AG60" i="5"/>
  <c r="AG43" i="5"/>
  <c r="AG26" i="5"/>
  <c r="AG54" i="5"/>
  <c r="AG31" i="5"/>
  <c r="AG44" i="5"/>
  <c r="AG53" i="5"/>
  <c r="AG63" i="5"/>
  <c r="AG45" i="5"/>
  <c r="AG21" i="5"/>
  <c r="AH21" i="5" s="1"/>
  <c r="AG19" i="5"/>
  <c r="AH19" i="5" s="1"/>
  <c r="AB4" i="5" s="1"/>
  <c r="AG37" i="5"/>
  <c r="AG48" i="5"/>
  <c r="AG62" i="5"/>
  <c r="AG22" i="5"/>
  <c r="AH22" i="5" s="1"/>
  <c r="AG58" i="5"/>
  <c r="AG52" i="5"/>
  <c r="AG40" i="5"/>
  <c r="AG61" i="5"/>
  <c r="AG67" i="5"/>
  <c r="AG59" i="5"/>
  <c r="D23" i="5"/>
  <c r="AG38" i="5"/>
  <c r="AG20" i="5"/>
  <c r="AH20" i="5" s="1"/>
  <c r="AG29" i="5"/>
  <c r="AG18" i="5"/>
  <c r="AH18" i="5" s="1"/>
  <c r="AG32" i="5"/>
  <c r="AG34" i="5"/>
  <c r="AG30" i="5"/>
  <c r="AG55" i="5"/>
  <c r="AG56" i="5"/>
  <c r="AG23" i="5"/>
  <c r="AG64" i="5"/>
  <c r="AG35" i="5"/>
  <c r="AG47" i="5"/>
  <c r="AG65" i="5"/>
  <c r="AG68" i="5"/>
  <c r="AB23" i="5"/>
  <c r="P24" i="5"/>
  <c r="Z16" i="1"/>
  <c r="M64" i="1" l="1"/>
  <c r="J5" i="5" s="1"/>
  <c r="L20" i="5"/>
  <c r="M70" i="1"/>
  <c r="AE70" i="1"/>
  <c r="AQ70" i="1" s="1"/>
  <c r="M71" i="1"/>
  <c r="AD71" i="1"/>
  <c r="AP71" i="1" s="1"/>
  <c r="M65" i="1"/>
  <c r="J8" i="5" s="1"/>
  <c r="AD65" i="1"/>
  <c r="AF67" i="1"/>
  <c r="AR67" i="1" s="1"/>
  <c r="AF65" i="1"/>
  <c r="AR65" i="1" s="1"/>
  <c r="AG65" i="1"/>
  <c r="AS65" i="1" s="1"/>
  <c r="M67" i="1"/>
  <c r="J11" i="5" s="1"/>
  <c r="AD67" i="1"/>
  <c r="AP67" i="1" s="1"/>
  <c r="E73" i="1"/>
  <c r="AF64" i="1"/>
  <c r="H73" i="1"/>
  <c r="AI64" i="1"/>
  <c r="AD66" i="1"/>
  <c r="AP66" i="1" s="1"/>
  <c r="M69" i="1"/>
  <c r="AD69" i="1"/>
  <c r="AP69" i="1" s="1"/>
  <c r="K73" i="1"/>
  <c r="AL64" i="1"/>
  <c r="F73" i="1"/>
  <c r="AG64" i="1"/>
  <c r="J6" i="5"/>
  <c r="D73" i="1"/>
  <c r="AE64" i="1"/>
  <c r="M66" i="1"/>
  <c r="J9" i="5" s="1"/>
  <c r="AF66" i="1"/>
  <c r="AR66" i="1" s="1"/>
  <c r="G73" i="1"/>
  <c r="AH64" i="1"/>
  <c r="M72" i="1"/>
  <c r="AD72" i="1"/>
  <c r="AP72" i="1" s="1"/>
  <c r="J73" i="1"/>
  <c r="AK64" i="1"/>
  <c r="AF68" i="1"/>
  <c r="AR68" i="1" s="1"/>
  <c r="AE68" i="1"/>
  <c r="AQ68" i="1" s="1"/>
  <c r="I73" i="1"/>
  <c r="AJ64" i="1"/>
  <c r="M68" i="1"/>
  <c r="J13" i="5" s="1"/>
  <c r="AI68" i="1"/>
  <c r="AU68" i="1" s="1"/>
  <c r="C73" i="1"/>
  <c r="AP64" i="1"/>
  <c r="AC4" i="5"/>
  <c r="AG4" i="5" s="1"/>
  <c r="AI18" i="5"/>
  <c r="AJ19" i="5" s="1"/>
  <c r="W18" i="5"/>
  <c r="X19" i="5" s="1"/>
  <c r="P6" i="5"/>
  <c r="W20" i="5" s="1"/>
  <c r="W21" i="5" s="1"/>
  <c r="W22" i="5" s="1"/>
  <c r="P5" i="5"/>
  <c r="J23" i="5"/>
  <c r="D6" i="5" s="1"/>
  <c r="K20" i="5" s="1"/>
  <c r="D24" i="5"/>
  <c r="AB5" i="5"/>
  <c r="AI19" i="5" s="1"/>
  <c r="AB24" i="5"/>
  <c r="AH23" i="5"/>
  <c r="AB6" i="5" s="1"/>
  <c r="AI20" i="5" s="1"/>
  <c r="AI21" i="5" s="1"/>
  <c r="AI22" i="5" s="1"/>
  <c r="V24" i="5"/>
  <c r="P25" i="5"/>
  <c r="AR64" i="1" l="1"/>
  <c r="AF73" i="1"/>
  <c r="AR73" i="1" s="1"/>
  <c r="AP65" i="1"/>
  <c r="AD73" i="1"/>
  <c r="AP73" i="1" s="1"/>
  <c r="AX64" i="1"/>
  <c r="AL73" i="1"/>
  <c r="AX73" i="1" s="1"/>
  <c r="AW64" i="1"/>
  <c r="AK73" i="1"/>
  <c r="AW73" i="1" s="1"/>
  <c r="AQ64" i="1"/>
  <c r="AE73" i="1"/>
  <c r="AQ73" i="1" s="1"/>
  <c r="AM64" i="1"/>
  <c r="J7" i="5"/>
  <c r="AU64" i="1"/>
  <c r="AI73" i="1"/>
  <c r="AU73" i="1" s="1"/>
  <c r="AV64" i="1"/>
  <c r="AJ73" i="1"/>
  <c r="AV73" i="1" s="1"/>
  <c r="AT64" i="1"/>
  <c r="AH73" i="1"/>
  <c r="AT73" i="1" s="1"/>
  <c r="AS64" i="1"/>
  <c r="AG73" i="1"/>
  <c r="AS73" i="1" s="1"/>
  <c r="AH4" i="5"/>
  <c r="J4" i="5"/>
  <c r="J10" i="5"/>
  <c r="J12" i="5"/>
  <c r="M73" i="1"/>
  <c r="W19" i="5"/>
  <c r="X20" i="5" s="1"/>
  <c r="X21" i="5" s="1"/>
  <c r="X22" i="5" s="1"/>
  <c r="X23" i="5" s="1"/>
  <c r="L21" i="5"/>
  <c r="K21" i="5"/>
  <c r="K22" i="5" s="1"/>
  <c r="J24" i="5"/>
  <c r="D25" i="5"/>
  <c r="J25" i="5" s="1"/>
  <c r="AJ20" i="5"/>
  <c r="AC5" i="5"/>
  <c r="AG5" i="5" s="1"/>
  <c r="AM71" i="1"/>
  <c r="AY71" i="1" s="1"/>
  <c r="AM66" i="1"/>
  <c r="AY66" i="1" s="1"/>
  <c r="AM68" i="1"/>
  <c r="AY68" i="1" s="1"/>
  <c r="AM67" i="1"/>
  <c r="AY67" i="1" s="1"/>
  <c r="AM70" i="1"/>
  <c r="AY70" i="1" s="1"/>
  <c r="AM65" i="1"/>
  <c r="AY65" i="1" s="1"/>
  <c r="AM69" i="1"/>
  <c r="AY69" i="1" s="1"/>
  <c r="AY64" i="1"/>
  <c r="AM72" i="1"/>
  <c r="AY72" i="1" s="1"/>
  <c r="AC6" i="5"/>
  <c r="AH24" i="5"/>
  <c r="AB25" i="5"/>
  <c r="P26" i="5"/>
  <c r="V25" i="5"/>
  <c r="L22" i="5" l="1"/>
  <c r="L23" i="5" s="1"/>
  <c r="D26" i="5"/>
  <c r="J26" i="5" s="1"/>
  <c r="AJ21" i="5"/>
  <c r="AJ22" i="5" s="1"/>
  <c r="AJ23" i="5" s="1"/>
  <c r="AH5" i="5"/>
  <c r="AM73" i="1"/>
  <c r="AY73" i="1" s="1"/>
  <c r="AH6" i="5"/>
  <c r="AG6" i="5"/>
  <c r="AB26" i="5"/>
  <c r="AH25" i="5"/>
  <c r="V26" i="5"/>
  <c r="P27" i="5"/>
  <c r="D27" i="5" l="1"/>
  <c r="AH26" i="5"/>
  <c r="AB27" i="5"/>
  <c r="P28" i="5"/>
  <c r="V27" i="5"/>
  <c r="J27" i="5" l="1"/>
  <c r="D28" i="5"/>
  <c r="AB28" i="5"/>
  <c r="AH27" i="5"/>
  <c r="V28" i="5"/>
  <c r="P29" i="5"/>
  <c r="J28" i="5" l="1"/>
  <c r="D29" i="5"/>
  <c r="AH28" i="5"/>
  <c r="AB29" i="5"/>
  <c r="P30" i="5"/>
  <c r="V29" i="5"/>
  <c r="D30" i="5" l="1"/>
  <c r="J29" i="5"/>
  <c r="AB30" i="5"/>
  <c r="AH29" i="5"/>
  <c r="V30" i="5"/>
  <c r="P31" i="5"/>
  <c r="J30" i="5" l="1"/>
  <c r="D31" i="5"/>
  <c r="AH30" i="5"/>
  <c r="AB31" i="5"/>
  <c r="P32" i="5"/>
  <c r="V31" i="5"/>
  <c r="D32" i="5" l="1"/>
  <c r="J31" i="5"/>
  <c r="AB32" i="5"/>
  <c r="AH31" i="5"/>
  <c r="AB7" i="5" s="1"/>
  <c r="V32" i="5"/>
  <c r="P33" i="5"/>
  <c r="J32" i="5" l="1"/>
  <c r="D33" i="5"/>
  <c r="AH32" i="5"/>
  <c r="AB33" i="5"/>
  <c r="P34" i="5"/>
  <c r="V33" i="5"/>
  <c r="P7" i="5" s="1"/>
  <c r="D34" i="5" l="1"/>
  <c r="J33" i="5"/>
  <c r="D7" i="5" s="1"/>
  <c r="K23" i="5" s="1"/>
  <c r="W23" i="5"/>
  <c r="W24" i="5" s="1"/>
  <c r="W25" i="5" s="1"/>
  <c r="W26" i="5" s="1"/>
  <c r="W27" i="5" s="1"/>
  <c r="W28" i="5" s="1"/>
  <c r="W29" i="5" s="1"/>
  <c r="W30" i="5" s="1"/>
  <c r="W31" i="5" s="1"/>
  <c r="W32" i="5" s="1"/>
  <c r="AB34" i="5"/>
  <c r="AH33" i="5"/>
  <c r="AI23" i="5" s="1"/>
  <c r="AI24" i="5" s="1"/>
  <c r="AI25" i="5" s="1"/>
  <c r="AI26" i="5" s="1"/>
  <c r="AI27" i="5" s="1"/>
  <c r="AI28" i="5" s="1"/>
  <c r="AI29" i="5" s="1"/>
  <c r="AI30" i="5" s="1"/>
  <c r="AI31" i="5" s="1"/>
  <c r="AI32" i="5" s="1"/>
  <c r="V34" i="5"/>
  <c r="P35" i="5"/>
  <c r="L24" i="5" l="1"/>
  <c r="K24" i="5"/>
  <c r="K25" i="5" s="1"/>
  <c r="K26" i="5" s="1"/>
  <c r="K27" i="5" s="1"/>
  <c r="K28" i="5" s="1"/>
  <c r="K29" i="5" s="1"/>
  <c r="K30" i="5" s="1"/>
  <c r="K31" i="5" s="1"/>
  <c r="K32" i="5" s="1"/>
  <c r="J34" i="5"/>
  <c r="D35" i="5"/>
  <c r="X24" i="5"/>
  <c r="X25" i="5" s="1"/>
  <c r="X26" i="5" s="1"/>
  <c r="X27" i="5" s="1"/>
  <c r="X28" i="5" s="1"/>
  <c r="X29" i="5" s="1"/>
  <c r="X30" i="5" s="1"/>
  <c r="X31" i="5" s="1"/>
  <c r="X32" i="5" s="1"/>
  <c r="X33" i="5" s="1"/>
  <c r="AJ24" i="5"/>
  <c r="AJ25" i="5" s="1"/>
  <c r="AJ26" i="5" s="1"/>
  <c r="AJ27" i="5" s="1"/>
  <c r="AJ28" i="5" s="1"/>
  <c r="AJ29" i="5" s="1"/>
  <c r="AJ30" i="5" s="1"/>
  <c r="AJ31" i="5" s="1"/>
  <c r="AJ32" i="5" s="1"/>
  <c r="AJ33" i="5" s="1"/>
  <c r="AC7" i="5"/>
  <c r="AH34" i="5"/>
  <c r="AB35" i="5"/>
  <c r="P36" i="5"/>
  <c r="V35" i="5"/>
  <c r="L25" i="5" l="1"/>
  <c r="L26" i="5" s="1"/>
  <c r="L27" i="5" s="1"/>
  <c r="L28" i="5" s="1"/>
  <c r="L29" i="5" s="1"/>
  <c r="L30" i="5" s="1"/>
  <c r="L31" i="5" s="1"/>
  <c r="L32" i="5" s="1"/>
  <c r="L33" i="5" s="1"/>
  <c r="D36" i="5"/>
  <c r="J35" i="5"/>
  <c r="AH7" i="5"/>
  <c r="AG7" i="5"/>
  <c r="AB36" i="5"/>
  <c r="AH35" i="5"/>
  <c r="V36" i="5"/>
  <c r="P37" i="5"/>
  <c r="J36" i="5" l="1"/>
  <c r="D37" i="5"/>
  <c r="D38" i="5" s="1"/>
  <c r="AH36" i="5"/>
  <c r="AB37" i="5"/>
  <c r="P38" i="5"/>
  <c r="V37" i="5"/>
  <c r="J37" i="5"/>
  <c r="AB38" i="5" l="1"/>
  <c r="AH37" i="5"/>
  <c r="V38" i="5"/>
  <c r="P39" i="5"/>
  <c r="J38" i="5"/>
  <c r="D39" i="5"/>
  <c r="AH38" i="5" l="1"/>
  <c r="AB39" i="5"/>
  <c r="P40" i="5"/>
  <c r="V39" i="5"/>
  <c r="D40" i="5"/>
  <c r="J39" i="5"/>
  <c r="AB40" i="5" l="1"/>
  <c r="AH39" i="5"/>
  <c r="V40" i="5"/>
  <c r="P41" i="5"/>
  <c r="J40" i="5"/>
  <c r="D41" i="5"/>
  <c r="AH40" i="5" l="1"/>
  <c r="AB41" i="5"/>
  <c r="P42" i="5"/>
  <c r="V41" i="5"/>
  <c r="J41" i="5"/>
  <c r="D42" i="5"/>
  <c r="AB42" i="5" l="1"/>
  <c r="AH41" i="5"/>
  <c r="V42" i="5"/>
  <c r="P43" i="5"/>
  <c r="J42" i="5"/>
  <c r="D43" i="5"/>
  <c r="AH42" i="5" l="1"/>
  <c r="AB8" i="5" s="1"/>
  <c r="AB43" i="5"/>
  <c r="P44" i="5"/>
  <c r="V43" i="5"/>
  <c r="D44" i="5"/>
  <c r="J43" i="5"/>
  <c r="AB44" i="5" l="1"/>
  <c r="AH43" i="5"/>
  <c r="V44" i="5"/>
  <c r="P45" i="5"/>
  <c r="J44" i="5"/>
  <c r="D45" i="5"/>
  <c r="AB45" i="5" l="1"/>
  <c r="AH44" i="5"/>
  <c r="P46" i="5"/>
  <c r="V45" i="5"/>
  <c r="D46" i="5"/>
  <c r="J45" i="5"/>
  <c r="AB46" i="5" l="1"/>
  <c r="AH45" i="5"/>
  <c r="V46" i="5"/>
  <c r="P47" i="5"/>
  <c r="J46" i="5"/>
  <c r="D47" i="5"/>
  <c r="AH46" i="5" l="1"/>
  <c r="AB47" i="5"/>
  <c r="P48" i="5"/>
  <c r="V47" i="5"/>
  <c r="D48" i="5"/>
  <c r="J47" i="5"/>
  <c r="AB48" i="5" l="1"/>
  <c r="AH47" i="5"/>
  <c r="V48" i="5"/>
  <c r="P8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P49" i="5"/>
  <c r="J48" i="5"/>
  <c r="D8" i="5" s="1"/>
  <c r="D49" i="5"/>
  <c r="K33" i="5" l="1"/>
  <c r="D9" i="5"/>
  <c r="AB49" i="5"/>
  <c r="AH48" i="5"/>
  <c r="P50" i="5"/>
  <c r="V49" i="5"/>
  <c r="P9" i="5"/>
  <c r="X34" i="5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D50" i="5"/>
  <c r="J49" i="5"/>
  <c r="AC8" i="5" l="1"/>
  <c r="AH8" i="5" s="1"/>
  <c r="AI33" i="5"/>
  <c r="L34" i="5"/>
  <c r="K34" i="5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AB9" i="5"/>
  <c r="AC9" i="5" s="1"/>
  <c r="AB50" i="5"/>
  <c r="AH49" i="5"/>
  <c r="V50" i="5"/>
  <c r="X52" i="5"/>
  <c r="P51" i="5"/>
  <c r="J50" i="5"/>
  <c r="D51" i="5"/>
  <c r="AI34" i="5" l="1"/>
  <c r="AI35" i="5" s="1"/>
  <c r="AI36" i="5" s="1"/>
  <c r="AI37" i="5" s="1"/>
  <c r="AI38" i="5" s="1"/>
  <c r="AI39" i="5" s="1"/>
  <c r="AI40" i="5" s="1"/>
  <c r="AI41" i="5" s="1"/>
  <c r="AI42" i="5" s="1"/>
  <c r="AI43" i="5" s="1"/>
  <c r="AI44" i="5" s="1"/>
  <c r="AI45" i="5" s="1"/>
  <c r="AI46" i="5" s="1"/>
  <c r="AI47" i="5" s="1"/>
  <c r="AI48" i="5" s="1"/>
  <c r="AI49" i="5" s="1"/>
  <c r="AI50" i="5" s="1"/>
  <c r="AI51" i="5" s="1"/>
  <c r="AI52" i="5" s="1"/>
  <c r="AI53" i="5" s="1"/>
  <c r="AI54" i="5" s="1"/>
  <c r="AI55" i="5" s="1"/>
  <c r="AI56" i="5" s="1"/>
  <c r="AI57" i="5" s="1"/>
  <c r="AI58" i="5" s="1"/>
  <c r="AI59" i="5" s="1"/>
  <c r="AI60" i="5" s="1"/>
  <c r="AI61" i="5" s="1"/>
  <c r="AI62" i="5" s="1"/>
  <c r="AI63" i="5" s="1"/>
  <c r="AI64" i="5" s="1"/>
  <c r="AI65" i="5" s="1"/>
  <c r="AI66" i="5" s="1"/>
  <c r="AI67" i="5" s="1"/>
  <c r="AI68" i="5" s="1"/>
  <c r="AJ34" i="5"/>
  <c r="AG8" i="5"/>
  <c r="L35" i="5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AH9" i="5"/>
  <c r="AG9" i="5"/>
  <c r="AH50" i="5"/>
  <c r="AB51" i="5"/>
  <c r="X53" i="5"/>
  <c r="P52" i="5"/>
  <c r="V51" i="5"/>
  <c r="D52" i="5"/>
  <c r="J51" i="5"/>
  <c r="AJ35" i="5" l="1"/>
  <c r="AJ36" i="5" s="1"/>
  <c r="AJ37" i="5" s="1"/>
  <c r="AJ38" i="5" s="1"/>
  <c r="AJ39" i="5" s="1"/>
  <c r="AJ40" i="5" s="1"/>
  <c r="AJ41" i="5" s="1"/>
  <c r="AJ42" i="5" s="1"/>
  <c r="AJ43" i="5" s="1"/>
  <c r="AJ44" i="5" s="1"/>
  <c r="AJ45" i="5" s="1"/>
  <c r="AJ46" i="5" s="1"/>
  <c r="AJ47" i="5" s="1"/>
  <c r="AJ48" i="5" s="1"/>
  <c r="AJ49" i="5" s="1"/>
  <c r="AJ50" i="5" s="1"/>
  <c r="AJ51" i="5" s="1"/>
  <c r="AJ52" i="5" s="1"/>
  <c r="L54" i="5"/>
  <c r="AB52" i="5"/>
  <c r="AH51" i="5"/>
  <c r="V52" i="5"/>
  <c r="X54" i="5"/>
  <c r="P53" i="5"/>
  <c r="J52" i="5"/>
  <c r="D53" i="5"/>
  <c r="AJ53" i="5" l="1"/>
  <c r="L55" i="5"/>
  <c r="AH52" i="5"/>
  <c r="AB53" i="5"/>
  <c r="X55" i="5"/>
  <c r="P54" i="5"/>
  <c r="V53" i="5"/>
  <c r="D54" i="5"/>
  <c r="J53" i="5"/>
  <c r="AJ54" i="5" l="1"/>
  <c r="L56" i="5"/>
  <c r="AB54" i="5"/>
  <c r="AH53" i="5"/>
  <c r="V54" i="5"/>
  <c r="X56" i="5"/>
  <c r="P55" i="5"/>
  <c r="D55" i="5"/>
  <c r="J54" i="5"/>
  <c r="AJ55" i="5" l="1"/>
  <c r="L57" i="5"/>
  <c r="AH54" i="5"/>
  <c r="AB55" i="5"/>
  <c r="X57" i="5"/>
  <c r="P56" i="5"/>
  <c r="V55" i="5"/>
  <c r="D56" i="5"/>
  <c r="J55" i="5"/>
  <c r="AJ56" i="5" l="1"/>
  <c r="L58" i="5"/>
  <c r="AB56" i="5"/>
  <c r="AH55" i="5"/>
  <c r="V56" i="5"/>
  <c r="X58" i="5"/>
  <c r="P57" i="5"/>
  <c r="J56" i="5"/>
  <c r="D57" i="5"/>
  <c r="AJ57" i="5" l="1"/>
  <c r="L59" i="5"/>
  <c r="AH56" i="5"/>
  <c r="AB57" i="5"/>
  <c r="X59" i="5"/>
  <c r="P58" i="5"/>
  <c r="V57" i="5"/>
  <c r="D58" i="5"/>
  <c r="J57" i="5"/>
  <c r="AJ58" i="5" l="1"/>
  <c r="L60" i="5"/>
  <c r="AB58" i="5"/>
  <c r="AH57" i="5"/>
  <c r="V58" i="5"/>
  <c r="X60" i="5"/>
  <c r="P59" i="5"/>
  <c r="D59" i="5"/>
  <c r="J58" i="5"/>
  <c r="AJ59" i="5" l="1"/>
  <c r="L61" i="5"/>
  <c r="AH58" i="5"/>
  <c r="AB59" i="5"/>
  <c r="X61" i="5"/>
  <c r="P60" i="5"/>
  <c r="V59" i="5"/>
  <c r="D60" i="5"/>
  <c r="J59" i="5"/>
  <c r="AJ60" i="5" l="1"/>
  <c r="L62" i="5"/>
  <c r="AB60" i="5"/>
  <c r="AH59" i="5"/>
  <c r="V60" i="5"/>
  <c r="X62" i="5"/>
  <c r="P61" i="5"/>
  <c r="J60" i="5"/>
  <c r="D61" i="5"/>
  <c r="AJ61" i="5" l="1"/>
  <c r="L63" i="5"/>
  <c r="AH60" i="5"/>
  <c r="AB61" i="5"/>
  <c r="X63" i="5"/>
  <c r="P62" i="5"/>
  <c r="V61" i="5"/>
  <c r="J61" i="5"/>
  <c r="D62" i="5"/>
  <c r="AJ62" i="5" l="1"/>
  <c r="L64" i="5"/>
  <c r="AB62" i="5"/>
  <c r="AH61" i="5"/>
  <c r="V62" i="5"/>
  <c r="X64" i="5"/>
  <c r="P63" i="5"/>
  <c r="J62" i="5"/>
  <c r="D63" i="5"/>
  <c r="AJ63" i="5" l="1"/>
  <c r="L65" i="5"/>
  <c r="AH62" i="5"/>
  <c r="AB63" i="5"/>
  <c r="X65" i="5"/>
  <c r="P64" i="5"/>
  <c r="V63" i="5"/>
  <c r="D64" i="5"/>
  <c r="J63" i="5"/>
  <c r="AJ64" i="5" l="1"/>
  <c r="L66" i="5"/>
  <c r="AB64" i="5"/>
  <c r="AH63" i="5"/>
  <c r="V64" i="5"/>
  <c r="X66" i="5"/>
  <c r="P65" i="5"/>
  <c r="J64" i="5"/>
  <c r="D65" i="5"/>
  <c r="AJ65" i="5" l="1"/>
  <c r="L67" i="5"/>
  <c r="AH64" i="5"/>
  <c r="AB65" i="5"/>
  <c r="X67" i="5"/>
  <c r="P66" i="5"/>
  <c r="V65" i="5"/>
  <c r="D66" i="5"/>
  <c r="J65" i="5"/>
  <c r="AJ66" i="5" l="1"/>
  <c r="L68" i="5"/>
  <c r="AB66" i="5"/>
  <c r="AH65" i="5"/>
  <c r="V66" i="5"/>
  <c r="X68" i="5"/>
  <c r="P67" i="5"/>
  <c r="J66" i="5"/>
  <c r="D67" i="5"/>
  <c r="AJ67" i="5" l="1"/>
  <c r="AH66" i="5"/>
  <c r="AB67" i="5"/>
  <c r="P68" i="5"/>
  <c r="V68" i="5" s="1"/>
  <c r="V67" i="5"/>
  <c r="D68" i="5"/>
  <c r="J68" i="5" s="1"/>
  <c r="J67" i="5"/>
  <c r="AJ68" i="5" l="1"/>
  <c r="AB68" i="5"/>
  <c r="AH68" i="5" s="1"/>
  <c r="AH67" i="5"/>
  <c r="F27" i="1" l="1"/>
  <c r="E27" i="1"/>
  <c r="AF27" i="1" s="1"/>
  <c r="AR27" i="1" s="1"/>
  <c r="J27" i="1"/>
  <c r="AK27" i="1" s="1"/>
  <c r="G30" i="1"/>
  <c r="G83" i="1" s="1"/>
  <c r="H33" i="1"/>
  <c r="I34" i="1"/>
  <c r="AJ34" i="1" s="1"/>
  <c r="AV34" i="1" s="1"/>
  <c r="J30" i="1"/>
  <c r="F35" i="1"/>
  <c r="F88" i="1" s="1"/>
  <c r="D27" i="1"/>
  <c r="AE27" i="1" s="1"/>
  <c r="AQ27" i="1" s="1"/>
  <c r="F30" i="1"/>
  <c r="F83" i="1" s="1"/>
  <c r="I33" i="1"/>
  <c r="I86" i="1" s="1"/>
  <c r="G34" i="1"/>
  <c r="G87" i="1" s="1"/>
  <c r="I31" i="1"/>
  <c r="I84" i="1" s="1"/>
  <c r="I30" i="1"/>
  <c r="I83" i="1" s="1"/>
  <c r="E35" i="1"/>
  <c r="AF35" i="1" s="1"/>
  <c r="AR35" i="1" s="1"/>
  <c r="E28" i="1"/>
  <c r="AF28" i="1" s="1"/>
  <c r="AR28" i="1" s="1"/>
  <c r="K33" i="1"/>
  <c r="AL33" i="1" s="1"/>
  <c r="AX33" i="1" s="1"/>
  <c r="K29" i="1"/>
  <c r="K82" i="1" s="1"/>
  <c r="D31" i="1"/>
  <c r="AE31" i="1" s="1"/>
  <c r="AQ31" i="1" s="1"/>
  <c r="H34" i="1"/>
  <c r="H87" i="1" s="1"/>
  <c r="K31" i="1"/>
  <c r="AL31" i="1" s="1"/>
  <c r="AX31" i="1" s="1"/>
  <c r="G28" i="1"/>
  <c r="G81" i="1" s="1"/>
  <c r="C34" i="1"/>
  <c r="AD34" i="1" s="1"/>
  <c r="AP34" i="1" s="1"/>
  <c r="F29" i="1"/>
  <c r="F82" i="1" s="1"/>
  <c r="C29" i="1"/>
  <c r="E31" i="1"/>
  <c r="E84" i="1" s="1"/>
  <c r="J32" i="1"/>
  <c r="J85" i="1" s="1"/>
  <c r="J33" i="1"/>
  <c r="I32" i="1"/>
  <c r="AJ32" i="1" s="1"/>
  <c r="AV32" i="1" s="1"/>
  <c r="H27" i="1"/>
  <c r="AI27" i="1" s="1"/>
  <c r="AU27" i="1" s="1"/>
  <c r="C33" i="1"/>
  <c r="AD33" i="1" s="1"/>
  <c r="AP33" i="1" s="1"/>
  <c r="I35" i="1"/>
  <c r="I88" i="1" s="1"/>
  <c r="E30" i="1"/>
  <c r="AF30" i="1" s="1"/>
  <c r="AR30" i="1" s="1"/>
  <c r="D33" i="1"/>
  <c r="AE33" i="1" s="1"/>
  <c r="AQ33" i="1" s="1"/>
  <c r="K32" i="1"/>
  <c r="K85" i="1" s="1"/>
  <c r="J28" i="1"/>
  <c r="J81" i="1" s="1"/>
  <c r="G31" i="1"/>
  <c r="AH31" i="1" s="1"/>
  <c r="AT31" i="1" s="1"/>
  <c r="H35" i="1"/>
  <c r="H88" i="1" s="1"/>
  <c r="E33" i="1"/>
  <c r="E86" i="1" s="1"/>
  <c r="I28" i="1"/>
  <c r="I81" i="1" s="1"/>
  <c r="J31" i="1"/>
  <c r="J84" i="1" s="1"/>
  <c r="J34" i="1"/>
  <c r="J87" i="1" s="1"/>
  <c r="F33" i="1"/>
  <c r="AG33" i="1" s="1"/>
  <c r="AS33" i="1" s="1"/>
  <c r="G29" i="1"/>
  <c r="G82" i="1" s="1"/>
  <c r="D35" i="1"/>
  <c r="D88" i="1" s="1"/>
  <c r="F28" i="1"/>
  <c r="AG28" i="1" s="1"/>
  <c r="AS28" i="1" s="1"/>
  <c r="F31" i="1"/>
  <c r="F84" i="1" s="1"/>
  <c r="H32" i="1"/>
  <c r="H85" i="1" s="1"/>
  <c r="C27" i="1"/>
  <c r="D28" i="1"/>
  <c r="AE28" i="1" s="1"/>
  <c r="AQ28" i="1" s="1"/>
  <c r="C28" i="1"/>
  <c r="C81" i="1" s="1"/>
  <c r="I29" i="1"/>
  <c r="I82" i="1" s="1"/>
  <c r="K28" i="1"/>
  <c r="AL28" i="1" s="1"/>
  <c r="AX28" i="1" s="1"/>
  <c r="D34" i="1"/>
  <c r="D87" i="1" s="1"/>
  <c r="G32" i="1"/>
  <c r="AH32" i="1" s="1"/>
  <c r="AT32" i="1" s="1"/>
  <c r="C31" i="1"/>
  <c r="AD31" i="1" s="1"/>
  <c r="F34" i="1"/>
  <c r="AG34" i="1" s="1"/>
  <c r="AS34" i="1" s="1"/>
  <c r="D29" i="1"/>
  <c r="D82" i="1" s="1"/>
  <c r="C35" i="1"/>
  <c r="AD35" i="1" s="1"/>
  <c r="C30" i="1"/>
  <c r="AD30" i="1" s="1"/>
  <c r="AP30" i="1" s="1"/>
  <c r="J29" i="1"/>
  <c r="AK29" i="1" s="1"/>
  <c r="AW29" i="1" s="1"/>
  <c r="C32" i="1"/>
  <c r="C85" i="1" s="1"/>
  <c r="H30" i="1"/>
  <c r="AI30" i="1" s="1"/>
  <c r="AU30" i="1" s="1"/>
  <c r="D30" i="1"/>
  <c r="D83" i="1" s="1"/>
  <c r="K34" i="1"/>
  <c r="AL34" i="1" s="1"/>
  <c r="AX34" i="1" s="1"/>
  <c r="F32" i="1"/>
  <c r="F85" i="1" s="1"/>
  <c r="J35" i="1"/>
  <c r="AK35" i="1" s="1"/>
  <c r="AW35" i="1" s="1"/>
  <c r="K30" i="1"/>
  <c r="AL30" i="1" s="1"/>
  <c r="AX30" i="1" s="1"/>
  <c r="H29" i="1"/>
  <c r="H82" i="1" s="1"/>
  <c r="E32" i="1"/>
  <c r="AF32" i="1" s="1"/>
  <c r="AR32" i="1" s="1"/>
  <c r="G35" i="1"/>
  <c r="AH35" i="1" s="1"/>
  <c r="AT35" i="1" s="1"/>
  <c r="E34" i="1"/>
  <c r="AF34" i="1" s="1"/>
  <c r="AR34" i="1" s="1"/>
  <c r="D32" i="1"/>
  <c r="D85" i="1" s="1"/>
  <c r="H28" i="1"/>
  <c r="AI28" i="1" s="1"/>
  <c r="AU28" i="1" s="1"/>
  <c r="H31" i="1"/>
  <c r="H84" i="1" s="1"/>
  <c r="K35" i="1"/>
  <c r="AL35" i="1" s="1"/>
  <c r="AX35" i="1" s="1"/>
  <c r="K27" i="1"/>
  <c r="AL27" i="1" s="1"/>
  <c r="E29" i="1"/>
  <c r="AF29" i="1" s="1"/>
  <c r="AR29" i="1" s="1"/>
  <c r="G27" i="1"/>
  <c r="AH27" i="1" s="1"/>
  <c r="I27" i="1"/>
  <c r="AD12" i="1"/>
  <c r="AP12" i="1" s="1"/>
  <c r="AD11" i="1"/>
  <c r="AP11" i="1" s="1"/>
  <c r="AK7" i="1"/>
  <c r="AW7" i="1" s="1"/>
  <c r="AJ7" i="1"/>
  <c r="AV7" i="1" s="1"/>
  <c r="AD7" i="1"/>
  <c r="AP7" i="1" s="1"/>
  <c r="AD15" i="1"/>
  <c r="AP15" i="1" s="1"/>
  <c r="AI7" i="1"/>
  <c r="AU7" i="1" s="1"/>
  <c r="AF7" i="1"/>
  <c r="AR7" i="1" s="1"/>
  <c r="AD14" i="1"/>
  <c r="AP14" i="1" s="1"/>
  <c r="AD9" i="1"/>
  <c r="AD10" i="1"/>
  <c r="AP10" i="1" s="1"/>
  <c r="AD13" i="1"/>
  <c r="AP13" i="1" s="1"/>
  <c r="AD8" i="1"/>
  <c r="AP8" i="1" s="1"/>
  <c r="AG7" i="1"/>
  <c r="AS7" i="1" s="1"/>
  <c r="AE7" i="1"/>
  <c r="AQ7" i="1" s="1"/>
  <c r="AH7" i="1"/>
  <c r="AT7" i="1" s="1"/>
  <c r="AL7" i="1"/>
  <c r="AX7" i="1" s="1"/>
  <c r="AK13" i="1"/>
  <c r="AW13" i="1" s="1"/>
  <c r="AF15" i="1"/>
  <c r="AR15" i="1" s="1"/>
  <c r="AF8" i="1"/>
  <c r="AR8" i="1" s="1"/>
  <c r="AF12" i="1"/>
  <c r="AR12" i="1" s="1"/>
  <c r="AH9" i="1"/>
  <c r="AT9" i="1" s="1"/>
  <c r="AL13" i="1"/>
  <c r="AX13" i="1" s="1"/>
  <c r="AE8" i="1"/>
  <c r="AE10" i="1"/>
  <c r="AQ10" i="1" s="1"/>
  <c r="AG13" i="1"/>
  <c r="AS13" i="1" s="1"/>
  <c r="AG12" i="1"/>
  <c r="AS12" i="1" s="1"/>
  <c r="AH11" i="1"/>
  <c r="AT11" i="1" s="1"/>
  <c r="AI12" i="1"/>
  <c r="AU12" i="1" s="1"/>
  <c r="AL14" i="1"/>
  <c r="AX14" i="1" s="1"/>
  <c r="AG8" i="1"/>
  <c r="AS8" i="1" s="1"/>
  <c r="AI11" i="1"/>
  <c r="AU11" i="1" s="1"/>
  <c r="AJ12" i="1"/>
  <c r="AV12" i="1" s="1"/>
  <c r="AI10" i="1"/>
  <c r="AU10" i="1" s="1"/>
  <c r="AH8" i="1"/>
  <c r="AT8" i="1" s="1"/>
  <c r="AG10" i="1"/>
  <c r="AS10" i="1" s="1"/>
  <c r="AE11" i="1"/>
  <c r="AQ11" i="1" s="1"/>
  <c r="AK15" i="1"/>
  <c r="AW15" i="1" s="1"/>
  <c r="AG14" i="1"/>
  <c r="AS14" i="1" s="1"/>
  <c r="AE13" i="1"/>
  <c r="AQ13" i="1" s="1"/>
  <c r="AG15" i="1"/>
  <c r="AS15" i="1" s="1"/>
  <c r="AJ11" i="1"/>
  <c r="AV11" i="1" s="1"/>
  <c r="AG11" i="1"/>
  <c r="AS11" i="1" s="1"/>
  <c r="AI13" i="1"/>
  <c r="AJ10" i="1"/>
  <c r="AV10" i="1" s="1"/>
  <c r="AJ15" i="1"/>
  <c r="AV15" i="1" s="1"/>
  <c r="AE9" i="1"/>
  <c r="AQ9" i="1" s="1"/>
  <c r="AJ9" i="1"/>
  <c r="AV9" i="1" s="1"/>
  <c r="AJ13" i="1"/>
  <c r="AV13" i="1" s="1"/>
  <c r="AH14" i="1"/>
  <c r="AT14" i="1" s="1"/>
  <c r="AF10" i="1"/>
  <c r="AR10" i="1" s="1"/>
  <c r="AF13" i="1"/>
  <c r="AR13" i="1" s="1"/>
  <c r="AH13" i="1"/>
  <c r="AT13" i="1" s="1"/>
  <c r="AH10" i="1"/>
  <c r="AT10" i="1" s="1"/>
  <c r="AK10" i="1"/>
  <c r="AW10" i="1" s="1"/>
  <c r="AJ8" i="1"/>
  <c r="AV8" i="1" s="1"/>
  <c r="AL10" i="1"/>
  <c r="AX10" i="1" s="1"/>
  <c r="AK9" i="1"/>
  <c r="AW9" i="1" s="1"/>
  <c r="AE12" i="1"/>
  <c r="AQ12" i="1" s="1"/>
  <c r="AL15" i="1"/>
  <c r="AX15" i="1" s="1"/>
  <c r="AK8" i="1"/>
  <c r="AW8" i="1" s="1"/>
  <c r="AG9" i="1"/>
  <c r="AS9" i="1" s="1"/>
  <c r="AI8" i="1"/>
  <c r="AU8" i="1" s="1"/>
  <c r="AI9" i="1"/>
  <c r="AU9" i="1" s="1"/>
  <c r="AH12" i="1"/>
  <c r="AT12" i="1" s="1"/>
  <c r="AL9" i="1"/>
  <c r="AX9" i="1" s="1"/>
  <c r="AK14" i="1"/>
  <c r="AW14" i="1" s="1"/>
  <c r="AL8" i="1"/>
  <c r="AX8" i="1" s="1"/>
  <c r="AF9" i="1"/>
  <c r="AR9" i="1" s="1"/>
  <c r="AI15" i="1"/>
  <c r="AU15" i="1" s="1"/>
  <c r="AH15" i="1"/>
  <c r="AT15" i="1" s="1"/>
  <c r="AF14" i="1"/>
  <c r="AL12" i="1"/>
  <c r="AX12" i="1" s="1"/>
  <c r="AK12" i="1"/>
  <c r="AW12" i="1" s="1"/>
  <c r="AF11" i="1"/>
  <c r="AR11" i="1" s="1"/>
  <c r="AE15" i="1"/>
  <c r="AQ15" i="1" s="1"/>
  <c r="AI14" i="1"/>
  <c r="AU14" i="1" s="1"/>
  <c r="AE14" i="1"/>
  <c r="AQ14" i="1" s="1"/>
  <c r="AK11" i="1"/>
  <c r="AW11" i="1" s="1"/>
  <c r="AJ14" i="1"/>
  <c r="AV14" i="1" s="1"/>
  <c r="AL11" i="1"/>
  <c r="AX11" i="1" s="1"/>
  <c r="AA7" i="1"/>
  <c r="AA14" i="1"/>
  <c r="AA11" i="1"/>
  <c r="AA12" i="1"/>
  <c r="AA10" i="1"/>
  <c r="AA15" i="1"/>
  <c r="AA9" i="1"/>
  <c r="AA13" i="1"/>
  <c r="AA8" i="1"/>
  <c r="G33" i="1"/>
  <c r="G86" i="1" s="1"/>
  <c r="AI34" i="1" l="1"/>
  <c r="AU34" i="1" s="1"/>
  <c r="AK32" i="1"/>
  <c r="AW32" i="1" s="1"/>
  <c r="AE30" i="1"/>
  <c r="AQ30" i="1" s="1"/>
  <c r="AI29" i="1"/>
  <c r="AU29" i="1" s="1"/>
  <c r="AH29" i="1"/>
  <c r="AT29" i="1" s="1"/>
  <c r="AM9" i="1"/>
  <c r="C84" i="1"/>
  <c r="AI16" i="1"/>
  <c r="G85" i="1"/>
  <c r="F86" i="1"/>
  <c r="K83" i="1"/>
  <c r="AJ31" i="1"/>
  <c r="AV31" i="1" s="1"/>
  <c r="G88" i="1"/>
  <c r="D84" i="1"/>
  <c r="I36" i="1"/>
  <c r="I89" i="1" s="1"/>
  <c r="AI31" i="1"/>
  <c r="AU31" i="1" s="1"/>
  <c r="AG32" i="1"/>
  <c r="AS32" i="1" s="1"/>
  <c r="J82" i="1"/>
  <c r="C87" i="1"/>
  <c r="AJ27" i="1"/>
  <c r="AV27" i="1" s="1"/>
  <c r="AE35" i="1"/>
  <c r="AQ35" i="1" s="1"/>
  <c r="AK31" i="1"/>
  <c r="AW31" i="1" s="1"/>
  <c r="AJ30" i="1"/>
  <c r="AV30" i="1" s="1"/>
  <c r="AM7" i="1"/>
  <c r="F36" i="1"/>
  <c r="F89" i="1" s="1"/>
  <c r="AM14" i="1"/>
  <c r="AD16" i="1"/>
  <c r="H81" i="1"/>
  <c r="C86" i="1"/>
  <c r="AE32" i="1"/>
  <c r="AQ32" i="1" s="1"/>
  <c r="C83" i="1"/>
  <c r="C36" i="1"/>
  <c r="C89" i="1" s="1"/>
  <c r="I87" i="1"/>
  <c r="AI35" i="1"/>
  <c r="AU35" i="1" s="1"/>
  <c r="AJ35" i="1"/>
  <c r="AV35" i="1" s="1"/>
  <c r="AJ33" i="1"/>
  <c r="AV33" i="1" s="1"/>
  <c r="AJ29" i="1"/>
  <c r="AV29" i="1" s="1"/>
  <c r="E88" i="1"/>
  <c r="J88" i="1"/>
  <c r="F81" i="1"/>
  <c r="AF33" i="1"/>
  <c r="AR33" i="1" s="1"/>
  <c r="AL32" i="1"/>
  <c r="AX32" i="1" s="1"/>
  <c r="I85" i="1"/>
  <c r="AG29" i="1"/>
  <c r="AS29" i="1" s="1"/>
  <c r="K84" i="1"/>
  <c r="AG35" i="1"/>
  <c r="AS35" i="1" s="1"/>
  <c r="AH30" i="1"/>
  <c r="AT30" i="1" s="1"/>
  <c r="F87" i="1"/>
  <c r="K81" i="1"/>
  <c r="D81" i="1"/>
  <c r="AM8" i="1"/>
  <c r="AP9" i="1"/>
  <c r="C88" i="1"/>
  <c r="AI32" i="1"/>
  <c r="AU32" i="1" s="1"/>
  <c r="AH28" i="1"/>
  <c r="AT28" i="1" s="1"/>
  <c r="AH34" i="1"/>
  <c r="AT34" i="1" s="1"/>
  <c r="AJ28" i="1"/>
  <c r="AV28" i="1" s="1"/>
  <c r="G84" i="1"/>
  <c r="E83" i="1"/>
  <c r="AF31" i="1"/>
  <c r="AR31" i="1" s="1"/>
  <c r="AW27" i="1"/>
  <c r="AP31" i="1"/>
  <c r="AH33" i="1"/>
  <c r="AT33" i="1" s="1"/>
  <c r="AH16" i="1"/>
  <c r="AF16" i="1"/>
  <c r="D36" i="1"/>
  <c r="AR14" i="1"/>
  <c r="AQ8" i="1"/>
  <c r="K36" i="1"/>
  <c r="K86" i="1"/>
  <c r="AA16" i="1"/>
  <c r="AM11" i="1"/>
  <c r="AG31" i="1"/>
  <c r="AS31" i="1" s="1"/>
  <c r="AE16" i="1"/>
  <c r="H36" i="1"/>
  <c r="AM13" i="1"/>
  <c r="AJ16" i="1"/>
  <c r="M35" i="1"/>
  <c r="M88" i="1" s="1"/>
  <c r="AK28" i="1"/>
  <c r="AW28" i="1" s="1"/>
  <c r="AK30" i="1"/>
  <c r="AW30" i="1" s="1"/>
  <c r="J83" i="1"/>
  <c r="G36" i="1"/>
  <c r="AI33" i="1"/>
  <c r="AU33" i="1" s="1"/>
  <c r="H86" i="1"/>
  <c r="M33" i="1"/>
  <c r="M86" i="1" s="1"/>
  <c r="D86" i="1"/>
  <c r="M34" i="1"/>
  <c r="M87" i="1" s="1"/>
  <c r="AU13" i="1"/>
  <c r="K88" i="1"/>
  <c r="M31" i="1"/>
  <c r="M84" i="1" s="1"/>
  <c r="AL16" i="1"/>
  <c r="AM12" i="1"/>
  <c r="E36" i="1"/>
  <c r="E82" i="1"/>
  <c r="E85" i="1"/>
  <c r="H83" i="1"/>
  <c r="AP35" i="1"/>
  <c r="AG16" i="1"/>
  <c r="AM15" i="1"/>
  <c r="AE29" i="1"/>
  <c r="AQ29" i="1" s="1"/>
  <c r="M28" i="1"/>
  <c r="M81" i="1" s="1"/>
  <c r="AK34" i="1"/>
  <c r="AW34" i="1" s="1"/>
  <c r="AD29" i="1"/>
  <c r="C82" i="1"/>
  <c r="M29" i="1"/>
  <c r="M82" i="1" s="1"/>
  <c r="AM10" i="1"/>
  <c r="AK16" i="1"/>
  <c r="E87" i="1"/>
  <c r="K87" i="1"/>
  <c r="AE34" i="1"/>
  <c r="AQ34" i="1" s="1"/>
  <c r="AK33" i="1"/>
  <c r="AW33" i="1" s="1"/>
  <c r="J86" i="1"/>
  <c r="J36" i="1"/>
  <c r="AG27" i="1"/>
  <c r="AX27" i="1"/>
  <c r="AD32" i="1"/>
  <c r="M30" i="1"/>
  <c r="M83" i="1" s="1"/>
  <c r="AD27" i="1"/>
  <c r="AL29" i="1"/>
  <c r="AX29" i="1" s="1"/>
  <c r="E81" i="1"/>
  <c r="AG30" i="1"/>
  <c r="AT27" i="1"/>
  <c r="M32" i="1"/>
  <c r="M85" i="1" s="1"/>
  <c r="AD28" i="1"/>
  <c r="M27" i="1"/>
  <c r="AF36" i="1" l="1"/>
  <c r="AR36" i="1" s="1"/>
  <c r="AJ36" i="1"/>
  <c r="AV36" i="1" s="1"/>
  <c r="AH36" i="1"/>
  <c r="AT36" i="1" s="1"/>
  <c r="AM35" i="1"/>
  <c r="AY35" i="1" s="1"/>
  <c r="AM31" i="1"/>
  <c r="AY31" i="1" s="1"/>
  <c r="AM16" i="1"/>
  <c r="AL36" i="1"/>
  <c r="AX36" i="1" s="1"/>
  <c r="AM34" i="1"/>
  <c r="AY34" i="1" s="1"/>
  <c r="D89" i="1"/>
  <c r="AM33" i="1"/>
  <c r="AY33" i="1" s="1"/>
  <c r="AS30" i="1"/>
  <c r="AM30" i="1"/>
  <c r="AY30" i="1" s="1"/>
  <c r="J89" i="1"/>
  <c r="AE36" i="1"/>
  <c r="AQ36" i="1" s="1"/>
  <c r="AP32" i="1"/>
  <c r="AM32" i="1"/>
  <c r="AY32" i="1" s="1"/>
  <c r="AI36" i="1"/>
  <c r="AU36" i="1" s="1"/>
  <c r="E89" i="1"/>
  <c r="K89" i="1"/>
  <c r="G89" i="1"/>
  <c r="H89" i="1"/>
  <c r="AK36" i="1"/>
  <c r="AW36" i="1" s="1"/>
  <c r="AM29" i="1"/>
  <c r="AY29" i="1" s="1"/>
  <c r="AP29" i="1"/>
  <c r="AS27" i="1"/>
  <c r="AG36" i="1"/>
  <c r="AS36" i="1" s="1"/>
  <c r="M36" i="1"/>
  <c r="K96" i="1" s="1"/>
  <c r="AP27" i="1"/>
  <c r="AD36" i="1"/>
  <c r="AP36" i="1" s="1"/>
  <c r="AM27" i="1"/>
  <c r="AM28" i="1"/>
  <c r="AY28" i="1" s="1"/>
  <c r="AP28" i="1"/>
  <c r="H96" i="1" l="1"/>
  <c r="J96" i="1"/>
  <c r="E96" i="1"/>
  <c r="AM36" i="1"/>
  <c r="AY36" i="1" s="1"/>
  <c r="AY27" i="1"/>
  <c r="M89" i="1"/>
  <c r="C96" i="1"/>
  <c r="F96" i="1"/>
  <c r="I96" i="1"/>
  <c r="D96" i="1"/>
  <c r="G96" i="1"/>
  <c r="L96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tc={6528E27D-0860-4CF1-B353-623047295029}</author>
  </authors>
  <commentList>
    <comment ref="A42" authorId="0" shapeId="0" xr:uid="{6528E27D-0860-4CF1-B353-623047295029}">
      <text>
        <t>[Threaded comment]
Your version of Excel allows you to read this threaded comment; however, any edits to it will get removed if the file is opened in a newer version of Excel. Learn more: https://go.microsoft.com/fwlink/?linkid=870924
Comment:
    Use ACS or LODES
Reply:
    Put in ACS and LODES for reference (source Aksel’s notes) - might need to adjust/combination of them 
Reply:
    ACS: Overrepresent within county
LODES: May not but have other outliers
Estimate WFH from county with other ACS table? 
Reply:
    Taking some of the within county people and shfiting them to other cells in matrix 
Reply:
    Target is when the empres matches empres
Reply:
    Add in BATS with fully remote percentage
Reply:
    Pull in personas and reference them in the sheet
Reply:
    Put in 2023 TAZ Data as a tab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tc={FCA2F682-E664-492C-8EE9-918E99F78245}</author>
  </authors>
  <commentList>
    <comment ref="C3" authorId="0" shapeId="0" xr:uid="{FCA2F682-E664-492C-8EE9-918E99F78245}">
      <text>
        <t>[Threaded comment]
Your version of Excel allows you to read this threaded comment; however, any edits to it will get removed if the file is opened in a newer version of Excel. Learn more: https://go.microsoft.com/fwlink/?linkid=870924
Comment:
    Get constant from UEC</t>
      </text>
    </comment>
  </commentList>
</comments>
</file>

<file path=xl/sharedStrings.xml><?xml version="1.0" encoding="utf-8"?>
<sst xmlns="http://schemas.openxmlformats.org/spreadsheetml/2006/main" count="4149" uniqueCount="525">
  <si>
    <t>01 San Francisco</t>
  </si>
  <si>
    <t>02 San Mateo</t>
  </si>
  <si>
    <t>03 Santa Clara</t>
  </si>
  <si>
    <t>04 Alameda</t>
  </si>
  <si>
    <t>05 Contra Costa</t>
  </si>
  <si>
    <t>06 Solano</t>
  </si>
  <si>
    <t>07 Napa</t>
  </si>
  <si>
    <t>08 Sonoma</t>
  </si>
  <si>
    <t>09 Marin</t>
  </si>
  <si>
    <t>Grand Total</t>
  </si>
  <si>
    <t>Residence</t>
  </si>
  <si>
    <t>Place of Work</t>
  </si>
  <si>
    <t>Puma County</t>
  </si>
  <si>
    <t>San Francisco</t>
  </si>
  <si>
    <t>San Mateo</t>
  </si>
  <si>
    <t>Santa Clara</t>
  </si>
  <si>
    <t>Alameda</t>
  </si>
  <si>
    <t>Contra Costa</t>
  </si>
  <si>
    <t>Solano</t>
  </si>
  <si>
    <t>Napa</t>
  </si>
  <si>
    <t>Sonoma</t>
  </si>
  <si>
    <t>Marin</t>
  </si>
  <si>
    <t>Outside Bay Area</t>
  </si>
  <si>
    <t xml:space="preserve">San Francisco </t>
  </si>
  <si>
    <t xml:space="preserve">San Mateo </t>
  </si>
  <si>
    <t xml:space="preserve">Santa Clara </t>
  </si>
  <si>
    <t xml:space="preserve">Alameda </t>
  </si>
  <si>
    <t xml:space="preserve">Contra Costa </t>
  </si>
  <si>
    <t xml:space="preserve">Solano </t>
  </si>
  <si>
    <t xml:space="preserve">Napa </t>
  </si>
  <si>
    <t xml:space="preserve">Sonoma </t>
  </si>
  <si>
    <t xml:space="preserve">Marin </t>
  </si>
  <si>
    <t>Home_county_name</t>
  </si>
  <si>
    <t>&lt;NA&gt;</t>
  </si>
  <si>
    <t>Note: this includes anyone with a WorkLocation (PersonType: Full-time workers, Part-time workers, Student of driving age, and University students)</t>
  </si>
  <si>
    <t>Sonoma County, California</t>
  </si>
  <si>
    <t>0500000US06097</t>
  </si>
  <si>
    <t>Solano County, California</t>
  </si>
  <si>
    <t>0500000US06095</t>
  </si>
  <si>
    <t>Santa Clara County, California</t>
  </si>
  <si>
    <t>0500000US06085</t>
  </si>
  <si>
    <t>San Mateo County, California</t>
  </si>
  <si>
    <t>0500000US06081</t>
  </si>
  <si>
    <t>San Francisco County, California</t>
  </si>
  <si>
    <t>0500000US06075</t>
  </si>
  <si>
    <t>Napa County, California</t>
  </si>
  <si>
    <t>0500000US06055</t>
  </si>
  <si>
    <t>Marin County, California</t>
  </si>
  <si>
    <t>0500000US06041</t>
  </si>
  <si>
    <t>Contra Costa County, California</t>
  </si>
  <si>
    <t>0500000US06013</t>
  </si>
  <si>
    <t>Alameda County, California</t>
  </si>
  <si>
    <t>0500000US06001</t>
  </si>
  <si>
    <t>Geography</t>
  </si>
  <si>
    <t>B08501
MEANS OF TRANSPORTATION TO WORK BY AGE FOR WORKPLACE GEOGRAPHY
Universe: Workers 16 years and over
Source:  U.S. Census Bureau, 2012-2016 American Community Survey 5-Year Estimates</t>
  </si>
  <si>
    <t>Universe: Workers</t>
  </si>
  <si>
    <t>Bay Area</t>
  </si>
  <si>
    <t>Percent WFH</t>
  </si>
  <si>
    <t>distbin</t>
  </si>
  <si>
    <t>Total</t>
  </si>
  <si>
    <t>Percent of Trips</t>
  </si>
  <si>
    <t>Note: this includes anyone with a SchoolLocation where StudentCategory=="College or higher"</t>
  </si>
  <si>
    <t>Note: this includes anyone with a SchoolLocation where StudentCategory=="Grade or high school"</t>
  </si>
  <si>
    <t>ThisIter</t>
  </si>
  <si>
    <t>NextIter</t>
  </si>
  <si>
    <t xml:space="preserve">Dist0to1Miles </t>
  </si>
  <si>
    <t xml:space="preserve">Dist1to2Miles </t>
  </si>
  <si>
    <t xml:space="preserve">Dist2to5Miles </t>
  </si>
  <si>
    <t xml:space="preserve">Dist5to15Miles </t>
  </si>
  <si>
    <t>Dist15to30Miles</t>
  </si>
  <si>
    <t>DIst30PlsMiles</t>
  </si>
  <si>
    <t>Existing</t>
  </si>
  <si>
    <t>Coefficient Change</t>
  </si>
  <si>
    <t>Ideal</t>
  </si>
  <si>
    <t>Proposed</t>
  </si>
  <si>
    <t>DistLow</t>
  </si>
  <si>
    <t>Coefficient</t>
  </si>
  <si>
    <t>Total Value</t>
  </si>
  <si>
    <t>Observed</t>
  </si>
  <si>
    <t>Modeled</t>
  </si>
  <si>
    <t>% Difference</t>
  </si>
  <si>
    <t>Raw</t>
  </si>
  <si>
    <t>Normalized</t>
  </si>
  <si>
    <t>Work</t>
  </si>
  <si>
    <t>University</t>
  </si>
  <si>
    <t>Dampening (Work)</t>
  </si>
  <si>
    <t>Dampening (University)</t>
  </si>
  <si>
    <t>Dampening (School)</t>
  </si>
  <si>
    <t>School</t>
  </si>
  <si>
    <t>Grade</t>
  </si>
  <si>
    <t>High</t>
  </si>
  <si>
    <t>Multiplier</t>
  </si>
  <si>
    <t>TAZ Data TOTEMP</t>
  </si>
  <si>
    <t>County</t>
  </si>
  <si>
    <t>Sonoma County</t>
  </si>
  <si>
    <t>Solano County</t>
  </si>
  <si>
    <t>Santa Clara County</t>
  </si>
  <si>
    <t>San Mateo County</t>
  </si>
  <si>
    <t>San Francisco County</t>
  </si>
  <si>
    <t>Napa County</t>
  </si>
  <si>
    <t>Marin County</t>
  </si>
  <si>
    <t>Contra Costa County</t>
  </si>
  <si>
    <t>Alameda County</t>
  </si>
  <si>
    <t>Scaled by Origin District to Match Employed Residents</t>
  </si>
  <si>
    <t>Observed Scaled by Origin District to Match Employed Residents</t>
  </si>
  <si>
    <t>Job Distribution by County for Various Sources</t>
  </si>
  <si>
    <t>TAZ Data EMPRES</t>
  </si>
  <si>
    <t>county</t>
  </si>
  <si>
    <t>work</t>
  </si>
  <si>
    <t>univ</t>
  </si>
  <si>
    <t>school</t>
  </si>
  <si>
    <t>CHTS</t>
  </si>
  <si>
    <t>Model</t>
  </si>
  <si>
    <t>SF to Santa Clara</t>
  </si>
  <si>
    <t>SF to SF</t>
  </si>
  <si>
    <t>Dampening (Work County)</t>
  </si>
  <si>
    <t>Santa Clara to SF</t>
  </si>
  <si>
    <t>Santa Clara to Santa Clara</t>
  </si>
  <si>
    <t>SF to San Mateo</t>
  </si>
  <si>
    <t>San Mateo to Santa Clara</t>
  </si>
  <si>
    <t>San Mateo to Alameda</t>
  </si>
  <si>
    <t>Mill Valley and Sausalito</t>
  </si>
  <si>
    <t>San Rafael</t>
  </si>
  <si>
    <t>Novato</t>
  </si>
  <si>
    <t>Healdsburg and Cloverdale</t>
  </si>
  <si>
    <t>Santa Rosa and Sebastopol</t>
  </si>
  <si>
    <t>Petaluma and Rohnert Park</t>
  </si>
  <si>
    <t>St Helena</t>
  </si>
  <si>
    <t>Fairfield and Vacaville</t>
  </si>
  <si>
    <t>Vallejo and Benicia</t>
  </si>
  <si>
    <t>Antioch and Pittsburg</t>
  </si>
  <si>
    <t>Danville and San Ramon</t>
  </si>
  <si>
    <t>Walnut Creek</t>
  </si>
  <si>
    <t>Concord and Martinez</t>
  </si>
  <si>
    <t>Richmond and El Cerrito</t>
  </si>
  <si>
    <t>Berkeley and Albany</t>
  </si>
  <si>
    <t>Oakland and Alameda</t>
  </si>
  <si>
    <t>Hayward and San Leandro</t>
  </si>
  <si>
    <t>Fremont and Union City</t>
  </si>
  <si>
    <t>Livermore and Pleasanton</t>
  </si>
  <si>
    <t>Gilroy and Morgan Hill</t>
  </si>
  <si>
    <t>South San Jose</t>
  </si>
  <si>
    <t>Milpitas and East San Jose</t>
  </si>
  <si>
    <t>Central San Jose</t>
  </si>
  <si>
    <t>Cupertino and Saratoga</t>
  </si>
  <si>
    <t>Sunnyvale and Mountain View</t>
  </si>
  <si>
    <t>Palo Alto and Los Altos</t>
  </si>
  <si>
    <t>Redwood City and Menlo Park</t>
  </si>
  <si>
    <t>San Mateo and Burlingame</t>
  </si>
  <si>
    <t>Daly City and San Bruno</t>
  </si>
  <si>
    <t>San Francisco Sunset District</t>
  </si>
  <si>
    <t>San Francisco Mission District</t>
  </si>
  <si>
    <t>San Francisco Richmond District</t>
  </si>
  <si>
    <t>Greater Downtown San Francisco</t>
  </si>
  <si>
    <t>COUNTY_NAME</t>
  </si>
  <si>
    <t>SD_NAME</t>
  </si>
  <si>
    <t>COUNTY</t>
  </si>
  <si>
    <t>SD</t>
  </si>
  <si>
    <t>ZONE</t>
  </si>
  <si>
    <t>Origin District</t>
  </si>
  <si>
    <t>Destination District</t>
  </si>
  <si>
    <t>Counts</t>
  </si>
  <si>
    <t>Purpose: Work, work-related   Primary Mode: Total</t>
  </si>
  <si>
    <t>Source: Box\Modeling and Surveys\Development\Travel Model 1.5\Calibration\OBS_Summaries\OBS_Summaries_TM1.5.xlsx</t>
  </si>
  <si>
    <t>Destination County</t>
  </si>
  <si>
    <t>Origin County</t>
  </si>
  <si>
    <t>Onboard Survey County-to-county worker tours divided by targets</t>
  </si>
  <si>
    <t>Soruce: table to left, aggregated to destination counties</t>
  </si>
  <si>
    <t>Soruce: table to left, aggregated to origin counties</t>
  </si>
  <si>
    <t>Source:</t>
  </si>
  <si>
    <t>Home County</t>
  </si>
  <si>
    <t>Works Outside Bay Area</t>
  </si>
  <si>
    <r>
      <t xml:space="preserve">PUMS 2013-2017 Bay Area County to County Commuting Flows </t>
    </r>
    <r>
      <rPr>
        <b/>
        <sz val="10"/>
        <color theme="5" tint="-0.249977111117893"/>
        <rFont val="Calibri"/>
        <family val="2"/>
        <scheme val="minor"/>
      </rPr>
      <t>- Calibration Sheet USES THIS</t>
    </r>
  </si>
  <si>
    <t>Alameda to Santa Clara</t>
  </si>
  <si>
    <t>Contra Costa to San Mateo</t>
  </si>
  <si>
    <t>Contra Costa to Santa Clara</t>
  </si>
  <si>
    <t>Change</t>
  </si>
  <si>
    <t>U.S., Outside California</t>
  </si>
  <si>
    <t>California, Outside Bay Area</t>
  </si>
  <si>
    <t>Non Bay Area</t>
  </si>
  <si>
    <t>Home County (group)</t>
  </si>
  <si>
    <t>Work County (group)  /  Work County</t>
  </si>
  <si>
    <t>GEO_ID</t>
  </si>
  <si>
    <t>NAME</t>
  </si>
  <si>
    <t>B08501_001E</t>
  </si>
  <si>
    <t>B08501_001M</t>
  </si>
  <si>
    <t>B08501_002E</t>
  </si>
  <si>
    <t>B08501_002M</t>
  </si>
  <si>
    <t>B08501_003E</t>
  </si>
  <si>
    <t>B08501_003M</t>
  </si>
  <si>
    <t>B08501_004E</t>
  </si>
  <si>
    <t>B08501_004M</t>
  </si>
  <si>
    <t>B08501_005E</t>
  </si>
  <si>
    <t>B08501_005M</t>
  </si>
  <si>
    <t>B08501_006E</t>
  </si>
  <si>
    <t>B08501_006M</t>
  </si>
  <si>
    <t>B08501_007E</t>
  </si>
  <si>
    <t>B08501_007M</t>
  </si>
  <si>
    <t>B08501_008E</t>
  </si>
  <si>
    <t>B08501_008M</t>
  </si>
  <si>
    <t>B08501_009E</t>
  </si>
  <si>
    <t>B08501_009M</t>
  </si>
  <si>
    <t>B08501_010E</t>
  </si>
  <si>
    <t>B08501_010M</t>
  </si>
  <si>
    <t>B08501_011E</t>
  </si>
  <si>
    <t>B08501_011M</t>
  </si>
  <si>
    <t>B08501_012E</t>
  </si>
  <si>
    <t>B08501_012M</t>
  </si>
  <si>
    <t>B08501_013E</t>
  </si>
  <si>
    <t>B08501_013M</t>
  </si>
  <si>
    <t>B08501_014E</t>
  </si>
  <si>
    <t>B08501_014M</t>
  </si>
  <si>
    <t>B08501_015E</t>
  </si>
  <si>
    <t>B08501_015M</t>
  </si>
  <si>
    <t>B08501_016E</t>
  </si>
  <si>
    <t>B08501_016M</t>
  </si>
  <si>
    <t>B08501_017E</t>
  </si>
  <si>
    <t>B08501_017M</t>
  </si>
  <si>
    <t>B08501_018E</t>
  </si>
  <si>
    <t>B08501_018M</t>
  </si>
  <si>
    <t>B08501_019E</t>
  </si>
  <si>
    <t>B08501_019M</t>
  </si>
  <si>
    <t>B08501_020E</t>
  </si>
  <si>
    <t>B08501_020M</t>
  </si>
  <si>
    <t>B08501_021E</t>
  </si>
  <si>
    <t>B08501_021M</t>
  </si>
  <si>
    <t>B08501_022E</t>
  </si>
  <si>
    <t>B08501_022M</t>
  </si>
  <si>
    <t>B08501_023E</t>
  </si>
  <si>
    <t>B08501_023M</t>
  </si>
  <si>
    <t>B08501_024E</t>
  </si>
  <si>
    <t>B08501_024M</t>
  </si>
  <si>
    <t>B08501_025E</t>
  </si>
  <si>
    <t>B08501_025M</t>
  </si>
  <si>
    <t>B08501_026E</t>
  </si>
  <si>
    <t>B08501_026M</t>
  </si>
  <si>
    <t>B08501_027E</t>
  </si>
  <si>
    <t>B08501_027M</t>
  </si>
  <si>
    <t>B08501_028E</t>
  </si>
  <si>
    <t>B08501_028M</t>
  </si>
  <si>
    <t>B08501_029E</t>
  </si>
  <si>
    <t>B08501_029M</t>
  </si>
  <si>
    <t>B08501_030E</t>
  </si>
  <si>
    <t>B08501_030M</t>
  </si>
  <si>
    <t>B08501_031E</t>
  </si>
  <si>
    <t>B08501_031M</t>
  </si>
  <si>
    <t>B08501_032E</t>
  </si>
  <si>
    <t>B08501_032M</t>
  </si>
  <si>
    <t>B08501_033E</t>
  </si>
  <si>
    <t>B08501_033M</t>
  </si>
  <si>
    <t>B08501_034E</t>
  </si>
  <si>
    <t>B08501_034M</t>
  </si>
  <si>
    <t>B08501_035E</t>
  </si>
  <si>
    <t>B08501_035M</t>
  </si>
  <si>
    <t>B08501_036E</t>
  </si>
  <si>
    <t>B08501_036M</t>
  </si>
  <si>
    <t>B08501_037E</t>
  </si>
  <si>
    <t>B08501_037M</t>
  </si>
  <si>
    <t>B08501_038E</t>
  </si>
  <si>
    <t>B08501_038M</t>
  </si>
  <si>
    <t>B08501_039E</t>
  </si>
  <si>
    <t>B08501_039M</t>
  </si>
  <si>
    <t>B08501_040E</t>
  </si>
  <si>
    <t>B08501_040M</t>
  </si>
  <si>
    <t>B08501_041E</t>
  </si>
  <si>
    <t>B08501_041M</t>
  </si>
  <si>
    <t>B08501_042E</t>
  </si>
  <si>
    <t>B08501_042M</t>
  </si>
  <si>
    <t>B08501_043E</t>
  </si>
  <si>
    <t>B08501_043M</t>
  </si>
  <si>
    <t>B08501_044E</t>
  </si>
  <si>
    <t>B08501_044M</t>
  </si>
  <si>
    <t>B08501_045E</t>
  </si>
  <si>
    <t>B08501_045M</t>
  </si>
  <si>
    <t>B08501_046E</t>
  </si>
  <si>
    <t>B08501_046M</t>
  </si>
  <si>
    <t>B08501_047E</t>
  </si>
  <si>
    <t>B08501_047M</t>
  </si>
  <si>
    <t>B08501_048E</t>
  </si>
  <si>
    <t>B08501_048M</t>
  </si>
  <si>
    <t>B08501_049E</t>
  </si>
  <si>
    <t>B08501_049M</t>
  </si>
  <si>
    <t>B08501_050E</t>
  </si>
  <si>
    <t>B08501_050M</t>
  </si>
  <si>
    <t>B08501_051E</t>
  </si>
  <si>
    <t>B08501_051M</t>
  </si>
  <si>
    <t>B08501_052E</t>
  </si>
  <si>
    <t>B08501_052M</t>
  </si>
  <si>
    <t>B08501_053E</t>
  </si>
  <si>
    <t>B08501_053M</t>
  </si>
  <si>
    <t>B08501_054E</t>
  </si>
  <si>
    <t>B08501_054M</t>
  </si>
  <si>
    <t>B08501_055E</t>
  </si>
  <si>
    <t>B08501_055M</t>
  </si>
  <si>
    <t>B08501_056E</t>
  </si>
  <si>
    <t>B08501_056M</t>
  </si>
  <si>
    <t>Geographic Area Name</t>
  </si>
  <si>
    <t>Estimate!!Total:</t>
  </si>
  <si>
    <t>Margin of Error!!Total:</t>
  </si>
  <si>
    <t>Estimate!!Total:!!16 to 19 years</t>
  </si>
  <si>
    <t>Margin of Error!!Total:!!16 to 19 years</t>
  </si>
  <si>
    <t>Estimate!!Total:!!20 to 24 years</t>
  </si>
  <si>
    <t>Margin of Error!!Total:!!20 to 24 years</t>
  </si>
  <si>
    <t>Estimate!!Total:!!25 to 44 years</t>
  </si>
  <si>
    <t>Margin of Error!!Total:!!25 to 44 years</t>
  </si>
  <si>
    <t>Estimate!!Total:!!45 to 54 years</t>
  </si>
  <si>
    <t>Margin of Error!!Total:!!45 to 54 years</t>
  </si>
  <si>
    <t>Estimate!!Total:!!55 to 59 years</t>
  </si>
  <si>
    <t>Margin of Error!!Total:!!55 to 59 years</t>
  </si>
  <si>
    <t>Estimate!!Total:!!60 to 64 years</t>
  </si>
  <si>
    <t>Margin of Error!!Total:!!60 to 64 years</t>
  </si>
  <si>
    <t>Estimate!!Total:!!65 years and over</t>
  </si>
  <si>
    <t>Margin of Error!!Total:!!65 years and over</t>
  </si>
  <si>
    <t>Estimate!!Total:!!Car, truck, or van - drove alone:</t>
  </si>
  <si>
    <t>Margin of Error!!Total:!!Car, truck, or van - drove alone:</t>
  </si>
  <si>
    <t>Estimate!!Total:!!Car, truck, or van - drove alone:!!16 to 19 years</t>
  </si>
  <si>
    <t>Margin of Error!!Total:!!Car, truck, or van - drove alone:!!16 to 19 years</t>
  </si>
  <si>
    <t>Estimate!!Total:!!Car, truck, or van - drove alone:!!20 to 24 years</t>
  </si>
  <si>
    <t>Margin of Error!!Total:!!Car, truck, or van - drove alone:!!20 to 24 years</t>
  </si>
  <si>
    <t>Estimate!!Total:!!Car, truck, or van - drove alone:!!25 to 44 years</t>
  </si>
  <si>
    <t>Margin of Error!!Total:!!Car, truck, or van - drove alone:!!25 to 44 years</t>
  </si>
  <si>
    <t>Estimate!!Total:!!Car, truck, or van - drove alone:!!45 to 54 years</t>
  </si>
  <si>
    <t>Margin of Error!!Total:!!Car, truck, or van - drove alone:!!45 to 54 years</t>
  </si>
  <si>
    <t>Estimate!!Total:!!Car, truck, or van - drove alone:!!55 to 59 years</t>
  </si>
  <si>
    <t>Margin of Error!!Total:!!Car, truck, or van - drove alone:!!55 to 59 years</t>
  </si>
  <si>
    <t>Estimate!!Total:!!Car, truck, or van - drove alone:!!60 to 64 years</t>
  </si>
  <si>
    <t>Margin of Error!!Total:!!Car, truck, or van - drove alone:!!60 to 64 years</t>
  </si>
  <si>
    <t>Estimate!!Total:!!Car, truck, or van - drove alone:!!65 years and over</t>
  </si>
  <si>
    <t>Margin of Error!!Total:!!Car, truck, or van - drove alone:!!65 years and over</t>
  </si>
  <si>
    <t>Estimate!!Total:!!Car, truck, or van - carpooled:</t>
  </si>
  <si>
    <t>Margin of Error!!Total:!!Car, truck, or van - carpooled:</t>
  </si>
  <si>
    <t>Estimate!!Total:!!Car, truck, or van - carpooled:!!16 to 19 years</t>
  </si>
  <si>
    <t>Margin of Error!!Total:!!Car, truck, or van - carpooled:!!16 to 19 years</t>
  </si>
  <si>
    <t>Estimate!!Total:!!Car, truck, or van - carpooled:!!20 to 24 years</t>
  </si>
  <si>
    <t>Margin of Error!!Total:!!Car, truck, or van - carpooled:!!20 to 24 years</t>
  </si>
  <si>
    <t>Estimate!!Total:!!Car, truck, or van - carpooled:!!25 to 44 years</t>
  </si>
  <si>
    <t>Margin of Error!!Total:!!Car, truck, or van - carpooled:!!25 to 44 years</t>
  </si>
  <si>
    <t>Estimate!!Total:!!Car, truck, or van - carpooled:!!45 to 54 years</t>
  </si>
  <si>
    <t>Margin of Error!!Total:!!Car, truck, or van - carpooled:!!45 to 54 years</t>
  </si>
  <si>
    <t>Estimate!!Total:!!Car, truck, or van - carpooled:!!55 to 59 years</t>
  </si>
  <si>
    <t>Margin of Error!!Total:!!Car, truck, or van - carpooled:!!55 to 59 years</t>
  </si>
  <si>
    <t>Estimate!!Total:!!Car, truck, or van - carpooled:!!60 to 64 years</t>
  </si>
  <si>
    <t>Margin of Error!!Total:!!Car, truck, or van - carpooled:!!60 to 64 years</t>
  </si>
  <si>
    <t>Estimate!!Total:!!Car, truck, or van - carpooled:!!65 years and over</t>
  </si>
  <si>
    <t>Margin of Error!!Total:!!Car, truck, or van - carpooled:!!65 years and over</t>
  </si>
  <si>
    <t>Estimate!!Total:!!Public transportation (excluding taxicab):</t>
  </si>
  <si>
    <t>Margin of Error!!Total:!!Public transportation (excluding taxicab):</t>
  </si>
  <si>
    <t>Estimate!!Total:!!Public transportation (excluding taxicab):!!16 to 19 years</t>
  </si>
  <si>
    <t>Margin of Error!!Total:!!Public transportation (excluding taxicab):!!16 to 19 years</t>
  </si>
  <si>
    <t>Estimate!!Total:!!Public transportation (excluding taxicab):!!20 to 24 years</t>
  </si>
  <si>
    <t>Margin of Error!!Total:!!Public transportation (excluding taxicab):!!20 to 24 years</t>
  </si>
  <si>
    <t>Estimate!!Total:!!Public transportation (excluding taxicab):!!25 to 44 years</t>
  </si>
  <si>
    <t>Margin of Error!!Total:!!Public transportation (excluding taxicab):!!25 to 44 years</t>
  </si>
  <si>
    <t>Estimate!!Total:!!Public transportation (excluding taxicab):!!45 to 54 years</t>
  </si>
  <si>
    <t>Margin of Error!!Total:!!Public transportation (excluding taxicab):!!45 to 54 years</t>
  </si>
  <si>
    <t>Estimate!!Total:!!Public transportation (excluding taxicab):!!55 to 59 years</t>
  </si>
  <si>
    <t>Margin of Error!!Total:!!Public transportation (excluding taxicab):!!55 to 59 years</t>
  </si>
  <si>
    <t>Estimate!!Total:!!Public transportation (excluding taxicab):!!60 to 64 years</t>
  </si>
  <si>
    <t>Margin of Error!!Total:!!Public transportation (excluding taxicab):!!60 to 64 years</t>
  </si>
  <si>
    <t>Estimate!!Total:!!Public transportation (excluding taxicab):!!65 years and over</t>
  </si>
  <si>
    <t>Margin of Error!!Total:!!Public transportation (excluding taxicab):!!65 years and over</t>
  </si>
  <si>
    <t>Estimate!!Total:!!Walked:</t>
  </si>
  <si>
    <t>Margin of Error!!Total:!!Walked:</t>
  </si>
  <si>
    <t>Estimate!!Total:!!Walked:!!16 to 19 years</t>
  </si>
  <si>
    <t>Margin of Error!!Total:!!Walked:!!16 to 19 years</t>
  </si>
  <si>
    <t>Estimate!!Total:!!Walked:!!20 to 24 years</t>
  </si>
  <si>
    <t>Margin of Error!!Total:!!Walked:!!20 to 24 years</t>
  </si>
  <si>
    <t>Estimate!!Total:!!Walked:!!25 to 44 years</t>
  </si>
  <si>
    <t>Margin of Error!!Total:!!Walked:!!25 to 44 years</t>
  </si>
  <si>
    <t>Estimate!!Total:!!Walked:!!45 to 54 years</t>
  </si>
  <si>
    <t>Margin of Error!!Total:!!Walked:!!45 to 54 years</t>
  </si>
  <si>
    <t>Estimate!!Total:!!Walked:!!55 to 59 years</t>
  </si>
  <si>
    <t>Margin of Error!!Total:!!Walked:!!55 to 59 years</t>
  </si>
  <si>
    <t>Estimate!!Total:!!Walked:!!60 to 64 years</t>
  </si>
  <si>
    <t>Margin of Error!!Total:!!Walked:!!60 to 64 years</t>
  </si>
  <si>
    <t>Estimate!!Total:!!Walked:!!65 years and over</t>
  </si>
  <si>
    <t>Margin of Error!!Total:!!Walked:!!65 years and over</t>
  </si>
  <si>
    <t>Estimate!!Total:!!Taxicab, motorcycle, bicycle, or other means:</t>
  </si>
  <si>
    <t>Margin of Error!!Total:!!Taxicab, motorcycle, bicycle, or other means:</t>
  </si>
  <si>
    <t>Estimate!!Total:!!Taxicab, motorcycle, bicycle, or other means:!!16 to 19 years</t>
  </si>
  <si>
    <t>Margin of Error!!Total:!!Taxicab, motorcycle, bicycle, or other means:!!16 to 19 years</t>
  </si>
  <si>
    <t>Estimate!!Total:!!Taxicab, motorcycle, bicycle, or other means:!!20 to 24 years</t>
  </si>
  <si>
    <t>Margin of Error!!Total:!!Taxicab, motorcycle, bicycle, or other means:!!20 to 24 years</t>
  </si>
  <si>
    <t>Estimate!!Total:!!Taxicab, motorcycle, bicycle, or other means:!!25 to 44 years</t>
  </si>
  <si>
    <t>Margin of Error!!Total:!!Taxicab, motorcycle, bicycle, or other means:!!25 to 44 years</t>
  </si>
  <si>
    <t>Estimate!!Total:!!Taxicab, motorcycle, bicycle, or other means:!!45 to 54 years</t>
  </si>
  <si>
    <t>Margin of Error!!Total:!!Taxicab, motorcycle, bicycle, or other means:!!45 to 54 years</t>
  </si>
  <si>
    <t>Estimate!!Total:!!Taxicab, motorcycle, bicycle, or other means:!!55 to 59 years</t>
  </si>
  <si>
    <t>Margin of Error!!Total:!!Taxicab, motorcycle, bicycle, or other means:!!55 to 59 years</t>
  </si>
  <si>
    <t>Estimate!!Total:!!Taxicab, motorcycle, bicycle, or other means:!!60 to 64 years</t>
  </si>
  <si>
    <t>Margin of Error!!Total:!!Taxicab, motorcycle, bicycle, or other means:!!60 to 64 years</t>
  </si>
  <si>
    <t>Estimate!!Total:!!Taxicab, motorcycle, bicycle, or other means:!!65 years and over</t>
  </si>
  <si>
    <t>Margin of Error!!Total:!!Taxicab, motorcycle, bicycle, or other means:!!65 years and over</t>
  </si>
  <si>
    <t>Estimate!!Total:!!Worked from home:</t>
  </si>
  <si>
    <t>Margin of Error!!Total:!!Worked from home:</t>
  </si>
  <si>
    <t>Estimate!!Total:!!Worked from home:!!16 to 19 years</t>
  </si>
  <si>
    <t>Margin of Error!!Total:!!Worked from home:!!16 to 19 years</t>
  </si>
  <si>
    <t>Estimate!!Total:!!Worked from home:!!20 to 24 years</t>
  </si>
  <si>
    <t>Margin of Error!!Total:!!Worked from home:!!20 to 24 years</t>
  </si>
  <si>
    <t>Estimate!!Total:!!Worked from home:!!25 to 44 years</t>
  </si>
  <si>
    <t>Margin of Error!!Total:!!Worked from home:!!25 to 44 years</t>
  </si>
  <si>
    <t>Estimate!!Total:!!Worked from home:!!45 to 54 years</t>
  </si>
  <si>
    <t>Margin of Error!!Total:!!Worked from home:!!45 to 54 years</t>
  </si>
  <si>
    <t>Estimate!!Total:!!Worked from home:!!55 to 59 years</t>
  </si>
  <si>
    <t>Margin of Error!!Total:!!Worked from home:!!55 to 59 years</t>
  </si>
  <si>
    <t>Estimate!!Total:!!Worked from home:!!60 to 64 years</t>
  </si>
  <si>
    <t>Margin of Error!!Total:!!Worked from home:!!60 to 64 years</t>
  </si>
  <si>
    <t>Estimate!!Total:!!Worked from home:!!65 years and over</t>
  </si>
  <si>
    <t>Margin of Error!!Total:!!Worked from home:!!65 years and over</t>
  </si>
  <si>
    <t>Source: ACSDT1Y2023.B08501_2026-02-05T174652.zip\ACSDT1Y2023.B08501-Data.csv</t>
  </si>
  <si>
    <t>Download at https://data.census.gov/table/ACSDT1Y2023.B08501?q=B08501:+Means+of+Transportation+to+Work+by+Age+for+Workplace+Geography&amp;g=050XX00US06001,06013,06041,06055,06075,06081,06085,06095,06097&amp;moe=true&amp;tp=true</t>
  </si>
  <si>
    <t>Workers Classification</t>
  </si>
  <si>
    <t>Persons</t>
  </si>
  <si>
    <t>Share</t>
  </si>
  <si>
    <t>Traditional Commuter</t>
  </si>
  <si>
    <t>Infrequent Commuter</t>
  </si>
  <si>
    <t>Fully Remote/WFH</t>
  </si>
  <si>
    <t>Self-Employed</t>
  </si>
  <si>
    <t>Outbound Commuter</t>
  </si>
  <si>
    <t>OTHER - Delivery Workers</t>
  </si>
  <si>
    <t>OTHER - Multiple work locations</t>
  </si>
  <si>
    <t>Source: https://10ay.online.tableau.com/#/site/metropolitantransportationcommission/views/BATSSummary_WorkerClassification/Dash-Workers?:iid=1</t>
  </si>
  <si>
    <r>
      <t>2023 BATS Personas -</t>
    </r>
    <r>
      <rPr>
        <b/>
        <u/>
        <sz val="10"/>
        <color theme="8"/>
        <rFont val="Calibri"/>
        <family val="2"/>
        <scheme val="minor"/>
      </rPr>
      <t xml:space="preserve"> </t>
    </r>
    <r>
      <rPr>
        <b/>
        <u/>
        <sz val="10"/>
        <color theme="5" tint="-0.249977111117893"/>
        <rFont val="Calibri"/>
        <family val="2"/>
        <scheme val="minor"/>
      </rPr>
      <t>For Reference</t>
    </r>
  </si>
  <si>
    <t>description</t>
  </si>
  <si>
    <t>records</t>
  </si>
  <si>
    <t>weighted_pop</t>
  </si>
  <si>
    <t>pct</t>
  </si>
  <si>
    <t>denominator</t>
  </si>
  <si>
    <t>persona</t>
  </si>
  <si>
    <t>A1</t>
  </si>
  <si>
    <t>Traditional internal commuter</t>
  </si>
  <si>
    <t>% of Bay Area employed workers (4.01M)</t>
  </si>
  <si>
    <t>A2</t>
  </si>
  <si>
    <t>Bay Area resident, regular employee WFH</t>
  </si>
  <si>
    <t>A6</t>
  </si>
  <si>
    <t>Self-employed / home-based Bay Area worker</t>
  </si>
  <si>
    <t>A3</t>
  </si>
  <si>
    <t>Outbound commuter (Bay Area to outside)</t>
  </si>
  <si>
    <t>B1</t>
  </si>
  <si>
    <t>Inbound commuter (outside to Bay Area)</t>
  </si>
  <si>
    <t>% of Bay Area-bound workers (4.08M)</t>
  </si>
  <si>
    <t>A5s</t>
  </si>
  <si>
    <t>Bay Area college/grad student</t>
  </si>
  <si>
    <t>% of Bay Area non-employed residents (3.63M)</t>
  </si>
  <si>
    <t>A5x</t>
  </si>
  <si>
    <t>Not employed / not in labor force (Bay Area, non-student)</t>
  </si>
  <si>
    <t>B4/B5</t>
  </si>
  <si>
    <t>Not Bay Area relevant (skip)</t>
  </si>
  <si>
    <t>—</t>
  </si>
  <si>
    <t xml:space="preserve">Source: https://github.com/BayAreaMetro/census-tools-for-planning/blob/master/analysis_by_topic/travel-personas.ipynb </t>
  </si>
  <si>
    <t>Employed Workers</t>
  </si>
  <si>
    <t>PUMS Persona - For Reference</t>
  </si>
  <si>
    <t>CORDONCOST</t>
  </si>
  <si>
    <t>CORDON</t>
  </si>
  <si>
    <t>gqpop</t>
  </si>
  <si>
    <t>hhlds</t>
  </si>
  <si>
    <t>ZERO</t>
  </si>
  <si>
    <t>TOPOLOGY</t>
  </si>
  <si>
    <t>TERMINAL</t>
  </si>
  <si>
    <t>COLLPTE</t>
  </si>
  <si>
    <t>COLLFTE</t>
  </si>
  <si>
    <t>HSENROLL</t>
  </si>
  <si>
    <t>AREATYPE</t>
  </si>
  <si>
    <t>OPRKCST</t>
  </si>
  <si>
    <t>PRKCST</t>
  </si>
  <si>
    <t>OTHEMPN</t>
  </si>
  <si>
    <t>MWTEMPN</t>
  </si>
  <si>
    <t>AGREMPN</t>
  </si>
  <si>
    <t>HEREMPN</t>
  </si>
  <si>
    <t>FPSEMPN</t>
  </si>
  <si>
    <t>RETEMPN</t>
  </si>
  <si>
    <t>AGE65P</t>
  </si>
  <si>
    <t>AGE4564</t>
  </si>
  <si>
    <t>AGE2044</t>
  </si>
  <si>
    <t>AGE0519</t>
  </si>
  <si>
    <t>AGE0004</t>
  </si>
  <si>
    <t>TOTEMP</t>
  </si>
  <si>
    <t>SHPOP62P</t>
  </si>
  <si>
    <t>CIACRE</t>
  </si>
  <si>
    <t>RESACRE</t>
  </si>
  <si>
    <t>TOTACRE</t>
  </si>
  <si>
    <t>HHINCQ4</t>
  </si>
  <si>
    <t>HHINCQ3</t>
  </si>
  <si>
    <t>HHINCQ2</t>
  </si>
  <si>
    <t>HHINCQ1</t>
  </si>
  <si>
    <t>MFDU</t>
  </si>
  <si>
    <t>SFDU</t>
  </si>
  <si>
    <t>EMPRES</t>
  </si>
  <si>
    <t>TOTPOP</t>
  </si>
  <si>
    <t>HHPOP</t>
  </si>
  <si>
    <t>TOTHH</t>
  </si>
  <si>
    <t>DISTRICT</t>
  </si>
  <si>
    <t>2023 TAZ Data with Updated Parking</t>
  </si>
  <si>
    <t>Source: M:\Application\Model One\RTP2029\INPUT_DEVELOPMENT\LandUse_n_Popsyn\2023_v12\landuse</t>
  </si>
  <si>
    <t>Universe: Workers 16 years</t>
  </si>
  <si>
    <t>Model minus Observed (PUMS 2023 Bay Area County to County Commuting Flows)</t>
  </si>
  <si>
    <t>2023 Model Data</t>
  </si>
  <si>
    <t>Source: M:\Data\Census\PUMS\PUMS 2023\CountyToCountyCommuterFlows_PUMS2023.twb\PUMS 2023 Work Flows</t>
  </si>
  <si>
    <t>Source: M:\Data\Census\PUMS\PUMS 2023\CountyToCountyCommuterFlows_PUMS2023.twb\CountyToCountyWorkFlows</t>
  </si>
  <si>
    <t>PUMS 2023 Bay Area Work Flow</t>
  </si>
  <si>
    <t>Source:  ACS or LODES (ACS: Overrepresent within county; LODES: May not but have other outliers. Estimate WFH from county with other ACS table? )</t>
  </si>
  <si>
    <t>PUMS 2023 Bay Area Work Flow - Calibration Sheet USES THIS</t>
  </si>
  <si>
    <t>Average Trip Length (BATS 2023 observed and 2023 model data)</t>
  </si>
  <si>
    <t>https://10ay.online.tableau.com/#/site/metropolitantransportationcommission/views/CountyToCountyCommuterFlows_PUMS2023/Dashboard1?:iid=1</t>
  </si>
  <si>
    <t xml:space="preserve">PUMS 2023 Work Flows </t>
  </si>
  <si>
    <t>Including all workers who live or work in the Bay Area.</t>
  </si>
  <si>
    <t>Data source: allWorkersWhoLiveOrWorkInBayArea.Rdata tabulated via https://github.com/BayAreaMetro/census-tools-for-planning/blob/master/analysis_by_topic/fetchPUMSWorkersWhoLiveOrWorkInBayArea.R  This filters to ESR in [1,2,4,5]</t>
  </si>
  <si>
    <t>PUMS 2023 CountyToCountyWorkFlows</t>
  </si>
  <si>
    <t>Data source: pbayarea23.Rdata from https://github.com/BayAreaMetro/census-tools-for-planning/blob/master/Create_Data_Sets/ACS_PUMS_create_BayArea_datasets.R</t>
  </si>
  <si>
    <t>Sum of Pwgtp broken down by Work County (group) and Work County vs. Residence County Name. The data is filtered on Jwtrns, which excludes Not a worker and Worked from home.</t>
  </si>
  <si>
    <t>Sum of Pwgtp broken down by Work County (group) and Work County vs. Home County (group) and Home County. The data is filtered on Jwtrns (alpha), which excludes bb Not a worker. The view is filtered on Home County (group), which keeps Bay Area and Non Bay Area</t>
  </si>
  <si>
    <t>Residence County Name</t>
  </si>
  <si>
    <t>California Outside Bay Area</t>
  </si>
  <si>
    <t>Works Outside California</t>
  </si>
  <si>
    <t>See sheet "PUMS 2023"</t>
  </si>
  <si>
    <r>
      <t xml:space="preserve">Additional 2023 Bay Area Work Flow </t>
    </r>
    <r>
      <rPr>
        <b/>
        <sz val="10"/>
        <color theme="5" tint="-0.249977111117893"/>
        <rFont val="Calibri"/>
        <family val="2"/>
        <scheme val="minor"/>
      </rPr>
      <t xml:space="preserve"> - </t>
    </r>
    <r>
      <rPr>
        <b/>
        <u/>
        <sz val="10"/>
        <color theme="5" tint="-0.249977111117893"/>
        <rFont val="Calibri"/>
        <family val="2"/>
        <scheme val="minor"/>
      </rPr>
      <t>Not In-use Now</t>
    </r>
  </si>
  <si>
    <t>Model minus Observed / Observed (PUMS 2023 Bay Area County to County Commuting Flows)</t>
  </si>
  <si>
    <t>BATS 2023 Work Tour Length Frequency Distribution</t>
  </si>
  <si>
    <t>BATS 2023 University Tour Length Frequency Distribution</t>
  </si>
  <si>
    <t>BATS 2023 School Tour Length Frequency Distribution</t>
  </si>
  <si>
    <t>BATS 2023 Mandatory Tour Lengths, Average by County</t>
  </si>
  <si>
    <t>Source: M:/Development/Travel Model One/Calibration/Version 1.7/2023_BATS_Summaries/pipeline_mt_20261008_NoMon_rmo/ctramp_2023/BATS_Summaries/workTLFD.csv</t>
  </si>
  <si>
    <t>Source: M:/Development/Travel Model One/Calibration/Version 1.7/2023_BATS_Summaries/pipeline_mt_20261008_NoMon_rmo/ctramp_2023/BATS_Summaries/univTLFD.csv</t>
  </si>
  <si>
    <t>Source: M:/Development/Travel Model One/Calibration/Version 1.7/2023_BATS_Summaries/pipeline_mt_20261008_NoMon_rmo/ctramp_2023/BATS_Summaries/schoolTLFD.csv</t>
  </si>
  <si>
    <t>Source: M:/Development/Travel Model One/Calibration/Version 1.7/2023_BATS_Summaries/pipeline_mt_20261008_NoMon_rmo/ctramp_2023/BATS_Summaries/AvgTourLen.csv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</si>
</sst>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(* #,##0.00_);_(* \(#,##0.00\);_(* &quot;-&quot;??_);_(@_)"/>
    <numFmt numFmtId="164" formatCode="0.0%"/>
    <numFmt numFmtId="165" formatCode="0.000"/>
    <numFmt numFmtId="166" formatCode="0.0000;[Red]\-0.0000"/>
    <numFmt numFmtId="167" formatCode="_(* #,##0%_);[Red]_(* \-#,##0%_);_(* &quot;-&quot;??_);_(@_)"/>
    <numFmt numFmtId="168" formatCode="_(* #,##0.000_);[Red]_(* \-#,##0.000_);_(* &quot;-&quot;??_);_(@_)"/>
    <numFmt numFmtId="169" formatCode="0.0"/>
    <numFmt numFmtId="170" formatCode="_(* #,##0_);_(* \(#,##0\);_(* &quot;-&quot;??_);_(@_)"/>
    <numFmt numFmtId="171" formatCode="0.0000"/>
  </numFmts>
  <fonts count="32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8"/>
      <name val="Calibri"/>
      <family val="2"/>
      <scheme val="minor"/>
    </font>
    <font>
      <sz val="10"/>
      <color theme="2" tint="-0.249977111117893"/>
      <name val="Calibri"/>
      <family val="2"/>
      <scheme val="minor"/>
    </font>
    <font>
      <b/>
      <sz val="10"/>
      <color theme="2" tint="-0.249977111117893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theme="2" tint="-0.499984740745262"/>
      <name val="Calibri"/>
      <family val="2"/>
      <scheme val="minor"/>
    </font>
    <font>
      <sz val="10"/>
      <color theme="8"/>
      <name val="Calibri"/>
      <family val="2"/>
      <scheme val="minor"/>
    </font>
    <font>
      <sz val="10"/>
      <color theme="0" tint="-0.249977111117893"/>
      <name val="Calibri"/>
      <family val="2"/>
      <scheme val="minor"/>
    </font>
    <font>
      <sz val="10"/>
      <color rgb="FF000000"/>
      <name val="Calibri"/>
      <family val="2"/>
    </font>
    <font>
      <sz val="10"/>
      <color theme="4"/>
      <name val="Calibri"/>
      <family val="2"/>
      <scheme val="minor"/>
    </font>
    <font>
      <b/>
      <sz val="10"/>
      <name val="Calibri"/>
      <family val="2"/>
      <scheme val="minor"/>
    </font>
    <font>
      <sz val="10"/>
      <color rgb="FF333333"/>
      <name val="Calibri"/>
      <family val="2"/>
      <scheme val="minor"/>
    </font>
    <font>
      <sz val="10"/>
      <color rgb="FF666666"/>
      <name val="Calibri"/>
      <family val="2"/>
      <scheme val="minor"/>
    </font>
    <font>
      <b/>
      <sz val="10"/>
      <color rgb="FF333333"/>
      <name val="Calibri"/>
      <family val="2"/>
      <scheme val="minor"/>
    </font>
    <font>
      <b/>
      <sz val="10"/>
      <color theme="5" tint="-0.249977111117893"/>
      <name val="Calibri"/>
      <family val="2"/>
      <scheme val="minor"/>
    </font>
    <font>
      <b/>
      <u/>
      <sz val="10"/>
      <color theme="5" tint="-0.249977111117893"/>
      <name val="Calibri"/>
      <family val="2"/>
      <scheme val="minor"/>
    </font>
    <font>
      <sz val="10"/>
      <color theme="1"/>
      <name val="Calibri"/>
      <family val="2"/>
    </font>
    <font>
      <sz val="11"/>
      <color rgb="FFFF0000"/>
      <name val="Calibri"/>
      <family val="2"/>
    </font>
    <font>
      <b/>
      <u/>
      <sz val="10"/>
      <color theme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8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name val="Calibri"/>
      <family val="2"/>
    </font>
    <font>
      <sz val="10"/>
      <color rgb="FF000000"/>
      <name val="Calibri"/>
      <family val="2"/>
      <scheme val="minor"/>
    </font>
    <font>
      <i/>
      <sz val="10"/>
      <color theme="0" tint="-0.249977111117893"/>
      <name val="Calibri"/>
      <family val="2"/>
      <scheme val="minor"/>
    </font>
    <font>
      <i/>
      <sz val="10"/>
      <color theme="1" tint="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5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7"/>
      </left>
      <right style="thin">
        <color theme="7"/>
      </right>
      <top style="thin">
        <color theme="7"/>
      </top>
      <bottom style="thin">
        <color theme="7"/>
      </bottom>
      <diagonal/>
    </border>
    <border>
      <left style="thin">
        <color theme="7"/>
      </left>
      <right/>
      <top style="thin">
        <color theme="7"/>
      </top>
      <bottom style="thin">
        <color theme="7"/>
      </bottom>
      <diagonal/>
    </border>
    <border>
      <left/>
      <right/>
      <top style="thin">
        <color theme="7"/>
      </top>
      <bottom style="thin">
        <color theme="7"/>
      </bottom>
      <diagonal/>
    </border>
    <border>
      <left/>
      <right style="thin">
        <color theme="7"/>
      </right>
      <top style="thin">
        <color theme="7"/>
      </top>
      <bottom style="thin">
        <color theme="7"/>
      </bottom>
      <diagonal/>
    </border>
    <border>
      <left style="thin">
        <color theme="7"/>
      </left>
      <right/>
      <top style="thin">
        <color theme="7"/>
      </top>
      <bottom/>
      <diagonal/>
    </border>
    <border>
      <left/>
      <right/>
      <top style="thin">
        <color theme="7"/>
      </top>
      <bottom/>
      <diagonal/>
    </border>
    <border>
      <left/>
      <right style="thin">
        <color theme="7"/>
      </right>
      <top style="thin">
        <color theme="7"/>
      </top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9"/>
      </left>
      <right/>
      <top style="thin">
        <color theme="9"/>
      </top>
      <bottom style="thin">
        <color theme="9"/>
      </bottom>
      <diagonal/>
    </border>
    <border>
      <left/>
      <right/>
      <top style="thin">
        <color theme="9"/>
      </top>
      <bottom style="thin">
        <color theme="9"/>
      </bottom>
      <diagonal/>
    </border>
    <border>
      <left/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7"/>
      </left>
      <right style="thin">
        <color theme="7"/>
      </right>
      <top style="thin">
        <color theme="7"/>
      </top>
      <bottom/>
      <diagonal/>
    </border>
    <border>
      <left style="thin">
        <color theme="9"/>
      </left>
      <right/>
      <top style="thin">
        <color theme="9"/>
      </top>
      <bottom/>
      <diagonal/>
    </border>
    <border>
      <left/>
      <right/>
      <top style="thin">
        <color theme="9"/>
      </top>
      <bottom/>
      <diagonal/>
    </border>
    <border>
      <left/>
      <right style="thin">
        <color theme="9"/>
      </right>
      <top style="thin">
        <color theme="9"/>
      </top>
      <bottom/>
      <diagonal/>
    </border>
    <border>
      <left style="thin">
        <color theme="8"/>
      </left>
      <right/>
      <top style="thin">
        <color theme="8"/>
      </top>
      <bottom style="thin">
        <color theme="8"/>
      </bottom>
      <diagonal/>
    </border>
    <border>
      <left/>
      <right/>
      <top style="thin">
        <color theme="8"/>
      </top>
      <bottom style="thin">
        <color theme="8"/>
      </bottom>
      <diagonal/>
    </border>
    <border>
      <left/>
      <right style="thin">
        <color theme="8"/>
      </right>
      <top style="thin">
        <color theme="8"/>
      </top>
      <bottom style="thin">
        <color theme="8"/>
      </bottom>
      <diagonal/>
    </border>
    <border>
      <left style="thin">
        <color theme="9"/>
      </left>
      <right style="thin">
        <color theme="9"/>
      </right>
      <top style="thin">
        <color theme="9"/>
      </top>
      <bottom/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rgb="FF7030A0"/>
      </left>
      <right style="thin">
        <color rgb="FF7030A0"/>
      </right>
      <top style="thin">
        <color rgb="FF7030A0"/>
      </top>
      <bottom style="thin">
        <color rgb="FF7030A0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/>
      <right/>
      <top style="thin">
        <color theme="8"/>
      </top>
      <bottom/>
      <diagonal/>
    </border>
    <border>
      <left/>
      <right style="thin">
        <color theme="8"/>
      </right>
      <top style="thin">
        <color theme="8"/>
      </top>
      <bottom/>
      <diagonal/>
    </border>
    <border>
      <left style="thin">
        <color theme="8"/>
      </left>
      <right style="thin">
        <color theme="8"/>
      </right>
      <top style="thin">
        <color theme="8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030A0"/>
      </left>
      <right/>
      <top style="thin">
        <color rgb="FF7030A0"/>
      </top>
      <bottom style="thin">
        <color rgb="FF7030A0"/>
      </bottom>
      <diagonal/>
    </border>
    <border>
      <left/>
      <right style="thin">
        <color rgb="FF7030A0"/>
      </right>
      <top style="thin">
        <color rgb="FF7030A0"/>
      </top>
      <bottom style="thin">
        <color rgb="FF7030A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9"/>
      </left>
      <right style="thin">
        <color theme="9"/>
      </right>
      <top style="thin">
        <color indexed="64"/>
      </top>
      <bottom/>
      <diagonal/>
    </border>
    <border>
      <left style="thin">
        <color theme="9"/>
      </left>
      <right style="thin">
        <color theme="9"/>
      </right>
      <top style="thin">
        <color indexed="64"/>
      </top>
      <bottom style="thin">
        <color theme="9"/>
      </bottom>
      <diagonal/>
    </border>
    <border>
      <left style="thin">
        <color indexed="64"/>
      </left>
      <right style="thin">
        <color theme="8"/>
      </right>
      <top style="thin">
        <color theme="8"/>
      </top>
      <bottom style="thin">
        <color theme="8"/>
      </bottom>
      <diagonal/>
    </border>
  </borders>
  <cellStyleXfs count="5">
    <xf numFmtId="0" fontId="0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25" fillId="0" borderId="0" applyNumberFormat="0" applyFill="0" applyBorder="0" applyAlignment="0" applyProtection="0"/>
    <xf numFmtId="0" fontId="28" fillId="0" borderId="0"/>
  </cellStyleXfs>
  <cellXfs count="281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wrapText="1"/>
    </xf>
    <xf numFmtId="0" fontId="1" fillId="0" borderId="0" xfId="0" applyFont="1" applyAlignment="1">
      <alignment vertical="top" wrapText="1"/>
    </xf>
    <xf numFmtId="3" fontId="1" fillId="0" borderId="1" xfId="0" applyNumberFormat="1" applyFont="1" applyBorder="1"/>
    <xf numFmtId="3" fontId="1" fillId="0" borderId="2" xfId="0" applyNumberFormat="1" applyFont="1" applyBorder="1"/>
    <xf numFmtId="3" fontId="1" fillId="0" borderId="3" xfId="0" applyNumberFormat="1" applyFont="1" applyBorder="1"/>
    <xf numFmtId="3" fontId="1" fillId="0" borderId="0" xfId="0" applyNumberFormat="1" applyFont="1"/>
    <xf numFmtId="3" fontId="1" fillId="0" borderId="4" xfId="0" applyNumberFormat="1" applyFont="1" applyBorder="1"/>
    <xf numFmtId="3" fontId="1" fillId="0" borderId="5" xfId="0" applyNumberFormat="1" applyFont="1" applyBorder="1"/>
    <xf numFmtId="3" fontId="1" fillId="0" borderId="6" xfId="0" applyNumberFormat="1" applyFont="1" applyBorder="1"/>
    <xf numFmtId="3" fontId="1" fillId="0" borderId="7" xfId="0" applyNumberFormat="1" applyFont="1" applyBorder="1"/>
    <xf numFmtId="3" fontId="1" fillId="0" borderId="8" xfId="0" applyNumberFormat="1" applyFont="1" applyBorder="1"/>
    <xf numFmtId="0" fontId="3" fillId="0" borderId="0" xfId="0" applyFont="1"/>
    <xf numFmtId="3" fontId="3" fillId="0" borderId="0" xfId="0" applyNumberFormat="1" applyFont="1"/>
    <xf numFmtId="0" fontId="4" fillId="0" borderId="0" xfId="0" applyFont="1"/>
    <xf numFmtId="3" fontId="3" fillId="0" borderId="2" xfId="0" applyNumberFormat="1" applyFont="1" applyBorder="1"/>
    <xf numFmtId="0" fontId="5" fillId="0" borderId="0" xfId="0" applyFont="1" applyAlignment="1">
      <alignment wrapText="1"/>
    </xf>
    <xf numFmtId="3" fontId="6" fillId="0" borderId="2" xfId="0" applyNumberFormat="1" applyFont="1" applyBorder="1"/>
    <xf numFmtId="3" fontId="5" fillId="0" borderId="1" xfId="0" applyNumberFormat="1" applyFont="1" applyBorder="1"/>
    <xf numFmtId="3" fontId="5" fillId="0" borderId="6" xfId="0" applyNumberFormat="1" applyFont="1" applyBorder="1"/>
    <xf numFmtId="0" fontId="3" fillId="0" borderId="0" xfId="0" applyFont="1" applyAlignment="1">
      <alignment wrapText="1"/>
    </xf>
    <xf numFmtId="3" fontId="5" fillId="0" borderId="4" xfId="0" applyNumberFormat="1" applyFont="1" applyBorder="1"/>
    <xf numFmtId="0" fontId="5" fillId="0" borderId="0" xfId="0" applyFont="1"/>
    <xf numFmtId="0" fontId="1" fillId="0" borderId="0" xfId="0" applyFont="1" applyAlignment="1">
      <alignment horizontal="center" wrapText="1"/>
    </xf>
    <xf numFmtId="0" fontId="1" fillId="2" borderId="0" xfId="0" applyFont="1" applyFill="1"/>
    <xf numFmtId="9" fontId="1" fillId="2" borderId="0" xfId="0" applyNumberFormat="1" applyFont="1" applyFill="1"/>
    <xf numFmtId="0" fontId="3" fillId="2" borderId="0" xfId="0" applyFont="1" applyFill="1"/>
    <xf numFmtId="3" fontId="3" fillId="2" borderId="0" xfId="0" applyNumberFormat="1" applyFont="1" applyFill="1"/>
    <xf numFmtId="0" fontId="1" fillId="2" borderId="0" xfId="0" applyFont="1" applyFill="1" applyAlignment="1">
      <alignment horizontal="center" wrapText="1"/>
    </xf>
    <xf numFmtId="3" fontId="1" fillId="2" borderId="0" xfId="0" applyNumberFormat="1" applyFont="1" applyFill="1"/>
    <xf numFmtId="2" fontId="1" fillId="3" borderId="0" xfId="0" applyNumberFormat="1" applyFont="1" applyFill="1"/>
    <xf numFmtId="166" fontId="1" fillId="0" borderId="0" xfId="0" applyNumberFormat="1" applyFont="1"/>
    <xf numFmtId="167" fontId="8" fillId="0" borderId="5" xfId="1" applyNumberFormat="1" applyFont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/>
    <xf numFmtId="164" fontId="1" fillId="0" borderId="4" xfId="2" applyNumberFormat="1" applyFont="1" applyBorder="1"/>
    <xf numFmtId="164" fontId="1" fillId="0" borderId="0" xfId="2" applyNumberFormat="1" applyFont="1"/>
    <xf numFmtId="168" fontId="1" fillId="0" borderId="4" xfId="0" applyNumberFormat="1" applyFont="1" applyBorder="1"/>
    <xf numFmtId="168" fontId="1" fillId="0" borderId="5" xfId="0" applyNumberFormat="1" applyFont="1" applyBorder="1"/>
    <xf numFmtId="168" fontId="1" fillId="0" borderId="11" xfId="0" applyNumberFormat="1" applyFont="1" applyBorder="1"/>
    <xf numFmtId="165" fontId="1" fillId="0" borderId="5" xfId="0" applyNumberFormat="1" applyFont="1" applyBorder="1"/>
    <xf numFmtId="164" fontId="1" fillId="2" borderId="0" xfId="0" applyNumberFormat="1" applyFont="1" applyFill="1"/>
    <xf numFmtId="0" fontId="1" fillId="4" borderId="11" xfId="0" applyFont="1" applyFill="1" applyBorder="1"/>
    <xf numFmtId="166" fontId="1" fillId="4" borderId="0" xfId="0" applyNumberFormat="1" applyFont="1" applyFill="1"/>
    <xf numFmtId="165" fontId="1" fillId="4" borderId="5" xfId="0" applyNumberFormat="1" applyFont="1" applyFill="1" applyBorder="1"/>
    <xf numFmtId="164" fontId="1" fillId="4" borderId="4" xfId="2" applyNumberFormat="1" applyFont="1" applyFill="1" applyBorder="1"/>
    <xf numFmtId="164" fontId="1" fillId="4" borderId="0" xfId="2" applyNumberFormat="1" applyFont="1" applyFill="1"/>
    <xf numFmtId="167" fontId="8" fillId="4" borderId="5" xfId="1" applyNumberFormat="1" applyFont="1" applyFill="1" applyBorder="1"/>
    <xf numFmtId="168" fontId="1" fillId="4" borderId="4" xfId="0" applyNumberFormat="1" applyFont="1" applyFill="1" applyBorder="1"/>
    <xf numFmtId="168" fontId="1" fillId="4" borderId="5" xfId="0" applyNumberFormat="1" applyFont="1" applyFill="1" applyBorder="1"/>
    <xf numFmtId="168" fontId="1" fillId="4" borderId="11" xfId="0" applyNumberFormat="1" applyFont="1" applyFill="1" applyBorder="1"/>
    <xf numFmtId="0" fontId="1" fillId="4" borderId="10" xfId="0" applyFont="1" applyFill="1" applyBorder="1"/>
    <xf numFmtId="166" fontId="1" fillId="4" borderId="6" xfId="0" applyNumberFormat="1" applyFont="1" applyFill="1" applyBorder="1"/>
    <xf numFmtId="165" fontId="1" fillId="4" borderId="8" xfId="0" applyNumberFormat="1" applyFont="1" applyFill="1" applyBorder="1"/>
    <xf numFmtId="164" fontId="1" fillId="4" borderId="6" xfId="2" applyNumberFormat="1" applyFont="1" applyFill="1" applyBorder="1"/>
    <xf numFmtId="164" fontId="1" fillId="4" borderId="7" xfId="2" applyNumberFormat="1" applyFont="1" applyFill="1" applyBorder="1"/>
    <xf numFmtId="167" fontId="8" fillId="4" borderId="8" xfId="1" applyNumberFormat="1" applyFont="1" applyFill="1" applyBorder="1"/>
    <xf numFmtId="168" fontId="1" fillId="4" borderId="6" xfId="0" applyNumberFormat="1" applyFont="1" applyFill="1" applyBorder="1"/>
    <xf numFmtId="168" fontId="1" fillId="4" borderId="8" xfId="0" applyNumberFormat="1" applyFont="1" applyFill="1" applyBorder="1"/>
    <xf numFmtId="168" fontId="1" fillId="4" borderId="10" xfId="0" applyNumberFormat="1" applyFont="1" applyFill="1" applyBorder="1"/>
    <xf numFmtId="0" fontId="9" fillId="0" borderId="0" xfId="0" applyFont="1" applyAlignment="1">
      <alignment horizontal="center"/>
    </xf>
    <xf numFmtId="0" fontId="1" fillId="0" borderId="6" xfId="0" applyFont="1" applyBorder="1" applyAlignment="1">
      <alignment horizontal="center" wrapText="1"/>
    </xf>
    <xf numFmtId="0" fontId="1" fillId="0" borderId="10" xfId="0" applyFont="1" applyBorder="1" applyAlignment="1">
      <alignment horizontal="center" wrapText="1"/>
    </xf>
    <xf numFmtId="0" fontId="1" fillId="0" borderId="7" xfId="0" applyFont="1" applyBorder="1" applyAlignment="1">
      <alignment horizontal="center" wrapText="1"/>
    </xf>
    <xf numFmtId="0" fontId="1" fillId="0" borderId="8" xfId="0" applyFont="1" applyBorder="1" applyAlignment="1">
      <alignment horizontal="center" wrapText="1"/>
    </xf>
    <xf numFmtId="0" fontId="1" fillId="0" borderId="2" xfId="0" applyFont="1" applyBorder="1"/>
    <xf numFmtId="164" fontId="1" fillId="0" borderId="1" xfId="0" applyNumberFormat="1" applyFont="1" applyBorder="1"/>
    <xf numFmtId="164" fontId="1" fillId="0" borderId="2" xfId="0" applyNumberFormat="1" applyFont="1" applyBorder="1"/>
    <xf numFmtId="164" fontId="1" fillId="0" borderId="3" xfId="0" applyNumberFormat="1" applyFont="1" applyBorder="1"/>
    <xf numFmtId="164" fontId="1" fillId="0" borderId="4" xfId="0" applyNumberFormat="1" applyFont="1" applyBorder="1"/>
    <xf numFmtId="164" fontId="1" fillId="0" borderId="0" xfId="0" applyNumberFormat="1" applyFont="1"/>
    <xf numFmtId="164" fontId="1" fillId="0" borderId="5" xfId="0" applyNumberFormat="1" applyFont="1" applyBorder="1"/>
    <xf numFmtId="164" fontId="1" fillId="0" borderId="6" xfId="0" applyNumberFormat="1" applyFont="1" applyBorder="1"/>
    <xf numFmtId="164" fontId="1" fillId="0" borderId="7" xfId="0" applyNumberFormat="1" applyFont="1" applyBorder="1"/>
    <xf numFmtId="164" fontId="1" fillId="0" borderId="8" xfId="0" applyNumberFormat="1" applyFont="1" applyBorder="1"/>
    <xf numFmtId="164" fontId="3" fillId="0" borderId="0" xfId="0" applyNumberFormat="1" applyFont="1"/>
    <xf numFmtId="3" fontId="1" fillId="0" borderId="12" xfId="0" applyNumberFormat="1" applyFont="1" applyBorder="1"/>
    <xf numFmtId="3" fontId="3" fillId="0" borderId="12" xfId="0" applyNumberFormat="1" applyFont="1" applyBorder="1"/>
    <xf numFmtId="164" fontId="1" fillId="0" borderId="12" xfId="0" applyNumberFormat="1" applyFont="1" applyBorder="1"/>
    <xf numFmtId="0" fontId="10" fillId="0" borderId="0" xfId="0" applyFont="1"/>
    <xf numFmtId="3" fontId="1" fillId="2" borderId="1" xfId="0" applyNumberFormat="1" applyFont="1" applyFill="1" applyBorder="1"/>
    <xf numFmtId="3" fontId="1" fillId="2" borderId="8" xfId="0" applyNumberFormat="1" applyFont="1" applyFill="1" applyBorder="1"/>
    <xf numFmtId="9" fontId="1" fillId="0" borderId="0" xfId="0" applyNumberFormat="1" applyFont="1"/>
    <xf numFmtId="0" fontId="11" fillId="0" borderId="0" xfId="0" applyFont="1"/>
    <xf numFmtId="169" fontId="1" fillId="0" borderId="1" xfId="0" applyNumberFormat="1" applyFont="1" applyBorder="1"/>
    <xf numFmtId="169" fontId="1" fillId="0" borderId="2" xfId="0" applyNumberFormat="1" applyFont="1" applyBorder="1"/>
    <xf numFmtId="169" fontId="1" fillId="0" borderId="3" xfId="0" applyNumberFormat="1" applyFont="1" applyBorder="1"/>
    <xf numFmtId="169" fontId="1" fillId="0" borderId="4" xfId="0" applyNumberFormat="1" applyFont="1" applyBorder="1"/>
    <xf numFmtId="169" fontId="1" fillId="0" borderId="0" xfId="0" applyNumberFormat="1" applyFont="1"/>
    <xf numFmtId="169" fontId="1" fillId="0" borderId="5" xfId="0" applyNumberFormat="1" applyFont="1" applyBorder="1"/>
    <xf numFmtId="169" fontId="1" fillId="0" borderId="6" xfId="0" applyNumberFormat="1" applyFont="1" applyBorder="1"/>
    <xf numFmtId="169" fontId="1" fillId="0" borderId="7" xfId="0" applyNumberFormat="1" applyFont="1" applyBorder="1"/>
    <xf numFmtId="169" fontId="1" fillId="0" borderId="8" xfId="0" applyNumberFormat="1" applyFont="1" applyBorder="1"/>
    <xf numFmtId="0" fontId="4" fillId="4" borderId="0" xfId="0" applyFont="1" applyFill="1"/>
    <xf numFmtId="0" fontId="1" fillId="4" borderId="0" xfId="0" applyFont="1" applyFill="1"/>
    <xf numFmtId="0" fontId="10" fillId="4" borderId="0" xfId="0" applyFont="1" applyFill="1"/>
    <xf numFmtId="0" fontId="1" fillId="0" borderId="0" xfId="0" applyFont="1" applyAlignment="1">
      <alignment horizontal="right"/>
    </xf>
    <xf numFmtId="0" fontId="1" fillId="0" borderId="1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14" xfId="0" applyFont="1" applyBorder="1"/>
    <xf numFmtId="0" fontId="1" fillId="0" borderId="15" xfId="0" applyFont="1" applyBorder="1"/>
    <xf numFmtId="0" fontId="1" fillId="0" borderId="16" xfId="0" applyFont="1" applyBorder="1" applyAlignment="1">
      <alignment horizontal="right"/>
    </xf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 applyAlignment="1">
      <alignment horizontal="right"/>
    </xf>
    <xf numFmtId="3" fontId="1" fillId="2" borderId="14" xfId="0" applyNumberFormat="1" applyFont="1" applyFill="1" applyBorder="1"/>
    <xf numFmtId="3" fontId="1" fillId="0" borderId="13" xfId="0" applyNumberFormat="1" applyFont="1" applyBorder="1"/>
    <xf numFmtId="0" fontId="1" fillId="0" borderId="21" xfId="0" applyFont="1" applyBorder="1"/>
    <xf numFmtId="0" fontId="1" fillId="0" borderId="22" xfId="0" applyFont="1" applyBorder="1"/>
    <xf numFmtId="0" fontId="1" fillId="0" borderId="23" xfId="0" applyFont="1" applyBorder="1" applyAlignment="1">
      <alignment horizontal="right"/>
    </xf>
    <xf numFmtId="3" fontId="1" fillId="0" borderId="24" xfId="0" applyNumberFormat="1" applyFont="1" applyBorder="1"/>
    <xf numFmtId="3" fontId="1" fillId="0" borderId="20" xfId="0" applyNumberFormat="1" applyFont="1" applyBorder="1"/>
    <xf numFmtId="0" fontId="1" fillId="0" borderId="25" xfId="0" applyFont="1" applyBorder="1"/>
    <xf numFmtId="0" fontId="1" fillId="0" borderId="26" xfId="0" applyFont="1" applyBorder="1"/>
    <xf numFmtId="0" fontId="1" fillId="0" borderId="27" xfId="0" applyFont="1" applyBorder="1" applyAlignment="1">
      <alignment horizontal="right"/>
    </xf>
    <xf numFmtId="0" fontId="13" fillId="0" borderId="28" xfId="0" applyFont="1" applyBorder="1"/>
    <xf numFmtId="0" fontId="13" fillId="0" borderId="29" xfId="0" applyFont="1" applyBorder="1"/>
    <xf numFmtId="0" fontId="8" fillId="0" borderId="30" xfId="0" applyFont="1" applyBorder="1" applyAlignment="1">
      <alignment horizontal="right"/>
    </xf>
    <xf numFmtId="3" fontId="1" fillId="0" borderId="31" xfId="0" applyNumberFormat="1" applyFont="1" applyBorder="1"/>
    <xf numFmtId="0" fontId="13" fillId="0" borderId="0" xfId="0" applyFont="1"/>
    <xf numFmtId="0" fontId="8" fillId="0" borderId="0" xfId="0" applyFont="1" applyAlignment="1">
      <alignment horizontal="right"/>
    </xf>
    <xf numFmtId="3" fontId="1" fillId="0" borderId="32" xfId="0" applyNumberFormat="1" applyFont="1" applyBorder="1"/>
    <xf numFmtId="3" fontId="1" fillId="2" borderId="32" xfId="0" applyNumberFormat="1" applyFont="1" applyFill="1" applyBorder="1"/>
    <xf numFmtId="170" fontId="3" fillId="0" borderId="0" xfId="0" applyNumberFormat="1" applyFont="1"/>
    <xf numFmtId="0" fontId="3" fillId="0" borderId="0" xfId="0" applyFont="1" applyAlignment="1">
      <alignment horizontal="right"/>
    </xf>
    <xf numFmtId="170" fontId="1" fillId="0" borderId="33" xfId="1" applyNumberFormat="1" applyFont="1" applyBorder="1"/>
    <xf numFmtId="170" fontId="1" fillId="0" borderId="34" xfId="1" applyNumberFormat="1" applyFont="1" applyBorder="1"/>
    <xf numFmtId="170" fontId="1" fillId="0" borderId="35" xfId="1" applyNumberFormat="1" applyFont="1" applyBorder="1"/>
    <xf numFmtId="170" fontId="1" fillId="0" borderId="36" xfId="1" applyNumberFormat="1" applyFont="1" applyBorder="1"/>
    <xf numFmtId="170" fontId="1" fillId="0" borderId="0" xfId="1" applyNumberFormat="1" applyFont="1"/>
    <xf numFmtId="170" fontId="1" fillId="0" borderId="37" xfId="1" applyNumberFormat="1" applyFont="1" applyBorder="1"/>
    <xf numFmtId="170" fontId="1" fillId="0" borderId="38" xfId="1" applyNumberFormat="1" applyFont="1" applyBorder="1"/>
    <xf numFmtId="170" fontId="1" fillId="0" borderId="39" xfId="1" applyNumberFormat="1" applyFont="1" applyBorder="1"/>
    <xf numFmtId="170" fontId="1" fillId="0" borderId="40" xfId="1" applyNumberFormat="1" applyFont="1" applyBorder="1"/>
    <xf numFmtId="0" fontId="3" fillId="0" borderId="0" xfId="0" applyFont="1" applyAlignment="1">
      <alignment horizontal="right" wrapText="1"/>
    </xf>
    <xf numFmtId="0" fontId="1" fillId="0" borderId="0" xfId="0" applyFont="1" applyAlignment="1">
      <alignment horizontal="right" wrapText="1"/>
    </xf>
    <xf numFmtId="170" fontId="1" fillId="0" borderId="1" xfId="0" applyNumberFormat="1" applyFont="1" applyBorder="1"/>
    <xf numFmtId="170" fontId="1" fillId="0" borderId="2" xfId="0" applyNumberFormat="1" applyFont="1" applyBorder="1"/>
    <xf numFmtId="170" fontId="1" fillId="0" borderId="3" xfId="0" applyNumberFormat="1" applyFont="1" applyBorder="1"/>
    <xf numFmtId="170" fontId="1" fillId="0" borderId="4" xfId="0" applyNumberFormat="1" applyFont="1" applyBorder="1"/>
    <xf numFmtId="170" fontId="1" fillId="0" borderId="0" xfId="0" applyNumberFormat="1" applyFont="1"/>
    <xf numFmtId="170" fontId="1" fillId="0" borderId="5" xfId="0" applyNumberFormat="1" applyFont="1" applyBorder="1"/>
    <xf numFmtId="170" fontId="1" fillId="0" borderId="6" xfId="0" applyNumberFormat="1" applyFont="1" applyBorder="1"/>
    <xf numFmtId="170" fontId="1" fillId="0" borderId="7" xfId="0" applyNumberFormat="1" applyFont="1" applyBorder="1"/>
    <xf numFmtId="170" fontId="1" fillId="0" borderId="8" xfId="0" applyNumberFormat="1" applyFont="1" applyBorder="1"/>
    <xf numFmtId="9" fontId="3" fillId="0" borderId="0" xfId="0" applyNumberFormat="1" applyFont="1"/>
    <xf numFmtId="9" fontId="1" fillId="0" borderId="4" xfId="0" applyNumberFormat="1" applyFont="1" applyBorder="1"/>
    <xf numFmtId="9" fontId="1" fillId="0" borderId="5" xfId="0" applyNumberFormat="1" applyFont="1" applyBorder="1"/>
    <xf numFmtId="9" fontId="5" fillId="0" borderId="4" xfId="0" applyNumberFormat="1" applyFont="1" applyBorder="1"/>
    <xf numFmtId="9" fontId="1" fillId="2" borderId="32" xfId="0" applyNumberFormat="1" applyFont="1" applyFill="1" applyBorder="1"/>
    <xf numFmtId="9" fontId="1" fillId="0" borderId="6" xfId="0" applyNumberFormat="1" applyFont="1" applyBorder="1"/>
    <xf numFmtId="9" fontId="1" fillId="0" borderId="7" xfId="0" applyNumberFormat="1" applyFont="1" applyBorder="1"/>
    <xf numFmtId="9" fontId="1" fillId="2" borderId="8" xfId="0" applyNumberFormat="1" applyFont="1" applyFill="1" applyBorder="1"/>
    <xf numFmtId="9" fontId="5" fillId="0" borderId="6" xfId="0" applyNumberFormat="1" applyFont="1" applyBorder="1"/>
    <xf numFmtId="9" fontId="3" fillId="0" borderId="2" xfId="0" applyNumberFormat="1" applyFont="1" applyBorder="1"/>
    <xf numFmtId="9" fontId="6" fillId="0" borderId="2" xfId="0" applyNumberFormat="1" applyFont="1" applyBorder="1"/>
    <xf numFmtId="3" fontId="15" fillId="0" borderId="0" xfId="0" quotePrefix="1" applyNumberFormat="1" applyFont="1" applyAlignment="1">
      <alignment horizontal="left" wrapText="1"/>
    </xf>
    <xf numFmtId="3" fontId="16" fillId="0" borderId="0" xfId="0" quotePrefix="1" applyNumberFormat="1" applyFont="1" applyAlignment="1">
      <alignment horizontal="center" wrapText="1"/>
    </xf>
    <xf numFmtId="3" fontId="16" fillId="0" borderId="0" xfId="0" quotePrefix="1" applyNumberFormat="1" applyFont="1" applyAlignment="1">
      <alignment horizontal="left" vertical="top"/>
    </xf>
    <xf numFmtId="3" fontId="17" fillId="0" borderId="2" xfId="0" applyNumberFormat="1" applyFont="1" applyBorder="1" applyAlignment="1">
      <alignment vertical="center"/>
    </xf>
    <xf numFmtId="0" fontId="13" fillId="0" borderId="42" xfId="0" applyFont="1" applyBorder="1"/>
    <xf numFmtId="0" fontId="13" fillId="0" borderId="43" xfId="0" applyFont="1" applyBorder="1"/>
    <xf numFmtId="0" fontId="8" fillId="0" borderId="44" xfId="0" applyFont="1" applyBorder="1" applyAlignment="1">
      <alignment horizontal="right"/>
    </xf>
    <xf numFmtId="0" fontId="13" fillId="0" borderId="41" xfId="0" applyFont="1" applyBorder="1"/>
    <xf numFmtId="0" fontId="8" fillId="0" borderId="41" xfId="0" applyFont="1" applyBorder="1" applyAlignment="1">
      <alignment horizontal="right"/>
    </xf>
    <xf numFmtId="3" fontId="1" fillId="0" borderId="45" xfId="0" applyNumberFormat="1" applyFont="1" applyBorder="1"/>
    <xf numFmtId="3" fontId="1" fillId="0" borderId="41" xfId="0" applyNumberFormat="1" applyFont="1" applyBorder="1"/>
    <xf numFmtId="3" fontId="1" fillId="0" borderId="46" xfId="0" applyNumberFormat="1" applyFont="1" applyBorder="1"/>
    <xf numFmtId="3" fontId="1" fillId="0" borderId="47" xfId="0" applyNumberFormat="1" applyFont="1" applyBorder="1"/>
    <xf numFmtId="3" fontId="1" fillId="0" borderId="48" xfId="0" applyNumberFormat="1" applyFont="1" applyBorder="1"/>
    <xf numFmtId="171" fontId="1" fillId="0" borderId="0" xfId="0" applyNumberFormat="1" applyFont="1"/>
    <xf numFmtId="171" fontId="1" fillId="0" borderId="6" xfId="0" applyNumberFormat="1" applyFont="1" applyBorder="1" applyAlignment="1">
      <alignment horizontal="center" wrapText="1"/>
    </xf>
    <xf numFmtId="171" fontId="1" fillId="0" borderId="8" xfId="0" applyNumberFormat="1" applyFont="1" applyBorder="1" applyAlignment="1">
      <alignment horizontal="center" wrapText="1"/>
    </xf>
    <xf numFmtId="171" fontId="1" fillId="0" borderId="4" xfId="0" applyNumberFormat="1" applyFont="1" applyBorder="1"/>
    <xf numFmtId="171" fontId="1" fillId="0" borderId="5" xfId="0" applyNumberFormat="1" applyFont="1" applyBorder="1"/>
    <xf numFmtId="171" fontId="1" fillId="4" borderId="4" xfId="0" applyNumberFormat="1" applyFont="1" applyFill="1" applyBorder="1"/>
    <xf numFmtId="171" fontId="1" fillId="4" borderId="5" xfId="0" applyNumberFormat="1" applyFont="1" applyFill="1" applyBorder="1"/>
    <xf numFmtId="171" fontId="1" fillId="4" borderId="6" xfId="0" applyNumberFormat="1" applyFont="1" applyFill="1" applyBorder="1"/>
    <xf numFmtId="171" fontId="1" fillId="4" borderId="8" xfId="0" applyNumberFormat="1" applyFont="1" applyFill="1" applyBorder="1"/>
    <xf numFmtId="3" fontId="12" fillId="0" borderId="0" xfId="0" applyNumberFormat="1" applyFont="1" applyAlignment="1">
      <alignment vertical="center"/>
    </xf>
    <xf numFmtId="3" fontId="12" fillId="0" borderId="5" xfId="0" applyNumberFormat="1" applyFont="1" applyBorder="1" applyAlignment="1">
      <alignment vertical="center"/>
    </xf>
    <xf numFmtId="3" fontId="12" fillId="0" borderId="4" xfId="0" applyNumberFormat="1" applyFont="1" applyBorder="1" applyAlignment="1">
      <alignment vertical="center"/>
    </xf>
    <xf numFmtId="3" fontId="12" fillId="0" borderId="11" xfId="0" applyNumberFormat="1" applyFont="1" applyBorder="1" applyAlignment="1">
      <alignment vertical="center"/>
    </xf>
    <xf numFmtId="0" fontId="20" fillId="0" borderId="0" xfId="0" applyFont="1"/>
    <xf numFmtId="0" fontId="12" fillId="0" borderId="0" xfId="0" quotePrefix="1" applyFont="1" applyAlignment="1">
      <alignment horizontal="left" vertical="top"/>
    </xf>
    <xf numFmtId="3" fontId="12" fillId="0" borderId="7" xfId="0" applyNumberFormat="1" applyFont="1" applyBorder="1" applyAlignment="1">
      <alignment vertical="center"/>
    </xf>
    <xf numFmtId="0" fontId="20" fillId="0" borderId="8" xfId="0" applyFont="1" applyBorder="1"/>
    <xf numFmtId="0" fontId="20" fillId="0" borderId="7" xfId="0" applyFont="1" applyBorder="1"/>
    <xf numFmtId="0" fontId="20" fillId="0" borderId="6" xfId="0" applyFont="1" applyBorder="1"/>
    <xf numFmtId="3" fontId="12" fillId="0" borderId="10" xfId="0" applyNumberFormat="1" applyFont="1" applyBorder="1" applyAlignment="1">
      <alignment vertical="center"/>
    </xf>
    <xf numFmtId="0" fontId="12" fillId="0" borderId="7" xfId="0" quotePrefix="1" applyFont="1" applyBorder="1" applyAlignment="1">
      <alignment horizontal="left" vertical="top"/>
    </xf>
    <xf numFmtId="0" fontId="20" fillId="0" borderId="5" xfId="0" applyFont="1" applyBorder="1"/>
    <xf numFmtId="0" fontId="20" fillId="0" borderId="4" xfId="0" applyFont="1" applyBorder="1"/>
    <xf numFmtId="3" fontId="12" fillId="0" borderId="2" xfId="0" applyNumberFormat="1" applyFont="1" applyBorder="1" applyAlignment="1">
      <alignment vertical="center"/>
    </xf>
    <xf numFmtId="0" fontId="20" fillId="0" borderId="3" xfId="0" applyFont="1" applyBorder="1"/>
    <xf numFmtId="0" fontId="20" fillId="0" borderId="2" xfId="0" applyFont="1" applyBorder="1"/>
    <xf numFmtId="0" fontId="20" fillId="0" borderId="1" xfId="0" applyFont="1" applyBorder="1"/>
    <xf numFmtId="3" fontId="12" fillId="0" borderId="9" xfId="0" applyNumberFormat="1" applyFont="1" applyBorder="1" applyAlignment="1">
      <alignment vertical="center"/>
    </xf>
    <xf numFmtId="0" fontId="12" fillId="0" borderId="2" xfId="0" quotePrefix="1" applyFont="1" applyBorder="1" applyAlignment="1">
      <alignment horizontal="left" vertical="top"/>
    </xf>
    <xf numFmtId="3" fontId="12" fillId="0" borderId="6" xfId="0" applyNumberFormat="1" applyFont="1" applyBorder="1" applyAlignment="1">
      <alignment vertical="center"/>
    </xf>
    <xf numFmtId="3" fontId="12" fillId="0" borderId="3" xfId="0" applyNumberFormat="1" applyFont="1" applyBorder="1" applyAlignment="1">
      <alignment vertical="center"/>
    </xf>
    <xf numFmtId="3" fontId="12" fillId="0" borderId="1" xfId="0" applyNumberFormat="1" applyFont="1" applyBorder="1" applyAlignment="1">
      <alignment vertical="center"/>
    </xf>
    <xf numFmtId="0" fontId="12" fillId="0" borderId="5" xfId="0" quotePrefix="1" applyFont="1" applyBorder="1" applyAlignment="1">
      <alignment horizontal="center"/>
    </xf>
    <xf numFmtId="0" fontId="12" fillId="0" borderId="0" xfId="0" quotePrefix="1" applyFont="1" applyAlignment="1">
      <alignment horizontal="left"/>
    </xf>
    <xf numFmtId="0" fontId="21" fillId="0" borderId="0" xfId="0" applyFont="1"/>
    <xf numFmtId="0" fontId="12" fillId="0" borderId="4" xfId="0" quotePrefix="1" applyFont="1" applyBorder="1" applyAlignment="1">
      <alignment horizontal="center" wrapText="1"/>
    </xf>
    <xf numFmtId="0" fontId="12" fillId="0" borderId="0" xfId="0" quotePrefix="1" applyFont="1" applyAlignment="1">
      <alignment horizontal="center" wrapText="1"/>
    </xf>
    <xf numFmtId="3" fontId="12" fillId="0" borderId="12" xfId="0" applyNumberFormat="1" applyFont="1" applyBorder="1" applyAlignment="1">
      <alignment vertical="center"/>
    </xf>
    <xf numFmtId="3" fontId="12" fillId="0" borderId="49" xfId="0" applyNumberFormat="1" applyFont="1" applyBorder="1" applyAlignment="1">
      <alignment vertical="center"/>
    </xf>
    <xf numFmtId="3" fontId="12" fillId="0" borderId="46" xfId="0" applyNumberFormat="1" applyFont="1" applyBorder="1" applyAlignment="1">
      <alignment vertical="center"/>
    </xf>
    <xf numFmtId="3" fontId="12" fillId="0" borderId="50" xfId="0" applyNumberFormat="1" applyFont="1" applyBorder="1" applyAlignment="1">
      <alignment vertical="center"/>
    </xf>
    <xf numFmtId="0" fontId="1" fillId="0" borderId="7" xfId="0" applyFont="1" applyBorder="1"/>
    <xf numFmtId="9" fontId="1" fillId="0" borderId="0" xfId="2" applyFont="1"/>
    <xf numFmtId="0" fontId="11" fillId="0" borderId="0" xfId="0" applyFont="1" applyAlignment="1">
      <alignment horizontal="center"/>
    </xf>
    <xf numFmtId="10" fontId="1" fillId="0" borderId="0" xfId="0" applyNumberFormat="1" applyFont="1"/>
    <xf numFmtId="43" fontId="1" fillId="0" borderId="0" xfId="1" applyFont="1"/>
    <xf numFmtId="43" fontId="3" fillId="0" borderId="0" xfId="0" applyNumberFormat="1" applyFont="1"/>
    <xf numFmtId="0" fontId="24" fillId="0" borderId="0" xfId="0" applyFont="1"/>
    <xf numFmtId="0" fontId="23" fillId="0" borderId="0" xfId="0" applyFont="1"/>
    <xf numFmtId="9" fontId="1" fillId="0" borderId="1" xfId="0" applyNumberFormat="1" applyFont="1" applyBorder="1"/>
    <xf numFmtId="9" fontId="1" fillId="2" borderId="2" xfId="0" applyNumberFormat="1" applyFont="1" applyFill="1" applyBorder="1"/>
    <xf numFmtId="9" fontId="1" fillId="0" borderId="51" xfId="0" applyNumberFormat="1" applyFont="1" applyBorder="1"/>
    <xf numFmtId="9" fontId="1" fillId="0" borderId="52" xfId="0" applyNumberFormat="1" applyFont="1" applyBorder="1"/>
    <xf numFmtId="9" fontId="1" fillId="0" borderId="2" xfId="0" applyNumberFormat="1" applyFont="1" applyBorder="1"/>
    <xf numFmtId="9" fontId="1" fillId="0" borderId="3" xfId="0" applyNumberFormat="1" applyFont="1" applyBorder="1"/>
    <xf numFmtId="9" fontId="5" fillId="0" borderId="1" xfId="0" applyNumberFormat="1" applyFont="1" applyBorder="1"/>
    <xf numFmtId="9" fontId="1" fillId="0" borderId="53" xfId="0" applyNumberFormat="1" applyFont="1" applyBorder="1"/>
    <xf numFmtId="164" fontId="3" fillId="0" borderId="49" xfId="0" applyNumberFormat="1" applyFont="1" applyBorder="1"/>
    <xf numFmtId="0" fontId="1" fillId="0" borderId="7" xfId="0" applyFont="1" applyBorder="1" applyAlignment="1">
      <alignment wrapText="1"/>
    </xf>
    <xf numFmtId="166" fontId="1" fillId="0" borderId="0" xfId="0" quotePrefix="1" applyNumberFormat="1" applyFont="1"/>
    <xf numFmtId="0" fontId="1" fillId="0" borderId="7" xfId="0" applyFont="1" applyBorder="1" applyAlignment="1">
      <alignment vertical="top" wrapText="1"/>
    </xf>
    <xf numFmtId="0" fontId="1" fillId="6" borderId="0" xfId="0" applyFont="1" applyFill="1" applyAlignment="1">
      <alignment horizontal="center" wrapText="1"/>
    </xf>
    <xf numFmtId="0" fontId="1" fillId="6" borderId="2" xfId="0" applyFont="1" applyFill="1" applyBorder="1"/>
    <xf numFmtId="0" fontId="25" fillId="0" borderId="0" xfId="3"/>
    <xf numFmtId="0" fontId="26" fillId="0" borderId="0" xfId="0" applyFont="1"/>
    <xf numFmtId="0" fontId="27" fillId="0" borderId="0" xfId="0" applyFont="1"/>
    <xf numFmtId="0" fontId="8" fillId="0" borderId="0" xfId="4" applyFont="1"/>
    <xf numFmtId="0" fontId="29" fillId="0" borderId="0" xfId="4" applyFont="1" applyAlignment="1">
      <alignment horizontal="left" vertical="top"/>
    </xf>
    <xf numFmtId="0" fontId="29" fillId="0" borderId="7" xfId="4" applyFont="1" applyBorder="1" applyAlignment="1">
      <alignment horizontal="left" vertical="top"/>
    </xf>
    <xf numFmtId="0" fontId="29" fillId="0" borderId="7" xfId="4" applyFont="1" applyBorder="1" applyAlignment="1">
      <alignment horizontal="left" wrapText="1"/>
    </xf>
    <xf numFmtId="0" fontId="29" fillId="0" borderId="7" xfId="4" applyFont="1" applyBorder="1" applyAlignment="1">
      <alignment horizontal="center" wrapText="1"/>
    </xf>
    <xf numFmtId="0" fontId="29" fillId="0" borderId="6" xfId="4" applyFont="1" applyBorder="1" applyAlignment="1">
      <alignment horizontal="center" wrapText="1"/>
    </xf>
    <xf numFmtId="170" fontId="29" fillId="0" borderId="4" xfId="1" applyNumberFormat="1" applyFont="1" applyBorder="1" applyAlignment="1">
      <alignment vertical="center"/>
    </xf>
    <xf numFmtId="170" fontId="29" fillId="0" borderId="0" xfId="1" applyNumberFormat="1" applyFont="1" applyBorder="1" applyAlignment="1">
      <alignment vertical="center"/>
    </xf>
    <xf numFmtId="170" fontId="8" fillId="0" borderId="0" xfId="1" applyNumberFormat="1" applyFont="1" applyBorder="1"/>
    <xf numFmtId="170" fontId="29" fillId="0" borderId="6" xfId="1" applyNumberFormat="1" applyFont="1" applyBorder="1" applyAlignment="1">
      <alignment vertical="center"/>
    </xf>
    <xf numFmtId="170" fontId="29" fillId="0" borderId="7" xfId="1" applyNumberFormat="1" applyFont="1" applyBorder="1" applyAlignment="1">
      <alignment vertical="center"/>
    </xf>
    <xf numFmtId="0" fontId="29" fillId="0" borderId="10" xfId="4" applyFont="1" applyBorder="1" applyAlignment="1">
      <alignment horizontal="center" wrapText="1"/>
    </xf>
    <xf numFmtId="170" fontId="29" fillId="0" borderId="11" xfId="1" applyNumberFormat="1" applyFont="1" applyBorder="1" applyAlignment="1">
      <alignment vertical="center"/>
    </xf>
    <xf numFmtId="170" fontId="29" fillId="0" borderId="10" xfId="1" applyNumberFormat="1" applyFont="1" applyBorder="1" applyAlignment="1">
      <alignment vertical="center"/>
    </xf>
    <xf numFmtId="3" fontId="5" fillId="0" borderId="9" xfId="0" applyNumberFormat="1" applyFont="1" applyBorder="1"/>
    <xf numFmtId="3" fontId="5" fillId="0" borderId="11" xfId="0" applyNumberFormat="1" applyFont="1" applyBorder="1"/>
    <xf numFmtId="3" fontId="5" fillId="0" borderId="10" xfId="0" applyNumberFormat="1" applyFont="1" applyBorder="1"/>
    <xf numFmtId="3" fontId="30" fillId="0" borderId="0" xfId="0" applyNumberFormat="1" applyFont="1"/>
    <xf numFmtId="0" fontId="31" fillId="0" borderId="2" xfId="0" applyFont="1" applyBorder="1"/>
    <xf numFmtId="0" fontId="1" fillId="0" borderId="1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71" fontId="1" fillId="0" borderId="1" xfId="0" applyNumberFormat="1" applyFont="1" applyBorder="1" applyAlignment="1">
      <alignment horizontal="center"/>
    </xf>
    <xf numFmtId="171" fontId="1" fillId="0" borderId="3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0" xfId="0" applyFont="1" applyAlignment="1">
      <alignment wrapText="1"/>
    </xf>
    <xf numFmtId="0" fontId="12" fillId="0" borderId="2" xfId="0" quotePrefix="1" applyFont="1" applyBorder="1" applyAlignment="1">
      <alignment horizontal="left" vertical="top"/>
    </xf>
    <xf numFmtId="0" fontId="20" fillId="0" borderId="0" xfId="0" applyFont="1"/>
    <xf numFmtId="0" fontId="20" fillId="0" borderId="7" xfId="0" applyFont="1" applyBorder="1"/>
    <xf numFmtId="0" fontId="12" fillId="0" borderId="0" xfId="0" quotePrefix="1" applyFont="1" applyAlignment="1">
      <alignment horizontal="left" vertical="top"/>
    </xf>
    <xf numFmtId="0" fontId="12" fillId="0" borderId="0" xfId="0" quotePrefix="1" applyFont="1" applyAlignment="1">
      <alignment horizontal="center"/>
    </xf>
    <xf numFmtId="0" fontId="12" fillId="0" borderId="4" xfId="0" quotePrefix="1" applyFont="1" applyBorder="1" applyAlignment="1">
      <alignment horizontal="center"/>
    </xf>
    <xf numFmtId="0" fontId="20" fillId="0" borderId="5" xfId="0" applyFont="1" applyBorder="1"/>
    <xf numFmtId="0" fontId="29" fillId="0" borderId="4" xfId="4" applyFont="1" applyBorder="1" applyAlignment="1">
      <alignment horizontal="center"/>
    </xf>
    <xf numFmtId="0" fontId="29" fillId="0" borderId="0" xfId="4" applyFont="1" applyAlignment="1">
      <alignment horizontal="center"/>
    </xf>
    <xf numFmtId="0" fontId="29" fillId="0" borderId="5" xfId="4" applyFont="1" applyBorder="1" applyAlignment="1">
      <alignment horizontal="center"/>
    </xf>
    <xf numFmtId="0" fontId="29" fillId="0" borderId="6" xfId="4" applyFont="1" applyBorder="1" applyAlignment="1">
      <alignment horizontal="center"/>
    </xf>
    <xf numFmtId="0" fontId="29" fillId="0" borderId="0" xfId="4" applyFont="1" applyAlignment="1">
      <alignment horizontal="center" vertical="center"/>
    </xf>
    <xf numFmtId="0" fontId="12" fillId="0" borderId="0" xfId="0" quotePrefix="1" applyFont="1" applyAlignment="1">
      <alignment horizontal="center" vertical="center"/>
    </xf>
    <xf numFmtId="0" fontId="12" fillId="0" borderId="0" xfId="0" quotePrefix="1" applyFont="1" applyAlignment="1">
      <alignment horizontal="center" wrapText="1"/>
    </xf>
    <xf numFmtId="0" fontId="20" fillId="0" borderId="0" xfId="0" applyFont="1" applyAlignment="1">
      <alignment wrapText="1"/>
    </xf>
    <xf numFmtId="0" fontId="3" fillId="5" borderId="0" xfId="0" applyFont="1" applyFill="1" applyAlignment="1">
      <alignment horizontal="center" vertical="center"/>
    </xf>
    <xf numFmtId="0" fontId="14" fillId="5" borderId="0" xfId="0" applyFont="1" applyFill="1" applyAlignment="1">
      <alignment horizontal="center" vertical="center" wrapText="1"/>
    </xf>
  </cellXfs>
  <cellStyles count="5">
    <cellStyle name="Comma" xfId="1" builtinId="3"/>
    <cellStyle name="Hyperlink" xfId="3" builtinId="8"/>
    <cellStyle name="Normal" xfId="0" builtinId="0"/>
    <cellStyle name="Normal 2" xfId="4" xr:uid="{F581B27C-988B-4416-B9F6-BA7910E0B9DC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Jobs</a:t>
            </a:r>
            <a:r>
              <a:rPr lang="en-US" baseline="0"/>
              <a:t> by County for different sources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706378368772717E-2"/>
          <c:y val="0.14762189054726368"/>
          <c:w val="0.88132626556829941"/>
          <c:h val="0.5774572805265013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WorkPlaceLocationChoice!$A$2</c:f>
              <c:strCache>
                <c:ptCount val="1"/>
                <c:pt idx="0">
                  <c:v>PUMS 2023 Bay Area Work Flow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WorkPlaceLocationChoice!$C$6:$K$6</c:f>
              <c:strCache>
                <c:ptCount val="9"/>
                <c:pt idx="0">
                  <c:v>San Francisco</c:v>
                </c:pt>
                <c:pt idx="1">
                  <c:v>San Mateo</c:v>
                </c:pt>
                <c:pt idx="2">
                  <c:v>Santa Clara</c:v>
                </c:pt>
                <c:pt idx="3">
                  <c:v>Alameda</c:v>
                </c:pt>
                <c:pt idx="4">
                  <c:v>Contra Costa</c:v>
                </c:pt>
                <c:pt idx="5">
                  <c:v>Solano</c:v>
                </c:pt>
                <c:pt idx="6">
                  <c:v>Napa</c:v>
                </c:pt>
                <c:pt idx="7">
                  <c:v>Sonoma</c:v>
                </c:pt>
                <c:pt idx="8">
                  <c:v>Marin</c:v>
                </c:pt>
              </c:strCache>
            </c:strRef>
          </c:cat>
          <c:val>
            <c:numRef>
              <c:f>WorkPlaceLocationChoice!$C$16:$K$16</c:f>
              <c:numCache>
                <c:formatCode>#,##0</c:formatCode>
                <c:ptCount val="9"/>
                <c:pt idx="0">
                  <c:v>503503</c:v>
                </c:pt>
                <c:pt idx="1">
                  <c:v>333476</c:v>
                </c:pt>
                <c:pt idx="2">
                  <c:v>877062</c:v>
                </c:pt>
                <c:pt idx="3">
                  <c:v>586638</c:v>
                </c:pt>
                <c:pt idx="4">
                  <c:v>312588</c:v>
                </c:pt>
                <c:pt idx="5">
                  <c:v>121781</c:v>
                </c:pt>
                <c:pt idx="6">
                  <c:v>66817</c:v>
                </c:pt>
                <c:pt idx="7">
                  <c:v>190475</c:v>
                </c:pt>
                <c:pt idx="8">
                  <c:v>91522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BF-5D4B-8779-37EDF650E9EA}"/>
            </c:ext>
          </c:extLst>
        </c:ser>
        <c:ser>
          <c:idx val="1"/>
          <c:order val="1"/>
          <c:tx>
            <c:strRef>
              <c:f>WorkPlaceLocationChoice!$P$19</c:f>
              <c:strCache>
                <c:ptCount val="1"/>
                <c:pt idx="0">
                  <c:v>TAZ Data TOTEMP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WorkPlaceLocationChoice!$C$6:$K$6</c:f>
              <c:strCache>
                <c:ptCount val="9"/>
                <c:pt idx="0">
                  <c:v>San Francisco</c:v>
                </c:pt>
                <c:pt idx="1">
                  <c:v>San Mateo</c:v>
                </c:pt>
                <c:pt idx="2">
                  <c:v>Santa Clara</c:v>
                </c:pt>
                <c:pt idx="3">
                  <c:v>Alameda</c:v>
                </c:pt>
                <c:pt idx="4">
                  <c:v>Contra Costa</c:v>
                </c:pt>
                <c:pt idx="5">
                  <c:v>Solano</c:v>
                </c:pt>
                <c:pt idx="6">
                  <c:v>Napa</c:v>
                </c:pt>
                <c:pt idx="7">
                  <c:v>Sonoma</c:v>
                </c:pt>
                <c:pt idx="8">
                  <c:v>Marin</c:v>
                </c:pt>
              </c:strCache>
            </c:strRef>
          </c:cat>
          <c:val>
            <c:numRef>
              <c:f>WorkPlaceLocationChoice!$Q$19:$Y$19</c:f>
              <c:numCache>
                <c:formatCode>#,##0</c:formatCode>
                <c:ptCount val="9"/>
                <c:pt idx="0">
                  <c:v>681981</c:v>
                </c:pt>
                <c:pt idx="1">
                  <c:v>393422</c:v>
                </c:pt>
                <c:pt idx="2">
                  <c:v>995663</c:v>
                </c:pt>
                <c:pt idx="3">
                  <c:v>725191</c:v>
                </c:pt>
                <c:pt idx="4">
                  <c:v>360032</c:v>
                </c:pt>
                <c:pt idx="5">
                  <c:v>114919</c:v>
                </c:pt>
                <c:pt idx="6">
                  <c:v>73440</c:v>
                </c:pt>
                <c:pt idx="7">
                  <c:v>203018</c:v>
                </c:pt>
                <c:pt idx="8">
                  <c:v>113637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BF-5D4B-8779-37EDF650E9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24828792"/>
        <c:axId val="786455424"/>
      </c:barChart>
      <c:catAx>
        <c:axId val="224828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6455424"/>
        <c:crosses val="autoZero"/>
        <c:auto val="1"/>
        <c:lblAlgn val="ctr"/>
        <c:lblOffset val="100"/>
        <c:noMultiLvlLbl val="0"/>
      </c:catAx>
      <c:valAx>
        <c:axId val="786455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4828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9072975704582714E-2"/>
          <c:y val="0.81343048536843343"/>
          <c:w val="0.92757241842617855"/>
          <c:h val="0.186569514631566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Work Trip Lengths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WorkPlaceLocationChoice!$Q$25:$Q$26</c:f>
              <c:strCache>
                <c:ptCount val="2"/>
                <c:pt idx="0">
                  <c:v>Work</c:v>
                </c:pt>
                <c:pt idx="1">
                  <c:v>CHTS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WorkPlaceLocationChoice!$P$27:$P$36</c:f>
              <c:strCache>
                <c:ptCount val="10"/>
                <c:pt idx="0">
                  <c:v>Alameda</c:v>
                </c:pt>
                <c:pt idx="1">
                  <c:v>Contra Costa</c:v>
                </c:pt>
                <c:pt idx="2">
                  <c:v>Marin</c:v>
                </c:pt>
                <c:pt idx="3">
                  <c:v>Napa</c:v>
                </c:pt>
                <c:pt idx="4">
                  <c:v>San Francisco</c:v>
                </c:pt>
                <c:pt idx="5">
                  <c:v>San Mateo</c:v>
                </c:pt>
                <c:pt idx="6">
                  <c:v>Santa Clara</c:v>
                </c:pt>
                <c:pt idx="7">
                  <c:v>Solano</c:v>
                </c:pt>
                <c:pt idx="8">
                  <c:v>Sonoma</c:v>
                </c:pt>
                <c:pt idx="9">
                  <c:v>Total</c:v>
                </c:pt>
              </c:strCache>
            </c:strRef>
          </c:cat>
          <c:val>
            <c:numRef>
              <c:f>WorkPlaceLocationChoice!$Q$27:$Q$36</c:f>
              <c:numCache>
                <c:formatCode>0.0</c:formatCode>
                <c:ptCount val="10"/>
                <c:pt idx="0">
                  <c:v>13.478858166719609</c:v>
                </c:pt>
                <c:pt idx="1">
                  <c:v>14.273029932393513</c:v>
                </c:pt>
                <c:pt idx="2">
                  <c:v>20.275992653885325</c:v>
                </c:pt>
                <c:pt idx="3">
                  <c:v>11.422707797015493</c:v>
                </c:pt>
                <c:pt idx="4">
                  <c:v>8.9433646351303597</c:v>
                </c:pt>
                <c:pt idx="5">
                  <c:v>10.843594187412783</c:v>
                </c:pt>
                <c:pt idx="6">
                  <c:v>10.171676583203187</c:v>
                </c:pt>
                <c:pt idx="7">
                  <c:v>15.79007273936133</c:v>
                </c:pt>
                <c:pt idx="8">
                  <c:v>13.133524058379606</c:v>
                </c:pt>
                <c:pt idx="9">
                  <c:v>12.099386521632329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1C-472C-A41A-79596C2879A5}"/>
            </c:ext>
          </c:extLst>
        </c:ser>
        <c:ser>
          <c:idx val="1"/>
          <c:order val="1"/>
          <c:tx>
            <c:strRef>
              <c:f>WorkPlaceLocationChoice!$R$25:$R$26</c:f>
              <c:strCache>
                <c:ptCount val="2"/>
                <c:pt idx="0">
                  <c:v>Work</c:v>
                </c:pt>
                <c:pt idx="1">
                  <c:v>Model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WorkPlaceLocationChoice!$P$27:$P$36</c:f>
              <c:strCache>
                <c:ptCount val="10"/>
                <c:pt idx="0">
                  <c:v>Alameda</c:v>
                </c:pt>
                <c:pt idx="1">
                  <c:v>Contra Costa</c:v>
                </c:pt>
                <c:pt idx="2">
                  <c:v>Marin</c:v>
                </c:pt>
                <c:pt idx="3">
                  <c:v>Napa</c:v>
                </c:pt>
                <c:pt idx="4">
                  <c:v>San Francisco</c:v>
                </c:pt>
                <c:pt idx="5">
                  <c:v>San Mateo</c:v>
                </c:pt>
                <c:pt idx="6">
                  <c:v>Santa Clara</c:v>
                </c:pt>
                <c:pt idx="7">
                  <c:v>Solano</c:v>
                </c:pt>
                <c:pt idx="8">
                  <c:v>Sonoma</c:v>
                </c:pt>
                <c:pt idx="9">
                  <c:v>Total</c:v>
                </c:pt>
              </c:strCache>
            </c:strRef>
          </c:cat>
          <c:val>
            <c:numRef>
              <c:f>WorkPlaceLocationChoice!$R$27:$R$36</c:f>
              <c:numCache>
                <c:formatCode>0.0</c:formatCode>
                <c:ptCount val="1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1C-472C-A41A-79596C287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753637968"/>
        <c:axId val="632924384"/>
      </c:barChart>
      <c:catAx>
        <c:axId val="753637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2924384"/>
        <c:crosses val="autoZero"/>
        <c:auto val="1"/>
        <c:lblAlgn val="ctr"/>
        <c:lblOffset val="100"/>
        <c:noMultiLvlLbl val="0"/>
      </c:catAx>
      <c:valAx>
        <c:axId val="632924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3637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University Trip Lengths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WorkPlaceLocationChoice!$S$25:$S$26</c:f>
              <c:strCache>
                <c:ptCount val="2"/>
                <c:pt idx="0">
                  <c:v>University</c:v>
                </c:pt>
                <c:pt idx="1">
                  <c:v>CHTS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WorkPlaceLocationChoice!$P$27:$P$36</c:f>
              <c:strCache>
                <c:ptCount val="10"/>
                <c:pt idx="0">
                  <c:v>Alameda</c:v>
                </c:pt>
                <c:pt idx="1">
                  <c:v>Contra Costa</c:v>
                </c:pt>
                <c:pt idx="2">
                  <c:v>Marin</c:v>
                </c:pt>
                <c:pt idx="3">
                  <c:v>Napa</c:v>
                </c:pt>
                <c:pt idx="4">
                  <c:v>San Francisco</c:v>
                </c:pt>
                <c:pt idx="5">
                  <c:v>San Mateo</c:v>
                </c:pt>
                <c:pt idx="6">
                  <c:v>Santa Clara</c:v>
                </c:pt>
                <c:pt idx="7">
                  <c:v>Solano</c:v>
                </c:pt>
                <c:pt idx="8">
                  <c:v>Sonoma</c:v>
                </c:pt>
                <c:pt idx="9">
                  <c:v>Total</c:v>
                </c:pt>
              </c:strCache>
            </c:strRef>
          </c:cat>
          <c:val>
            <c:numRef>
              <c:f>WorkPlaceLocationChoice!$S$27:$S$36</c:f>
              <c:numCache>
                <c:formatCode>0.0</c:formatCode>
                <c:ptCount val="10"/>
                <c:pt idx="0">
                  <c:v>12.257546325059392</c:v>
                </c:pt>
                <c:pt idx="1">
                  <c:v>10.234850318476786</c:v>
                </c:pt>
                <c:pt idx="2">
                  <c:v>15.549999999999999</c:v>
                </c:pt>
                <c:pt idx="3">
                  <c:v>28.609556441572497</c:v>
                </c:pt>
                <c:pt idx="4">
                  <c:v>6.195719514273077</c:v>
                </c:pt>
                <c:pt idx="5">
                  <c:v>6.7822601966679175</c:v>
                </c:pt>
                <c:pt idx="6">
                  <c:v>7.9561303613279648</c:v>
                </c:pt>
                <c:pt idx="7">
                  <c:v>18.949047822464216</c:v>
                </c:pt>
                <c:pt idx="8">
                  <c:v>6.6216269799548959</c:v>
                </c:pt>
                <c:pt idx="9">
                  <c:v>10.581891147746754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F33-4B76-ACEE-A0B4EBFF4690}"/>
            </c:ext>
          </c:extLst>
        </c:ser>
        <c:ser>
          <c:idx val="3"/>
          <c:order val="1"/>
          <c:tx>
            <c:strRef>
              <c:f>WorkPlaceLocationChoice!$T$25:$T$26</c:f>
              <c:strCache>
                <c:ptCount val="2"/>
                <c:pt idx="0">
                  <c:v>University</c:v>
                </c:pt>
                <c:pt idx="1">
                  <c:v>Model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WorkPlaceLocationChoice!$P$27:$P$36</c:f>
              <c:strCache>
                <c:ptCount val="10"/>
                <c:pt idx="0">
                  <c:v>Alameda</c:v>
                </c:pt>
                <c:pt idx="1">
                  <c:v>Contra Costa</c:v>
                </c:pt>
                <c:pt idx="2">
                  <c:v>Marin</c:v>
                </c:pt>
                <c:pt idx="3">
                  <c:v>Napa</c:v>
                </c:pt>
                <c:pt idx="4">
                  <c:v>San Francisco</c:v>
                </c:pt>
                <c:pt idx="5">
                  <c:v>San Mateo</c:v>
                </c:pt>
                <c:pt idx="6">
                  <c:v>Santa Clara</c:v>
                </c:pt>
                <c:pt idx="7">
                  <c:v>Solano</c:v>
                </c:pt>
                <c:pt idx="8">
                  <c:v>Sonoma</c:v>
                </c:pt>
                <c:pt idx="9">
                  <c:v>Total</c:v>
                </c:pt>
              </c:strCache>
            </c:strRef>
          </c:cat>
          <c:val>
            <c:numRef>
              <c:f>WorkPlaceLocationChoice!$T$27:$T$36</c:f>
              <c:numCache>
                <c:formatCode>0.0</c:formatCode>
                <c:ptCount val="1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F33-4B76-ACEE-A0B4EBFF46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913056128"/>
        <c:axId val="778750928"/>
      </c:barChart>
      <c:catAx>
        <c:axId val="913056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750928"/>
        <c:crosses val="autoZero"/>
        <c:auto val="1"/>
        <c:lblAlgn val="ctr"/>
        <c:lblOffset val="100"/>
        <c:noMultiLvlLbl val="0"/>
      </c:catAx>
      <c:valAx>
        <c:axId val="778750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305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2588577693611087"/>
          <c:y val="0.88020778652668419"/>
          <c:w val="0.56848134489517921"/>
          <c:h val="7.81255468066491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School Trip Lengths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4"/>
          <c:order val="0"/>
          <c:tx>
            <c:strRef>
              <c:f>WorkPlaceLocationChoice!$U$25:$U$26</c:f>
              <c:strCache>
                <c:ptCount val="2"/>
                <c:pt idx="0">
                  <c:v>School</c:v>
                </c:pt>
                <c:pt idx="1">
                  <c:v>CHTS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WorkPlaceLocationChoice!$P$27:$P$36</c:f>
              <c:strCache>
                <c:ptCount val="10"/>
                <c:pt idx="0">
                  <c:v>Alameda</c:v>
                </c:pt>
                <c:pt idx="1">
                  <c:v>Contra Costa</c:v>
                </c:pt>
                <c:pt idx="2">
                  <c:v>Marin</c:v>
                </c:pt>
                <c:pt idx="3">
                  <c:v>Napa</c:v>
                </c:pt>
                <c:pt idx="4">
                  <c:v>San Francisco</c:v>
                </c:pt>
                <c:pt idx="5">
                  <c:v>San Mateo</c:v>
                </c:pt>
                <c:pt idx="6">
                  <c:v>Santa Clara</c:v>
                </c:pt>
                <c:pt idx="7">
                  <c:v>Solano</c:v>
                </c:pt>
                <c:pt idx="8">
                  <c:v>Sonoma</c:v>
                </c:pt>
                <c:pt idx="9">
                  <c:v>Total</c:v>
                </c:pt>
              </c:strCache>
            </c:strRef>
          </c:cat>
          <c:val>
            <c:numRef>
              <c:f>WorkPlaceLocationChoice!$U$27:$U$36</c:f>
              <c:numCache>
                <c:formatCode>0.0</c:formatCode>
                <c:ptCount val="10"/>
                <c:pt idx="0">
                  <c:v>3.5659790479528639</c:v>
                </c:pt>
                <c:pt idx="1">
                  <c:v>2.462076501485539</c:v>
                </c:pt>
                <c:pt idx="2">
                  <c:v>2.4674031833785954</c:v>
                </c:pt>
                <c:pt idx="3">
                  <c:v>3.1062498487065544</c:v>
                </c:pt>
                <c:pt idx="4">
                  <c:v>3.141779143211703</c:v>
                </c:pt>
                <c:pt idx="5">
                  <c:v>1.8678717442097548</c:v>
                </c:pt>
                <c:pt idx="6">
                  <c:v>2.6097055016212107</c:v>
                </c:pt>
                <c:pt idx="7">
                  <c:v>3.5316702314565247</c:v>
                </c:pt>
                <c:pt idx="8">
                  <c:v>10.156208179931566</c:v>
                </c:pt>
                <c:pt idx="9">
                  <c:v>3.2631097869156327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AF1-4D6E-988E-CE8716132AA7}"/>
            </c:ext>
          </c:extLst>
        </c:ser>
        <c:ser>
          <c:idx val="5"/>
          <c:order val="1"/>
          <c:tx>
            <c:strRef>
              <c:f>WorkPlaceLocationChoice!$V$25:$V$26</c:f>
              <c:strCache>
                <c:ptCount val="2"/>
                <c:pt idx="0">
                  <c:v>School</c:v>
                </c:pt>
                <c:pt idx="1">
                  <c:v>Model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WorkPlaceLocationChoice!$P$27:$P$36</c:f>
              <c:strCache>
                <c:ptCount val="10"/>
                <c:pt idx="0">
                  <c:v>Alameda</c:v>
                </c:pt>
                <c:pt idx="1">
                  <c:v>Contra Costa</c:v>
                </c:pt>
                <c:pt idx="2">
                  <c:v>Marin</c:v>
                </c:pt>
                <c:pt idx="3">
                  <c:v>Napa</c:v>
                </c:pt>
                <c:pt idx="4">
                  <c:v>San Francisco</c:v>
                </c:pt>
                <c:pt idx="5">
                  <c:v>San Mateo</c:v>
                </c:pt>
                <c:pt idx="6">
                  <c:v>Santa Clara</c:v>
                </c:pt>
                <c:pt idx="7">
                  <c:v>Solano</c:v>
                </c:pt>
                <c:pt idx="8">
                  <c:v>Sonoma</c:v>
                </c:pt>
                <c:pt idx="9">
                  <c:v>Total</c:v>
                </c:pt>
              </c:strCache>
            </c:strRef>
          </c:cat>
          <c:val>
            <c:numRef>
              <c:f>WorkPlaceLocationChoice!$V$27:$V$36</c:f>
              <c:numCache>
                <c:formatCode>0.0</c:formatCode>
                <c:ptCount val="1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AF1-4D6E-988E-CE8716132A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axId val="694272016"/>
        <c:axId val="688458944"/>
      </c:barChart>
      <c:catAx>
        <c:axId val="694272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458944"/>
        <c:crosses val="autoZero"/>
        <c:auto val="1"/>
        <c:lblAlgn val="ctr"/>
        <c:lblOffset val="100"/>
        <c:noMultiLvlLbl val="0"/>
      </c:catAx>
      <c:valAx>
        <c:axId val="688458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4272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Work Location Choice Distance Frequency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calibration!$E$17</c:f>
              <c:strCache>
                <c:ptCount val="1"/>
                <c:pt idx="0">
                  <c:v>Observed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calibration!$E$18:$E$68</c:f>
              <c:numCache>
                <c:formatCode>0.0%</c:formatCode>
                <c:ptCount val="51"/>
                <c:pt idx="0">
                  <c:v>6.9392787160115446E-2</c:v>
                </c:pt>
                <c:pt idx="1">
                  <c:v>7.1237817079635377E-2</c:v>
                </c:pt>
                <c:pt idx="2">
                  <c:v>7.9893391180100776E-2</c:v>
                </c:pt>
                <c:pt idx="3">
                  <c:v>6.9475907201940773E-2</c:v>
                </c:pt>
                <c:pt idx="4">
                  <c:v>6.1020839152607323E-2</c:v>
                </c:pt>
                <c:pt idx="5">
                  <c:v>7.9838562029688281E-2</c:v>
                </c:pt>
                <c:pt idx="6">
                  <c:v>3.2159191078284084E-2</c:v>
                </c:pt>
                <c:pt idx="7">
                  <c:v>4.7761294245299936E-2</c:v>
                </c:pt>
                <c:pt idx="8">
                  <c:v>3.124683564668812E-2</c:v>
                </c:pt>
                <c:pt idx="9">
                  <c:v>2.9313020201908301E-2</c:v>
                </c:pt>
                <c:pt idx="10">
                  <c:v>3.9730247916106715E-2</c:v>
                </c:pt>
                <c:pt idx="11">
                  <c:v>3.1514880586316865E-2</c:v>
                </c:pt>
                <c:pt idx="12">
                  <c:v>1.8968435725652023E-2</c:v>
                </c:pt>
                <c:pt idx="13">
                  <c:v>3.346339391443133E-2</c:v>
                </c:pt>
                <c:pt idx="14">
                  <c:v>1.8496778600742756E-2</c:v>
                </c:pt>
                <c:pt idx="15">
                  <c:v>1.8253003837560029E-2</c:v>
                </c:pt>
                <c:pt idx="16">
                  <c:v>1.3610021075645825E-2</c:v>
                </c:pt>
                <c:pt idx="17">
                  <c:v>1.5468162759388141E-2</c:v>
                </c:pt>
                <c:pt idx="18">
                  <c:v>1.5539996729033069E-2</c:v>
                </c:pt>
                <c:pt idx="19">
                  <c:v>1.5868425829590863E-2</c:v>
                </c:pt>
                <c:pt idx="20">
                  <c:v>2.969063721465481E-2</c:v>
                </c:pt>
                <c:pt idx="21">
                  <c:v>1.2050308322200059E-2</c:v>
                </c:pt>
                <c:pt idx="22">
                  <c:v>1.2901752330690339E-2</c:v>
                </c:pt>
                <c:pt idx="23">
                  <c:v>1.3720518924942693E-2</c:v>
                </c:pt>
                <c:pt idx="24">
                  <c:v>8.1636189293992564E-3</c:v>
                </c:pt>
                <c:pt idx="25">
                  <c:v>9.8265829044981469E-3</c:v>
                </c:pt>
                <c:pt idx="26">
                  <c:v>7.0542732599804736E-3</c:v>
                </c:pt>
                <c:pt idx="27">
                  <c:v>7.9252176475483362E-3</c:v>
                </c:pt>
                <c:pt idx="28">
                  <c:v>1.5689187845082234E-2</c:v>
                </c:pt>
                <c:pt idx="29">
                  <c:v>8.3152468919799553E-3</c:v>
                </c:pt>
                <c:pt idx="30">
                  <c:v>4.3788075376014193E-3</c:v>
                </c:pt>
                <c:pt idx="31">
                  <c:v>7.0695240706298464E-3</c:v>
                </c:pt>
                <c:pt idx="32">
                  <c:v>1.4627474847103609E-2</c:v>
                </c:pt>
                <c:pt idx="33">
                  <c:v>7.4427947543646272E-3</c:v>
                </c:pt>
                <c:pt idx="34">
                  <c:v>1.4859589813130231E-3</c:v>
                </c:pt>
                <c:pt idx="35">
                  <c:v>4.4444361347499243E-3</c:v>
                </c:pt>
                <c:pt idx="36">
                  <c:v>3.3447162594287703E-3</c:v>
                </c:pt>
                <c:pt idx="37">
                  <c:v>4.1873481879105279E-3</c:v>
                </c:pt>
                <c:pt idx="38">
                  <c:v>1.6915529590631343E-3</c:v>
                </c:pt>
                <c:pt idx="39">
                  <c:v>3.394547232588772E-3</c:v>
                </c:pt>
                <c:pt idx="40">
                  <c:v>3.7398964175409232E-3</c:v>
                </c:pt>
                <c:pt idx="41">
                  <c:v>6.0855456308226861E-3</c:v>
                </c:pt>
                <c:pt idx="42">
                  <c:v>3.8383667784420449E-3</c:v>
                </c:pt>
                <c:pt idx="43">
                  <c:v>2.8579898782259763E-3</c:v>
                </c:pt>
                <c:pt idx="44">
                  <c:v>2.0722119458455E-3</c:v>
                </c:pt>
                <c:pt idx="45">
                  <c:v>3.9261793551087863E-3</c:v>
                </c:pt>
                <c:pt idx="46">
                  <c:v>2.7931253995115276E-3</c:v>
                </c:pt>
                <c:pt idx="47">
                  <c:v>1.0521979142092985E-3</c:v>
                </c:pt>
                <c:pt idx="48">
                  <c:v>1.1627974464307881E-3</c:v>
                </c:pt>
                <c:pt idx="49">
                  <c:v>1.5357346625722158E-3</c:v>
                </c:pt>
                <c:pt idx="50">
                  <c:v>1.2784573848242475E-3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B83-4168-82F6-B4B5E55CBC3E}"/>
            </c:ext>
          </c:extLst>
        </c:ser>
        <c:ser>
          <c:idx val="1"/>
          <c:order val="1"/>
          <c:tx>
            <c:strRef>
              <c:f>calibration!$F$17</c:f>
              <c:strCache>
                <c:ptCount val="1"/>
                <c:pt idx="0">
                  <c:v>Modeled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calibration!$F$18:$F$68</c:f>
              <c:numCache>
                <c:formatCode>0.0%</c:formatCode>
                <c:ptCount val="51"/>
                <c:pt idx="0">
                  <c:v>6.6666666666666671E-3</c:v>
                </c:pt>
                <c:pt idx="1">
                  <c:v>6.6666666666666671E-3</c:v>
                </c:pt>
                <c:pt idx="2">
                  <c:v>6.6666666666666671E-3</c:v>
                </c:pt>
                <c:pt idx="3">
                  <c:v>6.6666666666666671E-3</c:v>
                </c:pt>
                <c:pt idx="4">
                  <c:v>6.6666666666666671E-3</c:v>
                </c:pt>
                <c:pt idx="5">
                  <c:v>6.6666666666666671E-3</c:v>
                </c:pt>
                <c:pt idx="6">
                  <c:v>6.6666666666666671E-3</c:v>
                </c:pt>
                <c:pt idx="7">
                  <c:v>6.6666666666666671E-3</c:v>
                </c:pt>
                <c:pt idx="8">
                  <c:v>6.6666666666666671E-3</c:v>
                </c:pt>
                <c:pt idx="9">
                  <c:v>6.6666666666666671E-3</c:v>
                </c:pt>
                <c:pt idx="10">
                  <c:v>6.6666666666666671E-3</c:v>
                </c:pt>
                <c:pt idx="11">
                  <c:v>6.6666666666666671E-3</c:v>
                </c:pt>
                <c:pt idx="12">
                  <c:v>6.6666666666666671E-3</c:v>
                </c:pt>
                <c:pt idx="13">
                  <c:v>6.6666666666666671E-3</c:v>
                </c:pt>
                <c:pt idx="14">
                  <c:v>6.6666666666666671E-3</c:v>
                </c:pt>
                <c:pt idx="15">
                  <c:v>6.6666666666666671E-3</c:v>
                </c:pt>
                <c:pt idx="16">
                  <c:v>6.6666666666666671E-3</c:v>
                </c:pt>
                <c:pt idx="17">
                  <c:v>6.6666666666666671E-3</c:v>
                </c:pt>
                <c:pt idx="18">
                  <c:v>6.6666666666666671E-3</c:v>
                </c:pt>
                <c:pt idx="19">
                  <c:v>6.6666666666666671E-3</c:v>
                </c:pt>
                <c:pt idx="20">
                  <c:v>6.6666666666666671E-3</c:v>
                </c:pt>
                <c:pt idx="21">
                  <c:v>6.6666666666666671E-3</c:v>
                </c:pt>
                <c:pt idx="22">
                  <c:v>6.6666666666666671E-3</c:v>
                </c:pt>
                <c:pt idx="23">
                  <c:v>6.6666666666666671E-3</c:v>
                </c:pt>
                <c:pt idx="24">
                  <c:v>6.6666666666666671E-3</c:v>
                </c:pt>
                <c:pt idx="25">
                  <c:v>6.6666666666666671E-3</c:v>
                </c:pt>
                <c:pt idx="26">
                  <c:v>6.6666666666666671E-3</c:v>
                </c:pt>
                <c:pt idx="27">
                  <c:v>6.6666666666666671E-3</c:v>
                </c:pt>
                <c:pt idx="28">
                  <c:v>6.6666666666666671E-3</c:v>
                </c:pt>
                <c:pt idx="29">
                  <c:v>6.6666666666666671E-3</c:v>
                </c:pt>
                <c:pt idx="30">
                  <c:v>6.6666666666666671E-3</c:v>
                </c:pt>
                <c:pt idx="31">
                  <c:v>6.6666666666666671E-3</c:v>
                </c:pt>
                <c:pt idx="32">
                  <c:v>6.6666666666666671E-3</c:v>
                </c:pt>
                <c:pt idx="33">
                  <c:v>6.6666666666666671E-3</c:v>
                </c:pt>
                <c:pt idx="34">
                  <c:v>6.6666666666666671E-3</c:v>
                </c:pt>
                <c:pt idx="35">
                  <c:v>6.6666666666666671E-3</c:v>
                </c:pt>
                <c:pt idx="36">
                  <c:v>6.6666666666666671E-3</c:v>
                </c:pt>
                <c:pt idx="37">
                  <c:v>6.6666666666666671E-3</c:v>
                </c:pt>
                <c:pt idx="38">
                  <c:v>6.6666666666666671E-3</c:v>
                </c:pt>
                <c:pt idx="39">
                  <c:v>6.6666666666666671E-3</c:v>
                </c:pt>
                <c:pt idx="40">
                  <c:v>6.6666666666666671E-3</c:v>
                </c:pt>
                <c:pt idx="41">
                  <c:v>6.6666666666666671E-3</c:v>
                </c:pt>
                <c:pt idx="42">
                  <c:v>6.6666666666666671E-3</c:v>
                </c:pt>
                <c:pt idx="43">
                  <c:v>6.6666666666666671E-3</c:v>
                </c:pt>
                <c:pt idx="44">
                  <c:v>6.6666666666666671E-3</c:v>
                </c:pt>
                <c:pt idx="45">
                  <c:v>6.6666666666666671E-3</c:v>
                </c:pt>
                <c:pt idx="46">
                  <c:v>6.6666666666666671E-3</c:v>
                </c:pt>
                <c:pt idx="47">
                  <c:v>6.6666666666666671E-3</c:v>
                </c:pt>
                <c:pt idx="48">
                  <c:v>6.6666666666666671E-3</c:v>
                </c:pt>
                <c:pt idx="49">
                  <c:v>6.6666666666666671E-3</c:v>
                </c:pt>
                <c:pt idx="50">
                  <c:v>0.66666666666666707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B83-4168-82F6-B4B5E55CBC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1866184"/>
        <c:axId val="791866576"/>
      </c:scatterChart>
      <c:valAx>
        <c:axId val="791866184"/>
        <c:scaling>
          <c:orientation val="minMax"/>
          <c:max val="3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 (miles)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1866576"/>
        <c:crosses val="autoZero"/>
        <c:crossBetween val="midCat"/>
      </c:valAx>
      <c:valAx>
        <c:axId val="7918665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of Workers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18661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581933508311466"/>
          <c:y val="0.29708260425780109"/>
          <c:w val="0.18084733158355207"/>
          <c:h val="0.15625109361329836"/>
        </c:manualLayout>
      </c:layout>
      <c:overlay val="1"/>
      <c:spPr>
        <a:solidFill>
          <a:schemeClr val="bg1"/>
        </a:solidFill>
        <a:ln>
          <a:solidFill>
            <a:schemeClr val="bg1">
              <a:lumMod val="6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University Location Choice Distance Frequency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calibration!$Q$17</c:f>
              <c:strCache>
                <c:ptCount val="1"/>
                <c:pt idx="0">
                  <c:v>Observed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calibration!$Q$18:$Q$68</c:f>
              <c:numCache>
                <c:formatCode>0.0%</c:formatCode>
                <c:ptCount val="51"/>
                <c:pt idx="0">
                  <c:v>0.11145628900984729</c:v>
                </c:pt>
                <c:pt idx="1">
                  <c:v>0.2492897216079529</c:v>
                </c:pt>
                <c:pt idx="2">
                  <c:v>3.864360734242827E-2</c:v>
                </c:pt>
                <c:pt idx="3">
                  <c:v>4.5926186881441469E-2</c:v>
                </c:pt>
                <c:pt idx="4">
                  <c:v>4.5007810664399878E-2</c:v>
                </c:pt>
                <c:pt idx="5">
                  <c:v>0.10218303647232076</c:v>
                </c:pt>
                <c:pt idx="6">
                  <c:v>2.8764484008355549E-2</c:v>
                </c:pt>
                <c:pt idx="7">
                  <c:v>1.545945479559792E-2</c:v>
                </c:pt>
                <c:pt idx="8">
                  <c:v>2.8639088372473453E-3</c:v>
                </c:pt>
                <c:pt idx="9">
                  <c:v>1.8899666662708491E-3</c:v>
                </c:pt>
                <c:pt idx="10">
                  <c:v>3.0081626235749222E-2</c:v>
                </c:pt>
                <c:pt idx="11">
                  <c:v>2.0233892290242076E-3</c:v>
                </c:pt>
                <c:pt idx="12">
                  <c:v>2.1471183620617122E-3</c:v>
                </c:pt>
                <c:pt idx="13">
                  <c:v>1.6124547170646156E-2</c:v>
                </c:pt>
                <c:pt idx="14">
                  <c:v>3.8391883571214355E-2</c:v>
                </c:pt>
                <c:pt idx="15">
                  <c:v>1.7050770652932045E-2</c:v>
                </c:pt>
                <c:pt idx="16">
                  <c:v>1.222363529614116E-3</c:v>
                </c:pt>
                <c:pt idx="17">
                  <c:v>1.8329165845438609E-2</c:v>
                </c:pt>
                <c:pt idx="18">
                  <c:v>2.0645461288402674E-2</c:v>
                </c:pt>
                <c:pt idx="19">
                  <c:v>7.9063191949591306E-3</c:v>
                </c:pt>
                <c:pt idx="20">
                  <c:v>7.3634968747400432E-3</c:v>
                </c:pt>
                <c:pt idx="21">
                  <c:v>4.1918556691490543E-3</c:v>
                </c:pt>
                <c:pt idx="22">
                  <c:v>2.0958838026783637E-3</c:v>
                </c:pt>
                <c:pt idx="23">
                  <c:v>7.0565831707746158E-4</c:v>
                </c:pt>
                <c:pt idx="24">
                  <c:v>1.4492444238027912E-2</c:v>
                </c:pt>
                <c:pt idx="25">
                  <c:v>1.075455641293334E-2</c:v>
                </c:pt>
                <c:pt idx="26">
                  <c:v>6.4356116677915587E-4</c:v>
                </c:pt>
                <c:pt idx="27">
                  <c:v>3.7215701250453855E-4</c:v>
                </c:pt>
                <c:pt idx="28">
                  <c:v>8.8723308981195931E-2</c:v>
                </c:pt>
                <c:pt idx="29">
                  <c:v>3.2064071950619788E-3</c:v>
                </c:pt>
                <c:pt idx="30">
                  <c:v>7.3102185878626171E-4</c:v>
                </c:pt>
                <c:pt idx="31">
                  <c:v>9.309516492942177E-3</c:v>
                </c:pt>
                <c:pt idx="32">
                  <c:v>7.0114345470827775E-4</c:v>
                </c:pt>
                <c:pt idx="33">
                  <c:v>0</c:v>
                </c:pt>
                <c:pt idx="34">
                  <c:v>1.3167262883077527E-2</c:v>
                </c:pt>
                <c:pt idx="35">
                  <c:v>8.9313689164782217E-3</c:v>
                </c:pt>
                <c:pt idx="36">
                  <c:v>2.0488466914610677E-3</c:v>
                </c:pt>
                <c:pt idx="37">
                  <c:v>0</c:v>
                </c:pt>
                <c:pt idx="38">
                  <c:v>0</c:v>
                </c:pt>
                <c:pt idx="39">
                  <c:v>9.0590907533721454E-4</c:v>
                </c:pt>
                <c:pt idx="40">
                  <c:v>4.7984213169721489E-4</c:v>
                </c:pt>
                <c:pt idx="41">
                  <c:v>3.6517918420459074E-4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3.3316592760481221E-3</c:v>
                </c:pt>
                <c:pt idx="46">
                  <c:v>0</c:v>
                </c:pt>
                <c:pt idx="47">
                  <c:v>1.2028154088497167E-2</c:v>
                </c:pt>
                <c:pt idx="48">
                  <c:v>1.8016133108586185E-2</c:v>
                </c:pt>
                <c:pt idx="49">
                  <c:v>0</c:v>
                </c:pt>
                <c:pt idx="50">
                  <c:v>2.0275218021237403E-3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B83-4168-82F6-B4B5E55CBC3E}"/>
            </c:ext>
          </c:extLst>
        </c:ser>
        <c:ser>
          <c:idx val="1"/>
          <c:order val="1"/>
          <c:tx>
            <c:strRef>
              <c:f>calibration!$R$17</c:f>
              <c:strCache>
                <c:ptCount val="1"/>
                <c:pt idx="0">
                  <c:v>Modeled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calibration!$R$18:$R$68</c:f>
              <c:numCache>
                <c:formatCode>0.0%</c:formatCode>
                <c:ptCount val="51"/>
                <c:pt idx="0">
                  <c:v>6.6666666666666671E-3</c:v>
                </c:pt>
                <c:pt idx="1">
                  <c:v>6.6666666666666671E-3</c:v>
                </c:pt>
                <c:pt idx="2">
                  <c:v>6.6666666666666671E-3</c:v>
                </c:pt>
                <c:pt idx="3">
                  <c:v>6.6666666666666671E-3</c:v>
                </c:pt>
                <c:pt idx="4">
                  <c:v>6.6666666666666671E-3</c:v>
                </c:pt>
                <c:pt idx="5">
                  <c:v>6.6666666666666671E-3</c:v>
                </c:pt>
                <c:pt idx="6">
                  <c:v>6.6666666666666671E-3</c:v>
                </c:pt>
                <c:pt idx="7">
                  <c:v>6.6666666666666671E-3</c:v>
                </c:pt>
                <c:pt idx="8">
                  <c:v>6.6666666666666671E-3</c:v>
                </c:pt>
                <c:pt idx="9">
                  <c:v>6.6666666666666671E-3</c:v>
                </c:pt>
                <c:pt idx="10">
                  <c:v>6.6666666666666671E-3</c:v>
                </c:pt>
                <c:pt idx="11">
                  <c:v>6.6666666666666671E-3</c:v>
                </c:pt>
                <c:pt idx="12">
                  <c:v>6.6666666666666671E-3</c:v>
                </c:pt>
                <c:pt idx="13">
                  <c:v>6.6666666666666671E-3</c:v>
                </c:pt>
                <c:pt idx="14">
                  <c:v>6.6666666666666671E-3</c:v>
                </c:pt>
                <c:pt idx="15">
                  <c:v>6.6666666666666671E-3</c:v>
                </c:pt>
                <c:pt idx="16">
                  <c:v>6.6666666666666671E-3</c:v>
                </c:pt>
                <c:pt idx="17">
                  <c:v>6.6666666666666671E-3</c:v>
                </c:pt>
                <c:pt idx="18">
                  <c:v>6.6666666666666671E-3</c:v>
                </c:pt>
                <c:pt idx="19">
                  <c:v>6.6666666666666671E-3</c:v>
                </c:pt>
                <c:pt idx="20">
                  <c:v>6.6666666666666671E-3</c:v>
                </c:pt>
                <c:pt idx="21">
                  <c:v>6.6666666666666671E-3</c:v>
                </c:pt>
                <c:pt idx="22">
                  <c:v>6.6666666666666671E-3</c:v>
                </c:pt>
                <c:pt idx="23">
                  <c:v>6.6666666666666671E-3</c:v>
                </c:pt>
                <c:pt idx="24">
                  <c:v>6.6666666666666671E-3</c:v>
                </c:pt>
                <c:pt idx="25">
                  <c:v>6.6666666666666671E-3</c:v>
                </c:pt>
                <c:pt idx="26">
                  <c:v>6.6666666666666671E-3</c:v>
                </c:pt>
                <c:pt idx="27">
                  <c:v>6.6666666666666671E-3</c:v>
                </c:pt>
                <c:pt idx="28">
                  <c:v>6.6666666666666671E-3</c:v>
                </c:pt>
                <c:pt idx="29">
                  <c:v>6.6666666666666671E-3</c:v>
                </c:pt>
                <c:pt idx="30">
                  <c:v>6.6666666666666671E-3</c:v>
                </c:pt>
                <c:pt idx="31">
                  <c:v>6.6666666666666671E-3</c:v>
                </c:pt>
                <c:pt idx="32">
                  <c:v>6.6666666666666671E-3</c:v>
                </c:pt>
                <c:pt idx="33">
                  <c:v>6.6666666666666671E-3</c:v>
                </c:pt>
                <c:pt idx="34">
                  <c:v>6.6666666666666671E-3</c:v>
                </c:pt>
                <c:pt idx="35">
                  <c:v>6.6666666666666671E-3</c:v>
                </c:pt>
                <c:pt idx="36">
                  <c:v>6.6666666666666671E-3</c:v>
                </c:pt>
                <c:pt idx="37">
                  <c:v>6.6666666666666671E-3</c:v>
                </c:pt>
                <c:pt idx="38">
                  <c:v>6.6666666666666671E-3</c:v>
                </c:pt>
                <c:pt idx="39">
                  <c:v>6.6666666666666671E-3</c:v>
                </c:pt>
                <c:pt idx="40">
                  <c:v>6.6666666666666671E-3</c:v>
                </c:pt>
                <c:pt idx="41">
                  <c:v>6.6666666666666671E-3</c:v>
                </c:pt>
                <c:pt idx="42">
                  <c:v>6.6666666666666671E-3</c:v>
                </c:pt>
                <c:pt idx="43">
                  <c:v>6.6666666666666671E-3</c:v>
                </c:pt>
                <c:pt idx="44">
                  <c:v>6.6666666666666671E-3</c:v>
                </c:pt>
                <c:pt idx="45">
                  <c:v>6.6666666666666671E-3</c:v>
                </c:pt>
                <c:pt idx="46">
                  <c:v>6.6666666666666671E-3</c:v>
                </c:pt>
                <c:pt idx="47">
                  <c:v>6.6666666666666671E-3</c:v>
                </c:pt>
                <c:pt idx="48">
                  <c:v>6.6666666666666671E-3</c:v>
                </c:pt>
                <c:pt idx="49">
                  <c:v>6.6666666666666671E-3</c:v>
                </c:pt>
                <c:pt idx="50">
                  <c:v>0.66666666666666707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B83-4168-82F6-B4B5E55CBC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1866184"/>
        <c:axId val="791866576"/>
      </c:scatterChart>
      <c:valAx>
        <c:axId val="791866184"/>
        <c:scaling>
          <c:orientation val="minMax"/>
          <c:max val="3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 (miles)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1866576"/>
        <c:crosses val="autoZero"/>
        <c:crossBetween val="midCat"/>
      </c:valAx>
      <c:valAx>
        <c:axId val="7918665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of Students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18661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581933508311466"/>
          <c:y val="0.29708260425780109"/>
          <c:w val="0.18084733158355207"/>
          <c:h val="0.15625109361329836"/>
        </c:manualLayout>
      </c:layout>
      <c:overlay val="1"/>
      <c:spPr>
        <a:solidFill>
          <a:schemeClr val="bg1"/>
        </a:solidFill>
        <a:ln>
          <a:solidFill>
            <a:schemeClr val="bg1">
              <a:lumMod val="6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School Location Choice Distance Frequency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calibration!$AC$17</c:f>
              <c:strCache>
                <c:ptCount val="1"/>
                <c:pt idx="0">
                  <c:v>Observed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calibration!$AC$18:$AC$68</c:f>
              <c:numCache>
                <c:formatCode>0.0%</c:formatCode>
                <c:ptCount val="51"/>
                <c:pt idx="0">
                  <c:v>0.22671883244926289</c:v>
                </c:pt>
                <c:pt idx="1">
                  <c:v>0.21077869615796266</c:v>
                </c:pt>
                <c:pt idx="2">
                  <c:v>0.21685273293933136</c:v>
                </c:pt>
                <c:pt idx="3">
                  <c:v>0.10588112356547347</c:v>
                </c:pt>
                <c:pt idx="4">
                  <c:v>3.3022540277899207E-2</c:v>
                </c:pt>
                <c:pt idx="5">
                  <c:v>0.10951868398176605</c:v>
                </c:pt>
                <c:pt idx="6">
                  <c:v>2.8818245033644E-2</c:v>
                </c:pt>
                <c:pt idx="7">
                  <c:v>2.2482551706507863E-2</c:v>
                </c:pt>
                <c:pt idx="8">
                  <c:v>1.1432969104912724E-2</c:v>
                </c:pt>
                <c:pt idx="9">
                  <c:v>1.3526752470178982E-2</c:v>
                </c:pt>
                <c:pt idx="10">
                  <c:v>7.8835832275291583E-3</c:v>
                </c:pt>
                <c:pt idx="11">
                  <c:v>2.4029550034549224E-4</c:v>
                </c:pt>
                <c:pt idx="12">
                  <c:v>7.7674730446178671E-3</c:v>
                </c:pt>
                <c:pt idx="13">
                  <c:v>6.5531206468188378E-4</c:v>
                </c:pt>
                <c:pt idx="14">
                  <c:v>0</c:v>
                </c:pt>
                <c:pt idx="15">
                  <c:v>0</c:v>
                </c:pt>
                <c:pt idx="16">
                  <c:v>1.1568207352118269E-4</c:v>
                </c:pt>
                <c:pt idx="17">
                  <c:v>1.6598594464754192E-3</c:v>
                </c:pt>
                <c:pt idx="18">
                  <c:v>0</c:v>
                </c:pt>
                <c:pt idx="19">
                  <c:v>0</c:v>
                </c:pt>
                <c:pt idx="20">
                  <c:v>9.1263408000018275E-4</c:v>
                </c:pt>
                <c:pt idx="21">
                  <c:v>1.0807237310609516E-4</c:v>
                </c:pt>
                <c:pt idx="22">
                  <c:v>0</c:v>
                </c:pt>
                <c:pt idx="23">
                  <c:v>1.0615594839632746E-4</c:v>
                </c:pt>
                <c:pt idx="24">
                  <c:v>3.3807567498466654E-4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1.179728879402539E-3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B83-4168-82F6-B4B5E55CBC3E}"/>
            </c:ext>
          </c:extLst>
        </c:ser>
        <c:ser>
          <c:idx val="1"/>
          <c:order val="1"/>
          <c:tx>
            <c:strRef>
              <c:f>calibration!$AD$17</c:f>
              <c:strCache>
                <c:ptCount val="1"/>
                <c:pt idx="0">
                  <c:v>Modeled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calibration!$AD$18:$AD$68</c:f>
              <c:numCache>
                <c:formatCode>0.0%</c:formatCode>
                <c:ptCount val="51"/>
                <c:pt idx="0">
                  <c:v>6.6666666666666671E-3</c:v>
                </c:pt>
                <c:pt idx="1">
                  <c:v>6.6666666666666671E-3</c:v>
                </c:pt>
                <c:pt idx="2">
                  <c:v>6.6666666666666671E-3</c:v>
                </c:pt>
                <c:pt idx="3">
                  <c:v>6.6666666666666671E-3</c:v>
                </c:pt>
                <c:pt idx="4">
                  <c:v>6.6666666666666671E-3</c:v>
                </c:pt>
                <c:pt idx="5">
                  <c:v>6.6666666666666671E-3</c:v>
                </c:pt>
                <c:pt idx="6">
                  <c:v>6.6666666666666671E-3</c:v>
                </c:pt>
                <c:pt idx="7">
                  <c:v>6.6666666666666671E-3</c:v>
                </c:pt>
                <c:pt idx="8">
                  <c:v>6.6666666666666671E-3</c:v>
                </c:pt>
                <c:pt idx="9">
                  <c:v>6.6666666666666671E-3</c:v>
                </c:pt>
                <c:pt idx="10">
                  <c:v>6.6666666666666671E-3</c:v>
                </c:pt>
                <c:pt idx="11">
                  <c:v>6.6666666666666671E-3</c:v>
                </c:pt>
                <c:pt idx="12">
                  <c:v>6.6666666666666671E-3</c:v>
                </c:pt>
                <c:pt idx="13">
                  <c:v>6.6666666666666671E-3</c:v>
                </c:pt>
                <c:pt idx="14">
                  <c:v>6.6666666666666671E-3</c:v>
                </c:pt>
                <c:pt idx="15">
                  <c:v>6.6666666666666671E-3</c:v>
                </c:pt>
                <c:pt idx="16">
                  <c:v>6.6666666666666671E-3</c:v>
                </c:pt>
                <c:pt idx="17">
                  <c:v>6.6666666666666671E-3</c:v>
                </c:pt>
                <c:pt idx="18">
                  <c:v>6.6666666666666671E-3</c:v>
                </c:pt>
                <c:pt idx="19">
                  <c:v>6.6666666666666671E-3</c:v>
                </c:pt>
                <c:pt idx="20">
                  <c:v>6.6666666666666671E-3</c:v>
                </c:pt>
                <c:pt idx="21">
                  <c:v>6.6666666666666671E-3</c:v>
                </c:pt>
                <c:pt idx="22">
                  <c:v>6.6666666666666671E-3</c:v>
                </c:pt>
                <c:pt idx="23">
                  <c:v>6.6666666666666671E-3</c:v>
                </c:pt>
                <c:pt idx="24">
                  <c:v>6.6666666666666671E-3</c:v>
                </c:pt>
                <c:pt idx="25">
                  <c:v>6.6666666666666671E-3</c:v>
                </c:pt>
                <c:pt idx="26">
                  <c:v>6.6666666666666671E-3</c:v>
                </c:pt>
                <c:pt idx="27">
                  <c:v>6.6666666666666671E-3</c:v>
                </c:pt>
                <c:pt idx="28">
                  <c:v>6.6666666666666671E-3</c:v>
                </c:pt>
                <c:pt idx="29">
                  <c:v>6.6666666666666671E-3</c:v>
                </c:pt>
                <c:pt idx="30">
                  <c:v>6.6666666666666671E-3</c:v>
                </c:pt>
                <c:pt idx="31">
                  <c:v>6.6666666666666671E-3</c:v>
                </c:pt>
                <c:pt idx="32">
                  <c:v>6.6666666666666671E-3</c:v>
                </c:pt>
                <c:pt idx="33">
                  <c:v>6.6666666666666671E-3</c:v>
                </c:pt>
                <c:pt idx="34">
                  <c:v>6.6666666666666671E-3</c:v>
                </c:pt>
                <c:pt idx="35">
                  <c:v>6.6666666666666671E-3</c:v>
                </c:pt>
                <c:pt idx="36">
                  <c:v>6.6666666666666671E-3</c:v>
                </c:pt>
                <c:pt idx="37">
                  <c:v>6.6666666666666671E-3</c:v>
                </c:pt>
                <c:pt idx="38">
                  <c:v>6.6666666666666671E-3</c:v>
                </c:pt>
                <c:pt idx="39">
                  <c:v>6.6666666666666671E-3</c:v>
                </c:pt>
                <c:pt idx="40">
                  <c:v>6.6666666666666671E-3</c:v>
                </c:pt>
                <c:pt idx="41">
                  <c:v>6.6666666666666671E-3</c:v>
                </c:pt>
                <c:pt idx="42">
                  <c:v>6.6666666666666671E-3</c:v>
                </c:pt>
                <c:pt idx="43">
                  <c:v>6.6666666666666671E-3</c:v>
                </c:pt>
                <c:pt idx="44">
                  <c:v>6.6666666666666671E-3</c:v>
                </c:pt>
                <c:pt idx="45">
                  <c:v>6.6666666666666671E-3</c:v>
                </c:pt>
                <c:pt idx="46">
                  <c:v>6.6666666666666671E-3</c:v>
                </c:pt>
                <c:pt idx="47">
                  <c:v>6.6666666666666671E-3</c:v>
                </c:pt>
                <c:pt idx="48">
                  <c:v>6.6666666666666671E-3</c:v>
                </c:pt>
                <c:pt idx="49">
                  <c:v>6.6666666666666671E-3</c:v>
                </c:pt>
                <c:pt idx="50">
                  <c:v>0.66666666666666707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B83-4168-82F6-B4B5E55CBC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1866184"/>
        <c:axId val="791866576"/>
      </c:scatterChart>
      <c:valAx>
        <c:axId val="791866184"/>
        <c:scaling>
          <c:orientation val="minMax"/>
          <c:max val="3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 (miles)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1866576"/>
        <c:crosses val="autoZero"/>
        <c:crossBetween val="midCat"/>
      </c:valAx>
      <c:valAx>
        <c:axId val="791866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of Students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18661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581933508311466"/>
          <c:y val="0.29708260425780109"/>
          <c:w val="0.18084733158355207"/>
          <c:h val="0.15625109361329836"/>
        </c:manualLayout>
      </c:layout>
      <c:overlay val="1"/>
      <c:spPr>
        <a:solidFill>
          <a:schemeClr val="bg1"/>
        </a:solidFill>
        <a:ln>
          <a:solidFill>
            <a:schemeClr val="bg1">
              <a:lumMod val="6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Piecewise Linear Distance Disutility - Work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Existing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calibration!$B$18:$B$68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calibration!$D$18:$D$68</c:f>
              <c:numCache>
                <c:formatCode>0.000</c:formatCode>
                <c:ptCount val="51"/>
                <c:pt idx="0">
                  <c:v>0</c:v>
                </c:pt>
                <c:pt idx="1">
                  <c:v>-2.6481308889438444</c:v>
                </c:pt>
                <c:pt idx="2">
                  <c:v>-3.152320914434886</c:v>
                </c:pt>
                <c:pt idx="3">
                  <c:v>-3.3878744370915532</c:v>
                </c:pt>
                <c:pt idx="4">
                  <c:v>-3.6234279597482204</c:v>
                </c:pt>
                <c:pt idx="5">
                  <c:v>-3.8589814824048876</c:v>
                </c:pt>
                <c:pt idx="6">
                  <c:v>-4.0614143503221145</c:v>
                </c:pt>
                <c:pt idx="7">
                  <c:v>-4.2638472182393414</c:v>
                </c:pt>
                <c:pt idx="8">
                  <c:v>-4.4662800861565684</c:v>
                </c:pt>
                <c:pt idx="9">
                  <c:v>-4.6687129540737953</c:v>
                </c:pt>
                <c:pt idx="10">
                  <c:v>-4.8711458219910222</c:v>
                </c:pt>
                <c:pt idx="11">
                  <c:v>-5.0735786899082491</c:v>
                </c:pt>
                <c:pt idx="12">
                  <c:v>-5.276011557825476</c:v>
                </c:pt>
                <c:pt idx="13">
                  <c:v>-5.478444425742703</c:v>
                </c:pt>
                <c:pt idx="14">
                  <c:v>-5.6808772936599299</c:v>
                </c:pt>
                <c:pt idx="15">
                  <c:v>-5.8833101615771568</c:v>
                </c:pt>
                <c:pt idx="16">
                  <c:v>-6.0106814495910017</c:v>
                </c:pt>
                <c:pt idx="17">
                  <c:v>-6.1380527376048466</c:v>
                </c:pt>
                <c:pt idx="18">
                  <c:v>-6.2654240256186915</c:v>
                </c:pt>
                <c:pt idx="19">
                  <c:v>-6.3927953136325364</c:v>
                </c:pt>
                <c:pt idx="20">
                  <c:v>-6.5201666016463813</c:v>
                </c:pt>
                <c:pt idx="21">
                  <c:v>-6.6475378896602262</c:v>
                </c:pt>
                <c:pt idx="22">
                  <c:v>-6.7749091776740711</c:v>
                </c:pt>
                <c:pt idx="23">
                  <c:v>-6.902280465687916</c:v>
                </c:pt>
                <c:pt idx="24">
                  <c:v>-7.0296517537017609</c:v>
                </c:pt>
                <c:pt idx="25">
                  <c:v>-7.1570230417156058</c:v>
                </c:pt>
                <c:pt idx="26">
                  <c:v>-7.2843943297294507</c:v>
                </c:pt>
                <c:pt idx="27">
                  <c:v>-7.4117656177432956</c:v>
                </c:pt>
                <c:pt idx="28">
                  <c:v>-7.5391369057571405</c:v>
                </c:pt>
                <c:pt idx="29">
                  <c:v>-7.6665081937709854</c:v>
                </c:pt>
                <c:pt idx="30">
                  <c:v>-7.7938794817848303</c:v>
                </c:pt>
                <c:pt idx="31">
                  <c:v>-7.9212507697986752</c:v>
                </c:pt>
                <c:pt idx="32">
                  <c:v>-8.0486220578125192</c:v>
                </c:pt>
                <c:pt idx="33">
                  <c:v>-8.1759933458263632</c:v>
                </c:pt>
                <c:pt idx="34">
                  <c:v>-8.3033646338402072</c:v>
                </c:pt>
                <c:pt idx="35">
                  <c:v>-8.4307359218540512</c:v>
                </c:pt>
                <c:pt idx="36">
                  <c:v>-8.5581072098678952</c:v>
                </c:pt>
                <c:pt idx="37">
                  <c:v>-8.6854784978817392</c:v>
                </c:pt>
                <c:pt idx="38">
                  <c:v>-8.8128497858955832</c:v>
                </c:pt>
                <c:pt idx="39">
                  <c:v>-8.9402210739094272</c:v>
                </c:pt>
                <c:pt idx="40">
                  <c:v>-9.0675923619232712</c:v>
                </c:pt>
                <c:pt idx="41">
                  <c:v>-9.1949636499371152</c:v>
                </c:pt>
                <c:pt idx="42">
                  <c:v>-9.3223349379509592</c:v>
                </c:pt>
                <c:pt idx="43">
                  <c:v>-9.4497062259648033</c:v>
                </c:pt>
                <c:pt idx="44">
                  <c:v>-9.5770775139786473</c:v>
                </c:pt>
                <c:pt idx="45">
                  <c:v>-9.7044488019924913</c:v>
                </c:pt>
                <c:pt idx="46">
                  <c:v>-9.8318200900063353</c:v>
                </c:pt>
                <c:pt idx="47">
                  <c:v>-9.9591913780201793</c:v>
                </c:pt>
                <c:pt idx="48">
                  <c:v>-10.086562666034023</c:v>
                </c:pt>
                <c:pt idx="49">
                  <c:v>-10.213933954047867</c:v>
                </c:pt>
                <c:pt idx="50">
                  <c:v>-10.341305242061711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07B-4817-AD5E-944500187124}"/>
            </c:ext>
          </c:extLst>
        </c:ser>
        <c:ser>
          <c:idx val="1"/>
          <c:order val="1"/>
          <c:tx>
            <c:v>Proposed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calibration!$B$18:$B$68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calibration!$L$18:$L$68</c:f>
              <c:numCache>
                <c:formatCode>0.0000</c:formatCode>
                <c:ptCount val="51"/>
                <c:pt idx="0">
                  <c:v>0</c:v>
                </c:pt>
                <c:pt idx="1">
                  <c:v>-2.6481308889438444</c:v>
                </c:pt>
                <c:pt idx="2">
                  <c:v>-3.152320914434886</c:v>
                </c:pt>
                <c:pt idx="3">
                  <c:v>-3.3878744370915532</c:v>
                </c:pt>
                <c:pt idx="4">
                  <c:v>-3.6234279597482204</c:v>
                </c:pt>
                <c:pt idx="5">
                  <c:v>-3.8589814824048876</c:v>
                </c:pt>
                <c:pt idx="6">
                  <c:v>-4.0614143503221145</c:v>
                </c:pt>
                <c:pt idx="7">
                  <c:v>-4.2638472182393414</c:v>
                </c:pt>
                <c:pt idx="8">
                  <c:v>-4.4662800861565684</c:v>
                </c:pt>
                <c:pt idx="9">
                  <c:v>-4.6687129540737953</c:v>
                </c:pt>
                <c:pt idx="10">
                  <c:v>-4.8711458219910222</c:v>
                </c:pt>
                <c:pt idx="11">
                  <c:v>-5.0735786899082491</c:v>
                </c:pt>
                <c:pt idx="12">
                  <c:v>-5.276011557825476</c:v>
                </c:pt>
                <c:pt idx="13">
                  <c:v>-5.478444425742703</c:v>
                </c:pt>
                <c:pt idx="14">
                  <c:v>-5.6808772936599299</c:v>
                </c:pt>
                <c:pt idx="15">
                  <c:v>-5.8833101615771568</c:v>
                </c:pt>
                <c:pt idx="16">
                  <c:v>-6.0106814495910017</c:v>
                </c:pt>
                <c:pt idx="17">
                  <c:v>-6.1380527376048466</c:v>
                </c:pt>
                <c:pt idx="18">
                  <c:v>-6.2654240256186915</c:v>
                </c:pt>
                <c:pt idx="19">
                  <c:v>-6.3927953136325364</c:v>
                </c:pt>
                <c:pt idx="20">
                  <c:v>-6.5201666016463813</c:v>
                </c:pt>
                <c:pt idx="21">
                  <c:v>-6.6475378896602262</c:v>
                </c:pt>
                <c:pt idx="22">
                  <c:v>-6.7749091776740711</c:v>
                </c:pt>
                <c:pt idx="23">
                  <c:v>-6.902280465687916</c:v>
                </c:pt>
                <c:pt idx="24">
                  <c:v>-7.0296517537017609</c:v>
                </c:pt>
                <c:pt idx="25">
                  <c:v>-7.1570230417156058</c:v>
                </c:pt>
                <c:pt idx="26">
                  <c:v>-7.2843943297294507</c:v>
                </c:pt>
                <c:pt idx="27">
                  <c:v>-7.4117656177432956</c:v>
                </c:pt>
                <c:pt idx="28">
                  <c:v>-7.5391369057571405</c:v>
                </c:pt>
                <c:pt idx="29">
                  <c:v>-7.6665081937709854</c:v>
                </c:pt>
                <c:pt idx="30">
                  <c:v>-7.7938794817848303</c:v>
                </c:pt>
                <c:pt idx="31">
                  <c:v>-7.9212507697986752</c:v>
                </c:pt>
                <c:pt idx="32">
                  <c:v>-8.0486220578125192</c:v>
                </c:pt>
                <c:pt idx="33">
                  <c:v>-8.1759933458263632</c:v>
                </c:pt>
                <c:pt idx="34">
                  <c:v>-8.3033646338402072</c:v>
                </c:pt>
                <c:pt idx="35">
                  <c:v>-8.4307359218540512</c:v>
                </c:pt>
                <c:pt idx="36">
                  <c:v>-8.5581072098678952</c:v>
                </c:pt>
                <c:pt idx="37">
                  <c:v>-8.6854784978817392</c:v>
                </c:pt>
                <c:pt idx="38">
                  <c:v>-8.8128497858955832</c:v>
                </c:pt>
                <c:pt idx="39">
                  <c:v>-8.9402210739094272</c:v>
                </c:pt>
                <c:pt idx="40">
                  <c:v>-9.0675923619232712</c:v>
                </c:pt>
                <c:pt idx="41">
                  <c:v>-9.1949636499371152</c:v>
                </c:pt>
                <c:pt idx="42">
                  <c:v>-9.3223349379509592</c:v>
                </c:pt>
                <c:pt idx="43">
                  <c:v>-9.4497062259648033</c:v>
                </c:pt>
                <c:pt idx="44">
                  <c:v>-9.5770775139786473</c:v>
                </c:pt>
                <c:pt idx="45">
                  <c:v>-9.7044488019924913</c:v>
                </c:pt>
                <c:pt idx="46">
                  <c:v>-9.8318200900063353</c:v>
                </c:pt>
                <c:pt idx="47">
                  <c:v>-9.9591913780201793</c:v>
                </c:pt>
                <c:pt idx="48">
                  <c:v>-10.086562666034023</c:v>
                </c:pt>
                <c:pt idx="49">
                  <c:v>-10.213933954047867</c:v>
                </c:pt>
                <c:pt idx="50">
                  <c:v>-10.341305242061711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07B-4817-AD5E-9445001871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0542927"/>
        <c:axId val="1215398383"/>
      </c:scatterChart>
      <c:valAx>
        <c:axId val="1210542927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5398383"/>
        <c:crosses val="autoZero"/>
        <c:crossBetween val="midCat"/>
      </c:valAx>
      <c:valAx>
        <c:axId val="1215398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0542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Piecewise Linear Distance Disutility - University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Existing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calibration!$B$18:$B$68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calibration!$P$18:$P$68</c:f>
              <c:numCache>
                <c:formatCode>0.000</c:formatCode>
                <c:ptCount val="51"/>
                <c:pt idx="0">
                  <c:v>0</c:v>
                </c:pt>
                <c:pt idx="1">
                  <c:v>2.1957552070032174</c:v>
                </c:pt>
                <c:pt idx="2">
                  <c:v>-4.2477929127608975</c:v>
                </c:pt>
                <c:pt idx="3">
                  <c:v>-3.8768728369656995</c:v>
                </c:pt>
                <c:pt idx="4">
                  <c:v>-3.5059527611705015</c:v>
                </c:pt>
                <c:pt idx="5">
                  <c:v>-3.1350326853753034</c:v>
                </c:pt>
                <c:pt idx="6">
                  <c:v>-3.314237840625109</c:v>
                </c:pt>
                <c:pt idx="7">
                  <c:v>-3.4934429958749145</c:v>
                </c:pt>
                <c:pt idx="8">
                  <c:v>-3.67264815112472</c:v>
                </c:pt>
                <c:pt idx="9">
                  <c:v>-3.8518533063745255</c:v>
                </c:pt>
                <c:pt idx="10">
                  <c:v>-4.0310584616243306</c:v>
                </c:pt>
                <c:pt idx="11">
                  <c:v>-4.2102636168741361</c:v>
                </c:pt>
                <c:pt idx="12">
                  <c:v>-4.3894687721239416</c:v>
                </c:pt>
                <c:pt idx="13">
                  <c:v>-4.5686739273737471</c:v>
                </c:pt>
                <c:pt idx="14">
                  <c:v>-4.7478790826235526</c:v>
                </c:pt>
                <c:pt idx="15">
                  <c:v>-4.9270842378733581</c:v>
                </c:pt>
                <c:pt idx="16">
                  <c:v>-5.2390691642625571</c:v>
                </c:pt>
                <c:pt idx="17">
                  <c:v>-5.551054090651756</c:v>
                </c:pt>
                <c:pt idx="18">
                  <c:v>-5.863039017040955</c:v>
                </c:pt>
                <c:pt idx="19">
                  <c:v>-6.1750239434301539</c:v>
                </c:pt>
                <c:pt idx="20">
                  <c:v>-6.4870088698193529</c:v>
                </c:pt>
                <c:pt idx="21">
                  <c:v>-6.7989937962085518</c:v>
                </c:pt>
                <c:pt idx="22">
                  <c:v>-7.1109787225977508</c:v>
                </c:pt>
                <c:pt idx="23">
                  <c:v>-7.4229636489869497</c:v>
                </c:pt>
                <c:pt idx="24">
                  <c:v>-7.7349485753761487</c:v>
                </c:pt>
                <c:pt idx="25">
                  <c:v>-8.0469335017653467</c:v>
                </c:pt>
                <c:pt idx="26">
                  <c:v>-8.3589184281545457</c:v>
                </c:pt>
                <c:pt idx="27">
                  <c:v>-8.6709033545437446</c:v>
                </c:pt>
                <c:pt idx="28">
                  <c:v>-8.9828882809329436</c:v>
                </c:pt>
                <c:pt idx="29">
                  <c:v>-9.2948732073221425</c:v>
                </c:pt>
                <c:pt idx="30">
                  <c:v>-9.6068581337113415</c:v>
                </c:pt>
                <c:pt idx="31">
                  <c:v>-9.9188430601005404</c:v>
                </c:pt>
                <c:pt idx="32">
                  <c:v>-10.230827986489739</c:v>
                </c:pt>
                <c:pt idx="33">
                  <c:v>-10.542812912878938</c:v>
                </c:pt>
                <c:pt idx="34">
                  <c:v>-10.854797839268137</c:v>
                </c:pt>
                <c:pt idx="35">
                  <c:v>-11.166782765657336</c:v>
                </c:pt>
                <c:pt idx="36">
                  <c:v>-11.478767692046535</c:v>
                </c:pt>
                <c:pt idx="37">
                  <c:v>-11.790752618435734</c:v>
                </c:pt>
                <c:pt idx="38">
                  <c:v>-12.102737544824933</c:v>
                </c:pt>
                <c:pt idx="39">
                  <c:v>-12.414722471214132</c:v>
                </c:pt>
                <c:pt idx="40">
                  <c:v>-12.726707397603331</c:v>
                </c:pt>
                <c:pt idx="41">
                  <c:v>-13.03869232399253</c:v>
                </c:pt>
                <c:pt idx="42">
                  <c:v>-13.350677250381729</c:v>
                </c:pt>
                <c:pt idx="43">
                  <c:v>-13.662662176770928</c:v>
                </c:pt>
                <c:pt idx="44">
                  <c:v>-13.974647103160127</c:v>
                </c:pt>
                <c:pt idx="45">
                  <c:v>-14.286632029549326</c:v>
                </c:pt>
                <c:pt idx="46">
                  <c:v>-14.598616955938525</c:v>
                </c:pt>
                <c:pt idx="47">
                  <c:v>-14.910601882327724</c:v>
                </c:pt>
                <c:pt idx="48">
                  <c:v>-15.222586808716922</c:v>
                </c:pt>
                <c:pt idx="49">
                  <c:v>-15.534571735106121</c:v>
                </c:pt>
                <c:pt idx="50">
                  <c:v>-15.84655666149532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B8A-4B2E-B62A-AC41E04DC713}"/>
            </c:ext>
          </c:extLst>
        </c:ser>
        <c:ser>
          <c:idx val="1"/>
          <c:order val="1"/>
          <c:tx>
            <c:v>Proposed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calibration!$B$18:$B$68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calibration!$X$18:$X$68</c:f>
              <c:numCache>
                <c:formatCode>0.000</c:formatCode>
                <c:ptCount val="51"/>
                <c:pt idx="0">
                  <c:v>0</c:v>
                </c:pt>
                <c:pt idx="1">
                  <c:v>2.1957552070032174</c:v>
                </c:pt>
                <c:pt idx="2">
                  <c:v>-4.2477929127608975</c:v>
                </c:pt>
                <c:pt idx="3">
                  <c:v>-3.8768728369656995</c:v>
                </c:pt>
                <c:pt idx="4">
                  <c:v>-3.5059527611705015</c:v>
                </c:pt>
                <c:pt idx="5">
                  <c:v>-3.1350326853753034</c:v>
                </c:pt>
                <c:pt idx="6">
                  <c:v>-3.314237840625109</c:v>
                </c:pt>
                <c:pt idx="7">
                  <c:v>-3.4934429958749145</c:v>
                </c:pt>
                <c:pt idx="8">
                  <c:v>-3.67264815112472</c:v>
                </c:pt>
                <c:pt idx="9">
                  <c:v>-3.8518533063745255</c:v>
                </c:pt>
                <c:pt idx="10">
                  <c:v>-4.0310584616243306</c:v>
                </c:pt>
                <c:pt idx="11">
                  <c:v>-4.2102636168741361</c:v>
                </c:pt>
                <c:pt idx="12">
                  <c:v>-4.3894687721239416</c:v>
                </c:pt>
                <c:pt idx="13">
                  <c:v>-4.5686739273737471</c:v>
                </c:pt>
                <c:pt idx="14">
                  <c:v>-4.7478790826235526</c:v>
                </c:pt>
                <c:pt idx="15">
                  <c:v>-4.9270842378733581</c:v>
                </c:pt>
                <c:pt idx="16">
                  <c:v>-5.2390691642625571</c:v>
                </c:pt>
                <c:pt idx="17">
                  <c:v>-5.551054090651756</c:v>
                </c:pt>
                <c:pt idx="18">
                  <c:v>-5.863039017040955</c:v>
                </c:pt>
                <c:pt idx="19">
                  <c:v>-6.1750239434301539</c:v>
                </c:pt>
                <c:pt idx="20">
                  <c:v>-6.4870088698193529</c:v>
                </c:pt>
                <c:pt idx="21">
                  <c:v>-6.7989937962085518</c:v>
                </c:pt>
                <c:pt idx="22">
                  <c:v>-7.1109787225977508</c:v>
                </c:pt>
                <c:pt idx="23">
                  <c:v>-7.4229636489869497</c:v>
                </c:pt>
                <c:pt idx="24">
                  <c:v>-7.7349485753761487</c:v>
                </c:pt>
                <c:pt idx="25">
                  <c:v>-8.0469335017653467</c:v>
                </c:pt>
                <c:pt idx="26">
                  <c:v>-8.3589184281545457</c:v>
                </c:pt>
                <c:pt idx="27">
                  <c:v>-8.6709033545437446</c:v>
                </c:pt>
                <c:pt idx="28">
                  <c:v>-8.9828882809329436</c:v>
                </c:pt>
                <c:pt idx="29">
                  <c:v>-9.2948732073221425</c:v>
                </c:pt>
                <c:pt idx="30">
                  <c:v>-9.6068581337113415</c:v>
                </c:pt>
                <c:pt idx="31">
                  <c:v>-9.9188430601005404</c:v>
                </c:pt>
                <c:pt idx="32">
                  <c:v>-10.230827986489739</c:v>
                </c:pt>
                <c:pt idx="33">
                  <c:v>-10.542812912878938</c:v>
                </c:pt>
                <c:pt idx="34">
                  <c:v>-10.854797839268137</c:v>
                </c:pt>
                <c:pt idx="35">
                  <c:v>-11.166782765657336</c:v>
                </c:pt>
                <c:pt idx="36">
                  <c:v>-11.478767692046535</c:v>
                </c:pt>
                <c:pt idx="37">
                  <c:v>-11.790752618435734</c:v>
                </c:pt>
                <c:pt idx="38">
                  <c:v>-12.102737544824933</c:v>
                </c:pt>
                <c:pt idx="39">
                  <c:v>-12.414722471214132</c:v>
                </c:pt>
                <c:pt idx="40">
                  <c:v>-12.726707397603331</c:v>
                </c:pt>
                <c:pt idx="41">
                  <c:v>-13.03869232399253</c:v>
                </c:pt>
                <c:pt idx="42">
                  <c:v>-13.350677250381729</c:v>
                </c:pt>
                <c:pt idx="43">
                  <c:v>-13.662662176770928</c:v>
                </c:pt>
                <c:pt idx="44">
                  <c:v>-13.974647103160127</c:v>
                </c:pt>
                <c:pt idx="45">
                  <c:v>-14.286632029549326</c:v>
                </c:pt>
                <c:pt idx="46">
                  <c:v>-14.598616955938525</c:v>
                </c:pt>
                <c:pt idx="47">
                  <c:v>-14.910601882327724</c:v>
                </c:pt>
                <c:pt idx="48">
                  <c:v>-15.222586808716922</c:v>
                </c:pt>
                <c:pt idx="49">
                  <c:v>-15.534571735106121</c:v>
                </c:pt>
                <c:pt idx="50">
                  <c:v>-15.84655666149532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B8A-4B2E-B62A-AC41E04DC7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0542927"/>
        <c:axId val="1215398383"/>
      </c:scatterChart>
      <c:valAx>
        <c:axId val="1210542927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5398383"/>
        <c:crosses val="autoZero"/>
        <c:crossBetween val="midCat"/>
      </c:valAx>
      <c:valAx>
        <c:axId val="1215398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0542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Piecewise Linear Distance Disutility - School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Existing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calibration!$B$18:$B$68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calibration!$AB$18:$AB$68</c:f>
              <c:numCache>
                <c:formatCode>0.000</c:formatCode>
                <c:ptCount val="51"/>
                <c:pt idx="0">
                  <c:v>0</c:v>
                </c:pt>
                <c:pt idx="1">
                  <c:v>-1.5588772320309405</c:v>
                </c:pt>
                <c:pt idx="2">
                  <c:v>-1.6679560792057855</c:v>
                </c:pt>
                <c:pt idx="3">
                  <c:v>-2.0536746023981323</c:v>
                </c:pt>
                <c:pt idx="4">
                  <c:v>-2.4393931255904793</c:v>
                </c:pt>
                <c:pt idx="5">
                  <c:v>-2.8251116487828263</c:v>
                </c:pt>
                <c:pt idx="6">
                  <c:v>-3.11007320022666</c:v>
                </c:pt>
                <c:pt idx="7">
                  <c:v>-3.3950347516704937</c:v>
                </c:pt>
                <c:pt idx="8">
                  <c:v>-3.6799963031143275</c:v>
                </c:pt>
                <c:pt idx="9">
                  <c:v>-3.9649578545581612</c:v>
                </c:pt>
                <c:pt idx="10">
                  <c:v>-4.2499194060019949</c:v>
                </c:pt>
                <c:pt idx="11">
                  <c:v>-4.5348809574458286</c:v>
                </c:pt>
                <c:pt idx="12">
                  <c:v>-4.8198425088896624</c:v>
                </c:pt>
                <c:pt idx="13">
                  <c:v>-5.1048040603334961</c:v>
                </c:pt>
                <c:pt idx="14">
                  <c:v>-5.3897656117773298</c:v>
                </c:pt>
                <c:pt idx="15">
                  <c:v>-5.6747271632211636</c:v>
                </c:pt>
                <c:pt idx="16">
                  <c:v>-5.9122847066678492</c:v>
                </c:pt>
                <c:pt idx="17">
                  <c:v>-6.1498422501145349</c:v>
                </c:pt>
                <c:pt idx="18">
                  <c:v>-6.3873997935612206</c:v>
                </c:pt>
                <c:pt idx="19">
                  <c:v>-6.6249573370079062</c:v>
                </c:pt>
                <c:pt idx="20">
                  <c:v>-6.8625148804545919</c:v>
                </c:pt>
                <c:pt idx="21">
                  <c:v>-7.1000724239012776</c:v>
                </c:pt>
                <c:pt idx="22">
                  <c:v>-7.3376299673479632</c:v>
                </c:pt>
                <c:pt idx="23">
                  <c:v>-7.5751875107946489</c:v>
                </c:pt>
                <c:pt idx="24">
                  <c:v>-7.8127450542413346</c:v>
                </c:pt>
                <c:pt idx="25">
                  <c:v>-8.0503025976880203</c:v>
                </c:pt>
                <c:pt idx="26">
                  <c:v>-8.2878601411347059</c:v>
                </c:pt>
                <c:pt idx="27">
                  <c:v>-8.5254176845813916</c:v>
                </c:pt>
                <c:pt idx="28">
                  <c:v>-8.7629752280280773</c:v>
                </c:pt>
                <c:pt idx="29">
                  <c:v>-9.0005327714747629</c:v>
                </c:pt>
                <c:pt idx="30">
                  <c:v>-9.2380903149214486</c:v>
                </c:pt>
                <c:pt idx="31">
                  <c:v>-9.4756478583681343</c:v>
                </c:pt>
                <c:pt idx="32">
                  <c:v>-9.71320540181482</c:v>
                </c:pt>
                <c:pt idx="33">
                  <c:v>-9.9507629452615056</c:v>
                </c:pt>
                <c:pt idx="34">
                  <c:v>-10.188320488708191</c:v>
                </c:pt>
                <c:pt idx="35">
                  <c:v>-10.425878032154877</c:v>
                </c:pt>
                <c:pt idx="36">
                  <c:v>-10.663435575601563</c:v>
                </c:pt>
                <c:pt idx="37">
                  <c:v>-10.900993119048248</c:v>
                </c:pt>
                <c:pt idx="38">
                  <c:v>-11.138550662494934</c:v>
                </c:pt>
                <c:pt idx="39">
                  <c:v>-11.37610820594162</c:v>
                </c:pt>
                <c:pt idx="40">
                  <c:v>-11.613665749388305</c:v>
                </c:pt>
                <c:pt idx="41">
                  <c:v>-11.851223292834991</c:v>
                </c:pt>
                <c:pt idx="42">
                  <c:v>-12.088780836281677</c:v>
                </c:pt>
                <c:pt idx="43">
                  <c:v>-12.326338379728362</c:v>
                </c:pt>
                <c:pt idx="44">
                  <c:v>-12.563895923175048</c:v>
                </c:pt>
                <c:pt idx="45">
                  <c:v>-12.801453466621734</c:v>
                </c:pt>
                <c:pt idx="46">
                  <c:v>-13.039011010068419</c:v>
                </c:pt>
                <c:pt idx="47">
                  <c:v>-13.276568553515105</c:v>
                </c:pt>
                <c:pt idx="48">
                  <c:v>-13.514126096961791</c:v>
                </c:pt>
                <c:pt idx="49">
                  <c:v>-13.751683640408476</c:v>
                </c:pt>
                <c:pt idx="50">
                  <c:v>-13.989241183855162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1CE-44C9-8866-0D30BC30FF8A}"/>
            </c:ext>
          </c:extLst>
        </c:ser>
        <c:ser>
          <c:idx val="1"/>
          <c:order val="1"/>
          <c:tx>
            <c:v>Proposed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calibration!$B$18:$B$68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calibration!$AJ$18:$AJ$68</c:f>
              <c:numCache>
                <c:formatCode>0.000</c:formatCode>
                <c:ptCount val="51"/>
                <c:pt idx="0">
                  <c:v>0</c:v>
                </c:pt>
                <c:pt idx="1">
                  <c:v>-1.5588772320309405</c:v>
                </c:pt>
                <c:pt idx="2">
                  <c:v>-1.6679560792057855</c:v>
                </c:pt>
                <c:pt idx="3">
                  <c:v>-2.0536746023981323</c:v>
                </c:pt>
                <c:pt idx="4">
                  <c:v>-2.4393931255904793</c:v>
                </c:pt>
                <c:pt idx="5">
                  <c:v>-2.8251116487828263</c:v>
                </c:pt>
                <c:pt idx="6">
                  <c:v>-3.0530808899378932</c:v>
                </c:pt>
                <c:pt idx="7">
                  <c:v>-3.2810501310929601</c:v>
                </c:pt>
                <c:pt idx="8">
                  <c:v>-3.509019372248027</c:v>
                </c:pt>
                <c:pt idx="9">
                  <c:v>-3.7369886134030939</c:v>
                </c:pt>
                <c:pt idx="10">
                  <c:v>-3.9649578545581607</c:v>
                </c:pt>
                <c:pt idx="11">
                  <c:v>-4.1929270957132276</c:v>
                </c:pt>
                <c:pt idx="12">
                  <c:v>-4.420896336868295</c:v>
                </c:pt>
                <c:pt idx="13">
                  <c:v>-4.6488655780233623</c:v>
                </c:pt>
                <c:pt idx="14">
                  <c:v>-4.8768348191784296</c:v>
                </c:pt>
                <c:pt idx="15">
                  <c:v>-5.104804060333497</c:v>
                </c:pt>
                <c:pt idx="16">
                  <c:v>-5.2315014168383964</c:v>
                </c:pt>
                <c:pt idx="17">
                  <c:v>-5.3581987733432959</c:v>
                </c:pt>
                <c:pt idx="18">
                  <c:v>-5.4848961298481953</c:v>
                </c:pt>
                <c:pt idx="19">
                  <c:v>-5.6115934863530947</c:v>
                </c:pt>
                <c:pt idx="20">
                  <c:v>-5.7382908428579942</c:v>
                </c:pt>
                <c:pt idx="21">
                  <c:v>-5.8649881993628936</c:v>
                </c:pt>
                <c:pt idx="22">
                  <c:v>-5.9916855558677931</c:v>
                </c:pt>
                <c:pt idx="23">
                  <c:v>-6.1183829123726925</c:v>
                </c:pt>
                <c:pt idx="24">
                  <c:v>-6.2450802688775919</c:v>
                </c:pt>
                <c:pt idx="25">
                  <c:v>-6.3717776253824914</c:v>
                </c:pt>
                <c:pt idx="26">
                  <c:v>-6.4984749818873908</c:v>
                </c:pt>
                <c:pt idx="27">
                  <c:v>-6.6251723383922902</c:v>
                </c:pt>
                <c:pt idx="28">
                  <c:v>-6.7518696948971897</c:v>
                </c:pt>
                <c:pt idx="29">
                  <c:v>-6.8785670514020891</c:v>
                </c:pt>
                <c:pt idx="30">
                  <c:v>-7.0052644079069886</c:v>
                </c:pt>
                <c:pt idx="31">
                  <c:v>-7.131961764411888</c:v>
                </c:pt>
                <c:pt idx="32">
                  <c:v>-7.2586591209167874</c:v>
                </c:pt>
                <c:pt idx="33">
                  <c:v>-7.3853564774216869</c:v>
                </c:pt>
                <c:pt idx="34">
                  <c:v>-7.5120538339265863</c:v>
                </c:pt>
                <c:pt idx="35">
                  <c:v>-7.6387511904314858</c:v>
                </c:pt>
                <c:pt idx="36">
                  <c:v>-7.7654485469363852</c:v>
                </c:pt>
                <c:pt idx="37">
                  <c:v>-7.8921459034412846</c:v>
                </c:pt>
                <c:pt idx="38">
                  <c:v>-8.0188432599461841</c:v>
                </c:pt>
                <c:pt idx="39">
                  <c:v>-8.1455406164510826</c:v>
                </c:pt>
                <c:pt idx="40">
                  <c:v>-8.2722379729559812</c:v>
                </c:pt>
                <c:pt idx="41">
                  <c:v>-8.3989353294608797</c:v>
                </c:pt>
                <c:pt idx="42">
                  <c:v>-8.5256326859657783</c:v>
                </c:pt>
                <c:pt idx="43">
                  <c:v>-8.6523300424706768</c:v>
                </c:pt>
                <c:pt idx="44">
                  <c:v>-8.7790273989755754</c:v>
                </c:pt>
                <c:pt idx="45">
                  <c:v>-8.9057247554804739</c:v>
                </c:pt>
                <c:pt idx="46">
                  <c:v>-9.0324221119853725</c:v>
                </c:pt>
                <c:pt idx="47">
                  <c:v>-9.159119468490271</c:v>
                </c:pt>
                <c:pt idx="48">
                  <c:v>-9.2858168249951696</c:v>
                </c:pt>
                <c:pt idx="49">
                  <c:v>-9.4125141815000681</c:v>
                </c:pt>
                <c:pt idx="50">
                  <c:v>-9.5392115380049667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1CE-44C9-8866-0D30BC30FF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0542927"/>
        <c:axId val="1215398383"/>
      </c:scatterChart>
      <c:valAx>
        <c:axId val="1210542927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5398383"/>
        <c:crosses val="autoZero"/>
        <c:crossBetween val="midCat"/>
      </c:valAx>
      <c:valAx>
        <c:axId val="1215398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0542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6" Type="http://schemas.openxmlformats.org/officeDocument/2006/relationships/chart" Target="../charts/chart10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350260</xdr:colOff>
      <xdr:row>40</xdr:row>
      <xdr:rowOff>45317</xdr:rowOff>
    </xdr:from>
    <xdr:to>
      <xdr:col>24</xdr:col>
      <xdr:colOff>166256</xdr:colOff>
      <xdr:row>56</xdr:row>
      <xdr:rowOff>67541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479567</xdr:colOff>
      <xdr:row>90</xdr:row>
      <xdr:rowOff>71150</xdr:rowOff>
    </xdr:from>
    <xdr:to>
      <xdr:col>21</xdr:col>
      <xdr:colOff>204640</xdr:colOff>
      <xdr:row>106</xdr:row>
      <xdr:rowOff>47771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125F74D-F672-4B31-A547-FDC7AB2DFA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139410</xdr:colOff>
      <xdr:row>89</xdr:row>
      <xdr:rowOff>83560</xdr:rowOff>
    </xdr:from>
    <xdr:to>
      <xdr:col>30</xdr:col>
      <xdr:colOff>84859</xdr:colOff>
      <xdr:row>105</xdr:row>
      <xdr:rowOff>60181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F79CBB6-FA02-4E9C-A60E-806BF2B569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366279</xdr:colOff>
      <xdr:row>56</xdr:row>
      <xdr:rowOff>169286</xdr:rowOff>
    </xdr:from>
    <xdr:to>
      <xdr:col>37</xdr:col>
      <xdr:colOff>1731</xdr:colOff>
      <xdr:row>105</xdr:row>
      <xdr:rowOff>159761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6AB4A1F-7E3D-47A1-985D-19DC98FD23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157162</xdr:colOff>
      <xdr:row>68</xdr:row>
      <xdr:rowOff>104781</xdr:rowOff>
    </xdr:from>
    <xdr:to>
      <xdr:col>8</xdr:col>
      <xdr:colOff>90487</xdr:colOff>
      <xdr:row>85</xdr:row>
      <xdr:rowOff>95256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1476375</xdr:colOff>
      <xdr:row>69</xdr:row>
      <xdr:rowOff>14287</xdr:rowOff>
    </xdr:from>
    <xdr:to>
      <xdr:col>21</xdr:col>
      <xdr:colOff>514350</xdr:colOff>
      <xdr:row>86</xdr:row>
      <xdr:rowOff>4762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914400</xdr:colOff>
      <xdr:row>69</xdr:row>
      <xdr:rowOff>52387</xdr:rowOff>
    </xdr:from>
    <xdr:to>
      <xdr:col>33</xdr:col>
      <xdr:colOff>104775</xdr:colOff>
      <xdr:row>86</xdr:row>
      <xdr:rowOff>42862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166687</xdr:colOff>
      <xdr:row>86</xdr:row>
      <xdr:rowOff>71437</xdr:rowOff>
    </xdr:from>
    <xdr:to>
      <xdr:col>8</xdr:col>
      <xdr:colOff>100012</xdr:colOff>
      <xdr:row>103</xdr:row>
      <xdr:rowOff>61912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D5B5C3A-006D-4711-836E-82BF293D1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0</xdr:colOff>
      <xdr:row>87</xdr:row>
      <xdr:rowOff>0</xdr:rowOff>
    </xdr:from>
    <xdr:to>
      <xdr:col>21</xdr:col>
      <xdr:colOff>219075</xdr:colOff>
      <xdr:row>103</xdr:row>
      <xdr:rowOff>152400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F3778B6-09A8-461C-983C-109B86FEB4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914400</xdr:colOff>
      <xdr:row>86</xdr:row>
      <xdr:rowOff>123825</xdr:rowOff>
    </xdr:from>
    <xdr:to>
      <xdr:col>33</xdr:col>
      <xdr:colOff>104775</xdr:colOff>
      <xdr:row>103</xdr:row>
      <xdr:rowOff>114300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ABF1915-858B-41BE-8059-F83E6400D8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elody Tsao" id="{0C495D3B-C74B-4C89-A6AF-7E4B378855CF}" userId="S::mtsao@bayareametro.gov::b8f7ece4-62c8-4cf6-abd5-ba60924d8c5c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42" dT="2026-03-30T17:19:28.50" personId="{0C495D3B-C74B-4C89-A6AF-7E4B378855CF}" id="{6528E27D-0860-4CF1-B353-623047295029}">
    <text>Use ACS or LODES</text>
  </threadedComment>
  <threadedComment ref="A42" dT="2026-03-30T17:20:55.63" personId="{0C495D3B-C74B-4C89-A6AF-7E4B378855CF}" id="{3817BCDF-07A4-482C-BF2F-89EF61759B21}" parentId="{6528E27D-0860-4CF1-B353-623047295029}">
    <text xml:space="preserve">Put in ACS and LODES for reference (source Aksel’s notes) - might need to adjust/combination of them </text>
  </threadedComment>
  <threadedComment ref="A42" dT="2026-03-30T17:21:35.35" personId="{0C495D3B-C74B-4C89-A6AF-7E4B378855CF}" id="{0CDB3D98-3C0F-4726-992D-EA300824CF5A}" parentId="{6528E27D-0860-4CF1-B353-623047295029}">
    <text xml:space="preserve">ACS: Overrepresent within county
LODES: May not but have other outliers
Estimate WFH from county with other ACS table? </text>
  </threadedComment>
  <threadedComment ref="A42" dT="2026-03-30T17:22:08.55" personId="{0C495D3B-C74B-4C89-A6AF-7E4B378855CF}" id="{BC630E25-399C-46C1-BD90-CA79EDAE48AE}" parentId="{6528E27D-0860-4CF1-B353-623047295029}">
    <text xml:space="preserve">Taking some of the within county people and shfiting them to other cells in matrix </text>
  </threadedComment>
  <threadedComment ref="A42" dT="2026-03-30T17:22:32.10" personId="{0C495D3B-C74B-4C89-A6AF-7E4B378855CF}" id="{CFDAF932-A064-4932-9E3E-2E7A30C10409}" parentId="{6528E27D-0860-4CF1-B353-623047295029}">
    <text>Target is when the empres matches empres</text>
  </threadedComment>
  <threadedComment ref="A42" dT="2026-03-30T17:24:06.24" personId="{0C495D3B-C74B-4C89-A6AF-7E4B378855CF}" id="{5601D3F8-BC05-407E-B1B4-29DAAE7DD0B6}" parentId="{6528E27D-0860-4CF1-B353-623047295029}">
    <text>Add in BATS with fully remote percentage</text>
  </threadedComment>
  <threadedComment ref="A42" dT="2026-03-30T17:24:22.97" personId="{0C495D3B-C74B-4C89-A6AF-7E4B378855CF}" id="{E88E5A22-C823-46F2-9B34-D9465C9E8B1C}" parentId="{6528E27D-0860-4CF1-B353-623047295029}">
    <text>Pull in personas and reference them in the sheet</text>
  </threadedComment>
  <threadedComment ref="A42" dT="2026-03-30T17:25:12.29" personId="{0C495D3B-C74B-4C89-A6AF-7E4B378855CF}" id="{C3C767B6-81A7-4983-B8A0-31B3C4217E4F}" parentId="{6528E27D-0860-4CF1-B353-623047295029}">
    <text>Put in 2023 TAZ Data as a tab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3" dT="2026-04-07T01:05:03.11" personId="{0C495D3B-C74B-4C89-A6AF-7E4B378855CF}" id="{FCA2F682-E664-492C-8EE9-918E99F78245}">
    <text>Get constant from UEC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10ay.online.tableau.com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/>
    <pageSetUpPr fitToPage="1"/>
  </sheetPr>
  <dimension ref="A1:BO105"/>
  <sheetViews>
    <sheetView zoomScale="80" zoomScaleNormal="55" workbookViewId="0">
      <selection activeCell="Q7" sqref="Q7"/>
    </sheetView>
  </sheetViews>
  <sheetFormatPr defaultColWidth="9.140625" defaultRowHeight="12.75" x14ac:dyDescent="0.2"/>
  <cols>
    <col min="1" max="1" width="10.7109375" style="1" customWidth="1"/>
    <col min="2" max="2" width="17.42578125" style="1" customWidth="1"/>
    <col min="3" max="3" width="14.5703125" style="1" bestFit="1" customWidth="1"/>
    <col min="4" max="4" width="11.85546875" style="1" bestFit="1" customWidth="1"/>
    <col min="5" max="6" width="9.7109375" style="1" customWidth="1"/>
    <col min="7" max="7" width="9.85546875" style="1" customWidth="1"/>
    <col min="8" max="11" width="9.7109375" style="1" customWidth="1"/>
    <col min="12" max="12" width="12.7109375" style="1" customWidth="1"/>
    <col min="13" max="14" width="9.7109375" style="1" customWidth="1"/>
    <col min="15" max="15" width="6.85546875" style="1" customWidth="1"/>
    <col min="16" max="16" width="15" style="1" customWidth="1"/>
    <col min="17" max="25" width="9.7109375" style="1" customWidth="1"/>
    <col min="26" max="26" width="12.140625" style="1" customWidth="1"/>
    <col min="27" max="27" width="9.7109375" style="1" customWidth="1"/>
    <col min="28" max="28" width="4" style="1" customWidth="1"/>
    <col min="29" max="29" width="15" style="1" customWidth="1"/>
    <col min="30" max="38" width="9.140625" style="1"/>
    <col min="39" max="39" width="11.7109375" style="1" customWidth="1"/>
    <col min="40" max="40" width="3.28515625" style="1" customWidth="1"/>
    <col min="41" max="41" width="14.42578125" style="1" customWidth="1"/>
    <col min="42" max="51" width="9.140625" style="1"/>
    <col min="52" max="52" width="9.140625" style="1" customWidth="1"/>
    <col min="53" max="16384" width="9.140625" style="1"/>
  </cols>
  <sheetData>
    <row r="1" spans="1:67" x14ac:dyDescent="0.2">
      <c r="A1" s="2"/>
      <c r="Q1" s="216">
        <v>1</v>
      </c>
      <c r="R1" s="216">
        <v>2</v>
      </c>
      <c r="S1" s="216">
        <v>3</v>
      </c>
      <c r="T1" s="216">
        <v>4</v>
      </c>
      <c r="U1" s="216">
        <v>5</v>
      </c>
      <c r="V1" s="216">
        <v>6</v>
      </c>
      <c r="W1" s="216">
        <v>7</v>
      </c>
      <c r="X1" s="216">
        <v>8</v>
      </c>
      <c r="Y1" s="216">
        <v>9</v>
      </c>
    </row>
    <row r="2" spans="1:67" x14ac:dyDescent="0.2">
      <c r="A2" s="16" t="s">
        <v>499</v>
      </c>
      <c r="P2" s="16" t="s">
        <v>496</v>
      </c>
      <c r="AC2" s="95" t="s">
        <v>495</v>
      </c>
      <c r="AO2" s="95" t="s">
        <v>516</v>
      </c>
    </row>
    <row r="3" spans="1:67" x14ac:dyDescent="0.2">
      <c r="A3" s="81" t="s">
        <v>514</v>
      </c>
      <c r="P3" s="24" t="s">
        <v>55</v>
      </c>
    </row>
    <row r="5" spans="1:67" x14ac:dyDescent="0.2">
      <c r="C5" s="14" t="s">
        <v>11</v>
      </c>
      <c r="Q5" s="14" t="s">
        <v>11</v>
      </c>
      <c r="AD5" s="14" t="s">
        <v>11</v>
      </c>
      <c r="AP5" s="14" t="s">
        <v>11</v>
      </c>
    </row>
    <row r="6" spans="1:67" ht="25.5" x14ac:dyDescent="0.2">
      <c r="A6" s="3"/>
      <c r="B6" s="22" t="s">
        <v>12</v>
      </c>
      <c r="C6" s="3" t="s">
        <v>13</v>
      </c>
      <c r="D6" s="3" t="s">
        <v>14</v>
      </c>
      <c r="E6" s="3" t="s">
        <v>15</v>
      </c>
      <c r="F6" s="3" t="s">
        <v>16</v>
      </c>
      <c r="G6" s="3" t="s">
        <v>17</v>
      </c>
      <c r="H6" s="3" t="s">
        <v>18</v>
      </c>
      <c r="I6" s="3" t="s">
        <v>19</v>
      </c>
      <c r="J6" s="3" t="s">
        <v>20</v>
      </c>
      <c r="K6" s="3" t="s">
        <v>21</v>
      </c>
      <c r="L6" s="18" t="s">
        <v>22</v>
      </c>
      <c r="M6" s="22" t="s">
        <v>9</v>
      </c>
      <c r="N6" s="22"/>
      <c r="P6" s="22" t="s">
        <v>10</v>
      </c>
      <c r="Q6" s="4" t="s">
        <v>0</v>
      </c>
      <c r="R6" s="4" t="s">
        <v>1</v>
      </c>
      <c r="S6" s="4" t="s">
        <v>2</v>
      </c>
      <c r="T6" s="4" t="s">
        <v>3</v>
      </c>
      <c r="U6" s="4" t="s">
        <v>4</v>
      </c>
      <c r="V6" s="4" t="s">
        <v>5</v>
      </c>
      <c r="W6" s="4" t="s">
        <v>6</v>
      </c>
      <c r="X6" s="4" t="s">
        <v>7</v>
      </c>
      <c r="Y6" s="4" t="s">
        <v>8</v>
      </c>
      <c r="Z6" s="3" t="s">
        <v>9</v>
      </c>
      <c r="AA6" s="234" t="s">
        <v>106</v>
      </c>
      <c r="AB6" s="3"/>
      <c r="AC6" s="22" t="s">
        <v>10</v>
      </c>
      <c r="AD6" s="4" t="s">
        <v>0</v>
      </c>
      <c r="AE6" s="4" t="s">
        <v>1</v>
      </c>
      <c r="AF6" s="4" t="s">
        <v>2</v>
      </c>
      <c r="AG6" s="4" t="s">
        <v>3</v>
      </c>
      <c r="AH6" s="4" t="s">
        <v>4</v>
      </c>
      <c r="AI6" s="4" t="s">
        <v>5</v>
      </c>
      <c r="AJ6" s="4" t="s">
        <v>6</v>
      </c>
      <c r="AK6" s="4" t="s">
        <v>7</v>
      </c>
      <c r="AL6" s="4" t="s">
        <v>8</v>
      </c>
      <c r="AM6" s="3" t="s">
        <v>9</v>
      </c>
      <c r="AN6" s="3"/>
      <c r="AO6" s="22" t="s">
        <v>10</v>
      </c>
      <c r="AP6" s="4" t="s">
        <v>0</v>
      </c>
      <c r="AQ6" s="4" t="s">
        <v>1</v>
      </c>
      <c r="AR6" s="4" t="s">
        <v>2</v>
      </c>
      <c r="AS6" s="4" t="s">
        <v>3</v>
      </c>
      <c r="AT6" s="4" t="s">
        <v>4</v>
      </c>
      <c r="AU6" s="4" t="s">
        <v>5</v>
      </c>
      <c r="AV6" s="4" t="s">
        <v>6</v>
      </c>
      <c r="AW6" s="4" t="s">
        <v>7</v>
      </c>
      <c r="AX6" s="4" t="s">
        <v>8</v>
      </c>
      <c r="AY6" s="3" t="s">
        <v>9</v>
      </c>
    </row>
    <row r="7" spans="1:67" x14ac:dyDescent="0.2">
      <c r="B7" s="1" t="s">
        <v>23</v>
      </c>
      <c r="C7" s="82">
        <f>IFERROR(INDEX('PUMS 2023'!$C$35:$K$43, MATCH($B7, 'PUMS 2023'!$B$35:$B$43, 1), MATCH(C$6, 'PUMS 2023'!$C$34:$K$34, 1)),0)</f>
        <v>259646</v>
      </c>
      <c r="D7" s="6">
        <f>IFERROR(INDEX('PUMS 2023'!$C$35:$K$43, MATCH($B7, 'PUMS 2023'!$B$35:$B$43, 1), MATCH(D$6, 'PUMS 2023'!$C$34:$K$34, 1)),0)</f>
        <v>41499</v>
      </c>
      <c r="E7" s="6">
        <f>IFERROR(INDEX('PUMS 2023'!$C$35:$K$43, MATCH($B7, 'PUMS 2023'!$B$35:$B$43, 1), MATCH(E$6, 'PUMS 2023'!$C$34:$K$34, 1)),0)</f>
        <v>22512</v>
      </c>
      <c r="F7" s="6">
        <f>IFERROR(INDEX('PUMS 2023'!$C$35:$K$43, MATCH($B7, 'PUMS 2023'!$B$35:$B$43, 1), MATCH(F$6, 'PUMS 2023'!$C$34:$K$34, 1)),0)</f>
        <v>13848</v>
      </c>
      <c r="G7" s="6">
        <f>IFERROR(INDEX('PUMS 2023'!$C$35:$K$43, MATCH($B7, 'PUMS 2023'!$B$35:$B$43, 1), MATCH(G$6, 'PUMS 2023'!$C$34:$K$34, 1)),0)</f>
        <v>2115</v>
      </c>
      <c r="H7" s="6">
        <f>IFERROR(INDEX('PUMS 2023'!$C$35:$K$43, MATCH($B7, 'PUMS 2023'!$B$35:$B$43, 1), MATCH(H$6, 'PUMS 2023'!$C$34:$K$34, 1)),0)</f>
        <v>0</v>
      </c>
      <c r="I7" s="6">
        <f>IFERROR(INDEX('PUMS 2023'!$C$35:$K$43, MATCH($B7, 'PUMS 2023'!$B$35:$B$43, 1), MATCH(I$6, 'PUMS 2023'!$C$34:$K$34, 1)),0)</f>
        <v>60</v>
      </c>
      <c r="J7" s="6">
        <f>IFERROR(INDEX('PUMS 2023'!$C$35:$K$43, MATCH($B7, 'PUMS 2023'!$B$35:$B$43, 1), MATCH(J$6, 'PUMS 2023'!$C$34:$K$34, 1)),0)</f>
        <v>904</v>
      </c>
      <c r="K7" s="7">
        <f>IFERROR(INDEX('PUMS 2023'!$C$35:$K$43, MATCH($B7, 'PUMS 2023'!$B$35:$B$43, 1), MATCH(K$6, 'PUMS 2023'!$C$34:$K$34, 1)),0)</f>
        <v>4761</v>
      </c>
      <c r="L7" s="253">
        <f>VLOOKUP(B7,'PUMS 2023'!B$35:O$43,14)</f>
        <v>3848</v>
      </c>
      <c r="M7" s="15">
        <f>SUM(C7:K7)</f>
        <v>345345</v>
      </c>
      <c r="N7" s="256">
        <f>VLOOKUP(B7,'PUMS 2023'!B$35:L$43,11)-M7</f>
        <v>0</v>
      </c>
      <c r="O7" s="85">
        <v>1</v>
      </c>
      <c r="P7" s="1" t="s">
        <v>0</v>
      </c>
      <c r="Q7" s="108">
        <f>modeldata!B5</f>
        <v>1</v>
      </c>
      <c r="R7" s="109">
        <f>modeldata!C5</f>
        <v>1</v>
      </c>
      <c r="S7" s="113">
        <f>modeldata!D5</f>
        <v>1</v>
      </c>
      <c r="T7" s="6">
        <f>modeldata!E5</f>
        <v>1</v>
      </c>
      <c r="U7" s="6">
        <f>modeldata!F5</f>
        <v>1</v>
      </c>
      <c r="V7" s="6">
        <f>modeldata!G5</f>
        <v>1</v>
      </c>
      <c r="W7" s="6">
        <f>modeldata!H5</f>
        <v>1</v>
      </c>
      <c r="X7" s="6">
        <f>modeldata!I5</f>
        <v>1</v>
      </c>
      <c r="Y7" s="7">
        <f>modeldata!J5</f>
        <v>1</v>
      </c>
      <c r="Z7" s="15">
        <f>SUM(Q7:Y7)</f>
        <v>9</v>
      </c>
      <c r="AA7" s="15">
        <f>SUMIF('TAZ Data'!$D:$D,WorkPlaceLocationChoice!O7,'TAZ Data'!$H:$H)</f>
        <v>467869</v>
      </c>
      <c r="AC7" s="1" t="s">
        <v>0</v>
      </c>
      <c r="AD7" s="78">
        <f t="shared" ref="AD7:AD15" si="0">Q7-C7</f>
        <v>-259645</v>
      </c>
      <c r="AE7" s="6">
        <f t="shared" ref="AE7:AE15" si="1">R7-D7</f>
        <v>-41498</v>
      </c>
      <c r="AF7" s="6">
        <f t="shared" ref="AF7:AF15" si="2">S7-E7</f>
        <v>-22511</v>
      </c>
      <c r="AG7" s="6">
        <f t="shared" ref="AG7:AG15" si="3">T7-F7</f>
        <v>-13847</v>
      </c>
      <c r="AH7" s="6">
        <f t="shared" ref="AH7:AH15" si="4">U7-G7</f>
        <v>-2114</v>
      </c>
      <c r="AI7" s="6">
        <f t="shared" ref="AI7:AI15" si="5">V7-H7</f>
        <v>1</v>
      </c>
      <c r="AJ7" s="6">
        <f t="shared" ref="AJ7:AJ15" si="6">W7-I7</f>
        <v>-59</v>
      </c>
      <c r="AK7" s="6">
        <f t="shared" ref="AK7:AK15" si="7">X7-J7</f>
        <v>-903</v>
      </c>
      <c r="AL7" s="7">
        <f t="shared" ref="AL7:AL15" si="8">Y7-K7</f>
        <v>-4760</v>
      </c>
      <c r="AM7" s="15">
        <f>SUM(AD7:AL7)</f>
        <v>-345336</v>
      </c>
      <c r="AO7" s="1" t="s">
        <v>0</v>
      </c>
      <c r="AP7" s="68">
        <f t="shared" ref="AP7:AP15" si="9">AD7/C7</f>
        <v>-0.99999614860232777</v>
      </c>
      <c r="AQ7" s="69">
        <f t="shared" ref="AQ7:AQ15" si="10">AE7/D7</f>
        <v>-0.99997590303380801</v>
      </c>
      <c r="AR7" s="69">
        <f t="shared" ref="AR7:AR15" si="11">AF7/E7</f>
        <v>-0.99995557924662404</v>
      </c>
      <c r="AS7" s="69">
        <f t="shared" ref="AS7:AS15" si="12">AG7/F7</f>
        <v>-0.99992778740612365</v>
      </c>
      <c r="AT7" s="69">
        <f t="shared" ref="AT7:AT15" si="13">AH7/G7</f>
        <v>-0.99952718676122931</v>
      </c>
      <c r="AU7" s="69" t="e">
        <f t="shared" ref="AU7:AU15" si="14">AI7/H7</f>
        <v>#DIV/0!</v>
      </c>
      <c r="AV7" s="69">
        <f t="shared" ref="AV7:AV15" si="15">AJ7/I7</f>
        <v>-0.98333333333333328</v>
      </c>
      <c r="AW7" s="69">
        <f t="shared" ref="AW7:AW15" si="16">AK7/J7</f>
        <v>-0.99889380530973448</v>
      </c>
      <c r="AX7" s="70">
        <f t="shared" ref="AX7:AX15" si="17">AL7/K7</f>
        <v>-0.99978996009241761</v>
      </c>
      <c r="AY7" s="77">
        <f>AM7/M7</f>
        <v>-0.99997393910437393</v>
      </c>
    </row>
    <row r="8" spans="1:67" x14ac:dyDescent="0.2">
      <c r="B8" s="1" t="s">
        <v>24</v>
      </c>
      <c r="C8" s="9">
        <f>IFERROR(INDEX('PUMS 2023'!$C$35:$K$43, MATCH($B8, 'PUMS 2023'!$B$35:$B$43, 1), MATCH(C$6, 'PUMS 2023'!$C$34:$K$34, 1)),0)</f>
        <v>59990</v>
      </c>
      <c r="D8" s="31">
        <f>IFERROR(INDEX('PUMS 2023'!$C$35:$K$43, MATCH($B8, 'PUMS 2023'!$B$35:$B$43, 1), MATCH(D$6, 'PUMS 2023'!$C$34:$K$34, 1)),0)</f>
        <v>175395</v>
      </c>
      <c r="E8" s="8">
        <f>IFERROR(INDEX('PUMS 2023'!$C$35:$K$43, MATCH($B8, 'PUMS 2023'!$B$35:$B$43, 1), MATCH(E$6, 'PUMS 2023'!$C$34:$K$34, 1)),0)</f>
        <v>51936</v>
      </c>
      <c r="F8" s="8">
        <f>IFERROR(INDEX('PUMS 2023'!$C$35:$K$43, MATCH($B8, 'PUMS 2023'!$B$35:$B$43, 1), MATCH(F$6, 'PUMS 2023'!$C$34:$K$34, 1)),0)</f>
        <v>12811</v>
      </c>
      <c r="G8" s="8">
        <f>IFERROR(INDEX('PUMS 2023'!$C$35:$K$43, MATCH($B8, 'PUMS 2023'!$B$35:$B$43, 1), MATCH(G$6, 'PUMS 2023'!$C$34:$K$34, 1)),0)</f>
        <v>1410</v>
      </c>
      <c r="H8" s="8">
        <f>IFERROR(INDEX('PUMS 2023'!$C$35:$K$43, MATCH($B8, 'PUMS 2023'!$B$35:$B$43, 1), MATCH(H$6, 'PUMS 2023'!$C$34:$K$34, 1)),0)</f>
        <v>121</v>
      </c>
      <c r="I8" s="8">
        <f>IFERROR(INDEX('PUMS 2023'!$C$35:$K$43, MATCH($B8, 'PUMS 2023'!$B$35:$B$43, 1), MATCH(I$6, 'PUMS 2023'!$C$34:$K$34, 1)),0)</f>
        <v>0</v>
      </c>
      <c r="J8" s="8">
        <f>IFERROR(INDEX('PUMS 2023'!$C$35:$K$43, MATCH($B8, 'PUMS 2023'!$B$35:$B$43, 1), MATCH(J$6, 'PUMS 2023'!$C$34:$K$34, 1)),0)</f>
        <v>0</v>
      </c>
      <c r="K8" s="10">
        <f>IFERROR(INDEX('PUMS 2023'!$C$35:$K$43, MATCH($B8, 'PUMS 2023'!$B$35:$B$43, 1), MATCH(K$6, 'PUMS 2023'!$C$34:$K$34, 1)),0)</f>
        <v>173</v>
      </c>
      <c r="L8" s="254">
        <f>VLOOKUP(B8,'PUMS 2023'!B$35:O$43,14)</f>
        <v>2004</v>
      </c>
      <c r="M8" s="15">
        <f t="shared" ref="M8:M15" si="18">SUM(C8:K8)</f>
        <v>301836</v>
      </c>
      <c r="N8" s="256">
        <f>VLOOKUP(B8,'PUMS 2023'!B$35:L$43,11)-M8</f>
        <v>0</v>
      </c>
      <c r="O8" s="85">
        <v>2</v>
      </c>
      <c r="P8" s="1" t="s">
        <v>1</v>
      </c>
      <c r="Q8" s="9">
        <f>modeldata!B6</f>
        <v>1</v>
      </c>
      <c r="R8" s="31">
        <f>modeldata!C6</f>
        <v>1</v>
      </c>
      <c r="S8" s="121">
        <f>modeldata!D6</f>
        <v>1</v>
      </c>
      <c r="T8" s="114">
        <f>modeldata!E6</f>
        <v>1</v>
      </c>
      <c r="U8" s="8">
        <f>modeldata!F6</f>
        <v>1</v>
      </c>
      <c r="V8" s="8">
        <f>modeldata!G6</f>
        <v>1</v>
      </c>
      <c r="W8" s="8">
        <f>modeldata!H6</f>
        <v>1</v>
      </c>
      <c r="X8" s="8">
        <f>modeldata!I6</f>
        <v>1</v>
      </c>
      <c r="Y8" s="10">
        <f>modeldata!J6</f>
        <v>1</v>
      </c>
      <c r="Z8" s="15">
        <f t="shared" ref="Z8:Z15" si="19">SUM(Q8:Y8)</f>
        <v>9</v>
      </c>
      <c r="AA8" s="15">
        <f>SUMIF('TAZ Data'!$D:$D,WorkPlaceLocationChoice!O8,'TAZ Data'!$H:$H)</f>
        <v>380021</v>
      </c>
      <c r="AC8" s="1" t="s">
        <v>1</v>
      </c>
      <c r="AD8" s="9">
        <f t="shared" si="0"/>
        <v>-59989</v>
      </c>
      <c r="AE8" s="78">
        <f t="shared" si="1"/>
        <v>-175394</v>
      </c>
      <c r="AF8" s="8">
        <f t="shared" si="2"/>
        <v>-51935</v>
      </c>
      <c r="AG8" s="8">
        <f t="shared" si="3"/>
        <v>-12810</v>
      </c>
      <c r="AH8" s="8">
        <f t="shared" si="4"/>
        <v>-1409</v>
      </c>
      <c r="AI8" s="8">
        <f t="shared" si="5"/>
        <v>-120</v>
      </c>
      <c r="AJ8" s="8">
        <f t="shared" si="6"/>
        <v>1</v>
      </c>
      <c r="AK8" s="8">
        <f t="shared" si="7"/>
        <v>1</v>
      </c>
      <c r="AL8" s="10">
        <f t="shared" si="8"/>
        <v>-172</v>
      </c>
      <c r="AM8" s="15">
        <f t="shared" ref="AM8:AM15" si="20">SUM(AD8:AL8)</f>
        <v>-301827</v>
      </c>
      <c r="AO8" s="1" t="s">
        <v>1</v>
      </c>
      <c r="AP8" s="71">
        <f t="shared" si="9"/>
        <v>-0.99998333055509248</v>
      </c>
      <c r="AQ8" s="72">
        <f t="shared" si="10"/>
        <v>-0.99999429858319788</v>
      </c>
      <c r="AR8" s="72">
        <f t="shared" si="11"/>
        <v>-0.99998074553296368</v>
      </c>
      <c r="AS8" s="72">
        <f t="shared" si="12"/>
        <v>-0.99992194208102414</v>
      </c>
      <c r="AT8" s="72">
        <f t="shared" si="13"/>
        <v>-0.99929078014184403</v>
      </c>
      <c r="AU8" s="72">
        <f t="shared" si="14"/>
        <v>-0.99173553719008267</v>
      </c>
      <c r="AV8" s="72" t="e">
        <f t="shared" si="15"/>
        <v>#DIV/0!</v>
      </c>
      <c r="AW8" s="72" t="e">
        <f t="shared" si="16"/>
        <v>#DIV/0!</v>
      </c>
      <c r="AX8" s="73">
        <f t="shared" si="17"/>
        <v>-0.9942196531791907</v>
      </c>
      <c r="AY8" s="77">
        <f t="shared" ref="AY8:AY16" si="21">AM8/M8</f>
        <v>-0.9999701824832028</v>
      </c>
    </row>
    <row r="9" spans="1:67" x14ac:dyDescent="0.2">
      <c r="B9" s="1" t="s">
        <v>25</v>
      </c>
      <c r="C9" s="9">
        <f>IFERROR(INDEX('PUMS 2023'!$C$35:$K$43, MATCH($B9, 'PUMS 2023'!$B$35:$B$43, 1), MATCH(C$6, 'PUMS 2023'!$C$34:$K$34, 1)),0)</f>
        <v>18442</v>
      </c>
      <c r="D9" s="8">
        <f>IFERROR(INDEX('PUMS 2023'!$C$35:$K$43, MATCH($B9, 'PUMS 2023'!$B$35:$B$43, 1), MATCH(D$6, 'PUMS 2023'!$C$34:$K$34, 1)),0)</f>
        <v>48994</v>
      </c>
      <c r="E9" s="31">
        <f>IFERROR(INDEX('PUMS 2023'!$C$35:$K$43, MATCH($B9, 'PUMS 2023'!$B$35:$B$43, 1), MATCH(E$6, 'PUMS 2023'!$C$34:$K$34, 1)),0)</f>
        <v>697234</v>
      </c>
      <c r="F9" s="8">
        <f>IFERROR(INDEX('PUMS 2023'!$C$35:$K$43, MATCH($B9, 'PUMS 2023'!$B$35:$B$43, 1), MATCH(F$6, 'PUMS 2023'!$C$34:$K$34, 1)),0)</f>
        <v>42925</v>
      </c>
      <c r="G9" s="8">
        <f>IFERROR(INDEX('PUMS 2023'!$C$35:$K$43, MATCH($B9, 'PUMS 2023'!$B$35:$B$43, 1), MATCH(G$6, 'PUMS 2023'!$C$34:$K$34, 1)),0)</f>
        <v>1581</v>
      </c>
      <c r="H9" s="8">
        <f>IFERROR(INDEX('PUMS 2023'!$C$35:$K$43, MATCH($B9, 'PUMS 2023'!$B$35:$B$43, 1), MATCH(H$6, 'PUMS 2023'!$C$34:$K$34, 1)),0)</f>
        <v>193</v>
      </c>
      <c r="I9" s="8">
        <f>IFERROR(INDEX('PUMS 2023'!$C$35:$K$43, MATCH($B9, 'PUMS 2023'!$B$35:$B$43, 1), MATCH(I$6, 'PUMS 2023'!$C$34:$K$34, 1)),0)</f>
        <v>132</v>
      </c>
      <c r="J9" s="8">
        <f>IFERROR(INDEX('PUMS 2023'!$C$35:$K$43, MATCH($B9, 'PUMS 2023'!$B$35:$B$43, 1), MATCH(J$6, 'PUMS 2023'!$C$34:$K$34, 1)),0)</f>
        <v>44</v>
      </c>
      <c r="K9" s="10">
        <f>IFERROR(INDEX('PUMS 2023'!$C$35:$K$43, MATCH($B9, 'PUMS 2023'!$B$35:$B$43, 1), MATCH(K$6, 'PUMS 2023'!$C$34:$K$34, 1)),0)</f>
        <v>386</v>
      </c>
      <c r="L9" s="254">
        <f>VLOOKUP(B9,'PUMS 2023'!B$35:O$43,14)</f>
        <v>11404</v>
      </c>
      <c r="M9" s="15">
        <f t="shared" si="18"/>
        <v>809931</v>
      </c>
      <c r="N9" s="256">
        <f>VLOOKUP(B9,'PUMS 2023'!B$35:L$43,11)-M9</f>
        <v>0</v>
      </c>
      <c r="O9" s="85">
        <v>3</v>
      </c>
      <c r="P9" s="1" t="s">
        <v>2</v>
      </c>
      <c r="Q9" s="124">
        <f>modeldata!B7</f>
        <v>1</v>
      </c>
      <c r="R9" s="8">
        <f>modeldata!C7</f>
        <v>1</v>
      </c>
      <c r="S9" s="125">
        <f>modeldata!D7</f>
        <v>1</v>
      </c>
      <c r="T9" s="8">
        <f>modeldata!E7</f>
        <v>1</v>
      </c>
      <c r="U9" s="8">
        <f>modeldata!F7</f>
        <v>1</v>
      </c>
      <c r="V9" s="8">
        <f>modeldata!G7</f>
        <v>1</v>
      </c>
      <c r="W9" s="8">
        <f>modeldata!H7</f>
        <v>1</v>
      </c>
      <c r="X9" s="8">
        <f>modeldata!I7</f>
        <v>1</v>
      </c>
      <c r="Y9" s="10">
        <f>modeldata!J7</f>
        <v>1</v>
      </c>
      <c r="Z9" s="15">
        <f t="shared" si="19"/>
        <v>9</v>
      </c>
      <c r="AA9" s="15">
        <f>SUMIF('TAZ Data'!$D:$D,WorkPlaceLocationChoice!O9,'TAZ Data'!$H:$H)</f>
        <v>973181</v>
      </c>
      <c r="AC9" s="1" t="s">
        <v>2</v>
      </c>
      <c r="AD9" s="9">
        <f t="shared" si="0"/>
        <v>-18441</v>
      </c>
      <c r="AE9" s="8">
        <f t="shared" si="1"/>
        <v>-48993</v>
      </c>
      <c r="AF9" s="78">
        <f t="shared" si="2"/>
        <v>-697233</v>
      </c>
      <c r="AG9" s="8">
        <f t="shared" si="3"/>
        <v>-42924</v>
      </c>
      <c r="AH9" s="8">
        <f t="shared" si="4"/>
        <v>-1580</v>
      </c>
      <c r="AI9" s="8">
        <f t="shared" si="5"/>
        <v>-192</v>
      </c>
      <c r="AJ9" s="8">
        <f t="shared" si="6"/>
        <v>-131</v>
      </c>
      <c r="AK9" s="8">
        <f t="shared" si="7"/>
        <v>-43</v>
      </c>
      <c r="AL9" s="10">
        <f t="shared" si="8"/>
        <v>-385</v>
      </c>
      <c r="AM9" s="15">
        <f t="shared" si="20"/>
        <v>-809922</v>
      </c>
      <c r="AO9" s="1" t="s">
        <v>2</v>
      </c>
      <c r="AP9" s="71">
        <f t="shared" si="9"/>
        <v>-0.9999457759462097</v>
      </c>
      <c r="AQ9" s="72">
        <f t="shared" si="10"/>
        <v>-0.99997958933746989</v>
      </c>
      <c r="AR9" s="72">
        <f t="shared" si="11"/>
        <v>-0.99999856576127955</v>
      </c>
      <c r="AS9" s="72">
        <f t="shared" si="12"/>
        <v>-0.99997670355270818</v>
      </c>
      <c r="AT9" s="72">
        <f t="shared" si="13"/>
        <v>-0.99936748893105631</v>
      </c>
      <c r="AU9" s="72">
        <f t="shared" si="14"/>
        <v>-0.99481865284974091</v>
      </c>
      <c r="AV9" s="72">
        <f t="shared" si="15"/>
        <v>-0.99242424242424243</v>
      </c>
      <c r="AW9" s="72">
        <f t="shared" si="16"/>
        <v>-0.97727272727272729</v>
      </c>
      <c r="AX9" s="73">
        <f t="shared" si="17"/>
        <v>-0.99740932642487046</v>
      </c>
      <c r="AY9" s="77">
        <f t="shared" si="21"/>
        <v>-0.99998888794230623</v>
      </c>
    </row>
    <row r="10" spans="1:67" x14ac:dyDescent="0.2">
      <c r="B10" s="1" t="s">
        <v>26</v>
      </c>
      <c r="C10" s="9">
        <f>IFERROR(INDEX('PUMS 2023'!$C$35:$K$43, MATCH($B10, 'PUMS 2023'!$B$35:$B$43, 1), MATCH(C$6, 'PUMS 2023'!$C$34:$K$34, 1)),0)</f>
        <v>82221</v>
      </c>
      <c r="D10" s="8">
        <f>IFERROR(INDEX('PUMS 2023'!$C$35:$K$43, MATCH($B10, 'PUMS 2023'!$B$35:$B$43, 1), MATCH(D$6, 'PUMS 2023'!$C$34:$K$34, 1)),0)</f>
        <v>43309</v>
      </c>
      <c r="E10" s="8">
        <f>IFERROR(INDEX('PUMS 2023'!$C$35:$K$43, MATCH($B10, 'PUMS 2023'!$B$35:$B$43, 1), MATCH(E$6, 'PUMS 2023'!$C$34:$K$34, 1)),0)</f>
        <v>80111</v>
      </c>
      <c r="F10" s="31">
        <f>IFERROR(INDEX('PUMS 2023'!$C$35:$K$43, MATCH($B10, 'PUMS 2023'!$B$35:$B$43, 1), MATCH(F$6, 'PUMS 2023'!$C$34:$K$34, 1)),0)</f>
        <v>406669</v>
      </c>
      <c r="G10" s="8">
        <f>IFERROR(INDEX('PUMS 2023'!$C$35:$K$43, MATCH($B10, 'PUMS 2023'!$B$35:$B$43, 1), MATCH(G$6, 'PUMS 2023'!$C$34:$K$34, 1)),0)</f>
        <v>32252</v>
      </c>
      <c r="H10" s="8">
        <f>IFERROR(INDEX('PUMS 2023'!$C$35:$K$43, MATCH($B10, 'PUMS 2023'!$B$35:$B$43, 1), MATCH(H$6, 'PUMS 2023'!$C$34:$K$34, 1)),0)</f>
        <v>897</v>
      </c>
      <c r="I10" s="8">
        <f>IFERROR(INDEX('PUMS 2023'!$C$35:$K$43, MATCH($B10, 'PUMS 2023'!$B$35:$B$43, 1), MATCH(I$6, 'PUMS 2023'!$C$34:$K$34, 1)),0)</f>
        <v>392</v>
      </c>
      <c r="J10" s="8">
        <f>IFERROR(INDEX('PUMS 2023'!$C$35:$K$43, MATCH($B10, 'PUMS 2023'!$B$35:$B$43, 1), MATCH(J$6, 'PUMS 2023'!$C$34:$K$34, 1)),0)</f>
        <v>1292</v>
      </c>
      <c r="K10" s="10">
        <f>IFERROR(INDEX('PUMS 2023'!$C$35:$K$43, MATCH($B10, 'PUMS 2023'!$B$35:$B$43, 1), MATCH(K$6, 'PUMS 2023'!$C$34:$K$34, 1)),0)</f>
        <v>2466</v>
      </c>
      <c r="L10" s="254">
        <f>VLOOKUP(B10,'PUMS 2023'!B$35:O$43,14)</f>
        <v>9390</v>
      </c>
      <c r="M10" s="15">
        <f t="shared" si="18"/>
        <v>649609</v>
      </c>
      <c r="N10" s="256">
        <f>VLOOKUP(B10,'PUMS 2023'!B$35:L$43,11)-M10</f>
        <v>0</v>
      </c>
      <c r="O10" s="85">
        <v>4</v>
      </c>
      <c r="P10" s="1" t="s">
        <v>3</v>
      </c>
      <c r="Q10" s="9">
        <f>modeldata!B8</f>
        <v>1</v>
      </c>
      <c r="R10" s="8">
        <f>modeldata!C8</f>
        <v>1</v>
      </c>
      <c r="S10" s="168">
        <f>modeldata!D8</f>
        <v>1</v>
      </c>
      <c r="T10" s="31">
        <f>modeldata!E8</f>
        <v>1</v>
      </c>
      <c r="U10" s="8">
        <f>modeldata!F8</f>
        <v>1</v>
      </c>
      <c r="V10" s="8">
        <f>modeldata!G8</f>
        <v>1</v>
      </c>
      <c r="W10" s="8">
        <f>modeldata!H8</f>
        <v>1</v>
      </c>
      <c r="X10" s="8">
        <f>modeldata!I8</f>
        <v>1</v>
      </c>
      <c r="Y10" s="10">
        <f>modeldata!J8</f>
        <v>1</v>
      </c>
      <c r="Z10" s="15">
        <f t="shared" si="19"/>
        <v>9</v>
      </c>
      <c r="AA10" s="15">
        <f>SUMIF('TAZ Data'!$D:$D,WorkPlaceLocationChoice!O10,'TAZ Data'!$H:$H)</f>
        <v>823497</v>
      </c>
      <c r="AC10" s="1" t="s">
        <v>3</v>
      </c>
      <c r="AD10" s="9">
        <f t="shared" si="0"/>
        <v>-82220</v>
      </c>
      <c r="AE10" s="8">
        <f t="shared" si="1"/>
        <v>-43308</v>
      </c>
      <c r="AF10" s="8">
        <f t="shared" si="2"/>
        <v>-80110</v>
      </c>
      <c r="AG10" s="78">
        <f t="shared" si="3"/>
        <v>-406668</v>
      </c>
      <c r="AH10" s="8">
        <f t="shared" si="4"/>
        <v>-32251</v>
      </c>
      <c r="AI10" s="8">
        <f t="shared" si="5"/>
        <v>-896</v>
      </c>
      <c r="AJ10" s="8">
        <f t="shared" si="6"/>
        <v>-391</v>
      </c>
      <c r="AK10" s="8">
        <f t="shared" si="7"/>
        <v>-1291</v>
      </c>
      <c r="AL10" s="10">
        <f t="shared" si="8"/>
        <v>-2465</v>
      </c>
      <c r="AM10" s="15">
        <f t="shared" si="20"/>
        <v>-649600</v>
      </c>
      <c r="AO10" s="1" t="s">
        <v>3</v>
      </c>
      <c r="AP10" s="71">
        <f t="shared" si="9"/>
        <v>-0.99998783765704624</v>
      </c>
      <c r="AQ10" s="72">
        <f t="shared" si="10"/>
        <v>-0.99997691011106238</v>
      </c>
      <c r="AR10" s="72">
        <f t="shared" si="11"/>
        <v>-0.99998751731971891</v>
      </c>
      <c r="AS10" s="72">
        <f t="shared" si="12"/>
        <v>-0.99999754099771554</v>
      </c>
      <c r="AT10" s="72">
        <f t="shared" si="13"/>
        <v>-0.99996899417090412</v>
      </c>
      <c r="AU10" s="72">
        <f t="shared" si="14"/>
        <v>-0.99888517279821631</v>
      </c>
      <c r="AV10" s="72">
        <f t="shared" si="15"/>
        <v>-0.99744897959183676</v>
      </c>
      <c r="AW10" s="72">
        <f t="shared" si="16"/>
        <v>-0.99922600619195046</v>
      </c>
      <c r="AX10" s="73">
        <f t="shared" si="17"/>
        <v>-0.99959448499594483</v>
      </c>
      <c r="AY10" s="77">
        <f t="shared" si="21"/>
        <v>-0.99998614551214648</v>
      </c>
    </row>
    <row r="11" spans="1:67" x14ac:dyDescent="0.2">
      <c r="B11" s="1" t="s">
        <v>27</v>
      </c>
      <c r="C11" s="9">
        <f>IFERROR(INDEX('PUMS 2023'!$C$35:$K$43, MATCH($B11, 'PUMS 2023'!$B$35:$B$43, 1), MATCH(C$6, 'PUMS 2023'!$C$34:$K$34, 1)),0)</f>
        <v>51969</v>
      </c>
      <c r="D11" s="8">
        <f>IFERROR(INDEX('PUMS 2023'!$C$35:$K$43, MATCH($B11, 'PUMS 2023'!$B$35:$B$43, 1), MATCH(D$6, 'PUMS 2023'!$C$34:$K$34, 1)),0)</f>
        <v>14566</v>
      </c>
      <c r="E11" s="8">
        <f>IFERROR(INDEX('PUMS 2023'!$C$35:$K$43, MATCH($B11, 'PUMS 2023'!$B$35:$B$43, 1), MATCH(E$6, 'PUMS 2023'!$C$34:$K$34, 1)),0)</f>
        <v>20000</v>
      </c>
      <c r="F11" s="8">
        <f>IFERROR(INDEX('PUMS 2023'!$C$35:$K$43, MATCH($B11, 'PUMS 2023'!$B$35:$B$43, 1), MATCH(F$6, 'PUMS 2023'!$C$34:$K$34, 1)),0)</f>
        <v>92863</v>
      </c>
      <c r="G11" s="31">
        <f>IFERROR(INDEX('PUMS 2023'!$C$35:$K$43, MATCH($B11, 'PUMS 2023'!$B$35:$B$43, 1), MATCH(G$6, 'PUMS 2023'!$C$34:$K$34, 1)),0)</f>
        <v>250323</v>
      </c>
      <c r="H11" s="8">
        <f>IFERROR(INDEX('PUMS 2023'!$C$35:$K$43, MATCH($B11, 'PUMS 2023'!$B$35:$B$43, 1), MATCH(H$6, 'PUMS 2023'!$C$34:$K$34, 1)),0)</f>
        <v>9318</v>
      </c>
      <c r="I11" s="8">
        <f>IFERROR(INDEX('PUMS 2023'!$C$35:$K$43, MATCH($B11, 'PUMS 2023'!$B$35:$B$43, 1), MATCH(I$6, 'PUMS 2023'!$C$34:$K$34, 1)),0)</f>
        <v>1631</v>
      </c>
      <c r="J11" s="8">
        <f>IFERROR(INDEX('PUMS 2023'!$C$35:$K$43, MATCH($B11, 'PUMS 2023'!$B$35:$B$43, 1), MATCH(J$6, 'PUMS 2023'!$C$34:$K$34, 1)),0)</f>
        <v>1909</v>
      </c>
      <c r="K11" s="10">
        <f>IFERROR(INDEX('PUMS 2023'!$C$35:$K$43, MATCH($B11, 'PUMS 2023'!$B$35:$B$43, 1), MATCH(K$6, 'PUMS 2023'!$C$34:$K$34, 1)),0)</f>
        <v>7831</v>
      </c>
      <c r="L11" s="254">
        <f>VLOOKUP(B11,'PUMS 2023'!B$35:O$43,14)</f>
        <v>9108</v>
      </c>
      <c r="M11" s="15">
        <f t="shared" si="18"/>
        <v>450410</v>
      </c>
      <c r="N11" s="256">
        <f>VLOOKUP(B11,'PUMS 2023'!B$35:L$43,11)-M11</f>
        <v>0</v>
      </c>
      <c r="O11" s="85">
        <v>5</v>
      </c>
      <c r="P11" s="1" t="s">
        <v>4</v>
      </c>
      <c r="Q11" s="9">
        <f>modeldata!B9</f>
        <v>1</v>
      </c>
      <c r="R11" s="171">
        <f>modeldata!C9</f>
        <v>1</v>
      </c>
      <c r="S11" s="172">
        <f>modeldata!D9</f>
        <v>1</v>
      </c>
      <c r="T11" s="8">
        <f>modeldata!E9</f>
        <v>1</v>
      </c>
      <c r="U11" s="31">
        <f>modeldata!F9</f>
        <v>1</v>
      </c>
      <c r="V11" s="8">
        <f>modeldata!G9</f>
        <v>1</v>
      </c>
      <c r="W11" s="8">
        <f>modeldata!H9</f>
        <v>1</v>
      </c>
      <c r="X11" s="8">
        <f>modeldata!I9</f>
        <v>1</v>
      </c>
      <c r="Y11" s="10">
        <f>modeldata!J9</f>
        <v>1</v>
      </c>
      <c r="Z11" s="15">
        <f t="shared" si="19"/>
        <v>9</v>
      </c>
      <c r="AA11" s="15">
        <f>SUMIF('TAZ Data'!$D:$D,WorkPlaceLocationChoice!O11,'TAZ Data'!$H:$H)</f>
        <v>541400</v>
      </c>
      <c r="AC11" s="1" t="s">
        <v>4</v>
      </c>
      <c r="AD11" s="9">
        <f t="shared" si="0"/>
        <v>-51968</v>
      </c>
      <c r="AE11" s="8">
        <f t="shared" si="1"/>
        <v>-14565</v>
      </c>
      <c r="AF11" s="8">
        <f t="shared" si="2"/>
        <v>-19999</v>
      </c>
      <c r="AG11" s="8">
        <f t="shared" si="3"/>
        <v>-92862</v>
      </c>
      <c r="AH11" s="78">
        <f t="shared" si="4"/>
        <v>-250322</v>
      </c>
      <c r="AI11" s="8">
        <f t="shared" si="5"/>
        <v>-9317</v>
      </c>
      <c r="AJ11" s="8">
        <f t="shared" si="6"/>
        <v>-1630</v>
      </c>
      <c r="AK11" s="8">
        <f t="shared" si="7"/>
        <v>-1908</v>
      </c>
      <c r="AL11" s="10">
        <f t="shared" si="8"/>
        <v>-7830</v>
      </c>
      <c r="AM11" s="15">
        <f t="shared" si="20"/>
        <v>-450401</v>
      </c>
      <c r="AO11" s="1" t="s">
        <v>4</v>
      </c>
      <c r="AP11" s="71">
        <f t="shared" si="9"/>
        <v>-0.99998075775943351</v>
      </c>
      <c r="AQ11" s="72">
        <f t="shared" si="10"/>
        <v>-0.99993134697240149</v>
      </c>
      <c r="AR11" s="72">
        <f t="shared" si="11"/>
        <v>-0.99995000000000001</v>
      </c>
      <c r="AS11" s="72">
        <f t="shared" si="12"/>
        <v>-0.99998923144847784</v>
      </c>
      <c r="AT11" s="72">
        <f t="shared" si="13"/>
        <v>-0.99999600516133158</v>
      </c>
      <c r="AU11" s="72">
        <f t="shared" si="14"/>
        <v>-0.9998926808327967</v>
      </c>
      <c r="AV11" s="72">
        <f t="shared" si="15"/>
        <v>-0.99938687921520541</v>
      </c>
      <c r="AW11" s="72">
        <f t="shared" si="16"/>
        <v>-0.99947616553169194</v>
      </c>
      <c r="AX11" s="73">
        <f t="shared" si="17"/>
        <v>-0.99987230238794533</v>
      </c>
      <c r="AY11" s="77">
        <f t="shared" si="21"/>
        <v>-0.99998001820563487</v>
      </c>
    </row>
    <row r="12" spans="1:67" x14ac:dyDescent="0.2">
      <c r="B12" s="1" t="s">
        <v>28</v>
      </c>
      <c r="C12" s="9">
        <f>IFERROR(INDEX('PUMS 2023'!$C$35:$K$43, MATCH($B12, 'PUMS 2023'!$B$35:$B$43, 1), MATCH(C$6, 'PUMS 2023'!$C$34:$K$34, 1)),0)</f>
        <v>7202</v>
      </c>
      <c r="D12" s="8">
        <f>IFERROR(INDEX('PUMS 2023'!$C$35:$K$43, MATCH($B12, 'PUMS 2023'!$B$35:$B$43, 1), MATCH(D$6, 'PUMS 2023'!$C$34:$K$34, 1)),0)</f>
        <v>3236</v>
      </c>
      <c r="E12" s="8">
        <f>IFERROR(INDEX('PUMS 2023'!$C$35:$K$43, MATCH($B12, 'PUMS 2023'!$B$35:$B$43, 1), MATCH(E$6, 'PUMS 2023'!$C$34:$K$34, 1)),0)</f>
        <v>2961</v>
      </c>
      <c r="F12" s="8">
        <f>IFERROR(INDEX('PUMS 2023'!$C$35:$K$43, MATCH($B12, 'PUMS 2023'!$B$35:$B$43, 1), MATCH(F$6, 'PUMS 2023'!$C$34:$K$34, 1)),0)</f>
        <v>12035</v>
      </c>
      <c r="G12" s="8">
        <f>IFERROR(INDEX('PUMS 2023'!$C$35:$K$43, MATCH($B12, 'PUMS 2023'!$B$35:$B$43, 1), MATCH(G$6, 'PUMS 2023'!$C$34:$K$34, 1)),0)</f>
        <v>22109</v>
      </c>
      <c r="H12" s="31">
        <f>IFERROR(INDEX('PUMS 2023'!$C$35:$K$43, MATCH($B12, 'PUMS 2023'!$B$35:$B$43, 1), MATCH(H$6, 'PUMS 2023'!$C$34:$K$34, 1)),0)</f>
        <v>105868</v>
      </c>
      <c r="I12" s="8">
        <f>IFERROR(INDEX('PUMS 2023'!$C$35:$K$43, MATCH($B12, 'PUMS 2023'!$B$35:$B$43, 1), MATCH(I$6, 'PUMS 2023'!$C$34:$K$34, 1)),0)</f>
        <v>16717</v>
      </c>
      <c r="J12" s="8">
        <f>IFERROR(INDEX('PUMS 2023'!$C$35:$K$43, MATCH($B12, 'PUMS 2023'!$B$35:$B$43, 1), MATCH(J$6, 'PUMS 2023'!$C$34:$K$34, 1)),0)</f>
        <v>2022</v>
      </c>
      <c r="K12" s="10">
        <f>IFERROR(INDEX('PUMS 2023'!$C$35:$K$43, MATCH($B12, 'PUMS 2023'!$B$35:$B$43, 1), MATCH(K$6, 'PUMS 2023'!$C$34:$K$34, 1)),0)</f>
        <v>3797</v>
      </c>
      <c r="L12" s="254">
        <f>VLOOKUP(B12,'PUMS 2023'!B$35:O$43,14)</f>
        <v>10340</v>
      </c>
      <c r="M12" s="15">
        <f t="shared" si="18"/>
        <v>175947</v>
      </c>
      <c r="N12" s="256">
        <f>VLOOKUP(B12,'PUMS 2023'!B$35:L$43,11)-M12</f>
        <v>0</v>
      </c>
      <c r="O12" s="85">
        <v>6</v>
      </c>
      <c r="P12" s="1" t="s">
        <v>5</v>
      </c>
      <c r="Q12" s="9">
        <f>modeldata!B10</f>
        <v>1</v>
      </c>
      <c r="R12" s="8">
        <f>modeldata!C10</f>
        <v>1</v>
      </c>
      <c r="S12" s="8">
        <f>modeldata!D10</f>
        <v>1</v>
      </c>
      <c r="T12" s="8">
        <f>modeldata!E10</f>
        <v>1</v>
      </c>
      <c r="U12" s="8">
        <f>modeldata!F10</f>
        <v>1</v>
      </c>
      <c r="V12" s="31">
        <f>modeldata!G10</f>
        <v>1</v>
      </c>
      <c r="W12" s="8">
        <f>modeldata!H10</f>
        <v>1</v>
      </c>
      <c r="X12" s="8">
        <f>modeldata!I10</f>
        <v>1</v>
      </c>
      <c r="Y12" s="10">
        <f>modeldata!J10</f>
        <v>1</v>
      </c>
      <c r="Z12" s="15">
        <f t="shared" si="19"/>
        <v>9</v>
      </c>
      <c r="AA12" s="15">
        <f>SUMIF('TAZ Data'!$D:$D,WorkPlaceLocationChoice!O12,'TAZ Data'!$H:$H)</f>
        <v>195240</v>
      </c>
      <c r="AC12" s="1" t="s">
        <v>5</v>
      </c>
      <c r="AD12" s="9">
        <f t="shared" si="0"/>
        <v>-7201</v>
      </c>
      <c r="AE12" s="8">
        <f t="shared" si="1"/>
        <v>-3235</v>
      </c>
      <c r="AF12" s="8">
        <f t="shared" si="2"/>
        <v>-2960</v>
      </c>
      <c r="AG12" s="8">
        <f t="shared" si="3"/>
        <v>-12034</v>
      </c>
      <c r="AH12" s="8">
        <f t="shared" si="4"/>
        <v>-22108</v>
      </c>
      <c r="AI12" s="78">
        <f t="shared" si="5"/>
        <v>-105867</v>
      </c>
      <c r="AJ12" s="8">
        <f t="shared" si="6"/>
        <v>-16716</v>
      </c>
      <c r="AK12" s="8">
        <f t="shared" si="7"/>
        <v>-2021</v>
      </c>
      <c r="AL12" s="10">
        <f t="shared" si="8"/>
        <v>-3796</v>
      </c>
      <c r="AM12" s="15">
        <f t="shared" si="20"/>
        <v>-175938</v>
      </c>
      <c r="AO12" s="1" t="s">
        <v>5</v>
      </c>
      <c r="AP12" s="71">
        <f t="shared" si="9"/>
        <v>-0.99986114968064421</v>
      </c>
      <c r="AQ12" s="72">
        <f t="shared" si="10"/>
        <v>-0.99969097651421512</v>
      </c>
      <c r="AR12" s="72">
        <f t="shared" si="11"/>
        <v>-0.99966227625802095</v>
      </c>
      <c r="AS12" s="72">
        <f t="shared" si="12"/>
        <v>-0.99991690901537178</v>
      </c>
      <c r="AT12" s="72">
        <f t="shared" si="13"/>
        <v>-0.9999547695508616</v>
      </c>
      <c r="AU12" s="72">
        <f t="shared" si="14"/>
        <v>-0.99999055427513506</v>
      </c>
      <c r="AV12" s="72">
        <f t="shared" si="15"/>
        <v>-0.99994018065442369</v>
      </c>
      <c r="AW12" s="72">
        <f t="shared" si="16"/>
        <v>-0.99950544015825915</v>
      </c>
      <c r="AX12" s="73">
        <f t="shared" si="17"/>
        <v>-0.99973663418488279</v>
      </c>
      <c r="AY12" s="77">
        <f t="shared" si="21"/>
        <v>-0.99994884823270647</v>
      </c>
    </row>
    <row r="13" spans="1:67" x14ac:dyDescent="0.2">
      <c r="B13" s="1" t="s">
        <v>29</v>
      </c>
      <c r="C13" s="9">
        <f>IFERROR(INDEX('PUMS 2023'!$C$35:$K$43, MATCH($B13, 'PUMS 2023'!$B$35:$B$43, 1), MATCH(C$6, 'PUMS 2023'!$C$34:$K$34, 1)),0)</f>
        <v>1893</v>
      </c>
      <c r="D13" s="8">
        <f>IFERROR(INDEX('PUMS 2023'!$C$35:$K$43, MATCH($B13, 'PUMS 2023'!$B$35:$B$43, 1), MATCH(D$6, 'PUMS 2023'!$C$34:$K$34, 1)),0)</f>
        <v>306</v>
      </c>
      <c r="E13" s="8">
        <f>IFERROR(INDEX('PUMS 2023'!$C$35:$K$43, MATCH($B13, 'PUMS 2023'!$B$35:$B$43, 1), MATCH(E$6, 'PUMS 2023'!$C$34:$K$34, 1)),0)</f>
        <v>450</v>
      </c>
      <c r="F13" s="8">
        <f>IFERROR(INDEX('PUMS 2023'!$C$35:$K$43, MATCH($B13, 'PUMS 2023'!$B$35:$B$43, 1), MATCH(F$6, 'PUMS 2023'!$C$34:$K$34, 1)),0)</f>
        <v>853</v>
      </c>
      <c r="G13" s="8">
        <f>IFERROR(INDEX('PUMS 2023'!$C$35:$K$43, MATCH($B13, 'PUMS 2023'!$B$35:$B$43, 1), MATCH(G$6, 'PUMS 2023'!$C$34:$K$34, 1)),0)</f>
        <v>1244</v>
      </c>
      <c r="H13" s="8">
        <f>IFERROR(INDEX('PUMS 2023'!$C$35:$K$43, MATCH($B13, 'PUMS 2023'!$B$35:$B$43, 1), MATCH(H$6, 'PUMS 2023'!$C$34:$K$34, 1)),0)</f>
        <v>5014</v>
      </c>
      <c r="I13" s="31">
        <f>IFERROR(INDEX('PUMS 2023'!$C$35:$K$43, MATCH($B13, 'PUMS 2023'!$B$35:$B$43, 1), MATCH(I$6, 'PUMS 2023'!$C$34:$K$34, 1)),0)</f>
        <v>43830</v>
      </c>
      <c r="J13" s="8">
        <f>IFERROR(INDEX('PUMS 2023'!$C$35:$K$43, MATCH($B13, 'PUMS 2023'!$B$35:$B$43, 1), MATCH(J$6, 'PUMS 2023'!$C$34:$K$34, 1)),0)</f>
        <v>1631</v>
      </c>
      <c r="K13" s="10">
        <f>IFERROR(INDEX('PUMS 2023'!$C$35:$K$43, MATCH($B13, 'PUMS 2023'!$B$35:$B$43, 1), MATCH(K$6, 'PUMS 2023'!$C$34:$K$34, 1)),0)</f>
        <v>750</v>
      </c>
      <c r="L13" s="254">
        <f>VLOOKUP(B13,'PUMS 2023'!B$35:O$43,14)</f>
        <v>1482</v>
      </c>
      <c r="M13" s="15">
        <f t="shared" si="18"/>
        <v>55971</v>
      </c>
      <c r="N13" s="256">
        <f>VLOOKUP(B13,'PUMS 2023'!B$35:L$43,11)-M13</f>
        <v>0</v>
      </c>
      <c r="O13" s="85">
        <v>7</v>
      </c>
      <c r="P13" s="1" t="s">
        <v>6</v>
      </c>
      <c r="Q13" s="9">
        <f>modeldata!B11</f>
        <v>1</v>
      </c>
      <c r="R13" s="8">
        <f>modeldata!C11</f>
        <v>1</v>
      </c>
      <c r="S13" s="8">
        <f>modeldata!D11</f>
        <v>1</v>
      </c>
      <c r="T13" s="8">
        <f>modeldata!E11</f>
        <v>1</v>
      </c>
      <c r="U13" s="8">
        <f>modeldata!F11</f>
        <v>1</v>
      </c>
      <c r="V13" s="8">
        <f>modeldata!G11</f>
        <v>1</v>
      </c>
      <c r="W13" s="31">
        <f>modeldata!H11</f>
        <v>1</v>
      </c>
      <c r="X13" s="8">
        <f>modeldata!I11</f>
        <v>1</v>
      </c>
      <c r="Y13" s="10">
        <f>modeldata!J11</f>
        <v>1</v>
      </c>
      <c r="Z13" s="15">
        <f t="shared" si="19"/>
        <v>9</v>
      </c>
      <c r="AA13" s="15">
        <f>SUMIF('TAZ Data'!$D:$D,WorkPlaceLocationChoice!O13,'TAZ Data'!$H:$H)</f>
        <v>70317</v>
      </c>
      <c r="AC13" s="1" t="s">
        <v>6</v>
      </c>
      <c r="AD13" s="9">
        <f t="shared" si="0"/>
        <v>-1892</v>
      </c>
      <c r="AE13" s="8">
        <f t="shared" si="1"/>
        <v>-305</v>
      </c>
      <c r="AF13" s="8">
        <f t="shared" si="2"/>
        <v>-449</v>
      </c>
      <c r="AG13" s="8">
        <f t="shared" si="3"/>
        <v>-852</v>
      </c>
      <c r="AH13" s="8">
        <f t="shared" si="4"/>
        <v>-1243</v>
      </c>
      <c r="AI13" s="8">
        <f t="shared" si="5"/>
        <v>-5013</v>
      </c>
      <c r="AJ13" s="78">
        <f t="shared" si="6"/>
        <v>-43829</v>
      </c>
      <c r="AK13" s="8">
        <f t="shared" si="7"/>
        <v>-1630</v>
      </c>
      <c r="AL13" s="10">
        <f t="shared" si="8"/>
        <v>-749</v>
      </c>
      <c r="AM13" s="15">
        <f t="shared" si="20"/>
        <v>-55962</v>
      </c>
      <c r="AO13" s="1" t="s">
        <v>6</v>
      </c>
      <c r="AP13" s="71">
        <f t="shared" si="9"/>
        <v>-0.99947173798203914</v>
      </c>
      <c r="AQ13" s="72">
        <f t="shared" si="10"/>
        <v>-0.99673202614379086</v>
      </c>
      <c r="AR13" s="72">
        <f t="shared" si="11"/>
        <v>-0.99777777777777776</v>
      </c>
      <c r="AS13" s="72">
        <f t="shared" si="12"/>
        <v>-0.9988276670574443</v>
      </c>
      <c r="AT13" s="72">
        <f t="shared" si="13"/>
        <v>-0.99919614147909963</v>
      </c>
      <c r="AU13" s="72">
        <f t="shared" si="14"/>
        <v>-0.99980055843637816</v>
      </c>
      <c r="AV13" s="72">
        <f t="shared" si="15"/>
        <v>-0.99997718457677387</v>
      </c>
      <c r="AW13" s="72">
        <f t="shared" si="16"/>
        <v>-0.99938687921520541</v>
      </c>
      <c r="AX13" s="73">
        <f t="shared" si="17"/>
        <v>-0.9986666666666667</v>
      </c>
      <c r="AY13" s="77">
        <f t="shared" si="21"/>
        <v>-0.99983920244412283</v>
      </c>
    </row>
    <row r="14" spans="1:67" s="214" customFormat="1" x14ac:dyDescent="0.2">
      <c r="A14" s="1"/>
      <c r="B14" s="1" t="s">
        <v>30</v>
      </c>
      <c r="C14" s="9">
        <f>IFERROR(INDEX('PUMS 2023'!$C$35:$K$43, MATCH($B14, 'PUMS 2023'!$B$35:$B$43, 1), MATCH(C$6, 'PUMS 2023'!$C$34:$K$34, 1)),0)</f>
        <v>5790</v>
      </c>
      <c r="D14" s="8">
        <f>IFERROR(INDEX('PUMS 2023'!$C$35:$K$43, MATCH($B14, 'PUMS 2023'!$B$35:$B$43, 1), MATCH(D$6, 'PUMS 2023'!$C$34:$K$34, 1)),0)</f>
        <v>1323</v>
      </c>
      <c r="E14" s="8">
        <f>IFERROR(INDEX('PUMS 2023'!$C$35:$K$43, MATCH($B14, 'PUMS 2023'!$B$35:$B$43, 1), MATCH(E$6, 'PUMS 2023'!$C$34:$K$34, 1)),0)</f>
        <v>669</v>
      </c>
      <c r="F14" s="8">
        <f>IFERROR(INDEX('PUMS 2023'!$C$35:$K$43, MATCH($B14, 'PUMS 2023'!$B$35:$B$43, 1), MATCH(F$6, 'PUMS 2023'!$C$34:$K$34, 1)),0)</f>
        <v>1479</v>
      </c>
      <c r="G14" s="8">
        <f>IFERROR(INDEX('PUMS 2023'!$C$35:$K$43, MATCH($B14, 'PUMS 2023'!$B$35:$B$43, 1), MATCH(G$6, 'PUMS 2023'!$C$34:$K$34, 1)),0)</f>
        <v>1006</v>
      </c>
      <c r="H14" s="8">
        <f>IFERROR(INDEX('PUMS 2023'!$C$35:$K$43, MATCH($B14, 'PUMS 2023'!$B$35:$B$43, 1), MATCH(H$6, 'PUMS 2023'!$C$34:$K$34, 1)),0)</f>
        <v>330</v>
      </c>
      <c r="I14" s="8">
        <f>IFERROR(INDEX('PUMS 2023'!$C$35:$K$43, MATCH($B14, 'PUMS 2023'!$B$35:$B$43, 1), MATCH(I$6, 'PUMS 2023'!$C$34:$K$34, 1)),0)</f>
        <v>3986</v>
      </c>
      <c r="J14" s="31">
        <f>IFERROR(INDEX('PUMS 2023'!$C$35:$K$43, MATCH($B14, 'PUMS 2023'!$B$35:$B$43, 1), MATCH(J$6, 'PUMS 2023'!$C$34:$K$34, 1)),0)</f>
        <v>178929</v>
      </c>
      <c r="K14" s="10">
        <f>IFERROR(INDEX('PUMS 2023'!$C$35:$K$43, MATCH($B14, 'PUMS 2023'!$B$35:$B$43, 1), MATCH(K$6, 'PUMS 2023'!$C$34:$K$34, 1)),0)</f>
        <v>13056</v>
      </c>
      <c r="L14" s="254">
        <f>VLOOKUP(B14,'PUMS 2023'!B$35:O$43,14)</f>
        <v>2969</v>
      </c>
      <c r="M14" s="15">
        <f t="shared" si="18"/>
        <v>206568</v>
      </c>
      <c r="N14" s="256">
        <f>VLOOKUP(B14,'PUMS 2023'!B$35:L$43,11)-M14</f>
        <v>0</v>
      </c>
      <c r="O14" s="85">
        <v>8</v>
      </c>
      <c r="P14" s="1" t="s">
        <v>7</v>
      </c>
      <c r="Q14" s="9">
        <f>modeldata!B12</f>
        <v>1</v>
      </c>
      <c r="R14" s="8">
        <f>modeldata!C12</f>
        <v>1</v>
      </c>
      <c r="S14" s="8">
        <f>modeldata!D12</f>
        <v>1</v>
      </c>
      <c r="T14" s="8">
        <f>modeldata!E12</f>
        <v>1</v>
      </c>
      <c r="U14" s="8">
        <f>modeldata!F12</f>
        <v>1</v>
      </c>
      <c r="V14" s="8">
        <f>modeldata!G12</f>
        <v>1</v>
      </c>
      <c r="W14" s="8">
        <f>modeldata!H12</f>
        <v>1</v>
      </c>
      <c r="X14" s="31">
        <f>modeldata!I12</f>
        <v>1</v>
      </c>
      <c r="Y14" s="10">
        <f>modeldata!J12</f>
        <v>1</v>
      </c>
      <c r="Z14" s="15">
        <f t="shared" si="19"/>
        <v>9</v>
      </c>
      <c r="AA14" s="15">
        <f>SUMIF('TAZ Data'!$D:$D,WorkPlaceLocationChoice!O14,'TAZ Data'!$H:$H)</f>
        <v>240003</v>
      </c>
      <c r="AB14" s="1"/>
      <c r="AC14" s="1" t="s">
        <v>7</v>
      </c>
      <c r="AD14" s="9">
        <f t="shared" si="0"/>
        <v>-5789</v>
      </c>
      <c r="AE14" s="8">
        <f t="shared" si="1"/>
        <v>-1322</v>
      </c>
      <c r="AF14" s="8">
        <f t="shared" si="2"/>
        <v>-668</v>
      </c>
      <c r="AG14" s="8">
        <f t="shared" si="3"/>
        <v>-1478</v>
      </c>
      <c r="AH14" s="8">
        <f t="shared" si="4"/>
        <v>-1005</v>
      </c>
      <c r="AI14" s="8">
        <f t="shared" si="5"/>
        <v>-329</v>
      </c>
      <c r="AJ14" s="8">
        <f t="shared" si="6"/>
        <v>-3985</v>
      </c>
      <c r="AK14" s="78">
        <f t="shared" si="7"/>
        <v>-178928</v>
      </c>
      <c r="AL14" s="10">
        <f t="shared" si="8"/>
        <v>-13055</v>
      </c>
      <c r="AM14" s="15">
        <f t="shared" si="20"/>
        <v>-206559</v>
      </c>
      <c r="AN14" s="1"/>
      <c r="AO14" s="1" t="s">
        <v>7</v>
      </c>
      <c r="AP14" s="71">
        <f t="shared" si="9"/>
        <v>-0.99982728842832469</v>
      </c>
      <c r="AQ14" s="72">
        <f t="shared" si="10"/>
        <v>-0.99924414210128498</v>
      </c>
      <c r="AR14" s="72">
        <f t="shared" si="11"/>
        <v>-0.99850523168908822</v>
      </c>
      <c r="AS14" s="72">
        <f t="shared" si="12"/>
        <v>-0.99932386747802571</v>
      </c>
      <c r="AT14" s="72">
        <f t="shared" si="13"/>
        <v>-0.99900596421471177</v>
      </c>
      <c r="AU14" s="72">
        <f t="shared" si="14"/>
        <v>-0.99696969696969695</v>
      </c>
      <c r="AV14" s="72">
        <f t="shared" si="15"/>
        <v>-0.99974912192674359</v>
      </c>
      <c r="AW14" s="72">
        <f t="shared" si="16"/>
        <v>-0.99999441119103105</v>
      </c>
      <c r="AX14" s="73">
        <f t="shared" si="17"/>
        <v>-0.99992340686274506</v>
      </c>
      <c r="AY14" s="77">
        <f t="shared" si="21"/>
        <v>-0.9999564308121297</v>
      </c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</row>
    <row r="15" spans="1:67" x14ac:dyDescent="0.2">
      <c r="B15" s="1" t="s">
        <v>31</v>
      </c>
      <c r="C15" s="11">
        <f>IFERROR(INDEX('PUMS 2023'!$C$35:$K$43, MATCH($B15, 'PUMS 2023'!$B$35:$B$43, 1), MATCH(C$6, 'PUMS 2023'!$C$34:$K$34, 1)),0)</f>
        <v>16350</v>
      </c>
      <c r="D15" s="12">
        <f>IFERROR(INDEX('PUMS 2023'!$C$35:$K$43, MATCH($B15, 'PUMS 2023'!$B$35:$B$43, 1), MATCH(D$6, 'PUMS 2023'!$C$34:$K$34, 1)),0)</f>
        <v>4848</v>
      </c>
      <c r="E15" s="12">
        <f>IFERROR(INDEX('PUMS 2023'!$C$35:$K$43, MATCH($B15, 'PUMS 2023'!$B$35:$B$43, 1), MATCH(E$6, 'PUMS 2023'!$C$34:$K$34, 1)),0)</f>
        <v>1189</v>
      </c>
      <c r="F15" s="12">
        <f>IFERROR(INDEX('PUMS 2023'!$C$35:$K$43, MATCH($B15, 'PUMS 2023'!$B$35:$B$43, 1), MATCH(F$6, 'PUMS 2023'!$C$34:$K$34, 1)),0)</f>
        <v>3155</v>
      </c>
      <c r="G15" s="12">
        <f>IFERROR(INDEX('PUMS 2023'!$C$35:$K$43, MATCH($B15, 'PUMS 2023'!$B$35:$B$43, 1), MATCH(G$6, 'PUMS 2023'!$C$34:$K$34, 1)),0)</f>
        <v>548</v>
      </c>
      <c r="H15" s="12">
        <f>IFERROR(INDEX('PUMS 2023'!$C$35:$K$43, MATCH($B15, 'PUMS 2023'!$B$35:$B$43, 1), MATCH(H$6, 'PUMS 2023'!$C$34:$K$34, 1)),0)</f>
        <v>40</v>
      </c>
      <c r="I15" s="12">
        <f>IFERROR(INDEX('PUMS 2023'!$C$35:$K$43, MATCH($B15, 'PUMS 2023'!$B$35:$B$43, 1), MATCH(I$6, 'PUMS 2023'!$C$34:$K$34, 1)),0)</f>
        <v>69</v>
      </c>
      <c r="J15" s="12">
        <f>IFERROR(INDEX('PUMS 2023'!$C$35:$K$43, MATCH($B15, 'PUMS 2023'!$B$35:$B$43, 1), MATCH(J$6, 'PUMS 2023'!$C$34:$K$34, 1)),0)</f>
        <v>3744</v>
      </c>
      <c r="K15" s="83">
        <f>IFERROR(INDEX('PUMS 2023'!$C$35:$K$43, MATCH($B15, 'PUMS 2023'!$B$35:$B$43, 1), MATCH(K$6, 'PUMS 2023'!$C$34:$K$34, 1)),0)</f>
        <v>58302</v>
      </c>
      <c r="L15" s="255">
        <f>VLOOKUP(B15,'PUMS 2023'!B$35:O$43,14)</f>
        <v>422</v>
      </c>
      <c r="M15" s="15">
        <f t="shared" si="18"/>
        <v>88245</v>
      </c>
      <c r="N15" s="256">
        <f>VLOOKUP(B15,'PUMS 2023'!B$35:L$43,11)-M15</f>
        <v>0</v>
      </c>
      <c r="O15" s="85">
        <v>9</v>
      </c>
      <c r="P15" s="1" t="s">
        <v>8</v>
      </c>
      <c r="Q15" s="11">
        <f>modeldata!B13</f>
        <v>1</v>
      </c>
      <c r="R15" s="12">
        <f>modeldata!C13</f>
        <v>1</v>
      </c>
      <c r="S15" s="12">
        <f>modeldata!D13</f>
        <v>1</v>
      </c>
      <c r="T15" s="12">
        <f>modeldata!E13</f>
        <v>1</v>
      </c>
      <c r="U15" s="12">
        <f>modeldata!F13</f>
        <v>1</v>
      </c>
      <c r="V15" s="12">
        <f>modeldata!G13</f>
        <v>1</v>
      </c>
      <c r="W15" s="12">
        <f>modeldata!H13</f>
        <v>1</v>
      </c>
      <c r="X15" s="12">
        <f>modeldata!I13</f>
        <v>1</v>
      </c>
      <c r="Y15" s="83">
        <f>modeldata!J13</f>
        <v>1</v>
      </c>
      <c r="Z15" s="15">
        <f t="shared" si="19"/>
        <v>9</v>
      </c>
      <c r="AA15" s="15">
        <f>SUMIF('TAZ Data'!$D:$D,WorkPlaceLocationChoice!O15,'TAZ Data'!$H:$H)</f>
        <v>119469</v>
      </c>
      <c r="AC15" s="1" t="s">
        <v>8</v>
      </c>
      <c r="AD15" s="11">
        <f t="shared" si="0"/>
        <v>-16349</v>
      </c>
      <c r="AE15" s="12">
        <f t="shared" si="1"/>
        <v>-4847</v>
      </c>
      <c r="AF15" s="12">
        <f t="shared" si="2"/>
        <v>-1188</v>
      </c>
      <c r="AG15" s="12">
        <f t="shared" si="3"/>
        <v>-3154</v>
      </c>
      <c r="AH15" s="12">
        <f t="shared" si="4"/>
        <v>-547</v>
      </c>
      <c r="AI15" s="12">
        <f t="shared" si="5"/>
        <v>-39</v>
      </c>
      <c r="AJ15" s="12">
        <f t="shared" si="6"/>
        <v>-68</v>
      </c>
      <c r="AK15" s="12">
        <f t="shared" si="7"/>
        <v>-3743</v>
      </c>
      <c r="AL15" s="78">
        <f t="shared" si="8"/>
        <v>-58301</v>
      </c>
      <c r="AM15" s="15">
        <f t="shared" si="20"/>
        <v>-88236</v>
      </c>
      <c r="AO15" s="1" t="s">
        <v>8</v>
      </c>
      <c r="AP15" s="74">
        <f t="shared" si="9"/>
        <v>-0.99993883792048932</v>
      </c>
      <c r="AQ15" s="75">
        <f t="shared" si="10"/>
        <v>-0.99979372937293731</v>
      </c>
      <c r="AR15" s="75">
        <f t="shared" si="11"/>
        <v>-0.99915895710681246</v>
      </c>
      <c r="AS15" s="75">
        <f t="shared" si="12"/>
        <v>-0.99968304278922349</v>
      </c>
      <c r="AT15" s="75">
        <f t="shared" si="13"/>
        <v>-0.99817518248175185</v>
      </c>
      <c r="AU15" s="75">
        <f t="shared" si="14"/>
        <v>-0.97499999999999998</v>
      </c>
      <c r="AV15" s="75">
        <f t="shared" si="15"/>
        <v>-0.98550724637681164</v>
      </c>
      <c r="AW15" s="75">
        <f t="shared" si="16"/>
        <v>-0.99973290598290598</v>
      </c>
      <c r="AX15" s="76">
        <f t="shared" si="17"/>
        <v>-0.99998284792974512</v>
      </c>
      <c r="AY15" s="77">
        <f t="shared" si="21"/>
        <v>-0.99989801121876598</v>
      </c>
    </row>
    <row r="16" spans="1:67" x14ac:dyDescent="0.2">
      <c r="B16" s="14" t="s">
        <v>9</v>
      </c>
      <c r="C16" s="17">
        <f>SUM(C7:C15)</f>
        <v>503503</v>
      </c>
      <c r="D16" s="17">
        <f t="shared" ref="D16:K16" si="22">SUM(D7:D15)</f>
        <v>333476</v>
      </c>
      <c r="E16" s="17">
        <f t="shared" si="22"/>
        <v>877062</v>
      </c>
      <c r="F16" s="17">
        <f t="shared" si="22"/>
        <v>586638</v>
      </c>
      <c r="G16" s="17">
        <f t="shared" si="22"/>
        <v>312588</v>
      </c>
      <c r="H16" s="17">
        <f t="shared" si="22"/>
        <v>121781</v>
      </c>
      <c r="I16" s="17">
        <f t="shared" si="22"/>
        <v>66817</v>
      </c>
      <c r="J16" s="17">
        <f t="shared" si="22"/>
        <v>190475</v>
      </c>
      <c r="K16" s="17">
        <f t="shared" si="22"/>
        <v>91522</v>
      </c>
      <c r="L16" s="19">
        <f>SUM(L7:L15)</f>
        <v>50967</v>
      </c>
      <c r="M16" s="15">
        <f>SUM(C16:K16)</f>
        <v>3083862</v>
      </c>
      <c r="N16" s="15"/>
      <c r="P16" s="14" t="s">
        <v>9</v>
      </c>
      <c r="Q16" s="15">
        <f t="shared" ref="Q16:AA16" si="23">SUM(Q7:Q15)</f>
        <v>9</v>
      </c>
      <c r="R16" s="15">
        <f t="shared" si="23"/>
        <v>9</v>
      </c>
      <c r="S16" s="15">
        <f t="shared" si="23"/>
        <v>9</v>
      </c>
      <c r="T16" s="15">
        <f t="shared" si="23"/>
        <v>9</v>
      </c>
      <c r="U16" s="15">
        <f t="shared" si="23"/>
        <v>9</v>
      </c>
      <c r="V16" s="15">
        <f t="shared" si="23"/>
        <v>9</v>
      </c>
      <c r="W16" s="15">
        <f t="shared" si="23"/>
        <v>9</v>
      </c>
      <c r="X16" s="15">
        <f t="shared" si="23"/>
        <v>9</v>
      </c>
      <c r="Y16" s="15">
        <f t="shared" si="23"/>
        <v>9</v>
      </c>
      <c r="Z16" s="15">
        <f t="shared" si="23"/>
        <v>81</v>
      </c>
      <c r="AA16" s="15">
        <f t="shared" si="23"/>
        <v>3810997</v>
      </c>
      <c r="AC16" s="14" t="s">
        <v>9</v>
      </c>
      <c r="AD16" s="15">
        <f t="shared" ref="AD16:AM16" si="24">SUM(AD7:AD15)</f>
        <v>-503494</v>
      </c>
      <c r="AE16" s="15">
        <f t="shared" si="24"/>
        <v>-333467</v>
      </c>
      <c r="AF16" s="15">
        <f t="shared" si="24"/>
        <v>-877053</v>
      </c>
      <c r="AG16" s="15">
        <f t="shared" si="24"/>
        <v>-586629</v>
      </c>
      <c r="AH16" s="15">
        <f t="shared" si="24"/>
        <v>-312579</v>
      </c>
      <c r="AI16" s="15">
        <f t="shared" si="24"/>
        <v>-121772</v>
      </c>
      <c r="AJ16" s="15">
        <f t="shared" si="24"/>
        <v>-66808</v>
      </c>
      <c r="AK16" s="15">
        <f t="shared" si="24"/>
        <v>-190466</v>
      </c>
      <c r="AL16" s="15">
        <f t="shared" si="24"/>
        <v>-91513</v>
      </c>
      <c r="AM16" s="15">
        <f t="shared" si="24"/>
        <v>-3083781</v>
      </c>
      <c r="AO16" s="14" t="s">
        <v>9</v>
      </c>
      <c r="AP16" s="77">
        <f>AD16/C16</f>
        <v>-0.99998212523063412</v>
      </c>
      <c r="AQ16" s="77">
        <f t="shared" ref="AQ16:AW16" si="25">AE16/D16</f>
        <v>-0.99997301155105611</v>
      </c>
      <c r="AR16" s="77">
        <f t="shared" si="25"/>
        <v>-0.99998973846774797</v>
      </c>
      <c r="AS16" s="77">
        <f t="shared" si="25"/>
        <v>-0.99998465834125982</v>
      </c>
      <c r="AT16" s="77">
        <f t="shared" si="25"/>
        <v>-0.99997120810779683</v>
      </c>
      <c r="AU16" s="77">
        <f t="shared" si="25"/>
        <v>-0.99992609684597766</v>
      </c>
      <c r="AV16" s="77">
        <f t="shared" si="25"/>
        <v>-0.9998653037400661</v>
      </c>
      <c r="AW16" s="77">
        <f t="shared" si="25"/>
        <v>-0.99995274970468562</v>
      </c>
      <c r="AX16" s="77">
        <f>AL16/K16</f>
        <v>-0.99990166298813399</v>
      </c>
      <c r="AY16" s="77">
        <f t="shared" si="21"/>
        <v>-0.99997373423324387</v>
      </c>
    </row>
    <row r="17" spans="1:51" x14ac:dyDescent="0.2">
      <c r="C17" s="256">
        <f>_xlfn.XLOOKUP(C6, 'PUMS 2023'!$C34:$K34, 'PUMS 2023'!$C44:$K44,0,0)-C16</f>
        <v>0</v>
      </c>
      <c r="D17" s="256">
        <f>_xlfn.XLOOKUP(D6, 'PUMS 2023'!$C34:$K34, 'PUMS 2023'!$C44:$K44,0,0)-D16</f>
        <v>0</v>
      </c>
      <c r="E17" s="256">
        <f>_xlfn.XLOOKUP(E6, 'PUMS 2023'!$C34:$K34, 'PUMS 2023'!$C44:$K44,0,0)-E16</f>
        <v>0</v>
      </c>
      <c r="F17" s="256">
        <f>_xlfn.XLOOKUP(F6, 'PUMS 2023'!$C34:$K34, 'PUMS 2023'!$C44:$K44,0,0)-F16</f>
        <v>0</v>
      </c>
      <c r="G17" s="256">
        <f>_xlfn.XLOOKUP(G6, 'PUMS 2023'!$C34:$K34, 'PUMS 2023'!$C44:$K44,0,0)-G16</f>
        <v>0</v>
      </c>
      <c r="H17" s="256">
        <f>_xlfn.XLOOKUP(H6, 'PUMS 2023'!$C34:$K34, 'PUMS 2023'!$C44:$K44,0,0)-H16</f>
        <v>0</v>
      </c>
      <c r="I17" s="256">
        <f>_xlfn.XLOOKUP(I6, 'PUMS 2023'!$C34:$K34, 'PUMS 2023'!$C44:$K44,0,0)-I16</f>
        <v>0</v>
      </c>
      <c r="J17" s="256">
        <f>_xlfn.XLOOKUP(J6, 'PUMS 2023'!$C34:$K34, 'PUMS 2023'!$C44:$K44,0,0)-J16</f>
        <v>0</v>
      </c>
      <c r="K17" s="256">
        <f>_xlfn.XLOOKUP(K6, 'PUMS 2023'!$C34:$K34, 'PUMS 2023'!$C44:$K44,0,0)-K16</f>
        <v>0</v>
      </c>
      <c r="P17" s="14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C17" s="14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O17" s="14"/>
      <c r="AP17" s="77"/>
      <c r="AQ17" s="77"/>
      <c r="AR17" s="77"/>
      <c r="AS17" s="77"/>
      <c r="AT17" s="77"/>
      <c r="AU17" s="77"/>
      <c r="AV17" s="77"/>
      <c r="AW17" s="77"/>
      <c r="AX17" s="77"/>
      <c r="AY17" s="77"/>
    </row>
    <row r="18" spans="1:51" x14ac:dyDescent="0.2">
      <c r="AA18" s="15"/>
      <c r="AC18" s="14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O18" s="14"/>
      <c r="AP18" s="77"/>
      <c r="AQ18" s="77"/>
      <c r="AR18" s="77"/>
      <c r="AS18" s="77"/>
      <c r="AT18" s="77"/>
      <c r="AU18" s="77"/>
      <c r="AV18" s="77"/>
      <c r="AW18" s="77"/>
      <c r="AX18" s="77"/>
      <c r="AY18" s="77"/>
    </row>
    <row r="19" spans="1:51" x14ac:dyDescent="0.2">
      <c r="D19" s="8"/>
      <c r="P19" s="235" t="s">
        <v>92</v>
      </c>
      <c r="Q19" s="17">
        <f>SUMIF('TAZ Data'!$D:$D,WorkPlaceLocationChoice!Q$1,'TAZ Data'!$S:$S)</f>
        <v>681981</v>
      </c>
      <c r="R19" s="17">
        <f>SUMIF('TAZ Data'!$D:$D,WorkPlaceLocationChoice!R$1,'TAZ Data'!$S:$S)</f>
        <v>393422</v>
      </c>
      <c r="S19" s="17">
        <f>SUMIF('TAZ Data'!$D:$D,WorkPlaceLocationChoice!S$1,'TAZ Data'!$S:$S)</f>
        <v>995663</v>
      </c>
      <c r="T19" s="17">
        <f>SUMIF('TAZ Data'!$D:$D,WorkPlaceLocationChoice!T$1,'TAZ Data'!$S:$S)</f>
        <v>725191</v>
      </c>
      <c r="U19" s="17">
        <f>SUMIF('TAZ Data'!$D:$D,WorkPlaceLocationChoice!U$1,'TAZ Data'!$S:$S)</f>
        <v>360032</v>
      </c>
      <c r="V19" s="17">
        <f>SUMIF('TAZ Data'!$D:$D,WorkPlaceLocationChoice!V$1,'TAZ Data'!$S:$S)</f>
        <v>114919</v>
      </c>
      <c r="W19" s="17">
        <f>SUMIF('TAZ Data'!$D:$D,WorkPlaceLocationChoice!W$1,'TAZ Data'!$S:$S)</f>
        <v>73440</v>
      </c>
      <c r="X19" s="17">
        <f>SUMIF('TAZ Data'!$D:$D,WorkPlaceLocationChoice!X$1,'TAZ Data'!$S:$S)</f>
        <v>203018</v>
      </c>
      <c r="Y19" s="17">
        <f>SUMIF('TAZ Data'!$D:$D,WorkPlaceLocationChoice!Y$1,'TAZ Data'!$S:$S)</f>
        <v>113637</v>
      </c>
      <c r="Z19" s="17">
        <f>SUM(Q19:Y19)</f>
        <v>3661303</v>
      </c>
      <c r="AA19" s="15"/>
      <c r="AC19" s="14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O19" s="14"/>
      <c r="AP19" s="77"/>
      <c r="AQ19" s="77"/>
      <c r="AR19" s="77"/>
      <c r="AS19" s="77"/>
      <c r="AT19" s="77"/>
      <c r="AU19" s="77"/>
      <c r="AV19" s="77"/>
      <c r="AW19" s="77"/>
      <c r="AX19" s="77"/>
      <c r="AY19" s="77"/>
    </row>
    <row r="20" spans="1:51" x14ac:dyDescent="0.2">
      <c r="P20" s="16"/>
      <c r="Q20" s="72">
        <f t="shared" ref="Q20:Z20" si="26">Q19/$Z19</f>
        <v>0.1862672933652309</v>
      </c>
      <c r="R20" s="72">
        <f t="shared" si="26"/>
        <v>0.10745409489463177</v>
      </c>
      <c r="S20" s="72">
        <f t="shared" si="26"/>
        <v>0.2719422566228471</v>
      </c>
      <c r="T20" s="72">
        <f t="shared" si="26"/>
        <v>0.19806910272108044</v>
      </c>
      <c r="U20" s="72">
        <f t="shared" si="26"/>
        <v>9.8334390789290044E-2</v>
      </c>
      <c r="V20" s="72">
        <f t="shared" si="26"/>
        <v>3.1387459601131075E-2</v>
      </c>
      <c r="W20" s="72">
        <f t="shared" si="26"/>
        <v>2.0058432749215239E-2</v>
      </c>
      <c r="X20" s="72">
        <f t="shared" si="26"/>
        <v>5.5449658222769323E-2</v>
      </c>
      <c r="Y20" s="72">
        <f t="shared" si="26"/>
        <v>3.1037311033804086E-2</v>
      </c>
      <c r="Z20" s="72">
        <f t="shared" si="26"/>
        <v>1</v>
      </c>
      <c r="AA20" s="15"/>
      <c r="AC20" s="14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O20" s="14"/>
      <c r="AP20" s="77"/>
      <c r="AQ20" s="77"/>
      <c r="AR20" s="77"/>
      <c r="AS20" s="77"/>
      <c r="AT20" s="77"/>
      <c r="AU20" s="77"/>
      <c r="AV20" s="77"/>
      <c r="AW20" s="77"/>
      <c r="AX20" s="77"/>
      <c r="AY20" s="77"/>
    </row>
    <row r="21" spans="1:51" x14ac:dyDescent="0.2">
      <c r="A21" s="214"/>
      <c r="B21" s="214"/>
      <c r="C21" s="214"/>
      <c r="D21" s="214"/>
      <c r="E21" s="214"/>
      <c r="F21" s="214"/>
      <c r="G21" s="214"/>
      <c r="H21" s="214"/>
      <c r="I21" s="214"/>
      <c r="J21" s="214"/>
      <c r="K21" s="214"/>
      <c r="L21" s="214"/>
      <c r="M21" s="214"/>
      <c r="N21" s="214"/>
      <c r="O21" s="231"/>
      <c r="P21" s="231"/>
      <c r="Q21" s="231"/>
      <c r="R21" s="231"/>
      <c r="S21" s="231"/>
      <c r="T21" s="231"/>
      <c r="U21" s="231"/>
      <c r="V21" s="231"/>
      <c r="W21" s="231"/>
      <c r="X21" s="231"/>
      <c r="Y21" s="231"/>
      <c r="Z21" s="231"/>
    </row>
    <row r="22" spans="1:51" x14ac:dyDescent="0.2">
      <c r="A22" s="16" t="s">
        <v>501</v>
      </c>
      <c r="AA22" s="17"/>
      <c r="AB22" s="67"/>
      <c r="AC22" s="67"/>
      <c r="AD22" s="67"/>
      <c r="AE22" s="67"/>
      <c r="AF22" s="67"/>
      <c r="AG22" s="67"/>
      <c r="AH22" s="67"/>
      <c r="AI22" s="67"/>
      <c r="AJ22" s="67"/>
      <c r="AK22" s="67"/>
      <c r="AL22" s="67"/>
      <c r="AM22" s="67"/>
      <c r="AN22" s="67"/>
      <c r="AO22" s="67"/>
      <c r="AP22" s="67"/>
      <c r="AQ22" s="67"/>
      <c r="AR22" s="67"/>
      <c r="AS22" s="67"/>
      <c r="AT22" s="67"/>
      <c r="AU22" s="67"/>
      <c r="AV22" s="67"/>
      <c r="AW22" s="67"/>
      <c r="AX22" s="67"/>
      <c r="AY22" s="67"/>
    </row>
    <row r="23" spans="1:51" x14ac:dyDescent="0.2">
      <c r="A23" s="81" t="s">
        <v>103</v>
      </c>
      <c r="AC23" s="95" t="s">
        <v>495</v>
      </c>
      <c r="AO23" s="95" t="s">
        <v>516</v>
      </c>
    </row>
    <row r="24" spans="1:51" x14ac:dyDescent="0.2">
      <c r="P24" s="16" t="s">
        <v>502</v>
      </c>
      <c r="AC24" s="97" t="s">
        <v>104</v>
      </c>
      <c r="AO24" s="97" t="s">
        <v>104</v>
      </c>
    </row>
    <row r="25" spans="1:51" x14ac:dyDescent="0.2">
      <c r="Q25" s="1" t="s">
        <v>83</v>
      </c>
      <c r="S25" s="1" t="s">
        <v>84</v>
      </c>
      <c r="U25" s="1" t="s">
        <v>88</v>
      </c>
      <c r="AD25" s="14" t="s">
        <v>11</v>
      </c>
      <c r="AP25" s="14" t="s">
        <v>11</v>
      </c>
    </row>
    <row r="26" spans="1:51" ht="25.5" x14ac:dyDescent="0.2">
      <c r="A26" s="3"/>
      <c r="B26" s="22" t="s">
        <v>12</v>
      </c>
      <c r="C26" s="3" t="s">
        <v>13</v>
      </c>
      <c r="D26" s="3" t="s">
        <v>14</v>
      </c>
      <c r="E26" s="3" t="s">
        <v>15</v>
      </c>
      <c r="F26" s="3" t="s">
        <v>16</v>
      </c>
      <c r="G26" s="3" t="s">
        <v>17</v>
      </c>
      <c r="H26" s="3" t="s">
        <v>18</v>
      </c>
      <c r="I26" s="3" t="s">
        <v>19</v>
      </c>
      <c r="J26" s="3" t="s">
        <v>20</v>
      </c>
      <c r="K26" s="3" t="s">
        <v>21</v>
      </c>
      <c r="L26" s="18"/>
      <c r="M26" s="22" t="s">
        <v>9</v>
      </c>
      <c r="N26" s="22"/>
      <c r="P26" s="1" t="s">
        <v>93</v>
      </c>
      <c r="Q26" s="1" t="s">
        <v>111</v>
      </c>
      <c r="R26" s="1" t="s">
        <v>112</v>
      </c>
      <c r="S26" s="1" t="s">
        <v>111</v>
      </c>
      <c r="T26" s="1" t="s">
        <v>112</v>
      </c>
      <c r="U26" s="1" t="s">
        <v>111</v>
      </c>
      <c r="V26" s="1" t="s">
        <v>112</v>
      </c>
      <c r="AC26" s="22" t="s">
        <v>10</v>
      </c>
      <c r="AD26" s="4" t="s">
        <v>0</v>
      </c>
      <c r="AE26" s="4" t="s">
        <v>1</v>
      </c>
      <c r="AF26" s="4" t="s">
        <v>2</v>
      </c>
      <c r="AG26" s="4" t="s">
        <v>3</v>
      </c>
      <c r="AH26" s="4" t="s">
        <v>4</v>
      </c>
      <c r="AI26" s="4" t="s">
        <v>5</v>
      </c>
      <c r="AJ26" s="4" t="s">
        <v>6</v>
      </c>
      <c r="AK26" s="4" t="s">
        <v>7</v>
      </c>
      <c r="AL26" s="4" t="s">
        <v>8</v>
      </c>
      <c r="AM26" s="3" t="s">
        <v>9</v>
      </c>
      <c r="AN26" s="3"/>
      <c r="AO26" s="22" t="s">
        <v>10</v>
      </c>
      <c r="AP26" s="4" t="s">
        <v>0</v>
      </c>
      <c r="AQ26" s="4" t="s">
        <v>1</v>
      </c>
      <c r="AR26" s="4" t="s">
        <v>2</v>
      </c>
      <c r="AS26" s="4" t="s">
        <v>3</v>
      </c>
      <c r="AT26" s="4" t="s">
        <v>4</v>
      </c>
      <c r="AU26" s="4" t="s">
        <v>5</v>
      </c>
      <c r="AV26" s="4" t="s">
        <v>6</v>
      </c>
      <c r="AW26" s="4" t="s">
        <v>7</v>
      </c>
      <c r="AX26" s="4" t="s">
        <v>8</v>
      </c>
      <c r="AY26" s="3" t="s">
        <v>9</v>
      </c>
    </row>
    <row r="27" spans="1:51" x14ac:dyDescent="0.2">
      <c r="B27" s="1" t="s">
        <v>23</v>
      </c>
      <c r="C27" s="108">
        <f t="shared" ref="C27:K27" si="27">C7*$Z7/$M7</f>
        <v>6.7666073057377405</v>
      </c>
      <c r="D27" s="109">
        <f t="shared" si="27"/>
        <v>1.0815011075880641</v>
      </c>
      <c r="E27" s="113">
        <f t="shared" si="27"/>
        <v>0.58668288233505628</v>
      </c>
      <c r="F27" s="6">
        <f t="shared" si="27"/>
        <v>0.36089128263041309</v>
      </c>
      <c r="G27" s="6">
        <f t="shared" si="27"/>
        <v>5.5118794249229032E-2</v>
      </c>
      <c r="H27" s="6">
        <f t="shared" si="27"/>
        <v>0</v>
      </c>
      <c r="I27" s="6">
        <f t="shared" si="27"/>
        <v>1.563653737566781E-3</v>
      </c>
      <c r="J27" s="6">
        <f t="shared" si="27"/>
        <v>2.3559049646006167E-2</v>
      </c>
      <c r="K27" s="7">
        <f t="shared" si="27"/>
        <v>0.12407592407592408</v>
      </c>
      <c r="L27" s="20"/>
      <c r="M27" s="15">
        <f t="shared" ref="M27:M36" si="28">SUM(C27:K27)</f>
        <v>9.0000000000000018</v>
      </c>
      <c r="N27" s="15"/>
      <c r="P27" s="1" t="s">
        <v>16</v>
      </c>
      <c r="Q27" s="86">
        <f>'BATS 2023 AvgTourLen'!B4</f>
        <v>13.478858166719609</v>
      </c>
      <c r="R27" s="88">
        <f>modeldata!O5</f>
        <v>1</v>
      </c>
      <c r="S27" s="86">
        <f>'BATS 2023 AvgTourLen'!C4</f>
        <v>12.257546325059392</v>
      </c>
      <c r="T27" s="88">
        <f>modeldata!P5</f>
        <v>1</v>
      </c>
      <c r="U27" s="86">
        <f>'BATS 2023 AvgTourLen'!D4</f>
        <v>3.5659790479528639</v>
      </c>
      <c r="V27" s="88">
        <f>modeldata!Q5</f>
        <v>1</v>
      </c>
      <c r="AA27" s="3"/>
      <c r="AB27" s="3"/>
      <c r="AC27" s="1" t="s">
        <v>0</v>
      </c>
      <c r="AD27" s="78">
        <f t="shared" ref="AD27:AD35" si="29">Q7-C27</f>
        <v>-5.7666073057377405</v>
      </c>
      <c r="AE27" s="6">
        <f t="shared" ref="AE27:AE35" si="30">R7-D27</f>
        <v>-8.1501107588064059E-2</v>
      </c>
      <c r="AF27" s="6">
        <f t="shared" ref="AF27:AF35" si="31">S7-E27</f>
        <v>0.41331711766494372</v>
      </c>
      <c r="AG27" s="6">
        <f t="shared" ref="AG27:AG35" si="32">T7-F27</f>
        <v>0.63910871736958685</v>
      </c>
      <c r="AH27" s="6">
        <f t="shared" ref="AH27:AH35" si="33">U7-G27</f>
        <v>0.94488120575077095</v>
      </c>
      <c r="AI27" s="6">
        <f t="shared" ref="AI27:AI35" si="34">V7-H27</f>
        <v>1</v>
      </c>
      <c r="AJ27" s="6">
        <f t="shared" ref="AJ27:AJ35" si="35">W7-I27</f>
        <v>0.99843634626243327</v>
      </c>
      <c r="AK27" s="6">
        <f t="shared" ref="AK27:AK35" si="36">X7-J27</f>
        <v>0.97644095035399381</v>
      </c>
      <c r="AL27" s="7">
        <f t="shared" ref="AL27:AL35" si="37">Y7-K27</f>
        <v>0.87592407592407595</v>
      </c>
      <c r="AM27" s="15">
        <f>SUM(AD27:AL27)</f>
        <v>0</v>
      </c>
      <c r="AO27" s="1" t="s">
        <v>0</v>
      </c>
      <c r="AP27" s="80">
        <f t="shared" ref="AP27:AP36" si="38">AD27/C27</f>
        <v>-0.85221545232098062</v>
      </c>
      <c r="AQ27" s="69">
        <f t="shared" ref="AQ27:AQ36" si="39">AE27/D27</f>
        <v>-7.5359245604311703E-2</v>
      </c>
      <c r="AR27" s="69">
        <f t="shared" ref="AR27:AR36" si="40">AF27/E27</f>
        <v>0.70449834162520719</v>
      </c>
      <c r="AS27" s="69">
        <f t="shared" ref="AS27:AS36" si="41">AG27/F27</f>
        <v>1.7709175813595222</v>
      </c>
      <c r="AT27" s="69">
        <f t="shared" ref="AT27:AT36" si="42">AH27/G27</f>
        <v>17.142631993695822</v>
      </c>
      <c r="AU27" s="69" t="e">
        <f t="shared" ref="AU27:AU36" si="43">AI27/H27</f>
        <v>#DIV/0!</v>
      </c>
      <c r="AV27" s="69">
        <f t="shared" ref="AV27:AV36" si="44">AJ27/I27</f>
        <v>638.52777777777783</v>
      </c>
      <c r="AW27" s="69">
        <f t="shared" ref="AW27:AW36" si="45">AK27/J27</f>
        <v>41.446533923303832</v>
      </c>
      <c r="AX27" s="70">
        <f t="shared" ref="AX27:AX36" si="46">AL27/K27</f>
        <v>7.0595813204508859</v>
      </c>
      <c r="AY27" s="77">
        <f>AM27/M27</f>
        <v>0</v>
      </c>
    </row>
    <row r="28" spans="1:51" x14ac:dyDescent="0.2">
      <c r="B28" s="1" t="s">
        <v>24</v>
      </c>
      <c r="C28" s="9">
        <f t="shared" ref="C28:K28" si="47">C8*$Z8/$M8</f>
        <v>1.7887528326640958</v>
      </c>
      <c r="D28" s="31">
        <f t="shared" si="47"/>
        <v>5.2298433586450921</v>
      </c>
      <c r="E28" s="121">
        <f t="shared" si="47"/>
        <v>1.5486025523794378</v>
      </c>
      <c r="F28" s="114">
        <f t="shared" si="47"/>
        <v>0.38199220768894365</v>
      </c>
      <c r="G28" s="8">
        <f t="shared" si="47"/>
        <v>4.2042698684053595E-2</v>
      </c>
      <c r="H28" s="8">
        <f t="shared" si="47"/>
        <v>3.6079195324613365E-3</v>
      </c>
      <c r="I28" s="8">
        <f t="shared" si="47"/>
        <v>0</v>
      </c>
      <c r="J28" s="8">
        <f t="shared" si="47"/>
        <v>0</v>
      </c>
      <c r="K28" s="10">
        <f t="shared" si="47"/>
        <v>5.1584304059157952E-3</v>
      </c>
      <c r="L28" s="23"/>
      <c r="M28" s="15">
        <f t="shared" si="28"/>
        <v>8.9999999999999982</v>
      </c>
      <c r="N28" s="15"/>
      <c r="P28" s="1" t="s">
        <v>17</v>
      </c>
      <c r="Q28" s="89">
        <f>'BATS 2023 AvgTourLen'!B5</f>
        <v>14.273029932393513</v>
      </c>
      <c r="R28" s="91">
        <f>modeldata!O6</f>
        <v>1</v>
      </c>
      <c r="S28" s="89">
        <f>'BATS 2023 AvgTourLen'!C5</f>
        <v>10.234850318476786</v>
      </c>
      <c r="T28" s="91">
        <f>modeldata!P6</f>
        <v>1</v>
      </c>
      <c r="U28" s="89">
        <f>'BATS 2023 AvgTourLen'!D5</f>
        <v>2.462076501485539</v>
      </c>
      <c r="V28" s="91">
        <f>modeldata!Q6</f>
        <v>1</v>
      </c>
      <c r="AA28" s="15"/>
      <c r="AC28" s="1" t="s">
        <v>1</v>
      </c>
      <c r="AD28" s="9">
        <f t="shared" si="29"/>
        <v>-0.78875283266409579</v>
      </c>
      <c r="AE28" s="78">
        <f t="shared" si="30"/>
        <v>-4.2298433586450921</v>
      </c>
      <c r="AF28" s="8">
        <f t="shared" si="31"/>
        <v>-0.54860255237943778</v>
      </c>
      <c r="AG28" s="8">
        <f t="shared" si="32"/>
        <v>0.61800779231105629</v>
      </c>
      <c r="AH28" s="8">
        <f t="shared" si="33"/>
        <v>0.95795730131594636</v>
      </c>
      <c r="AI28" s="8">
        <f t="shared" si="34"/>
        <v>0.99639208046753869</v>
      </c>
      <c r="AJ28" s="8">
        <f t="shared" si="35"/>
        <v>1</v>
      </c>
      <c r="AK28" s="8">
        <f t="shared" si="36"/>
        <v>1</v>
      </c>
      <c r="AL28" s="10">
        <f t="shared" si="37"/>
        <v>0.99484156959408421</v>
      </c>
      <c r="AM28" s="15">
        <f t="shared" ref="AM28:AM35" si="48">SUM(AD28:AL28)</f>
        <v>0</v>
      </c>
      <c r="AO28" s="1" t="s">
        <v>1</v>
      </c>
      <c r="AP28" s="71">
        <f t="shared" si="38"/>
        <v>-0.4409512696560538</v>
      </c>
      <c r="AQ28" s="80">
        <f t="shared" si="39"/>
        <v>-0.80878968423653275</v>
      </c>
      <c r="AR28" s="72">
        <f t="shared" si="40"/>
        <v>-0.3542565208461696</v>
      </c>
      <c r="AS28" s="72">
        <f t="shared" si="41"/>
        <v>1.6178544480004162</v>
      </c>
      <c r="AT28" s="72">
        <f t="shared" si="42"/>
        <v>22.785342789598108</v>
      </c>
      <c r="AU28" s="72">
        <f t="shared" si="43"/>
        <v>276.16804407713499</v>
      </c>
      <c r="AV28" s="72" t="e">
        <f t="shared" si="44"/>
        <v>#DIV/0!</v>
      </c>
      <c r="AW28" s="72" t="e">
        <f t="shared" si="45"/>
        <v>#DIV/0!</v>
      </c>
      <c r="AX28" s="73">
        <f t="shared" si="46"/>
        <v>192.85741811175339</v>
      </c>
      <c r="AY28" s="77">
        <f>AM28/M28</f>
        <v>0</v>
      </c>
    </row>
    <row r="29" spans="1:51" x14ac:dyDescent="0.2">
      <c r="B29" s="1" t="s">
        <v>25</v>
      </c>
      <c r="C29" s="124">
        <f t="shared" ref="C29:K29" si="49">C9*$Z9/$M9</f>
        <v>0.20492856798912501</v>
      </c>
      <c r="D29" s="8">
        <f t="shared" si="49"/>
        <v>0.54442415465021099</v>
      </c>
      <c r="E29" s="125">
        <f t="shared" si="49"/>
        <v>7.7477044340814221</v>
      </c>
      <c r="F29" s="8">
        <f t="shared" si="49"/>
        <v>0.47698507650651722</v>
      </c>
      <c r="G29" s="8">
        <f t="shared" si="49"/>
        <v>1.7568163213903407E-2</v>
      </c>
      <c r="H29" s="8">
        <f t="shared" si="49"/>
        <v>2.1446271349040845E-3</v>
      </c>
      <c r="I29" s="8">
        <f t="shared" si="49"/>
        <v>1.466791615582068E-3</v>
      </c>
      <c r="J29" s="8">
        <f t="shared" si="49"/>
        <v>4.8893053852735601E-4</v>
      </c>
      <c r="K29" s="10">
        <f t="shared" si="49"/>
        <v>4.289254269808169E-3</v>
      </c>
      <c r="L29" s="23"/>
      <c r="M29" s="15">
        <f t="shared" si="28"/>
        <v>9</v>
      </c>
      <c r="N29" s="15"/>
      <c r="P29" s="1" t="s">
        <v>21</v>
      </c>
      <c r="Q29" s="89">
        <f>'BATS 2023 AvgTourLen'!B6</f>
        <v>20.275992653885325</v>
      </c>
      <c r="R29" s="91">
        <f>modeldata!O7</f>
        <v>1</v>
      </c>
      <c r="S29" s="89">
        <f>'BATS 2023 AvgTourLen'!C6</f>
        <v>15.549999999999999</v>
      </c>
      <c r="T29" s="91">
        <f>modeldata!P7</f>
        <v>1</v>
      </c>
      <c r="U29" s="89">
        <f>'BATS 2023 AvgTourLen'!D6</f>
        <v>2.4674031833785954</v>
      </c>
      <c r="V29" s="91">
        <f>modeldata!Q7</f>
        <v>1</v>
      </c>
      <c r="W29" s="72"/>
      <c r="X29" s="72"/>
      <c r="Y29" s="72"/>
      <c r="Z29" s="84"/>
      <c r="AA29" s="15"/>
      <c r="AC29" s="1" t="s">
        <v>2</v>
      </c>
      <c r="AD29" s="9">
        <f t="shared" si="29"/>
        <v>0.79507143201087493</v>
      </c>
      <c r="AE29" s="8">
        <f t="shared" si="30"/>
        <v>0.45557584534978901</v>
      </c>
      <c r="AF29" s="78">
        <f t="shared" si="31"/>
        <v>-6.7477044340814221</v>
      </c>
      <c r="AG29" s="8">
        <f t="shared" si="32"/>
        <v>0.52301492349348278</v>
      </c>
      <c r="AH29" s="8">
        <f t="shared" si="33"/>
        <v>0.98243183678609658</v>
      </c>
      <c r="AI29" s="8">
        <f t="shared" si="34"/>
        <v>0.99785537286509596</v>
      </c>
      <c r="AJ29" s="8">
        <f t="shared" si="35"/>
        <v>0.99853320838441795</v>
      </c>
      <c r="AK29" s="8">
        <f t="shared" si="36"/>
        <v>0.99951106946147261</v>
      </c>
      <c r="AL29" s="10">
        <f t="shared" si="37"/>
        <v>0.9957107457301918</v>
      </c>
      <c r="AM29" s="15">
        <f t="shared" si="48"/>
        <v>0</v>
      </c>
      <c r="AO29" s="1" t="s">
        <v>2</v>
      </c>
      <c r="AP29" s="71">
        <f t="shared" si="38"/>
        <v>3.8797491233777963</v>
      </c>
      <c r="AQ29" s="72">
        <f t="shared" si="39"/>
        <v>0.83680314596345118</v>
      </c>
      <c r="AR29" s="80">
        <f t="shared" si="40"/>
        <v>-0.87092951099152749</v>
      </c>
      <c r="AS29" s="72">
        <f t="shared" si="41"/>
        <v>1.0965016501650164</v>
      </c>
      <c r="AT29" s="72">
        <f t="shared" si="42"/>
        <v>55.921146953405014</v>
      </c>
      <c r="AU29" s="72">
        <f t="shared" si="43"/>
        <v>465.28151986183076</v>
      </c>
      <c r="AV29" s="72">
        <f t="shared" si="44"/>
        <v>680.76010101010104</v>
      </c>
      <c r="AW29" s="72">
        <f t="shared" si="45"/>
        <v>2044.280303030303</v>
      </c>
      <c r="AX29" s="73">
        <f t="shared" si="46"/>
        <v>232.14075993091535</v>
      </c>
      <c r="AY29" s="77">
        <f t="shared" ref="AY29:AY36" si="50">AM29/M29</f>
        <v>0</v>
      </c>
    </row>
    <row r="30" spans="1:51" x14ac:dyDescent="0.2">
      <c r="B30" s="1" t="s">
        <v>26</v>
      </c>
      <c r="C30" s="9">
        <f t="shared" ref="C30:K30" si="51">C10*$Z10/$M10</f>
        <v>1.1391298457995502</v>
      </c>
      <c r="D30" s="8">
        <f t="shared" si="51"/>
        <v>0.60002401444561271</v>
      </c>
      <c r="E30" s="168">
        <f t="shared" si="51"/>
        <v>1.109896876428744</v>
      </c>
      <c r="F30" s="31">
        <f t="shared" si="51"/>
        <v>5.6341907208797908</v>
      </c>
      <c r="G30" s="8">
        <f t="shared" si="51"/>
        <v>0.44683494224987647</v>
      </c>
      <c r="H30" s="8">
        <f t="shared" si="51"/>
        <v>1.2427475604555972E-2</v>
      </c>
      <c r="I30" s="8">
        <f t="shared" si="51"/>
        <v>5.4309592385573474E-3</v>
      </c>
      <c r="J30" s="8">
        <f t="shared" si="51"/>
        <v>1.7899998306673708E-2</v>
      </c>
      <c r="K30" s="10">
        <f t="shared" si="51"/>
        <v>3.4165167046638821E-2</v>
      </c>
      <c r="L30" s="23"/>
      <c r="M30" s="15">
        <f t="shared" si="28"/>
        <v>9.0000000000000018</v>
      </c>
      <c r="N30" s="15"/>
      <c r="P30" s="1" t="s">
        <v>19</v>
      </c>
      <c r="Q30" s="89">
        <f>'BATS 2023 AvgTourLen'!B7</f>
        <v>11.422707797015493</v>
      </c>
      <c r="R30" s="91">
        <f>modeldata!O8</f>
        <v>1</v>
      </c>
      <c r="S30" s="89">
        <f>'BATS 2023 AvgTourLen'!C7</f>
        <v>28.609556441572497</v>
      </c>
      <c r="T30" s="91">
        <f>modeldata!P8</f>
        <v>1</v>
      </c>
      <c r="U30" s="89">
        <f>'BATS 2023 AvgTourLen'!D7</f>
        <v>3.1062498487065544</v>
      </c>
      <c r="V30" s="91">
        <f>modeldata!Q8</f>
        <v>1</v>
      </c>
      <c r="W30" s="72"/>
      <c r="X30" s="72"/>
      <c r="Y30" s="72"/>
      <c r="Z30" s="84"/>
      <c r="AA30" s="15"/>
      <c r="AC30" s="1" t="s">
        <v>3</v>
      </c>
      <c r="AD30" s="9">
        <f t="shared" si="29"/>
        <v>-0.13912984579955023</v>
      </c>
      <c r="AE30" s="8">
        <f t="shared" si="30"/>
        <v>0.39997598555438729</v>
      </c>
      <c r="AF30" s="8">
        <f t="shared" si="31"/>
        <v>-0.10989687642874402</v>
      </c>
      <c r="AG30" s="78">
        <f t="shared" si="32"/>
        <v>-4.6341907208797908</v>
      </c>
      <c r="AH30" s="8">
        <f t="shared" si="33"/>
        <v>0.55316505775012348</v>
      </c>
      <c r="AI30" s="8">
        <f t="shared" si="34"/>
        <v>0.98757252439544407</v>
      </c>
      <c r="AJ30" s="8">
        <f t="shared" si="35"/>
        <v>0.9945690407614427</v>
      </c>
      <c r="AK30" s="8">
        <f t="shared" si="36"/>
        <v>0.98210000169332634</v>
      </c>
      <c r="AL30" s="10">
        <f t="shared" si="37"/>
        <v>0.96583483295336114</v>
      </c>
      <c r="AM30" s="15">
        <f t="shared" si="48"/>
        <v>0</v>
      </c>
      <c r="AO30" s="1" t="s">
        <v>3</v>
      </c>
      <c r="AP30" s="71">
        <f t="shared" si="38"/>
        <v>-0.1221369506844021</v>
      </c>
      <c r="AQ30" s="72">
        <f t="shared" si="39"/>
        <v>0.66659996254306897</v>
      </c>
      <c r="AR30" s="72">
        <f t="shared" si="40"/>
        <v>-9.9015393918715527E-2</v>
      </c>
      <c r="AS30" s="80">
        <f t="shared" si="41"/>
        <v>-0.82251222055829731</v>
      </c>
      <c r="AT30" s="72">
        <f t="shared" si="42"/>
        <v>1.2379628481265588</v>
      </c>
      <c r="AU30" s="72">
        <f t="shared" si="43"/>
        <v>79.466864858169203</v>
      </c>
      <c r="AV30" s="72">
        <f t="shared" si="44"/>
        <v>183.12953514739232</v>
      </c>
      <c r="AW30" s="72">
        <f t="shared" si="45"/>
        <v>54.865927072583418</v>
      </c>
      <c r="AX30" s="73">
        <f t="shared" si="46"/>
        <v>28.269577363251329</v>
      </c>
      <c r="AY30" s="77">
        <f t="shared" si="50"/>
        <v>0</v>
      </c>
    </row>
    <row r="31" spans="1:51" x14ac:dyDescent="0.2">
      <c r="B31" s="1" t="s">
        <v>27</v>
      </c>
      <c r="C31" s="9">
        <f t="shared" ref="C31:K31" si="52">C11*$Z11/$M11</f>
        <v>1.0384338713616483</v>
      </c>
      <c r="D31" s="169">
        <f t="shared" si="52"/>
        <v>0.29105481672254169</v>
      </c>
      <c r="E31" s="169">
        <f t="shared" si="52"/>
        <v>0.39963588730267979</v>
      </c>
      <c r="F31" s="8">
        <f t="shared" si="52"/>
        <v>1.8555693701294376</v>
      </c>
      <c r="G31" s="31">
        <f t="shared" si="52"/>
        <v>5.001902710863436</v>
      </c>
      <c r="H31" s="8">
        <f t="shared" si="52"/>
        <v>0.18619035989431851</v>
      </c>
      <c r="I31" s="8">
        <f t="shared" si="52"/>
        <v>3.2590306609533534E-2</v>
      </c>
      <c r="J31" s="8">
        <f t="shared" si="52"/>
        <v>3.8145245443040786E-2</v>
      </c>
      <c r="K31" s="10">
        <f t="shared" si="52"/>
        <v>0.15647743167336428</v>
      </c>
      <c r="L31" s="23"/>
      <c r="M31" s="15">
        <f t="shared" si="28"/>
        <v>9</v>
      </c>
      <c r="N31" s="15"/>
      <c r="P31" s="1" t="s">
        <v>13</v>
      </c>
      <c r="Q31" s="89">
        <f>'BATS 2023 AvgTourLen'!B8</f>
        <v>8.9433646351303597</v>
      </c>
      <c r="R31" s="91">
        <f>modeldata!O9</f>
        <v>1</v>
      </c>
      <c r="S31" s="89">
        <f>'BATS 2023 AvgTourLen'!C8</f>
        <v>6.195719514273077</v>
      </c>
      <c r="T31" s="91">
        <f>modeldata!P9</f>
        <v>1</v>
      </c>
      <c r="U31" s="89">
        <f>'BATS 2023 AvgTourLen'!D8</f>
        <v>3.141779143211703</v>
      </c>
      <c r="V31" s="90">
        <f>modeldata!Q9</f>
        <v>1</v>
      </c>
      <c r="W31" s="72"/>
      <c r="X31" s="72"/>
      <c r="Y31" s="72"/>
      <c r="Z31" s="84"/>
      <c r="AA31" s="15"/>
      <c r="AC31" s="1" t="s">
        <v>4</v>
      </c>
      <c r="AD31" s="9">
        <f t="shared" si="29"/>
        <v>-3.8433871361648331E-2</v>
      </c>
      <c r="AE31" s="8">
        <f t="shared" si="30"/>
        <v>0.70894518327745826</v>
      </c>
      <c r="AF31" s="8">
        <f t="shared" si="31"/>
        <v>0.60036411269732026</v>
      </c>
      <c r="AG31" s="8">
        <f t="shared" si="32"/>
        <v>-0.85556937012943757</v>
      </c>
      <c r="AH31" s="78">
        <f t="shared" si="33"/>
        <v>-4.001902710863436</v>
      </c>
      <c r="AI31" s="8">
        <f t="shared" si="34"/>
        <v>0.81380964010568146</v>
      </c>
      <c r="AJ31" s="8">
        <f t="shared" si="35"/>
        <v>0.96740969339046645</v>
      </c>
      <c r="AK31" s="8">
        <f t="shared" si="36"/>
        <v>0.96185475455695923</v>
      </c>
      <c r="AL31" s="10">
        <f t="shared" si="37"/>
        <v>0.84352256832663575</v>
      </c>
      <c r="AM31" s="15">
        <f t="shared" si="48"/>
        <v>-8.8817841970012523E-16</v>
      </c>
      <c r="AO31" s="1" t="s">
        <v>4</v>
      </c>
      <c r="AP31" s="71">
        <f t="shared" si="38"/>
        <v>-3.7011380716281767E-2</v>
      </c>
      <c r="AQ31" s="72">
        <f t="shared" si="39"/>
        <v>2.4357789067386757</v>
      </c>
      <c r="AR31" s="72">
        <f t="shared" si="40"/>
        <v>1.5022777777777778</v>
      </c>
      <c r="AS31" s="72">
        <f t="shared" si="41"/>
        <v>-0.46108185654614264</v>
      </c>
      <c r="AT31" s="80">
        <f t="shared" si="42"/>
        <v>-0.80007607948308568</v>
      </c>
      <c r="AU31" s="72">
        <f t="shared" si="43"/>
        <v>4.3708473444468297</v>
      </c>
      <c r="AV31" s="72">
        <f t="shared" si="44"/>
        <v>29.683970297704203</v>
      </c>
      <c r="AW31" s="72">
        <f t="shared" si="45"/>
        <v>25.215586985623656</v>
      </c>
      <c r="AX31" s="73">
        <f t="shared" si="46"/>
        <v>5.3906979383929965</v>
      </c>
      <c r="AY31" s="77">
        <f t="shared" si="50"/>
        <v>-9.8686491077791687E-17</v>
      </c>
    </row>
    <row r="32" spans="1:51" x14ac:dyDescent="0.2">
      <c r="B32" s="1" t="s">
        <v>28</v>
      </c>
      <c r="C32" s="9">
        <f t="shared" ref="C32:K32" si="53">C12*$Z12/$M12</f>
        <v>0.36839502804821905</v>
      </c>
      <c r="D32" s="8">
        <f t="shared" si="53"/>
        <v>0.16552711896196012</v>
      </c>
      <c r="E32" s="8">
        <f t="shared" si="53"/>
        <v>0.15146038295623113</v>
      </c>
      <c r="F32" s="8">
        <f t="shared" si="53"/>
        <v>0.61561151937799452</v>
      </c>
      <c r="G32" s="8">
        <f t="shared" si="53"/>
        <v>1.1309144230933179</v>
      </c>
      <c r="H32" s="31">
        <f t="shared" si="53"/>
        <v>5.4153352998346094</v>
      </c>
      <c r="I32" s="8">
        <f t="shared" si="53"/>
        <v>0.85510409384644237</v>
      </c>
      <c r="J32" s="8">
        <f t="shared" si="53"/>
        <v>0.1034288734675783</v>
      </c>
      <c r="K32" s="10">
        <f t="shared" si="53"/>
        <v>0.19422326041364729</v>
      </c>
      <c r="L32" s="23"/>
      <c r="M32" s="15">
        <f t="shared" si="28"/>
        <v>9</v>
      </c>
      <c r="N32" s="15"/>
      <c r="P32" s="1" t="s">
        <v>14</v>
      </c>
      <c r="Q32" s="89">
        <f>'BATS 2023 AvgTourLen'!B9</f>
        <v>10.843594187412783</v>
      </c>
      <c r="R32" s="91">
        <f>modeldata!O10</f>
        <v>1</v>
      </c>
      <c r="S32" s="89">
        <f>'BATS 2023 AvgTourLen'!C9</f>
        <v>6.7822601966679175</v>
      </c>
      <c r="T32" s="91">
        <f>modeldata!P10</f>
        <v>1</v>
      </c>
      <c r="U32" s="89">
        <f>'BATS 2023 AvgTourLen'!D9</f>
        <v>1.8678717442097548</v>
      </c>
      <c r="V32" s="90">
        <f>modeldata!Q10</f>
        <v>1</v>
      </c>
      <c r="AA32" s="15"/>
      <c r="AC32" s="1" t="s">
        <v>5</v>
      </c>
      <c r="AD32" s="9">
        <f t="shared" si="29"/>
        <v>0.63160497195178089</v>
      </c>
      <c r="AE32" s="8">
        <f t="shared" si="30"/>
        <v>0.83447288103803985</v>
      </c>
      <c r="AF32" s="8">
        <f t="shared" si="31"/>
        <v>0.8485396170437689</v>
      </c>
      <c r="AG32" s="8">
        <f t="shared" si="32"/>
        <v>0.38438848062200548</v>
      </c>
      <c r="AH32" s="8">
        <f t="shared" si="33"/>
        <v>-0.13091442309331791</v>
      </c>
      <c r="AI32" s="78">
        <f t="shared" si="34"/>
        <v>-4.4153352998346094</v>
      </c>
      <c r="AJ32" s="8">
        <f t="shared" si="35"/>
        <v>0.14489590615355763</v>
      </c>
      <c r="AK32" s="8">
        <f t="shared" si="36"/>
        <v>0.89657112653242166</v>
      </c>
      <c r="AL32" s="10">
        <f t="shared" si="37"/>
        <v>0.80577673958635265</v>
      </c>
      <c r="AM32" s="15">
        <f t="shared" si="48"/>
        <v>0</v>
      </c>
      <c r="AO32" s="1" t="s">
        <v>5</v>
      </c>
      <c r="AP32" s="71">
        <f t="shared" si="38"/>
        <v>1.7144774599648245</v>
      </c>
      <c r="AQ32" s="72">
        <f t="shared" si="39"/>
        <v>5.0413061392665846</v>
      </c>
      <c r="AR32" s="72">
        <f t="shared" si="40"/>
        <v>5.602386581109986</v>
      </c>
      <c r="AS32" s="72">
        <f t="shared" si="41"/>
        <v>0.62440105248580524</v>
      </c>
      <c r="AT32" s="72">
        <f t="shared" si="42"/>
        <v>-0.11575979616144258</v>
      </c>
      <c r="AU32" s="80">
        <f t="shared" si="43"/>
        <v>-0.81533922746564902</v>
      </c>
      <c r="AV32" s="72">
        <f t="shared" si="44"/>
        <v>0.1694482662359674</v>
      </c>
      <c r="AW32" s="72">
        <f t="shared" si="45"/>
        <v>8.6684800527530506</v>
      </c>
      <c r="AX32" s="73">
        <f t="shared" si="46"/>
        <v>4.1487138969361776</v>
      </c>
      <c r="AY32" s="77">
        <f t="shared" si="50"/>
        <v>0</v>
      </c>
    </row>
    <row r="33" spans="1:53" x14ac:dyDescent="0.2">
      <c r="B33" s="1" t="s">
        <v>29</v>
      </c>
      <c r="C33" s="9">
        <f t="shared" ref="C33:K33" si="54">C13*$Z13/$M13</f>
        <v>0.3043897732754462</v>
      </c>
      <c r="D33" s="8">
        <f t="shared" si="54"/>
        <v>4.9204052098408106E-2</v>
      </c>
      <c r="E33" s="8">
        <f t="shared" si="54"/>
        <v>7.2358900144717797E-2</v>
      </c>
      <c r="F33" s="8">
        <f t="shared" si="54"/>
        <v>0.13716031516320951</v>
      </c>
      <c r="G33" s="8">
        <f t="shared" si="54"/>
        <v>0.20003215951117542</v>
      </c>
      <c r="H33" s="8">
        <f t="shared" si="54"/>
        <v>0.80623894516803341</v>
      </c>
      <c r="I33" s="31">
        <f t="shared" si="54"/>
        <v>7.0477568740955139</v>
      </c>
      <c r="J33" s="8">
        <f t="shared" si="54"/>
        <v>0.26226081363563275</v>
      </c>
      <c r="K33" s="10">
        <f t="shared" si="54"/>
        <v>0.120598166907863</v>
      </c>
      <c r="L33" s="23"/>
      <c r="M33" s="15">
        <f t="shared" si="28"/>
        <v>9</v>
      </c>
      <c r="N33" s="15"/>
      <c r="P33" s="1" t="s">
        <v>15</v>
      </c>
      <c r="Q33" s="89">
        <f>'BATS 2023 AvgTourLen'!B10</f>
        <v>10.171676583203187</v>
      </c>
      <c r="R33" s="91">
        <f>modeldata!O11</f>
        <v>1</v>
      </c>
      <c r="S33" s="89">
        <f>'BATS 2023 AvgTourLen'!C10</f>
        <v>7.9561303613279648</v>
      </c>
      <c r="T33" s="91">
        <f>modeldata!P11</f>
        <v>1</v>
      </c>
      <c r="U33" s="89">
        <f>'BATS 2023 AvgTourLen'!D10</f>
        <v>2.6097055016212107</v>
      </c>
      <c r="V33" s="91">
        <f>modeldata!Q11</f>
        <v>1</v>
      </c>
      <c r="AA33" s="15"/>
      <c r="AC33" s="1" t="s">
        <v>6</v>
      </c>
      <c r="AD33" s="9">
        <f t="shared" si="29"/>
        <v>0.69561022672455386</v>
      </c>
      <c r="AE33" s="8">
        <f t="shared" si="30"/>
        <v>0.95079594790159194</v>
      </c>
      <c r="AF33" s="8">
        <f t="shared" si="31"/>
        <v>0.9276410998552822</v>
      </c>
      <c r="AG33" s="8">
        <f t="shared" si="32"/>
        <v>0.86283968483679052</v>
      </c>
      <c r="AH33" s="8">
        <f t="shared" si="33"/>
        <v>0.79996784048882463</v>
      </c>
      <c r="AI33" s="8">
        <f t="shared" si="34"/>
        <v>0.19376105483196659</v>
      </c>
      <c r="AJ33" s="78">
        <f t="shared" si="35"/>
        <v>-6.0477568740955139</v>
      </c>
      <c r="AK33" s="8">
        <f t="shared" si="36"/>
        <v>0.73773918636436719</v>
      </c>
      <c r="AL33" s="10">
        <f t="shared" si="37"/>
        <v>0.87940183309213704</v>
      </c>
      <c r="AM33" s="15">
        <f t="shared" si="48"/>
        <v>0</v>
      </c>
      <c r="AO33" s="1" t="s">
        <v>6</v>
      </c>
      <c r="AP33" s="71">
        <f t="shared" si="38"/>
        <v>2.285261489698891</v>
      </c>
      <c r="AQ33" s="72">
        <f t="shared" si="39"/>
        <v>19.323529411764707</v>
      </c>
      <c r="AR33" s="72">
        <f t="shared" si="40"/>
        <v>12.82</v>
      </c>
      <c r="AS33" s="72">
        <f t="shared" si="41"/>
        <v>6.2907385697538114</v>
      </c>
      <c r="AT33" s="72">
        <f t="shared" si="42"/>
        <v>3.9991961414791</v>
      </c>
      <c r="AU33" s="72">
        <f t="shared" si="43"/>
        <v>0.2403270841643399</v>
      </c>
      <c r="AV33" s="80">
        <f t="shared" si="44"/>
        <v>-0.85811088295687887</v>
      </c>
      <c r="AW33" s="72">
        <f t="shared" si="45"/>
        <v>2.8129981606376453</v>
      </c>
      <c r="AX33" s="73">
        <f t="shared" si="46"/>
        <v>7.2920000000000007</v>
      </c>
      <c r="AY33" s="77">
        <f t="shared" si="50"/>
        <v>0</v>
      </c>
    </row>
    <row r="34" spans="1:53" x14ac:dyDescent="0.2">
      <c r="B34" s="1" t="s">
        <v>30</v>
      </c>
      <c r="C34" s="9">
        <f t="shared" ref="C34:K34" si="55">C14*$Z14/$M14</f>
        <v>0.25226559776925755</v>
      </c>
      <c r="D34" s="8">
        <f t="shared" si="55"/>
        <v>5.7642035552457303E-2</v>
      </c>
      <c r="E34" s="8">
        <f t="shared" si="55"/>
        <v>2.9147786685256187E-2</v>
      </c>
      <c r="F34" s="8">
        <f t="shared" si="55"/>
        <v>6.4438828860230044E-2</v>
      </c>
      <c r="G34" s="8">
        <f t="shared" si="55"/>
        <v>4.3830602997560128E-2</v>
      </c>
      <c r="H34" s="8">
        <f t="shared" si="55"/>
        <v>1.4377831997211573E-2</v>
      </c>
      <c r="I34" s="8">
        <f t="shared" si="55"/>
        <v>0.17366678285116766</v>
      </c>
      <c r="J34" s="31">
        <f t="shared" si="55"/>
        <v>7.7957912164517253</v>
      </c>
      <c r="K34" s="10">
        <f t="shared" si="55"/>
        <v>0.56883931683513422</v>
      </c>
      <c r="L34" s="23"/>
      <c r="M34" s="15">
        <f t="shared" si="28"/>
        <v>9</v>
      </c>
      <c r="N34" s="15"/>
      <c r="P34" s="1" t="s">
        <v>18</v>
      </c>
      <c r="Q34" s="89">
        <f>'BATS 2023 AvgTourLen'!B11</f>
        <v>15.79007273936133</v>
      </c>
      <c r="R34" s="91">
        <f>modeldata!O12</f>
        <v>1</v>
      </c>
      <c r="S34" s="89">
        <f>'BATS 2023 AvgTourLen'!C11</f>
        <v>18.949047822464216</v>
      </c>
      <c r="T34" s="91">
        <f>modeldata!P12</f>
        <v>1</v>
      </c>
      <c r="U34" s="89">
        <f>'BATS 2023 AvgTourLen'!D11</f>
        <v>3.5316702314565247</v>
      </c>
      <c r="V34" s="91">
        <f>modeldata!Q12</f>
        <v>1</v>
      </c>
      <c r="AA34" s="15"/>
      <c r="AC34" s="1" t="s">
        <v>7</v>
      </c>
      <c r="AD34" s="9">
        <f t="shared" si="29"/>
        <v>0.74773440223074239</v>
      </c>
      <c r="AE34" s="8">
        <f t="shared" si="30"/>
        <v>0.94235796444754272</v>
      </c>
      <c r="AF34" s="8">
        <f t="shared" si="31"/>
        <v>0.97085221331474381</v>
      </c>
      <c r="AG34" s="8">
        <f t="shared" si="32"/>
        <v>0.93556117113977</v>
      </c>
      <c r="AH34" s="8">
        <f t="shared" si="33"/>
        <v>0.95616939700243986</v>
      </c>
      <c r="AI34" s="8">
        <f t="shared" si="34"/>
        <v>0.98562216800278846</v>
      </c>
      <c r="AJ34" s="8">
        <f t="shared" si="35"/>
        <v>0.82633321714883234</v>
      </c>
      <c r="AK34" s="78">
        <f t="shared" si="36"/>
        <v>-6.7957912164517253</v>
      </c>
      <c r="AL34" s="10">
        <f t="shared" si="37"/>
        <v>0.43116068316486578</v>
      </c>
      <c r="AM34" s="15">
        <f t="shared" si="48"/>
        <v>4.4408920985006262E-16</v>
      </c>
      <c r="AO34" s="1" t="s">
        <v>7</v>
      </c>
      <c r="AP34" s="71">
        <f t="shared" si="38"/>
        <v>2.9640759930915372</v>
      </c>
      <c r="AQ34" s="72">
        <f t="shared" si="39"/>
        <v>16.348450491307634</v>
      </c>
      <c r="AR34" s="72">
        <f t="shared" si="40"/>
        <v>33.307922272047833</v>
      </c>
      <c r="AS34" s="72">
        <f t="shared" si="41"/>
        <v>14.518593644354295</v>
      </c>
      <c r="AT34" s="72">
        <f t="shared" si="42"/>
        <v>21.815109343936381</v>
      </c>
      <c r="AU34" s="72">
        <f t="shared" si="43"/>
        <v>68.551515151515147</v>
      </c>
      <c r="AV34" s="72">
        <f t="shared" si="44"/>
        <v>4.7581535373808332</v>
      </c>
      <c r="AW34" s="80">
        <f t="shared" si="45"/>
        <v>-0.87172565654533363</v>
      </c>
      <c r="AX34" s="73">
        <f t="shared" si="46"/>
        <v>0.75796568627450966</v>
      </c>
      <c r="AY34" s="77">
        <f t="shared" si="50"/>
        <v>4.9343245538895844E-17</v>
      </c>
    </row>
    <row r="35" spans="1:53" x14ac:dyDescent="0.2">
      <c r="B35" s="1" t="s">
        <v>31</v>
      </c>
      <c r="C35" s="11">
        <f t="shared" ref="C35:K35" si="56">C15*$Z15/$M15</f>
        <v>1.6675165731769506</v>
      </c>
      <c r="D35" s="12">
        <f t="shared" si="56"/>
        <v>0.49444161142274351</v>
      </c>
      <c r="E35" s="12">
        <f t="shared" si="56"/>
        <v>0.12126466088730239</v>
      </c>
      <c r="F35" s="12">
        <f t="shared" si="56"/>
        <v>0.3217746047934727</v>
      </c>
      <c r="G35" s="12">
        <f t="shared" si="56"/>
        <v>5.5889852116267208E-2</v>
      </c>
      <c r="H35" s="12">
        <f t="shared" si="56"/>
        <v>4.0795512493625704E-3</v>
      </c>
      <c r="I35" s="12">
        <f t="shared" si="56"/>
        <v>7.0372259051504332E-3</v>
      </c>
      <c r="J35" s="12">
        <f t="shared" si="56"/>
        <v>0.38184599694033655</v>
      </c>
      <c r="K35" s="83">
        <f t="shared" si="56"/>
        <v>5.9461499235084139</v>
      </c>
      <c r="L35" s="21"/>
      <c r="M35" s="15">
        <f t="shared" si="28"/>
        <v>9</v>
      </c>
      <c r="N35" s="15"/>
      <c r="P35" s="1" t="s">
        <v>20</v>
      </c>
      <c r="Q35" s="92">
        <f>'BATS 2023 AvgTourLen'!B12</f>
        <v>13.133524058379606</v>
      </c>
      <c r="R35" s="94">
        <f>modeldata!O13</f>
        <v>1</v>
      </c>
      <c r="S35" s="92">
        <f>'BATS 2023 AvgTourLen'!C12</f>
        <v>6.6216269799548959</v>
      </c>
      <c r="T35" s="94">
        <f>modeldata!P13</f>
        <v>1</v>
      </c>
      <c r="U35" s="92">
        <f>'BATS 2023 AvgTourLen'!D12</f>
        <v>10.156208179931566</v>
      </c>
      <c r="V35" s="94">
        <f>modeldata!Q13</f>
        <v>1</v>
      </c>
      <c r="AA35" s="15"/>
      <c r="AC35" s="1" t="s">
        <v>8</v>
      </c>
      <c r="AD35" s="11">
        <f t="shared" si="29"/>
        <v>-0.66751657317695057</v>
      </c>
      <c r="AE35" s="12">
        <f t="shared" si="30"/>
        <v>0.50555838857725655</v>
      </c>
      <c r="AF35" s="12">
        <f t="shared" si="31"/>
        <v>0.87873533911269763</v>
      </c>
      <c r="AG35" s="12">
        <f t="shared" si="32"/>
        <v>0.67822539520652736</v>
      </c>
      <c r="AH35" s="12">
        <f t="shared" si="33"/>
        <v>0.94411014788373282</v>
      </c>
      <c r="AI35" s="12">
        <f t="shared" si="34"/>
        <v>0.99592044875063745</v>
      </c>
      <c r="AJ35" s="12">
        <f t="shared" si="35"/>
        <v>0.99296277409484957</v>
      </c>
      <c r="AK35" s="12">
        <f t="shared" si="36"/>
        <v>0.6181540030596635</v>
      </c>
      <c r="AL35" s="78">
        <f t="shared" si="37"/>
        <v>-4.9461499235084139</v>
      </c>
      <c r="AM35" s="15">
        <f t="shared" si="48"/>
        <v>0</v>
      </c>
      <c r="AO35" s="1" t="s">
        <v>8</v>
      </c>
      <c r="AP35" s="74">
        <f t="shared" si="38"/>
        <v>-0.40030581039755353</v>
      </c>
      <c r="AQ35" s="75">
        <f t="shared" si="39"/>
        <v>1.022483498349835</v>
      </c>
      <c r="AR35" s="75">
        <f t="shared" si="40"/>
        <v>7.2464255677039535</v>
      </c>
      <c r="AS35" s="75">
        <f t="shared" si="41"/>
        <v>2.1077654516640258</v>
      </c>
      <c r="AT35" s="75">
        <f t="shared" si="42"/>
        <v>16.892335766423358</v>
      </c>
      <c r="AU35" s="75">
        <f t="shared" si="43"/>
        <v>244.125</v>
      </c>
      <c r="AV35" s="75">
        <f t="shared" si="44"/>
        <v>141.10144927536231</v>
      </c>
      <c r="AW35" s="75">
        <f t="shared" si="45"/>
        <v>1.6188568376068377</v>
      </c>
      <c r="AX35" s="80">
        <f t="shared" si="46"/>
        <v>-0.83182395115090391</v>
      </c>
      <c r="AY35" s="77">
        <f t="shared" si="50"/>
        <v>0</v>
      </c>
    </row>
    <row r="36" spans="1:53" s="3" customFormat="1" x14ac:dyDescent="0.2">
      <c r="A36" s="1"/>
      <c r="B36" s="14" t="s">
        <v>9</v>
      </c>
      <c r="C36" s="17">
        <f>SUM(C27:C35)</f>
        <v>13.530419395822033</v>
      </c>
      <c r="D36" s="17">
        <f t="shared" ref="D36:K36" si="57">SUM(D27:D35)</f>
        <v>8.5136622700870905</v>
      </c>
      <c r="E36" s="17">
        <f t="shared" si="57"/>
        <v>11.766754363200846</v>
      </c>
      <c r="F36" s="17">
        <f t="shared" si="57"/>
        <v>9.8486139260300085</v>
      </c>
      <c r="G36" s="17">
        <f t="shared" si="57"/>
        <v>6.9941343469788189</v>
      </c>
      <c r="H36" s="17">
        <f t="shared" si="57"/>
        <v>6.4444020104154562</v>
      </c>
      <c r="I36" s="17">
        <f t="shared" si="57"/>
        <v>8.1246166878995147</v>
      </c>
      <c r="J36" s="17">
        <f t="shared" si="57"/>
        <v>8.6234201244295203</v>
      </c>
      <c r="K36" s="17">
        <f t="shared" si="57"/>
        <v>7.1539768751367099</v>
      </c>
      <c r="L36" s="19"/>
      <c r="M36" s="15">
        <f t="shared" si="28"/>
        <v>80.999999999999986</v>
      </c>
      <c r="N36" s="15"/>
      <c r="O36" s="1"/>
      <c r="P36" s="1" t="s">
        <v>59</v>
      </c>
      <c r="Q36" s="90">
        <f>'BATS 2023 AvgTourLen'!B13</f>
        <v>12.099386521632329</v>
      </c>
      <c r="R36" s="90">
        <f>modeldata!O14</f>
        <v>1</v>
      </c>
      <c r="S36" s="90">
        <f>'BATS 2023 AvgTourLen'!C13</f>
        <v>10.581891147746754</v>
      </c>
      <c r="T36" s="90">
        <f>modeldata!P14</f>
        <v>1</v>
      </c>
      <c r="U36" s="90">
        <f>'BATS 2023 AvgTourLen'!D13</f>
        <v>3.2631097869156327</v>
      </c>
      <c r="V36" s="90">
        <f>modeldata!Q14</f>
        <v>1</v>
      </c>
      <c r="AA36" s="15"/>
      <c r="AB36" s="1"/>
      <c r="AC36" s="14" t="s">
        <v>9</v>
      </c>
      <c r="AD36" s="15">
        <f t="shared" ref="AD36:AM36" si="58">SUM(AD27:AD35)</f>
        <v>-4.5304193958220322</v>
      </c>
      <c r="AE36" s="15">
        <f t="shared" si="58"/>
        <v>0.48633772991290958</v>
      </c>
      <c r="AF36" s="15">
        <f t="shared" si="58"/>
        <v>-2.7667543632008482</v>
      </c>
      <c r="AG36" s="15">
        <f t="shared" si="58"/>
        <v>-0.84861392603000874</v>
      </c>
      <c r="AH36" s="15">
        <f t="shared" si="58"/>
        <v>2.0058656530211811</v>
      </c>
      <c r="AI36" s="15">
        <f t="shared" si="58"/>
        <v>2.5555979895845433</v>
      </c>
      <c r="AJ36" s="15">
        <f t="shared" si="58"/>
        <v>0.87538331210048592</v>
      </c>
      <c r="AK36" s="15">
        <f t="shared" si="58"/>
        <v>0.37657987557047901</v>
      </c>
      <c r="AL36" s="15">
        <f t="shared" si="58"/>
        <v>1.846023124863291</v>
      </c>
      <c r="AM36" s="15">
        <f t="shared" si="58"/>
        <v>-4.4408920985006262E-16</v>
      </c>
      <c r="AN36" s="1"/>
      <c r="AO36" s="14" t="s">
        <v>9</v>
      </c>
      <c r="AP36" s="77">
        <f t="shared" si="38"/>
        <v>-0.33483214845660658</v>
      </c>
      <c r="AQ36" s="77">
        <f t="shared" si="39"/>
        <v>5.7124386014426029E-2</v>
      </c>
      <c r="AR36" s="77">
        <f t="shared" si="40"/>
        <v>-0.23513317927784319</v>
      </c>
      <c r="AS36" s="77">
        <f t="shared" si="41"/>
        <v>-8.6165823171026293E-2</v>
      </c>
      <c r="AT36" s="77">
        <f t="shared" si="42"/>
        <v>0.28679255409036192</v>
      </c>
      <c r="AU36" s="77">
        <f t="shared" si="43"/>
        <v>0.39656091991998332</v>
      </c>
      <c r="AV36" s="77">
        <f t="shared" si="44"/>
        <v>0.10774456761809421</v>
      </c>
      <c r="AW36" s="77">
        <f t="shared" si="45"/>
        <v>4.3669433952737112E-2</v>
      </c>
      <c r="AX36" s="77">
        <f t="shared" si="46"/>
        <v>0.2580415281015308</v>
      </c>
      <c r="AY36" s="77">
        <f t="shared" si="50"/>
        <v>-5.4825828376550953E-18</v>
      </c>
    </row>
    <row r="40" spans="1:53" x14ac:dyDescent="0.2">
      <c r="A40" s="214"/>
      <c r="B40" s="214"/>
      <c r="C40" s="214"/>
      <c r="D40" s="214"/>
      <c r="E40" s="214"/>
      <c r="F40" s="214"/>
      <c r="G40" s="214"/>
      <c r="H40" s="214"/>
      <c r="I40" s="214"/>
      <c r="J40" s="214"/>
      <c r="K40" s="214"/>
      <c r="L40" s="214"/>
      <c r="M40" s="214"/>
      <c r="N40" s="214"/>
      <c r="O40" s="214"/>
      <c r="P40" s="214"/>
      <c r="Q40" s="214"/>
      <c r="R40" s="214"/>
      <c r="S40" s="214"/>
      <c r="T40" s="214"/>
      <c r="U40" s="214"/>
      <c r="V40" s="214"/>
      <c r="W40" s="214"/>
      <c r="X40" s="214"/>
      <c r="Y40" s="214"/>
      <c r="Z40" s="214"/>
      <c r="AA40" s="214"/>
      <c r="AB40" s="214"/>
      <c r="AC40" s="214"/>
      <c r="AD40" s="214"/>
      <c r="AE40" s="214"/>
      <c r="AF40" s="214"/>
      <c r="AG40" s="214"/>
      <c r="AH40" s="214"/>
      <c r="AI40" s="214"/>
      <c r="AJ40" s="214"/>
      <c r="AK40" s="214"/>
      <c r="AL40" s="214"/>
      <c r="AM40" s="214"/>
      <c r="AN40" s="214"/>
      <c r="AO40" s="214"/>
      <c r="AP40" s="214"/>
      <c r="AQ40" s="214"/>
      <c r="AR40" s="214"/>
      <c r="AS40" s="214"/>
      <c r="AT40" s="214"/>
      <c r="AU40" s="214"/>
      <c r="AV40" s="214"/>
      <c r="AW40" s="214"/>
      <c r="AX40" s="214"/>
      <c r="AY40" s="214"/>
    </row>
    <row r="41" spans="1:53" x14ac:dyDescent="0.2">
      <c r="A41" s="16" t="s">
        <v>515</v>
      </c>
    </row>
    <row r="42" spans="1:53" x14ac:dyDescent="0.2">
      <c r="A42" s="257" t="s">
        <v>500</v>
      </c>
    </row>
    <row r="43" spans="1:53" x14ac:dyDescent="0.2">
      <c r="C43" s="1">
        <v>1</v>
      </c>
      <c r="D43" s="1">
        <v>2</v>
      </c>
      <c r="E43" s="1">
        <v>3</v>
      </c>
      <c r="F43" s="1">
        <v>4</v>
      </c>
      <c r="G43" s="1">
        <v>5</v>
      </c>
      <c r="H43" s="1">
        <v>6</v>
      </c>
      <c r="I43" s="1">
        <v>7</v>
      </c>
      <c r="J43" s="1">
        <v>8</v>
      </c>
      <c r="K43" s="1">
        <v>9</v>
      </c>
    </row>
    <row r="45" spans="1:53" ht="38.25" x14ac:dyDescent="0.2">
      <c r="B45" s="159" t="s">
        <v>170</v>
      </c>
      <c r="C45" s="160" t="s">
        <v>13</v>
      </c>
      <c r="D45" s="160" t="s">
        <v>14</v>
      </c>
      <c r="E45" s="160" t="s">
        <v>15</v>
      </c>
      <c r="F45" s="160" t="s">
        <v>16</v>
      </c>
      <c r="G45" s="160" t="s">
        <v>17</v>
      </c>
      <c r="H45" s="160" t="s">
        <v>18</v>
      </c>
      <c r="I45" s="160" t="s">
        <v>19</v>
      </c>
      <c r="J45" s="160" t="s">
        <v>20</v>
      </c>
      <c r="K45" s="160" t="s">
        <v>21</v>
      </c>
      <c r="L45" s="18" t="s">
        <v>171</v>
      </c>
      <c r="M45" s="22" t="s">
        <v>9</v>
      </c>
      <c r="N45" s="22"/>
    </row>
    <row r="46" spans="1:53" x14ac:dyDescent="0.2">
      <c r="A46" s="85">
        <v>1</v>
      </c>
      <c r="B46" s="161" t="s">
        <v>98</v>
      </c>
      <c r="C46" s="82"/>
      <c r="D46" s="6"/>
      <c r="E46" s="6"/>
      <c r="F46" s="6"/>
      <c r="G46" s="6"/>
      <c r="H46" s="6"/>
      <c r="I46" s="6"/>
      <c r="J46" s="6"/>
      <c r="K46" s="7"/>
      <c r="L46" s="20">
        <v>3210</v>
      </c>
      <c r="M46" s="15">
        <f t="shared" ref="M46:M55" si="59">SUM(C46:K46)</f>
        <v>0</v>
      </c>
      <c r="N46" s="15"/>
      <c r="AA46" s="84"/>
      <c r="AB46" s="84"/>
      <c r="AC46" s="84"/>
      <c r="AD46" s="84"/>
      <c r="AE46" s="84"/>
      <c r="AF46" s="84"/>
      <c r="AG46" s="84"/>
      <c r="AH46" s="84"/>
      <c r="AI46" s="84"/>
      <c r="AJ46" s="84"/>
      <c r="AK46" s="84"/>
      <c r="AL46" s="84"/>
      <c r="AM46" s="84"/>
      <c r="AN46" s="84"/>
      <c r="AO46" s="84"/>
      <c r="AP46" s="84"/>
      <c r="AQ46" s="84"/>
      <c r="AR46" s="84"/>
      <c r="AS46" s="84"/>
      <c r="AT46" s="84"/>
      <c r="AU46" s="84"/>
      <c r="AV46" s="84"/>
      <c r="AW46" s="84"/>
      <c r="AX46" s="84"/>
      <c r="AY46" s="84"/>
      <c r="AZ46" s="84"/>
      <c r="BA46" s="84"/>
    </row>
    <row r="47" spans="1:53" x14ac:dyDescent="0.2">
      <c r="A47" s="85">
        <v>2</v>
      </c>
      <c r="B47" s="161" t="s">
        <v>97</v>
      </c>
      <c r="C47" s="9"/>
      <c r="D47" s="31"/>
      <c r="E47" s="8"/>
      <c r="F47" s="8"/>
      <c r="G47" s="8"/>
      <c r="H47" s="8"/>
      <c r="I47" s="8"/>
      <c r="J47" s="8"/>
      <c r="K47" s="10"/>
      <c r="L47" s="23">
        <v>3823</v>
      </c>
      <c r="M47" s="15">
        <f t="shared" si="59"/>
        <v>0</v>
      </c>
      <c r="N47" s="15"/>
      <c r="AA47" s="84"/>
      <c r="AB47" s="84"/>
      <c r="AC47" s="84"/>
      <c r="AD47" s="84"/>
      <c r="AE47" s="84"/>
      <c r="AF47" s="84"/>
      <c r="AG47" s="84"/>
      <c r="AH47" s="84"/>
      <c r="AI47" s="84"/>
      <c r="AJ47" s="84"/>
      <c r="AK47" s="84"/>
      <c r="AL47" s="84"/>
      <c r="AM47" s="84"/>
      <c r="AN47" s="84"/>
      <c r="AO47" s="84"/>
      <c r="AP47" s="84"/>
      <c r="AQ47" s="84"/>
      <c r="AR47" s="84"/>
      <c r="AS47" s="84"/>
      <c r="AT47" s="84"/>
      <c r="AU47" s="84"/>
      <c r="AV47" s="84"/>
      <c r="AW47" s="84"/>
      <c r="AX47" s="84"/>
      <c r="AY47" s="84"/>
      <c r="AZ47" s="84"/>
      <c r="BA47" s="84"/>
    </row>
    <row r="48" spans="1:53" x14ac:dyDescent="0.2">
      <c r="A48" s="85">
        <v>3</v>
      </c>
      <c r="B48" s="161" t="s">
        <v>96</v>
      </c>
      <c r="C48" s="9"/>
      <c r="D48" s="8"/>
      <c r="E48" s="31"/>
      <c r="F48" s="8"/>
      <c r="G48" s="8"/>
      <c r="H48" s="8"/>
      <c r="I48" s="8"/>
      <c r="J48" s="8"/>
      <c r="K48" s="10"/>
      <c r="L48" s="23">
        <v>10273</v>
      </c>
      <c r="M48" s="15">
        <f t="shared" si="59"/>
        <v>0</v>
      </c>
      <c r="N48" s="15"/>
      <c r="AA48" s="84"/>
      <c r="AB48" s="84"/>
      <c r="AC48" s="84"/>
      <c r="AD48" s="84"/>
      <c r="AE48" s="84"/>
      <c r="AF48" s="84"/>
      <c r="AG48" s="84"/>
      <c r="AH48" s="84"/>
      <c r="AI48" s="84"/>
      <c r="AJ48" s="84"/>
      <c r="AK48" s="84"/>
      <c r="AL48" s="84"/>
      <c r="AM48" s="84"/>
      <c r="AN48" s="84"/>
      <c r="AO48" s="84"/>
      <c r="AP48" s="84"/>
      <c r="AQ48" s="84"/>
      <c r="AR48" s="84"/>
      <c r="AS48" s="84"/>
      <c r="AT48" s="84"/>
      <c r="AU48" s="84"/>
      <c r="AV48" s="84"/>
      <c r="AW48" s="84"/>
      <c r="AX48" s="84"/>
      <c r="AY48" s="84"/>
      <c r="AZ48" s="84"/>
      <c r="BA48" s="84"/>
    </row>
    <row r="49" spans="1:67" s="67" customFormat="1" x14ac:dyDescent="0.2">
      <c r="A49" s="85">
        <v>4</v>
      </c>
      <c r="B49" s="161" t="s">
        <v>102</v>
      </c>
      <c r="C49" s="9"/>
      <c r="D49" s="8"/>
      <c r="E49" s="8"/>
      <c r="F49" s="31"/>
      <c r="G49" s="8"/>
      <c r="H49" s="8"/>
      <c r="I49" s="8"/>
      <c r="J49" s="8"/>
      <c r="K49" s="10"/>
      <c r="L49" s="23">
        <v>9381</v>
      </c>
      <c r="M49" s="15">
        <f t="shared" si="59"/>
        <v>0</v>
      </c>
      <c r="N49" s="15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84"/>
      <c r="AB49" s="84"/>
      <c r="AC49" s="84"/>
      <c r="AD49" s="84"/>
      <c r="AE49" s="84"/>
      <c r="AF49" s="84"/>
      <c r="AG49" s="84"/>
      <c r="AH49" s="84"/>
      <c r="AI49" s="84"/>
      <c r="AJ49" s="84"/>
      <c r="AK49" s="84"/>
      <c r="AL49" s="84"/>
      <c r="AM49" s="84"/>
      <c r="AN49" s="84"/>
      <c r="AO49" s="84"/>
      <c r="AP49" s="84"/>
      <c r="AQ49" s="84"/>
      <c r="AR49" s="84"/>
      <c r="AS49" s="84"/>
      <c r="AT49" s="84"/>
      <c r="AU49" s="84"/>
      <c r="AV49" s="84"/>
      <c r="AW49" s="84"/>
      <c r="AX49" s="84"/>
      <c r="AY49" s="84"/>
      <c r="AZ49" s="84"/>
      <c r="BA49" s="84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</row>
    <row r="50" spans="1:67" x14ac:dyDescent="0.2">
      <c r="A50" s="85">
        <v>5</v>
      </c>
      <c r="B50" s="161" t="s">
        <v>101</v>
      </c>
      <c r="C50" s="9"/>
      <c r="D50" s="8"/>
      <c r="E50" s="8"/>
      <c r="F50" s="8"/>
      <c r="G50" s="31"/>
      <c r="H50" s="8"/>
      <c r="I50" s="8"/>
      <c r="J50" s="8"/>
      <c r="K50" s="10"/>
      <c r="L50" s="23">
        <v>9554</v>
      </c>
      <c r="M50" s="15">
        <f t="shared" si="59"/>
        <v>0</v>
      </c>
      <c r="N50" s="15"/>
      <c r="AA50" s="84"/>
      <c r="AB50" s="84"/>
      <c r="AC50" s="84"/>
      <c r="AD50" s="84"/>
      <c r="AE50" s="84"/>
      <c r="AF50" s="84"/>
      <c r="AG50" s="84"/>
      <c r="AH50" s="84"/>
      <c r="AI50" s="84"/>
      <c r="AJ50" s="84"/>
      <c r="AK50" s="84"/>
      <c r="AL50" s="84"/>
      <c r="AM50" s="84"/>
      <c r="AN50" s="84"/>
      <c r="AO50" s="84"/>
      <c r="AP50" s="84"/>
      <c r="AQ50" s="84"/>
      <c r="AR50" s="84"/>
      <c r="AS50" s="84"/>
      <c r="AT50" s="84"/>
      <c r="AU50" s="84"/>
      <c r="AV50" s="84"/>
      <c r="AW50" s="84"/>
      <c r="AX50" s="84"/>
      <c r="AY50" s="84"/>
      <c r="AZ50" s="84"/>
      <c r="BA50" s="84"/>
    </row>
    <row r="51" spans="1:67" ht="14.25" customHeight="1" x14ac:dyDescent="0.2">
      <c r="A51" s="85">
        <v>6</v>
      </c>
      <c r="B51" s="161" t="s">
        <v>95</v>
      </c>
      <c r="C51" s="9"/>
      <c r="D51" s="8"/>
      <c r="E51" s="8"/>
      <c r="F51" s="8"/>
      <c r="G51" s="8"/>
      <c r="H51" s="31"/>
      <c r="I51" s="8"/>
      <c r="J51" s="8"/>
      <c r="K51" s="10"/>
      <c r="L51" s="23">
        <v>9870</v>
      </c>
      <c r="M51" s="15">
        <f t="shared" si="59"/>
        <v>0</v>
      </c>
      <c r="N51" s="15"/>
      <c r="AA51" s="84"/>
      <c r="AB51" s="84"/>
      <c r="AC51" s="84"/>
      <c r="AD51" s="84"/>
      <c r="AE51" s="84"/>
      <c r="AF51" s="84"/>
      <c r="AG51" s="84"/>
      <c r="AH51" s="84"/>
      <c r="AI51" s="84"/>
      <c r="AJ51" s="84"/>
      <c r="AK51" s="84"/>
      <c r="AL51" s="84"/>
      <c r="AM51" s="84"/>
      <c r="AN51" s="84"/>
      <c r="AO51" s="84"/>
      <c r="AP51" s="84"/>
      <c r="AQ51" s="84"/>
      <c r="AR51" s="84"/>
      <c r="AS51" s="84"/>
      <c r="AT51" s="84"/>
      <c r="AU51" s="84"/>
      <c r="AV51" s="84"/>
      <c r="AW51" s="84"/>
      <c r="AX51" s="84"/>
      <c r="AY51" s="84"/>
      <c r="AZ51" s="84"/>
      <c r="BA51" s="84"/>
    </row>
    <row r="52" spans="1:67" x14ac:dyDescent="0.2">
      <c r="A52" s="85">
        <v>7</v>
      </c>
      <c r="B52" s="161" t="s">
        <v>99</v>
      </c>
      <c r="C52" s="9"/>
      <c r="D52" s="8"/>
      <c r="E52" s="8"/>
      <c r="F52" s="8"/>
      <c r="G52" s="8"/>
      <c r="H52" s="8"/>
      <c r="I52" s="31"/>
      <c r="J52" s="8"/>
      <c r="K52" s="10"/>
      <c r="L52" s="23">
        <v>1086</v>
      </c>
      <c r="M52" s="15">
        <f t="shared" si="59"/>
        <v>0</v>
      </c>
      <c r="N52" s="15"/>
    </row>
    <row r="53" spans="1:67" x14ac:dyDescent="0.2">
      <c r="A53" s="85">
        <v>8</v>
      </c>
      <c r="B53" s="161" t="s">
        <v>94</v>
      </c>
      <c r="C53" s="9"/>
      <c r="D53" s="8"/>
      <c r="E53" s="8"/>
      <c r="F53" s="8"/>
      <c r="G53" s="8"/>
      <c r="H53" s="8"/>
      <c r="I53" s="8"/>
      <c r="J53" s="31"/>
      <c r="K53" s="10"/>
      <c r="L53" s="23">
        <v>2293</v>
      </c>
      <c r="M53" s="15">
        <f t="shared" si="59"/>
        <v>0</v>
      </c>
      <c r="N53" s="15"/>
    </row>
    <row r="54" spans="1:67" s="3" customFormat="1" x14ac:dyDescent="0.2">
      <c r="A54" s="85">
        <v>9</v>
      </c>
      <c r="B54" s="161" t="s">
        <v>100</v>
      </c>
      <c r="C54" s="11"/>
      <c r="D54" s="12"/>
      <c r="E54" s="12"/>
      <c r="F54" s="12"/>
      <c r="G54" s="12"/>
      <c r="H54" s="12"/>
      <c r="I54" s="12"/>
      <c r="J54" s="12"/>
      <c r="K54" s="83"/>
      <c r="L54" s="21">
        <v>1634</v>
      </c>
      <c r="M54" s="15">
        <f t="shared" si="59"/>
        <v>0</v>
      </c>
      <c r="N54" s="15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</row>
    <row r="55" spans="1:67" x14ac:dyDescent="0.2">
      <c r="B55" s="161" t="s">
        <v>59</v>
      </c>
      <c r="C55" s="162">
        <f t="shared" ref="C55:K55" si="60">SUM(C46:C54)</f>
        <v>0</v>
      </c>
      <c r="D55" s="162">
        <f t="shared" si="60"/>
        <v>0</v>
      </c>
      <c r="E55" s="162">
        <f t="shared" si="60"/>
        <v>0</v>
      </c>
      <c r="F55" s="162">
        <f t="shared" si="60"/>
        <v>0</v>
      </c>
      <c r="G55" s="162">
        <f t="shared" si="60"/>
        <v>0</v>
      </c>
      <c r="H55" s="162">
        <f t="shared" si="60"/>
        <v>0</v>
      </c>
      <c r="I55" s="162">
        <f t="shared" si="60"/>
        <v>0</v>
      </c>
      <c r="J55" s="162">
        <f t="shared" si="60"/>
        <v>0</v>
      </c>
      <c r="K55" s="162">
        <f t="shared" si="60"/>
        <v>0</v>
      </c>
      <c r="L55" s="19"/>
      <c r="M55" s="15">
        <f t="shared" si="59"/>
        <v>0</v>
      </c>
      <c r="N55" s="15"/>
    </row>
    <row r="57" spans="1:67" x14ac:dyDescent="0.2">
      <c r="A57" s="214"/>
      <c r="B57" s="214"/>
      <c r="C57" s="214"/>
      <c r="D57" s="214"/>
      <c r="E57" s="214"/>
      <c r="F57" s="214"/>
      <c r="G57" s="214"/>
      <c r="H57" s="214"/>
      <c r="I57" s="214"/>
      <c r="J57" s="214"/>
      <c r="K57" s="214"/>
      <c r="L57" s="214"/>
      <c r="M57" s="214"/>
      <c r="N57" s="214"/>
      <c r="O57" s="214"/>
      <c r="P57" s="14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</row>
    <row r="58" spans="1:67" hidden="1" x14ac:dyDescent="0.2"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  <c r="AA58" s="67"/>
      <c r="AB58" s="67"/>
      <c r="AC58" s="67"/>
      <c r="AD58" s="67"/>
      <c r="AE58" s="67"/>
      <c r="AF58" s="67"/>
      <c r="AG58" s="67"/>
      <c r="AH58" s="67"/>
      <c r="AI58" s="67"/>
      <c r="AJ58" s="67"/>
      <c r="AK58" s="67"/>
      <c r="AL58" s="67"/>
      <c r="AM58" s="67"/>
      <c r="AN58" s="67"/>
      <c r="AO58" s="67"/>
      <c r="AP58" s="67"/>
      <c r="AQ58" s="67"/>
      <c r="AR58" s="67"/>
      <c r="AS58" s="67"/>
      <c r="AT58" s="67"/>
      <c r="AU58" s="67"/>
      <c r="AV58" s="67"/>
      <c r="AW58" s="67"/>
      <c r="AX58" s="67"/>
      <c r="AY58" s="67"/>
    </row>
    <row r="59" spans="1:67" hidden="1" x14ac:dyDescent="0.2">
      <c r="A59" s="95" t="s">
        <v>172</v>
      </c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AC59" s="95" t="s">
        <v>495</v>
      </c>
      <c r="AD59" s="96"/>
      <c r="AE59" s="96"/>
      <c r="AF59" s="96"/>
      <c r="AG59" s="96"/>
      <c r="AH59" s="96"/>
      <c r="AI59" s="96"/>
      <c r="AJ59" s="96"/>
      <c r="AK59" s="96"/>
      <c r="AL59" s="96"/>
      <c r="AM59" s="96"/>
      <c r="AN59" s="96"/>
      <c r="AO59" s="95" t="s">
        <v>495</v>
      </c>
      <c r="AP59" s="96"/>
      <c r="AQ59" s="96"/>
      <c r="AR59" s="96"/>
      <c r="AS59" s="96"/>
      <c r="AT59" s="96"/>
      <c r="AU59" s="96"/>
      <c r="AV59" s="96"/>
      <c r="AW59" s="96"/>
      <c r="AX59" s="96"/>
      <c r="AY59" s="96"/>
    </row>
    <row r="60" spans="1:67" hidden="1" x14ac:dyDescent="0.2">
      <c r="A60" s="97" t="s">
        <v>103</v>
      </c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AC60" s="97" t="s">
        <v>104</v>
      </c>
      <c r="AD60" s="96"/>
      <c r="AE60" s="96"/>
      <c r="AF60" s="96"/>
      <c r="AG60" s="96"/>
      <c r="AH60" s="96"/>
      <c r="AI60" s="96"/>
      <c r="AJ60" s="96"/>
      <c r="AK60" s="96"/>
      <c r="AL60" s="96"/>
      <c r="AM60" s="96"/>
      <c r="AN60" s="96"/>
      <c r="AO60" s="97" t="s">
        <v>104</v>
      </c>
      <c r="AP60" s="96"/>
      <c r="AQ60" s="96"/>
      <c r="AR60" s="96"/>
      <c r="AS60" s="96"/>
      <c r="AT60" s="96"/>
      <c r="AU60" s="96"/>
      <c r="AV60" s="96"/>
      <c r="AW60" s="96"/>
      <c r="AX60" s="96"/>
      <c r="AY60" s="96"/>
    </row>
    <row r="61" spans="1:67" hidden="1" x14ac:dyDescent="0.2"/>
    <row r="62" spans="1:67" hidden="1" x14ac:dyDescent="0.2">
      <c r="C62" s="14" t="s">
        <v>11</v>
      </c>
      <c r="AD62" s="14" t="s">
        <v>11</v>
      </c>
      <c r="AP62" s="14" t="s">
        <v>11</v>
      </c>
    </row>
    <row r="63" spans="1:67" ht="25.5" hidden="1" x14ac:dyDescent="0.2">
      <c r="A63" s="3"/>
      <c r="B63" s="22" t="s">
        <v>12</v>
      </c>
      <c r="C63" s="3" t="s">
        <v>13</v>
      </c>
      <c r="D63" s="3" t="s">
        <v>14</v>
      </c>
      <c r="E63" s="3" t="s">
        <v>15</v>
      </c>
      <c r="F63" s="3" t="s">
        <v>16</v>
      </c>
      <c r="G63" s="3" t="s">
        <v>17</v>
      </c>
      <c r="H63" s="3" t="s">
        <v>18</v>
      </c>
      <c r="I63" s="3" t="s">
        <v>19</v>
      </c>
      <c r="J63" s="3" t="s">
        <v>20</v>
      </c>
      <c r="K63" s="3" t="s">
        <v>21</v>
      </c>
      <c r="L63" s="18"/>
      <c r="M63" s="22" t="s">
        <v>9</v>
      </c>
      <c r="N63" s="22"/>
      <c r="AC63" s="22" t="s">
        <v>10</v>
      </c>
      <c r="AD63" s="4" t="s">
        <v>0</v>
      </c>
      <c r="AE63" s="4" t="s">
        <v>1</v>
      </c>
      <c r="AF63" s="4" t="s">
        <v>2</v>
      </c>
      <c r="AG63" s="4" t="s">
        <v>3</v>
      </c>
      <c r="AH63" s="4" t="s">
        <v>4</v>
      </c>
      <c r="AI63" s="4" t="s">
        <v>5</v>
      </c>
      <c r="AJ63" s="4" t="s">
        <v>6</v>
      </c>
      <c r="AK63" s="4" t="s">
        <v>7</v>
      </c>
      <c r="AL63" s="4" t="s">
        <v>8</v>
      </c>
      <c r="AM63" s="3" t="s">
        <v>9</v>
      </c>
      <c r="AN63" s="3"/>
      <c r="AO63" s="22" t="s">
        <v>10</v>
      </c>
      <c r="AP63" s="4" t="s">
        <v>0</v>
      </c>
      <c r="AQ63" s="4" t="s">
        <v>1</v>
      </c>
      <c r="AR63" s="4" t="s">
        <v>2</v>
      </c>
      <c r="AS63" s="4" t="s">
        <v>3</v>
      </c>
      <c r="AT63" s="4" t="s">
        <v>4</v>
      </c>
      <c r="AU63" s="4" t="s">
        <v>5</v>
      </c>
      <c r="AV63" s="4" t="s">
        <v>6</v>
      </c>
      <c r="AW63" s="4" t="s">
        <v>7</v>
      </c>
      <c r="AX63" s="4" t="s">
        <v>8</v>
      </c>
      <c r="AY63" s="3" t="s">
        <v>9</v>
      </c>
    </row>
    <row r="64" spans="1:67" hidden="1" x14ac:dyDescent="0.2">
      <c r="B64" s="1" t="s">
        <v>23</v>
      </c>
      <c r="C64" s="108" t="e">
        <f t="shared" ref="C64:K64" si="61">C46*$Z7/$M46</f>
        <v>#DIV/0!</v>
      </c>
      <c r="D64" s="109" t="e">
        <f t="shared" si="61"/>
        <v>#DIV/0!</v>
      </c>
      <c r="E64" s="113" t="e">
        <f t="shared" si="61"/>
        <v>#DIV/0!</v>
      </c>
      <c r="F64" s="6" t="e">
        <f t="shared" si="61"/>
        <v>#DIV/0!</v>
      </c>
      <c r="G64" s="6" t="e">
        <f t="shared" si="61"/>
        <v>#DIV/0!</v>
      </c>
      <c r="H64" s="6" t="e">
        <f t="shared" si="61"/>
        <v>#DIV/0!</v>
      </c>
      <c r="I64" s="6" t="e">
        <f t="shared" si="61"/>
        <v>#DIV/0!</v>
      </c>
      <c r="J64" s="6" t="e">
        <f t="shared" si="61"/>
        <v>#DIV/0!</v>
      </c>
      <c r="K64" s="7" t="e">
        <f t="shared" si="61"/>
        <v>#DIV/0!</v>
      </c>
      <c r="L64" s="20"/>
      <c r="M64" s="15" t="e">
        <f t="shared" ref="M64:M73" si="62">SUM(C64:K64)</f>
        <v>#DIV/0!</v>
      </c>
      <c r="N64" s="15"/>
      <c r="AC64" s="1" t="s">
        <v>0</v>
      </c>
      <c r="AD64" s="109" t="e">
        <f t="shared" ref="AD64:AD72" si="63">Q7-C64</f>
        <v>#DIV/0!</v>
      </c>
      <c r="AE64" s="109" t="e">
        <f t="shared" ref="AE64:AE72" si="64">R7-D64</f>
        <v>#DIV/0!</v>
      </c>
      <c r="AF64" s="113" t="e">
        <f t="shared" ref="AF64:AF72" si="65">S7-E64</f>
        <v>#DIV/0!</v>
      </c>
      <c r="AG64" s="6" t="e">
        <f t="shared" ref="AG64:AG72" si="66">T7-F64</f>
        <v>#DIV/0!</v>
      </c>
      <c r="AH64" s="6" t="e">
        <f t="shared" ref="AH64:AH72" si="67">U7-G64</f>
        <v>#DIV/0!</v>
      </c>
      <c r="AI64" s="6" t="e">
        <f t="shared" ref="AI64:AI72" si="68">V7-H64</f>
        <v>#DIV/0!</v>
      </c>
      <c r="AJ64" s="6" t="e">
        <f t="shared" ref="AJ64:AJ72" si="69">W7-I64</f>
        <v>#DIV/0!</v>
      </c>
      <c r="AK64" s="6" t="e">
        <f t="shared" ref="AK64:AK72" si="70">X7-J64</f>
        <v>#DIV/0!</v>
      </c>
      <c r="AL64" s="7" t="e">
        <f t="shared" ref="AL64:AL72" si="71">Y7-K64</f>
        <v>#DIV/0!</v>
      </c>
      <c r="AM64" s="15" t="e">
        <f>SUM(AD64:AL64)</f>
        <v>#DIV/0!</v>
      </c>
      <c r="AO64" s="1" t="s">
        <v>0</v>
      </c>
      <c r="AP64" s="80" t="e">
        <f t="shared" ref="AP64:AP73" si="72">AD64/C64</f>
        <v>#DIV/0!</v>
      </c>
      <c r="AQ64" s="69" t="e">
        <f t="shared" ref="AQ64:AQ73" si="73">AE64/D64</f>
        <v>#DIV/0!</v>
      </c>
      <c r="AR64" s="69" t="e">
        <f t="shared" ref="AR64:AR73" si="74">AF64/E64</f>
        <v>#DIV/0!</v>
      </c>
      <c r="AS64" s="69" t="e">
        <f t="shared" ref="AS64:AS73" si="75">AG64/F64</f>
        <v>#DIV/0!</v>
      </c>
      <c r="AT64" s="69" t="e">
        <f t="shared" ref="AT64:AT73" si="76">AH64/G64</f>
        <v>#DIV/0!</v>
      </c>
      <c r="AU64" s="69" t="e">
        <f t="shared" ref="AU64:AU73" si="77">AI64/H64</f>
        <v>#DIV/0!</v>
      </c>
      <c r="AV64" s="69" t="e">
        <f t="shared" ref="AV64:AV73" si="78">AJ64/I64</f>
        <v>#DIV/0!</v>
      </c>
      <c r="AW64" s="69" t="e">
        <f t="shared" ref="AW64:AW73" si="79">AK64/J64</f>
        <v>#DIV/0!</v>
      </c>
      <c r="AX64" s="70" t="e">
        <f t="shared" ref="AX64:AX73" si="80">AL64/K64</f>
        <v>#DIV/0!</v>
      </c>
      <c r="AY64" s="77" t="e">
        <f t="shared" ref="AY64:AY73" si="81">AM64/M64</f>
        <v>#DIV/0!</v>
      </c>
    </row>
    <row r="65" spans="1:67" hidden="1" x14ac:dyDescent="0.2">
      <c r="B65" s="1" t="s">
        <v>24</v>
      </c>
      <c r="C65" s="9" t="e">
        <f t="shared" ref="C65:K65" si="82">C47*$Z8/$M47</f>
        <v>#DIV/0!</v>
      </c>
      <c r="D65" s="31" t="e">
        <f t="shared" si="82"/>
        <v>#DIV/0!</v>
      </c>
      <c r="E65" s="121" t="e">
        <f t="shared" si="82"/>
        <v>#DIV/0!</v>
      </c>
      <c r="F65" s="114" t="e">
        <f t="shared" si="82"/>
        <v>#DIV/0!</v>
      </c>
      <c r="G65" s="8" t="e">
        <f t="shared" si="82"/>
        <v>#DIV/0!</v>
      </c>
      <c r="H65" s="8" t="e">
        <f t="shared" si="82"/>
        <v>#DIV/0!</v>
      </c>
      <c r="I65" s="8" t="e">
        <f t="shared" si="82"/>
        <v>#DIV/0!</v>
      </c>
      <c r="J65" s="8" t="e">
        <f t="shared" si="82"/>
        <v>#DIV/0!</v>
      </c>
      <c r="K65" s="10" t="e">
        <f t="shared" si="82"/>
        <v>#DIV/0!</v>
      </c>
      <c r="L65" s="23"/>
      <c r="M65" s="15" t="e">
        <f t="shared" si="62"/>
        <v>#DIV/0!</v>
      </c>
      <c r="N65" s="15"/>
      <c r="AC65" s="1" t="s">
        <v>1</v>
      </c>
      <c r="AD65" s="9" t="e">
        <f t="shared" si="63"/>
        <v>#DIV/0!</v>
      </c>
      <c r="AE65" s="11" t="e">
        <f t="shared" si="64"/>
        <v>#DIV/0!</v>
      </c>
      <c r="AF65" s="121" t="e">
        <f t="shared" si="65"/>
        <v>#DIV/0!</v>
      </c>
      <c r="AG65" s="114" t="e">
        <f t="shared" si="66"/>
        <v>#DIV/0!</v>
      </c>
      <c r="AH65" s="8" t="e">
        <f t="shared" si="67"/>
        <v>#DIV/0!</v>
      </c>
      <c r="AI65" s="8" t="e">
        <f t="shared" si="68"/>
        <v>#DIV/0!</v>
      </c>
      <c r="AJ65" s="8" t="e">
        <f t="shared" si="69"/>
        <v>#DIV/0!</v>
      </c>
      <c r="AK65" s="8" t="e">
        <f t="shared" si="70"/>
        <v>#DIV/0!</v>
      </c>
      <c r="AL65" s="10" t="e">
        <f t="shared" si="71"/>
        <v>#DIV/0!</v>
      </c>
      <c r="AM65" s="15" t="e">
        <f t="shared" ref="AM65:AM72" si="83">SUM(AD65:AL65)</f>
        <v>#DIV/0!</v>
      </c>
      <c r="AO65" s="1" t="s">
        <v>1</v>
      </c>
      <c r="AP65" s="71" t="e">
        <f t="shared" si="72"/>
        <v>#DIV/0!</v>
      </c>
      <c r="AQ65" s="80" t="e">
        <f t="shared" si="73"/>
        <v>#DIV/0!</v>
      </c>
      <c r="AR65" s="72" t="e">
        <f t="shared" si="74"/>
        <v>#DIV/0!</v>
      </c>
      <c r="AS65" s="72" t="e">
        <f t="shared" si="75"/>
        <v>#DIV/0!</v>
      </c>
      <c r="AT65" s="72" t="e">
        <f t="shared" si="76"/>
        <v>#DIV/0!</v>
      </c>
      <c r="AU65" s="72" t="e">
        <f t="shared" si="77"/>
        <v>#DIV/0!</v>
      </c>
      <c r="AV65" s="72" t="e">
        <f t="shared" si="78"/>
        <v>#DIV/0!</v>
      </c>
      <c r="AW65" s="72" t="e">
        <f t="shared" si="79"/>
        <v>#DIV/0!</v>
      </c>
      <c r="AX65" s="73" t="e">
        <f t="shared" si="80"/>
        <v>#DIV/0!</v>
      </c>
      <c r="AY65" s="77" t="e">
        <f t="shared" si="81"/>
        <v>#DIV/0!</v>
      </c>
    </row>
    <row r="66" spans="1:67" hidden="1" x14ac:dyDescent="0.2">
      <c r="B66" s="1" t="s">
        <v>25</v>
      </c>
      <c r="C66" s="124" t="e">
        <f t="shared" ref="C66:K66" si="84">C48*$Z9/$M48</f>
        <v>#DIV/0!</v>
      </c>
      <c r="D66" s="8" t="e">
        <f t="shared" si="84"/>
        <v>#DIV/0!</v>
      </c>
      <c r="E66" s="125" t="e">
        <f t="shared" si="84"/>
        <v>#DIV/0!</v>
      </c>
      <c r="F66" s="8" t="e">
        <f t="shared" si="84"/>
        <v>#DIV/0!</v>
      </c>
      <c r="G66" s="8" t="e">
        <f t="shared" si="84"/>
        <v>#DIV/0!</v>
      </c>
      <c r="H66" s="8" t="e">
        <f t="shared" si="84"/>
        <v>#DIV/0!</v>
      </c>
      <c r="I66" s="8" t="e">
        <f t="shared" si="84"/>
        <v>#DIV/0!</v>
      </c>
      <c r="J66" s="8" t="e">
        <f t="shared" si="84"/>
        <v>#DIV/0!</v>
      </c>
      <c r="K66" s="10" t="e">
        <f t="shared" si="84"/>
        <v>#DIV/0!</v>
      </c>
      <c r="L66" s="23"/>
      <c r="M66" s="15" t="e">
        <f t="shared" si="62"/>
        <v>#DIV/0!</v>
      </c>
      <c r="N66" s="15"/>
      <c r="AC66" s="1" t="s">
        <v>2</v>
      </c>
      <c r="AD66" s="124" t="e">
        <f t="shared" si="63"/>
        <v>#DIV/0!</v>
      </c>
      <c r="AE66" s="8" t="e">
        <f t="shared" si="64"/>
        <v>#DIV/0!</v>
      </c>
      <c r="AF66" s="124" t="e">
        <f t="shared" si="65"/>
        <v>#DIV/0!</v>
      </c>
      <c r="AG66" s="8" t="e">
        <f t="shared" si="66"/>
        <v>#DIV/0!</v>
      </c>
      <c r="AH66" s="8" t="e">
        <f t="shared" si="67"/>
        <v>#DIV/0!</v>
      </c>
      <c r="AI66" s="8" t="e">
        <f t="shared" si="68"/>
        <v>#DIV/0!</v>
      </c>
      <c r="AJ66" s="8" t="e">
        <f t="shared" si="69"/>
        <v>#DIV/0!</v>
      </c>
      <c r="AK66" s="8" t="e">
        <f t="shared" si="70"/>
        <v>#DIV/0!</v>
      </c>
      <c r="AL66" s="10" t="e">
        <f t="shared" si="71"/>
        <v>#DIV/0!</v>
      </c>
      <c r="AM66" s="15" t="e">
        <f t="shared" si="83"/>
        <v>#DIV/0!</v>
      </c>
      <c r="AO66" s="1" t="s">
        <v>2</v>
      </c>
      <c r="AP66" s="71" t="e">
        <f t="shared" si="72"/>
        <v>#DIV/0!</v>
      </c>
      <c r="AQ66" s="72" t="e">
        <f t="shared" si="73"/>
        <v>#DIV/0!</v>
      </c>
      <c r="AR66" s="80" t="e">
        <f t="shared" si="74"/>
        <v>#DIV/0!</v>
      </c>
      <c r="AS66" s="72" t="e">
        <f t="shared" si="75"/>
        <v>#DIV/0!</v>
      </c>
      <c r="AT66" s="72" t="e">
        <f t="shared" si="76"/>
        <v>#DIV/0!</v>
      </c>
      <c r="AU66" s="72" t="e">
        <f t="shared" si="77"/>
        <v>#DIV/0!</v>
      </c>
      <c r="AV66" s="72" t="e">
        <f t="shared" si="78"/>
        <v>#DIV/0!</v>
      </c>
      <c r="AW66" s="72" t="e">
        <f t="shared" si="79"/>
        <v>#DIV/0!</v>
      </c>
      <c r="AX66" s="73" t="e">
        <f t="shared" si="80"/>
        <v>#DIV/0!</v>
      </c>
      <c r="AY66" s="77" t="e">
        <f t="shared" si="81"/>
        <v>#DIV/0!</v>
      </c>
    </row>
    <row r="67" spans="1:67" hidden="1" x14ac:dyDescent="0.2">
      <c r="B67" s="1" t="s">
        <v>26</v>
      </c>
      <c r="C67" s="9" t="e">
        <f t="shared" ref="C67:K67" si="85">C49*$Z10/$M49</f>
        <v>#DIV/0!</v>
      </c>
      <c r="D67" s="8" t="e">
        <f t="shared" si="85"/>
        <v>#DIV/0!</v>
      </c>
      <c r="E67" s="168" t="e">
        <f t="shared" si="85"/>
        <v>#DIV/0!</v>
      </c>
      <c r="F67" s="31" t="e">
        <f t="shared" si="85"/>
        <v>#DIV/0!</v>
      </c>
      <c r="G67" s="8" t="e">
        <f t="shared" si="85"/>
        <v>#DIV/0!</v>
      </c>
      <c r="H67" s="8" t="e">
        <f t="shared" si="85"/>
        <v>#DIV/0!</v>
      </c>
      <c r="I67" s="8" t="e">
        <f t="shared" si="85"/>
        <v>#DIV/0!</v>
      </c>
      <c r="J67" s="8" t="e">
        <f t="shared" si="85"/>
        <v>#DIV/0!</v>
      </c>
      <c r="K67" s="10" t="e">
        <f t="shared" si="85"/>
        <v>#DIV/0!</v>
      </c>
      <c r="L67" s="23"/>
      <c r="M67" s="15" t="e">
        <f t="shared" si="62"/>
        <v>#DIV/0!</v>
      </c>
      <c r="N67" s="15"/>
      <c r="AC67" s="1" t="s">
        <v>3</v>
      </c>
      <c r="AD67" s="9" t="e">
        <f t="shared" si="63"/>
        <v>#DIV/0!</v>
      </c>
      <c r="AE67" s="8" t="e">
        <f t="shared" si="64"/>
        <v>#DIV/0!</v>
      </c>
      <c r="AF67" s="168" t="e">
        <f t="shared" si="65"/>
        <v>#DIV/0!</v>
      </c>
      <c r="AG67" s="170" t="e">
        <f t="shared" si="66"/>
        <v>#DIV/0!</v>
      </c>
      <c r="AH67" s="8" t="e">
        <f t="shared" si="67"/>
        <v>#DIV/0!</v>
      </c>
      <c r="AI67" s="8" t="e">
        <f t="shared" si="68"/>
        <v>#DIV/0!</v>
      </c>
      <c r="AJ67" s="8" t="e">
        <f t="shared" si="69"/>
        <v>#DIV/0!</v>
      </c>
      <c r="AK67" s="8" t="e">
        <f t="shared" si="70"/>
        <v>#DIV/0!</v>
      </c>
      <c r="AL67" s="10" t="e">
        <f t="shared" si="71"/>
        <v>#DIV/0!</v>
      </c>
      <c r="AM67" s="15" t="e">
        <f t="shared" si="83"/>
        <v>#DIV/0!</v>
      </c>
      <c r="AO67" s="1" t="s">
        <v>3</v>
      </c>
      <c r="AP67" s="71" t="e">
        <f t="shared" si="72"/>
        <v>#DIV/0!</v>
      </c>
      <c r="AQ67" s="72" t="e">
        <f t="shared" si="73"/>
        <v>#DIV/0!</v>
      </c>
      <c r="AR67" s="72" t="e">
        <f t="shared" si="74"/>
        <v>#DIV/0!</v>
      </c>
      <c r="AS67" s="80" t="e">
        <f t="shared" si="75"/>
        <v>#DIV/0!</v>
      </c>
      <c r="AT67" s="72" t="e">
        <f t="shared" si="76"/>
        <v>#DIV/0!</v>
      </c>
      <c r="AU67" s="72" t="e">
        <f t="shared" si="77"/>
        <v>#DIV/0!</v>
      </c>
      <c r="AV67" s="72" t="e">
        <f t="shared" si="78"/>
        <v>#DIV/0!</v>
      </c>
      <c r="AW67" s="72" t="e">
        <f t="shared" si="79"/>
        <v>#DIV/0!</v>
      </c>
      <c r="AX67" s="73" t="e">
        <f t="shared" si="80"/>
        <v>#DIV/0!</v>
      </c>
      <c r="AY67" s="77" t="e">
        <f t="shared" si="81"/>
        <v>#DIV/0!</v>
      </c>
    </row>
    <row r="68" spans="1:67" hidden="1" x14ac:dyDescent="0.2">
      <c r="B68" s="1" t="s">
        <v>27</v>
      </c>
      <c r="C68" s="9" t="e">
        <f t="shared" ref="C68:K68" si="86">C50*$Z11/$M50</f>
        <v>#DIV/0!</v>
      </c>
      <c r="D68" s="169" t="e">
        <f t="shared" si="86"/>
        <v>#DIV/0!</v>
      </c>
      <c r="E68" s="169" t="e">
        <f t="shared" si="86"/>
        <v>#DIV/0!</v>
      </c>
      <c r="F68" s="8" t="e">
        <f t="shared" si="86"/>
        <v>#DIV/0!</v>
      </c>
      <c r="G68" s="31" t="e">
        <f t="shared" si="86"/>
        <v>#DIV/0!</v>
      </c>
      <c r="H68" s="8" t="e">
        <f t="shared" si="86"/>
        <v>#DIV/0!</v>
      </c>
      <c r="I68" s="8" t="e">
        <f t="shared" si="86"/>
        <v>#DIV/0!</v>
      </c>
      <c r="J68" s="8" t="e">
        <f t="shared" si="86"/>
        <v>#DIV/0!</v>
      </c>
      <c r="K68" s="10" t="e">
        <f t="shared" si="86"/>
        <v>#DIV/0!</v>
      </c>
      <c r="L68" s="23"/>
      <c r="M68" s="15" t="e">
        <f t="shared" si="62"/>
        <v>#DIV/0!</v>
      </c>
      <c r="N68" s="15"/>
      <c r="AC68" s="1" t="s">
        <v>4</v>
      </c>
      <c r="AD68" s="9" t="e">
        <f t="shared" si="63"/>
        <v>#DIV/0!</v>
      </c>
      <c r="AE68" s="169" t="e">
        <f t="shared" si="64"/>
        <v>#DIV/0!</v>
      </c>
      <c r="AF68" s="169" t="e">
        <f t="shared" si="65"/>
        <v>#DIV/0!</v>
      </c>
      <c r="AG68" s="8" t="e">
        <f t="shared" si="66"/>
        <v>#DIV/0!</v>
      </c>
      <c r="AH68" s="78" t="e">
        <f t="shared" si="67"/>
        <v>#DIV/0!</v>
      </c>
      <c r="AI68" s="8" t="e">
        <f t="shared" si="68"/>
        <v>#DIV/0!</v>
      </c>
      <c r="AJ68" s="8" t="e">
        <f t="shared" si="69"/>
        <v>#DIV/0!</v>
      </c>
      <c r="AK68" s="8" t="e">
        <f t="shared" si="70"/>
        <v>#DIV/0!</v>
      </c>
      <c r="AL68" s="10" t="e">
        <f t="shared" si="71"/>
        <v>#DIV/0!</v>
      </c>
      <c r="AM68" s="15" t="e">
        <f t="shared" si="83"/>
        <v>#DIV/0!</v>
      </c>
      <c r="AO68" s="1" t="s">
        <v>4</v>
      </c>
      <c r="AP68" s="71" t="e">
        <f t="shared" si="72"/>
        <v>#DIV/0!</v>
      </c>
      <c r="AQ68" s="72" t="e">
        <f t="shared" si="73"/>
        <v>#DIV/0!</v>
      </c>
      <c r="AR68" s="72" t="e">
        <f t="shared" si="74"/>
        <v>#DIV/0!</v>
      </c>
      <c r="AS68" s="72" t="e">
        <f t="shared" si="75"/>
        <v>#DIV/0!</v>
      </c>
      <c r="AT68" s="80" t="e">
        <f t="shared" si="76"/>
        <v>#DIV/0!</v>
      </c>
      <c r="AU68" s="72" t="e">
        <f t="shared" si="77"/>
        <v>#DIV/0!</v>
      </c>
      <c r="AV68" s="72" t="e">
        <f t="shared" si="78"/>
        <v>#DIV/0!</v>
      </c>
      <c r="AW68" s="72" t="e">
        <f t="shared" si="79"/>
        <v>#DIV/0!</v>
      </c>
      <c r="AX68" s="73" t="e">
        <f t="shared" si="80"/>
        <v>#DIV/0!</v>
      </c>
      <c r="AY68" s="77" t="e">
        <f t="shared" si="81"/>
        <v>#DIV/0!</v>
      </c>
    </row>
    <row r="69" spans="1:67" s="67" customFormat="1" hidden="1" x14ac:dyDescent="0.2">
      <c r="A69" s="1"/>
      <c r="B69" s="1" t="s">
        <v>28</v>
      </c>
      <c r="C69" s="9" t="e">
        <f t="shared" ref="C69:K69" si="87">C51*$Z12/$M51</f>
        <v>#DIV/0!</v>
      </c>
      <c r="D69" s="8" t="e">
        <f t="shared" si="87"/>
        <v>#DIV/0!</v>
      </c>
      <c r="E69" s="8" t="e">
        <f t="shared" si="87"/>
        <v>#DIV/0!</v>
      </c>
      <c r="F69" s="8" t="e">
        <f t="shared" si="87"/>
        <v>#DIV/0!</v>
      </c>
      <c r="G69" s="8" t="e">
        <f t="shared" si="87"/>
        <v>#DIV/0!</v>
      </c>
      <c r="H69" s="31" t="e">
        <f t="shared" si="87"/>
        <v>#DIV/0!</v>
      </c>
      <c r="I69" s="8" t="e">
        <f t="shared" si="87"/>
        <v>#DIV/0!</v>
      </c>
      <c r="J69" s="8" t="e">
        <f t="shared" si="87"/>
        <v>#DIV/0!</v>
      </c>
      <c r="K69" s="10" t="e">
        <f t="shared" si="87"/>
        <v>#DIV/0!</v>
      </c>
      <c r="L69" s="23"/>
      <c r="M69" s="15" t="e">
        <f t="shared" si="62"/>
        <v>#DIV/0!</v>
      </c>
      <c r="N69" s="15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 t="s">
        <v>5</v>
      </c>
      <c r="AD69" s="9" t="e">
        <f t="shared" si="63"/>
        <v>#DIV/0!</v>
      </c>
      <c r="AE69" s="8" t="e">
        <f t="shared" si="64"/>
        <v>#DIV/0!</v>
      </c>
      <c r="AF69" s="8" t="e">
        <f t="shared" si="65"/>
        <v>#DIV/0!</v>
      </c>
      <c r="AG69" s="8" t="e">
        <f t="shared" si="66"/>
        <v>#DIV/0!</v>
      </c>
      <c r="AH69" s="8" t="e">
        <f t="shared" si="67"/>
        <v>#DIV/0!</v>
      </c>
      <c r="AI69" s="78" t="e">
        <f t="shared" si="68"/>
        <v>#DIV/0!</v>
      </c>
      <c r="AJ69" s="8" t="e">
        <f t="shared" si="69"/>
        <v>#DIV/0!</v>
      </c>
      <c r="AK69" s="8" t="e">
        <f t="shared" si="70"/>
        <v>#DIV/0!</v>
      </c>
      <c r="AL69" s="10" t="e">
        <f t="shared" si="71"/>
        <v>#DIV/0!</v>
      </c>
      <c r="AM69" s="15" t="e">
        <f t="shared" si="83"/>
        <v>#DIV/0!</v>
      </c>
      <c r="AN69" s="1"/>
      <c r="AO69" s="1" t="s">
        <v>5</v>
      </c>
      <c r="AP69" s="71" t="e">
        <f t="shared" si="72"/>
        <v>#DIV/0!</v>
      </c>
      <c r="AQ69" s="72" t="e">
        <f t="shared" si="73"/>
        <v>#DIV/0!</v>
      </c>
      <c r="AR69" s="72" t="e">
        <f t="shared" si="74"/>
        <v>#DIV/0!</v>
      </c>
      <c r="AS69" s="72" t="e">
        <f t="shared" si="75"/>
        <v>#DIV/0!</v>
      </c>
      <c r="AT69" s="72" t="e">
        <f t="shared" si="76"/>
        <v>#DIV/0!</v>
      </c>
      <c r="AU69" s="80" t="e">
        <f t="shared" si="77"/>
        <v>#DIV/0!</v>
      </c>
      <c r="AV69" s="72" t="e">
        <f t="shared" si="78"/>
        <v>#DIV/0!</v>
      </c>
      <c r="AW69" s="72" t="e">
        <f t="shared" si="79"/>
        <v>#DIV/0!</v>
      </c>
      <c r="AX69" s="73" t="e">
        <f t="shared" si="80"/>
        <v>#DIV/0!</v>
      </c>
      <c r="AY69" s="77" t="e">
        <f t="shared" si="81"/>
        <v>#DIV/0!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</row>
    <row r="70" spans="1:67" hidden="1" x14ac:dyDescent="0.2">
      <c r="B70" s="1" t="s">
        <v>29</v>
      </c>
      <c r="C70" s="9" t="e">
        <f t="shared" ref="C70:K70" si="88">C52*$Z13/$M52</f>
        <v>#DIV/0!</v>
      </c>
      <c r="D70" s="8" t="e">
        <f t="shared" si="88"/>
        <v>#DIV/0!</v>
      </c>
      <c r="E70" s="8" t="e">
        <f t="shared" si="88"/>
        <v>#DIV/0!</v>
      </c>
      <c r="F70" s="8" t="e">
        <f t="shared" si="88"/>
        <v>#DIV/0!</v>
      </c>
      <c r="G70" s="8" t="e">
        <f t="shared" si="88"/>
        <v>#DIV/0!</v>
      </c>
      <c r="H70" s="8" t="e">
        <f t="shared" si="88"/>
        <v>#DIV/0!</v>
      </c>
      <c r="I70" s="31" t="e">
        <f t="shared" si="88"/>
        <v>#DIV/0!</v>
      </c>
      <c r="J70" s="8" t="e">
        <f t="shared" si="88"/>
        <v>#DIV/0!</v>
      </c>
      <c r="K70" s="10" t="e">
        <f t="shared" si="88"/>
        <v>#DIV/0!</v>
      </c>
      <c r="L70" s="23"/>
      <c r="M70" s="15" t="e">
        <f t="shared" si="62"/>
        <v>#DIV/0!</v>
      </c>
      <c r="N70" s="15"/>
      <c r="AC70" s="1" t="s">
        <v>6</v>
      </c>
      <c r="AD70" s="9" t="e">
        <f t="shared" si="63"/>
        <v>#DIV/0!</v>
      </c>
      <c r="AE70" s="8" t="e">
        <f t="shared" si="64"/>
        <v>#DIV/0!</v>
      </c>
      <c r="AF70" s="8" t="e">
        <f t="shared" si="65"/>
        <v>#DIV/0!</v>
      </c>
      <c r="AG70" s="8" t="e">
        <f t="shared" si="66"/>
        <v>#DIV/0!</v>
      </c>
      <c r="AH70" s="8" t="e">
        <f t="shared" si="67"/>
        <v>#DIV/0!</v>
      </c>
      <c r="AI70" s="8" t="e">
        <f t="shared" si="68"/>
        <v>#DIV/0!</v>
      </c>
      <c r="AJ70" s="78" t="e">
        <f t="shared" si="69"/>
        <v>#DIV/0!</v>
      </c>
      <c r="AK70" s="8" t="e">
        <f t="shared" si="70"/>
        <v>#DIV/0!</v>
      </c>
      <c r="AL70" s="10" t="e">
        <f t="shared" si="71"/>
        <v>#DIV/0!</v>
      </c>
      <c r="AM70" s="15" t="e">
        <f t="shared" si="83"/>
        <v>#DIV/0!</v>
      </c>
      <c r="AO70" s="1" t="s">
        <v>6</v>
      </c>
      <c r="AP70" s="71" t="e">
        <f t="shared" si="72"/>
        <v>#DIV/0!</v>
      </c>
      <c r="AQ70" s="72" t="e">
        <f t="shared" si="73"/>
        <v>#DIV/0!</v>
      </c>
      <c r="AR70" s="72" t="e">
        <f t="shared" si="74"/>
        <v>#DIV/0!</v>
      </c>
      <c r="AS70" s="72" t="e">
        <f t="shared" si="75"/>
        <v>#DIV/0!</v>
      </c>
      <c r="AT70" s="72" t="e">
        <f t="shared" si="76"/>
        <v>#DIV/0!</v>
      </c>
      <c r="AU70" s="72" t="e">
        <f t="shared" si="77"/>
        <v>#DIV/0!</v>
      </c>
      <c r="AV70" s="80" t="e">
        <f t="shared" si="78"/>
        <v>#DIV/0!</v>
      </c>
      <c r="AW70" s="72" t="e">
        <f t="shared" si="79"/>
        <v>#DIV/0!</v>
      </c>
      <c r="AX70" s="73" t="e">
        <f t="shared" si="80"/>
        <v>#DIV/0!</v>
      </c>
      <c r="AY70" s="77" t="e">
        <f t="shared" si="81"/>
        <v>#DIV/0!</v>
      </c>
    </row>
    <row r="71" spans="1:67" hidden="1" x14ac:dyDescent="0.2">
      <c r="B71" s="1" t="s">
        <v>30</v>
      </c>
      <c r="C71" s="9" t="e">
        <f t="shared" ref="C71:K71" si="89">C53*$Z14/$M53</f>
        <v>#DIV/0!</v>
      </c>
      <c r="D71" s="8" t="e">
        <f t="shared" si="89"/>
        <v>#DIV/0!</v>
      </c>
      <c r="E71" s="8" t="e">
        <f t="shared" si="89"/>
        <v>#DIV/0!</v>
      </c>
      <c r="F71" s="8" t="e">
        <f t="shared" si="89"/>
        <v>#DIV/0!</v>
      </c>
      <c r="G71" s="8" t="e">
        <f t="shared" si="89"/>
        <v>#DIV/0!</v>
      </c>
      <c r="H71" s="8" t="e">
        <f t="shared" si="89"/>
        <v>#DIV/0!</v>
      </c>
      <c r="I71" s="8" t="e">
        <f t="shared" si="89"/>
        <v>#DIV/0!</v>
      </c>
      <c r="J71" s="31" t="e">
        <f t="shared" si="89"/>
        <v>#DIV/0!</v>
      </c>
      <c r="K71" s="10" t="e">
        <f t="shared" si="89"/>
        <v>#DIV/0!</v>
      </c>
      <c r="L71" s="23"/>
      <c r="M71" s="15" t="e">
        <f t="shared" si="62"/>
        <v>#DIV/0!</v>
      </c>
      <c r="N71" s="15"/>
      <c r="AC71" s="1" t="s">
        <v>7</v>
      </c>
      <c r="AD71" s="9" t="e">
        <f t="shared" si="63"/>
        <v>#DIV/0!</v>
      </c>
      <c r="AE71" s="8" t="e">
        <f t="shared" si="64"/>
        <v>#DIV/0!</v>
      </c>
      <c r="AF71" s="8" t="e">
        <f t="shared" si="65"/>
        <v>#DIV/0!</v>
      </c>
      <c r="AG71" s="8" t="e">
        <f t="shared" si="66"/>
        <v>#DIV/0!</v>
      </c>
      <c r="AH71" s="8" t="e">
        <f t="shared" si="67"/>
        <v>#DIV/0!</v>
      </c>
      <c r="AI71" s="8" t="e">
        <f t="shared" si="68"/>
        <v>#DIV/0!</v>
      </c>
      <c r="AJ71" s="8" t="e">
        <f t="shared" si="69"/>
        <v>#DIV/0!</v>
      </c>
      <c r="AK71" s="78" t="e">
        <f t="shared" si="70"/>
        <v>#DIV/0!</v>
      </c>
      <c r="AL71" s="10" t="e">
        <f t="shared" si="71"/>
        <v>#DIV/0!</v>
      </c>
      <c r="AM71" s="15" t="e">
        <f t="shared" si="83"/>
        <v>#DIV/0!</v>
      </c>
      <c r="AO71" s="1" t="s">
        <v>7</v>
      </c>
      <c r="AP71" s="71" t="e">
        <f t="shared" si="72"/>
        <v>#DIV/0!</v>
      </c>
      <c r="AQ71" s="72" t="e">
        <f t="shared" si="73"/>
        <v>#DIV/0!</v>
      </c>
      <c r="AR71" s="72" t="e">
        <f t="shared" si="74"/>
        <v>#DIV/0!</v>
      </c>
      <c r="AS71" s="72" t="e">
        <f t="shared" si="75"/>
        <v>#DIV/0!</v>
      </c>
      <c r="AT71" s="72" t="e">
        <f t="shared" si="76"/>
        <v>#DIV/0!</v>
      </c>
      <c r="AU71" s="72" t="e">
        <f t="shared" si="77"/>
        <v>#DIV/0!</v>
      </c>
      <c r="AV71" s="72" t="e">
        <f t="shared" si="78"/>
        <v>#DIV/0!</v>
      </c>
      <c r="AW71" s="80" t="e">
        <f t="shared" si="79"/>
        <v>#DIV/0!</v>
      </c>
      <c r="AX71" s="73" t="e">
        <f t="shared" si="80"/>
        <v>#DIV/0!</v>
      </c>
      <c r="AY71" s="77" t="e">
        <f t="shared" si="81"/>
        <v>#DIV/0!</v>
      </c>
    </row>
    <row r="72" spans="1:67" hidden="1" x14ac:dyDescent="0.2">
      <c r="B72" s="1" t="s">
        <v>31</v>
      </c>
      <c r="C72" s="11" t="e">
        <f t="shared" ref="C72:K72" si="90">C54*$Z15/$M54</f>
        <v>#DIV/0!</v>
      </c>
      <c r="D72" s="12" t="e">
        <f t="shared" si="90"/>
        <v>#DIV/0!</v>
      </c>
      <c r="E72" s="12" t="e">
        <f t="shared" si="90"/>
        <v>#DIV/0!</v>
      </c>
      <c r="F72" s="12" t="e">
        <f t="shared" si="90"/>
        <v>#DIV/0!</v>
      </c>
      <c r="G72" s="12" t="e">
        <f t="shared" si="90"/>
        <v>#DIV/0!</v>
      </c>
      <c r="H72" s="12" t="e">
        <f t="shared" si="90"/>
        <v>#DIV/0!</v>
      </c>
      <c r="I72" s="12" t="e">
        <f t="shared" si="90"/>
        <v>#DIV/0!</v>
      </c>
      <c r="J72" s="12" t="e">
        <f t="shared" si="90"/>
        <v>#DIV/0!</v>
      </c>
      <c r="K72" s="83" t="e">
        <f t="shared" si="90"/>
        <v>#DIV/0!</v>
      </c>
      <c r="L72" s="21"/>
      <c r="M72" s="15" t="e">
        <f t="shared" si="62"/>
        <v>#DIV/0!</v>
      </c>
      <c r="N72" s="15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C72" s="1" t="s">
        <v>8</v>
      </c>
      <c r="AD72" s="11" t="e">
        <f t="shared" si="63"/>
        <v>#DIV/0!</v>
      </c>
      <c r="AE72" s="12" t="e">
        <f t="shared" si="64"/>
        <v>#DIV/0!</v>
      </c>
      <c r="AF72" s="12" t="e">
        <f t="shared" si="65"/>
        <v>#DIV/0!</v>
      </c>
      <c r="AG72" s="12" t="e">
        <f t="shared" si="66"/>
        <v>#DIV/0!</v>
      </c>
      <c r="AH72" s="12" t="e">
        <f t="shared" si="67"/>
        <v>#DIV/0!</v>
      </c>
      <c r="AI72" s="12" t="e">
        <f t="shared" si="68"/>
        <v>#DIV/0!</v>
      </c>
      <c r="AJ72" s="12" t="e">
        <f t="shared" si="69"/>
        <v>#DIV/0!</v>
      </c>
      <c r="AK72" s="12" t="e">
        <f t="shared" si="70"/>
        <v>#DIV/0!</v>
      </c>
      <c r="AL72" s="78" t="e">
        <f t="shared" si="71"/>
        <v>#DIV/0!</v>
      </c>
      <c r="AM72" s="15" t="e">
        <f t="shared" si="83"/>
        <v>#DIV/0!</v>
      </c>
      <c r="AO72" s="1" t="s">
        <v>8</v>
      </c>
      <c r="AP72" s="74" t="e">
        <f t="shared" si="72"/>
        <v>#DIV/0!</v>
      </c>
      <c r="AQ72" s="75" t="e">
        <f t="shared" si="73"/>
        <v>#DIV/0!</v>
      </c>
      <c r="AR72" s="75" t="e">
        <f t="shared" si="74"/>
        <v>#DIV/0!</v>
      </c>
      <c r="AS72" s="75" t="e">
        <f t="shared" si="75"/>
        <v>#DIV/0!</v>
      </c>
      <c r="AT72" s="75" t="e">
        <f t="shared" si="76"/>
        <v>#DIV/0!</v>
      </c>
      <c r="AU72" s="75" t="e">
        <f t="shared" si="77"/>
        <v>#DIV/0!</v>
      </c>
      <c r="AV72" s="75" t="e">
        <f t="shared" si="78"/>
        <v>#DIV/0!</v>
      </c>
      <c r="AW72" s="75" t="e">
        <f t="shared" si="79"/>
        <v>#DIV/0!</v>
      </c>
      <c r="AX72" s="80" t="e">
        <f t="shared" si="80"/>
        <v>#DIV/0!</v>
      </c>
      <c r="AY72" s="77" t="e">
        <f t="shared" si="81"/>
        <v>#DIV/0!</v>
      </c>
    </row>
    <row r="73" spans="1:67" hidden="1" x14ac:dyDescent="0.2">
      <c r="B73" s="14" t="s">
        <v>9</v>
      </c>
      <c r="C73" s="17" t="e">
        <f>SUM(C64:C72)</f>
        <v>#DIV/0!</v>
      </c>
      <c r="D73" s="17" t="e">
        <f t="shared" ref="D73:K73" si="91">SUM(D64:D72)</f>
        <v>#DIV/0!</v>
      </c>
      <c r="E73" s="17" t="e">
        <f t="shared" si="91"/>
        <v>#DIV/0!</v>
      </c>
      <c r="F73" s="17" t="e">
        <f t="shared" si="91"/>
        <v>#DIV/0!</v>
      </c>
      <c r="G73" s="17" t="e">
        <f t="shared" si="91"/>
        <v>#DIV/0!</v>
      </c>
      <c r="H73" s="17" t="e">
        <f t="shared" si="91"/>
        <v>#DIV/0!</v>
      </c>
      <c r="I73" s="17" t="e">
        <f t="shared" si="91"/>
        <v>#DIV/0!</v>
      </c>
      <c r="J73" s="17" t="e">
        <f t="shared" si="91"/>
        <v>#DIV/0!</v>
      </c>
      <c r="K73" s="17" t="e">
        <f t="shared" si="91"/>
        <v>#DIV/0!</v>
      </c>
      <c r="L73" s="19"/>
      <c r="M73" s="15" t="e">
        <f t="shared" si="62"/>
        <v>#DIV/0!</v>
      </c>
      <c r="N73" s="15"/>
      <c r="AC73" s="14" t="s">
        <v>9</v>
      </c>
      <c r="AD73" s="15" t="e">
        <f>SUM(AD64:AD72)</f>
        <v>#DIV/0!</v>
      </c>
      <c r="AE73" s="15" t="e">
        <f t="shared" ref="AE73:AL73" si="92">SUM(AE64:AE72)</f>
        <v>#DIV/0!</v>
      </c>
      <c r="AF73" s="15" t="e">
        <f t="shared" si="92"/>
        <v>#DIV/0!</v>
      </c>
      <c r="AG73" s="15" t="e">
        <f t="shared" si="92"/>
        <v>#DIV/0!</v>
      </c>
      <c r="AH73" s="15" t="e">
        <f t="shared" si="92"/>
        <v>#DIV/0!</v>
      </c>
      <c r="AI73" s="15" t="e">
        <f t="shared" si="92"/>
        <v>#DIV/0!</v>
      </c>
      <c r="AJ73" s="15" t="e">
        <f t="shared" si="92"/>
        <v>#DIV/0!</v>
      </c>
      <c r="AK73" s="15" t="e">
        <f t="shared" si="92"/>
        <v>#DIV/0!</v>
      </c>
      <c r="AL73" s="15" t="e">
        <f t="shared" si="92"/>
        <v>#DIV/0!</v>
      </c>
      <c r="AM73" s="79" t="e">
        <f t="shared" ref="AM73" si="93">SUM(AM64:AM72)</f>
        <v>#DIV/0!</v>
      </c>
      <c r="AO73" s="14" t="s">
        <v>9</v>
      </c>
      <c r="AP73" s="77" t="e">
        <f t="shared" si="72"/>
        <v>#DIV/0!</v>
      </c>
      <c r="AQ73" s="77" t="e">
        <f t="shared" si="73"/>
        <v>#DIV/0!</v>
      </c>
      <c r="AR73" s="77" t="e">
        <f t="shared" si="74"/>
        <v>#DIV/0!</v>
      </c>
      <c r="AS73" s="77" t="e">
        <f t="shared" si="75"/>
        <v>#DIV/0!</v>
      </c>
      <c r="AT73" s="77" t="e">
        <f t="shared" si="76"/>
        <v>#DIV/0!</v>
      </c>
      <c r="AU73" s="77" t="e">
        <f t="shared" si="77"/>
        <v>#DIV/0!</v>
      </c>
      <c r="AV73" s="77" t="e">
        <f t="shared" si="78"/>
        <v>#DIV/0!</v>
      </c>
      <c r="AW73" s="77" t="e">
        <f t="shared" si="79"/>
        <v>#DIV/0!</v>
      </c>
      <c r="AX73" s="77" t="e">
        <f t="shared" si="80"/>
        <v>#DIV/0!</v>
      </c>
      <c r="AY73" s="230" t="e">
        <f t="shared" si="81"/>
        <v>#DIV/0!</v>
      </c>
    </row>
    <row r="74" spans="1:67" s="3" customFormat="1" hidden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</row>
    <row r="75" spans="1:67" hidden="1" x14ac:dyDescent="0.2"/>
    <row r="76" spans="1:67" hidden="1" x14ac:dyDescent="0.2"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  <c r="AA76" s="67"/>
      <c r="AB76" s="67"/>
      <c r="AC76" s="67"/>
      <c r="AD76" s="67"/>
      <c r="AE76" s="67"/>
      <c r="AF76" s="67"/>
      <c r="AG76" s="67"/>
      <c r="AH76" s="67"/>
      <c r="AI76" s="67"/>
      <c r="AJ76" s="67"/>
      <c r="AK76" s="67"/>
      <c r="AL76" s="67"/>
      <c r="AM76" s="67"/>
      <c r="AN76" s="67"/>
      <c r="AO76" s="67"/>
      <c r="AP76" s="67"/>
      <c r="AQ76" s="67"/>
      <c r="AR76" s="67"/>
      <c r="AS76" s="67"/>
      <c r="AT76" s="67"/>
      <c r="AU76" s="67"/>
      <c r="AV76" s="67"/>
      <c r="AW76" s="67"/>
      <c r="AX76" s="67"/>
      <c r="AY76" s="67"/>
    </row>
    <row r="77" spans="1:67" hidden="1" x14ac:dyDescent="0.2">
      <c r="A77" s="2" t="s">
        <v>166</v>
      </c>
    </row>
    <row r="78" spans="1:67" hidden="1" x14ac:dyDescent="0.2">
      <c r="C78" s="14" t="s">
        <v>11</v>
      </c>
    </row>
    <row r="79" spans="1:67" ht="25.5" hidden="1" x14ac:dyDescent="0.2">
      <c r="B79" s="22" t="s">
        <v>12</v>
      </c>
      <c r="C79" s="3" t="s">
        <v>13</v>
      </c>
      <c r="D79" s="3" t="s">
        <v>14</v>
      </c>
      <c r="E79" s="3" t="s">
        <v>15</v>
      </c>
      <c r="F79" s="3" t="s">
        <v>16</v>
      </c>
      <c r="G79" s="3" t="s">
        <v>17</v>
      </c>
      <c r="H79" s="3" t="s">
        <v>18</v>
      </c>
      <c r="I79" s="3" t="s">
        <v>19</v>
      </c>
      <c r="J79" s="3" t="s">
        <v>20</v>
      </c>
      <c r="K79" s="3" t="s">
        <v>21</v>
      </c>
      <c r="L79" s="18"/>
      <c r="M79" s="22" t="s">
        <v>9</v>
      </c>
      <c r="N79" s="22"/>
    </row>
    <row r="80" spans="1:67" hidden="1" x14ac:dyDescent="0.2"/>
    <row r="81" spans="1:67" hidden="1" x14ac:dyDescent="0.2">
      <c r="B81" s="1" t="s">
        <v>24</v>
      </c>
      <c r="C81" s="222">
        <f>'OBS Transit'!BA8/WorkPlaceLocationChoice!C28</f>
        <v>22484.104599086531</v>
      </c>
      <c r="D81" s="223">
        <f>'OBS Transit'!BB8/WorkPlaceLocationChoice!D28</f>
        <v>2934.8522536834557</v>
      </c>
      <c r="E81" s="224">
        <f>'OBS Transit'!BC8/WorkPlaceLocationChoice!E28</f>
        <v>3714.4580738856421</v>
      </c>
      <c r="F81" s="225">
        <f>'OBS Transit'!BD8/WorkPlaceLocationChoice!F28</f>
        <v>6098.1340973793485</v>
      </c>
      <c r="G81" s="226">
        <f>'OBS Transit'!BE8/WorkPlaceLocationChoice!G28</f>
        <v>5807.7747758648602</v>
      </c>
      <c r="H81" s="226">
        <f>'OBS Transit'!BF8/WorkPlaceLocationChoice!H28</f>
        <v>7768.4763855355804</v>
      </c>
      <c r="I81" s="226" t="e">
        <f>'OBS Transit'!BG8/WorkPlaceLocationChoice!I28</f>
        <v>#DIV/0!</v>
      </c>
      <c r="J81" s="226" t="e">
        <f>'OBS Transit'!BH8/WorkPlaceLocationChoice!J28</f>
        <v>#DIV/0!</v>
      </c>
      <c r="K81" s="227">
        <f>'OBS Transit'!BI8/WorkPlaceLocationChoice!K28</f>
        <v>0</v>
      </c>
      <c r="L81" s="228"/>
      <c r="M81" s="148">
        <f>'OBS Transit'!BJ8/WorkPlaceLocationChoice!M28</f>
        <v>7104.3261305956894</v>
      </c>
      <c r="N81" s="148"/>
    </row>
    <row r="82" spans="1:67" hidden="1" x14ac:dyDescent="0.2">
      <c r="B82" s="1" t="s">
        <v>25</v>
      </c>
      <c r="C82" s="229">
        <f>'OBS Transit'!BA9/WorkPlaceLocationChoice!C29</f>
        <v>53354.994632322479</v>
      </c>
      <c r="D82" s="84">
        <f>'OBS Transit'!BB9/WorkPlaceLocationChoice!D29</f>
        <v>7594.9041537274652</v>
      </c>
      <c r="E82" s="152">
        <f>'OBS Transit'!BC9/WorkPlaceLocationChoice!E29</f>
        <v>6066.5724308838517</v>
      </c>
      <c r="F82" s="84">
        <f>'OBS Transit'!BD9/WorkPlaceLocationChoice!F29</f>
        <v>2574.8069316488272</v>
      </c>
      <c r="G82" s="84">
        <f>'OBS Transit'!BE9/WorkPlaceLocationChoice!G29</f>
        <v>1807.6097093349958</v>
      </c>
      <c r="H82" s="84">
        <f>'OBS Transit'!BF9/WorkPlaceLocationChoice!H29</f>
        <v>0</v>
      </c>
      <c r="I82" s="84">
        <f>'OBS Transit'!BG9/WorkPlaceLocationChoice!I29</f>
        <v>0</v>
      </c>
      <c r="J82" s="84">
        <f>'OBS Transit'!BH9/WorkPlaceLocationChoice!J29</f>
        <v>36223.269766465768</v>
      </c>
      <c r="K82" s="150">
        <f>'OBS Transit'!BI9/WorkPlaceLocationChoice!K29</f>
        <v>3466.5404184976192</v>
      </c>
      <c r="L82" s="151"/>
      <c r="M82" s="148">
        <f>'OBS Transit'!BJ9/WorkPlaceLocationChoice!M29</f>
        <v>7040.3669378683308</v>
      </c>
      <c r="N82" s="148"/>
    </row>
    <row r="83" spans="1:67" hidden="1" x14ac:dyDescent="0.2">
      <c r="B83" s="1" t="s">
        <v>26</v>
      </c>
      <c r="C83" s="149">
        <f>'OBS Transit'!BA10/WorkPlaceLocationChoice!C30</f>
        <v>96843.484525414417</v>
      </c>
      <c r="D83" s="84">
        <f>'OBS Transit'!BB10/WorkPlaceLocationChoice!D30</f>
        <v>4670.25485215545</v>
      </c>
      <c r="E83" s="84">
        <f>'OBS Transit'!BC10/WorkPlaceLocationChoice!E30</f>
        <v>2965.3625084941027</v>
      </c>
      <c r="F83" s="27">
        <f>'OBS Transit'!BD10/WorkPlaceLocationChoice!F30</f>
        <v>12061.925630552269</v>
      </c>
      <c r="G83" s="84">
        <f>'OBS Transit'!BE10/WorkPlaceLocationChoice!G30</f>
        <v>12277.713028497557</v>
      </c>
      <c r="H83" s="84">
        <f>'OBS Transit'!BF10/WorkPlaceLocationChoice!H30</f>
        <v>2783.699503699037</v>
      </c>
      <c r="I83" s="84">
        <f>'OBS Transit'!BG10/WorkPlaceLocationChoice!I30</f>
        <v>1839.0447512132628</v>
      </c>
      <c r="J83" s="84">
        <f>'OBS Transit'!BH10/WorkPlaceLocationChoice!J30</f>
        <v>133.06028016040227</v>
      </c>
      <c r="K83" s="150">
        <f>'OBS Transit'!BI10/WorkPlaceLocationChoice!K30</f>
        <v>5860.9005366931706</v>
      </c>
      <c r="L83" s="151"/>
      <c r="M83" s="148">
        <f>'OBS Transit'!BJ10/WorkPlaceLocationChoice!M30</f>
        <v>21122.59093997001</v>
      </c>
      <c r="N83" s="148"/>
    </row>
    <row r="84" spans="1:67" hidden="1" x14ac:dyDescent="0.2">
      <c r="B84" s="1" t="s">
        <v>27</v>
      </c>
      <c r="C84" s="149">
        <f>'OBS Transit'!BA11/WorkPlaceLocationChoice!C31</f>
        <v>49541.439395230416</v>
      </c>
      <c r="D84" s="84">
        <f>'OBS Transit'!BB11/WorkPlaceLocationChoice!D31</f>
        <v>4444.352236061015</v>
      </c>
      <c r="E84" s="84">
        <f>'OBS Transit'!BC11/WorkPlaceLocationChoice!E31</f>
        <v>974.18163626692728</v>
      </c>
      <c r="F84" s="84">
        <f>'OBS Transit'!BD11/WorkPlaceLocationChoice!F31</f>
        <v>9711.4926519715409</v>
      </c>
      <c r="G84" s="27">
        <f>'OBS Transit'!BE11/WorkPlaceLocationChoice!G31</f>
        <v>2022.9759654902198</v>
      </c>
      <c r="H84" s="84">
        <f>'OBS Transit'!BF11/WorkPlaceLocationChoice!H31</f>
        <v>170.42864256190074</v>
      </c>
      <c r="I84" s="84">
        <f>'OBS Transit'!BG11/WorkPlaceLocationChoice!I31</f>
        <v>184.73779232441299</v>
      </c>
      <c r="J84" s="84">
        <f>'OBS Transit'!BH11/WorkPlaceLocationChoice!J31</f>
        <v>0</v>
      </c>
      <c r="K84" s="150">
        <f>'OBS Transit'!BI11/WorkPlaceLocationChoice!K31</f>
        <v>1607.2590424219291</v>
      </c>
      <c r="L84" s="151"/>
      <c r="M84" s="148">
        <f>'OBS Transit'!BJ11/WorkPlaceLocationChoice!M31</f>
        <v>9061.8562933057747</v>
      </c>
      <c r="N84" s="148"/>
    </row>
    <row r="85" spans="1:67" hidden="1" x14ac:dyDescent="0.2">
      <c r="B85" s="1" t="s">
        <v>28</v>
      </c>
      <c r="C85" s="149">
        <f>'OBS Transit'!BA12/WorkPlaceLocationChoice!C32</f>
        <v>7932.5826014325203</v>
      </c>
      <c r="D85" s="84">
        <f>'OBS Transit'!BB12/WorkPlaceLocationChoice!D32</f>
        <v>503.98460710354232</v>
      </c>
      <c r="E85" s="84">
        <f>'OBS Transit'!BC12/WorkPlaceLocationChoice!E32</f>
        <v>26.138409707667243</v>
      </c>
      <c r="F85" s="84">
        <f>'OBS Transit'!BD12/WorkPlaceLocationChoice!F32</f>
        <v>1028.4505874426382</v>
      </c>
      <c r="G85" s="84">
        <f>'OBS Transit'!BE12/WorkPlaceLocationChoice!G32</f>
        <v>115.75812625682249</v>
      </c>
      <c r="H85" s="27">
        <f>'OBS Transit'!BF12/WorkPlaceLocationChoice!H32</f>
        <v>2.3625582623337738</v>
      </c>
      <c r="I85" s="84">
        <f>'OBS Transit'!BG12/WorkPlaceLocationChoice!I32</f>
        <v>86.601513642760139</v>
      </c>
      <c r="J85" s="84">
        <f>'OBS Transit'!BH12/WorkPlaceLocationChoice!J32</f>
        <v>26.964433163599168</v>
      </c>
      <c r="K85" s="150">
        <f>'OBS Transit'!BI12/WorkPlaceLocationChoice!K32</f>
        <v>0</v>
      </c>
      <c r="L85" s="151"/>
      <c r="M85" s="148">
        <f>'OBS Transit'!BJ12/WorkPlaceLocationChoice!M32</f>
        <v>429.2645401971746</v>
      </c>
      <c r="N85" s="148"/>
    </row>
    <row r="86" spans="1:67" hidden="1" x14ac:dyDescent="0.2">
      <c r="B86" s="1" t="s">
        <v>29</v>
      </c>
      <c r="C86" s="149">
        <f>'OBS Transit'!BA13/WorkPlaceLocationChoice!C33</f>
        <v>1425.3429378361623</v>
      </c>
      <c r="D86" s="84">
        <f>'OBS Transit'!BB13/WorkPlaceLocationChoice!D33</f>
        <v>19.797898165371855</v>
      </c>
      <c r="E86" s="84">
        <f>'OBS Transit'!BC13/WorkPlaceLocationChoice!E33</f>
        <v>18.020470627821695</v>
      </c>
      <c r="F86" s="84">
        <f>'OBS Transit'!BD13/WorkPlaceLocationChoice!F33</f>
        <v>621.48970735036573</v>
      </c>
      <c r="G86" s="84">
        <f>'OBS Transit'!BE13/WorkPlaceLocationChoice!G33</f>
        <v>94.078930554722774</v>
      </c>
      <c r="H86" s="84">
        <f>'OBS Transit'!BF13/WorkPlaceLocationChoice!H33</f>
        <v>23.570566457727971</v>
      </c>
      <c r="I86" s="27">
        <f>'OBS Transit'!BG13/WorkPlaceLocationChoice!I33</f>
        <v>63.180700268853386</v>
      </c>
      <c r="J86" s="84">
        <f>'OBS Transit'!BH13/WorkPlaceLocationChoice!J33</f>
        <v>0</v>
      </c>
      <c r="K86" s="150">
        <f>'OBS Transit'!BI13/WorkPlaceLocationChoice!K33</f>
        <v>0</v>
      </c>
      <c r="L86" s="151"/>
      <c r="M86" s="148">
        <f>'OBS Transit'!BJ13/WorkPlaceLocationChoice!M33</f>
        <v>111.60957233081074</v>
      </c>
      <c r="N86" s="148"/>
    </row>
    <row r="87" spans="1:67" s="67" customFormat="1" hidden="1" x14ac:dyDescent="0.2">
      <c r="A87" s="1"/>
      <c r="B87" s="1" t="s">
        <v>30</v>
      </c>
      <c r="C87" s="149">
        <f>'OBS Transit'!BA14/WorkPlaceLocationChoice!C34</f>
        <v>7568.9460060822003</v>
      </c>
      <c r="D87" s="84">
        <f>'OBS Transit'!BB14/WorkPlaceLocationChoice!D34</f>
        <v>216.50759842207958</v>
      </c>
      <c r="E87" s="84">
        <f>'OBS Transit'!BC14/WorkPlaceLocationChoice!E34</f>
        <v>0</v>
      </c>
      <c r="F87" s="84">
        <f>'OBS Transit'!BD14/WorkPlaceLocationChoice!F34</f>
        <v>206.69221038158051</v>
      </c>
      <c r="G87" s="84">
        <f>'OBS Transit'!BE14/WorkPlaceLocationChoice!G34</f>
        <v>554.61897437089624</v>
      </c>
      <c r="H87" s="84">
        <f>'OBS Transit'!BF14/WorkPlaceLocationChoice!H34</f>
        <v>0</v>
      </c>
      <c r="I87" s="84">
        <f>'OBS Transit'!BG14/WorkPlaceLocationChoice!I34</f>
        <v>83.341031622222431</v>
      </c>
      <c r="J87" s="27">
        <f>'OBS Transit'!BH14/WorkPlaceLocationChoice!J34</f>
        <v>477.96054622339585</v>
      </c>
      <c r="K87" s="150">
        <f>'OBS Transit'!BI14/WorkPlaceLocationChoice!K34</f>
        <v>481.30415618551518</v>
      </c>
      <c r="L87" s="151"/>
      <c r="M87" s="148">
        <f>'OBS Transit'!BJ14/WorkPlaceLocationChoice!M34</f>
        <v>663.75909330443289</v>
      </c>
      <c r="N87" s="148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</row>
    <row r="88" spans="1:67" hidden="1" x14ac:dyDescent="0.2">
      <c r="B88" s="1" t="s">
        <v>31</v>
      </c>
      <c r="C88" s="153">
        <f>'OBS Transit'!BA15/WorkPlaceLocationChoice!C35</f>
        <v>5626.1902901479125</v>
      </c>
      <c r="D88" s="154">
        <f>'OBS Transit'!BB15/WorkPlaceLocationChoice!D35</f>
        <v>3.8435723132196431</v>
      </c>
      <c r="E88" s="154">
        <f>'OBS Transit'!BC15/WorkPlaceLocationChoice!E35</f>
        <v>184.94305605757782</v>
      </c>
      <c r="F88" s="154">
        <f>'OBS Transit'!BD15/WorkPlaceLocationChoice!F35</f>
        <v>798.51312022576485</v>
      </c>
      <c r="G88" s="154">
        <f>'OBS Transit'!BE15/WorkPlaceLocationChoice!G35</f>
        <v>1034.2945191935864</v>
      </c>
      <c r="H88" s="154">
        <f>'OBS Transit'!BF15/WorkPlaceLocationChoice!H35</f>
        <v>0</v>
      </c>
      <c r="I88" s="154">
        <f>'OBS Transit'!BG15/WorkPlaceLocationChoice!I35</f>
        <v>0</v>
      </c>
      <c r="J88" s="154">
        <f>'OBS Transit'!BH15/WorkPlaceLocationChoice!J35</f>
        <v>198.82937952081701</v>
      </c>
      <c r="K88" s="155">
        <f>'OBS Transit'!BI15/WorkPlaceLocationChoice!K35</f>
        <v>98.393058080951548</v>
      </c>
      <c r="L88" s="156"/>
      <c r="M88" s="148">
        <f>'OBS Transit'!BJ15/WorkPlaceLocationChoice!M35</f>
        <v>1153.5358800627487</v>
      </c>
      <c r="N88" s="148"/>
    </row>
    <row r="89" spans="1:67" hidden="1" x14ac:dyDescent="0.2">
      <c r="B89" s="14" t="s">
        <v>9</v>
      </c>
      <c r="C89" s="157">
        <f>'OBS Transit'!BA16/WorkPlaceLocationChoice!C36</f>
        <v>41966.321132960067</v>
      </c>
      <c r="D89" s="157">
        <f>'OBS Transit'!BB16/WorkPlaceLocationChoice!D36</f>
        <v>4119.8271680628022</v>
      </c>
      <c r="E89" s="157">
        <f>'OBS Transit'!BC16/WorkPlaceLocationChoice!E36</f>
        <v>5297.5618015026603</v>
      </c>
      <c r="F89" s="157">
        <f>'OBS Transit'!BD16/WorkPlaceLocationChoice!F36</f>
        <v>10945.650846475361</v>
      </c>
      <c r="G89" s="157">
        <f>'OBS Transit'!BE16/WorkPlaceLocationChoice!G36</f>
        <v>2623.8311615416669</v>
      </c>
      <c r="H89" s="157">
        <f>'OBS Transit'!BF16/WorkPlaceLocationChoice!H36</f>
        <v>36.226370018641276</v>
      </c>
      <c r="I89" s="157">
        <f>'OBS Transit'!BG16/WorkPlaceLocationChoice!I36</f>
        <v>70.355537417530556</v>
      </c>
      <c r="J89" s="157">
        <f>'OBS Transit'!BH16/WorkPlaceLocationChoice!J36</f>
        <v>460.5587398010249</v>
      </c>
      <c r="K89" s="157">
        <f>'OBS Transit'!BI16/WorkPlaceLocationChoice!K36</f>
        <v>323.07739050346549</v>
      </c>
      <c r="L89" s="158"/>
      <c r="M89" s="148">
        <f>'OBS Transit'!BJ16/WorkPlaceLocationChoice!M36</f>
        <v>9857.663169697953</v>
      </c>
      <c r="N89" s="148"/>
    </row>
    <row r="93" spans="1:67" x14ac:dyDescent="0.2">
      <c r="A93" s="16" t="s">
        <v>105</v>
      </c>
    </row>
    <row r="94" spans="1:67" x14ac:dyDescent="0.2">
      <c r="C94" s="216">
        <v>1</v>
      </c>
      <c r="D94" s="216">
        <v>2</v>
      </c>
      <c r="E94" s="216">
        <v>3</v>
      </c>
      <c r="F94" s="216">
        <v>4</v>
      </c>
      <c r="G94" s="216">
        <v>5</v>
      </c>
      <c r="H94" s="216">
        <v>6</v>
      </c>
      <c r="I94" s="216">
        <v>7</v>
      </c>
      <c r="J94" s="216">
        <v>8</v>
      </c>
      <c r="K94" s="216">
        <v>9</v>
      </c>
    </row>
    <row r="95" spans="1:67" ht="25.5" x14ac:dyDescent="0.2">
      <c r="B95" s="214"/>
      <c r="C95" s="233" t="s">
        <v>0</v>
      </c>
      <c r="D95" s="233" t="s">
        <v>1</v>
      </c>
      <c r="E95" s="233" t="s">
        <v>2</v>
      </c>
      <c r="F95" s="233" t="s">
        <v>3</v>
      </c>
      <c r="G95" s="233" t="s">
        <v>4</v>
      </c>
      <c r="H95" s="233" t="s">
        <v>5</v>
      </c>
      <c r="I95" s="233" t="s">
        <v>6</v>
      </c>
      <c r="J95" s="233" t="s">
        <v>7</v>
      </c>
      <c r="K95" s="233" t="s">
        <v>8</v>
      </c>
      <c r="L95" s="214"/>
    </row>
    <row r="96" spans="1:67" ht="51" x14ac:dyDescent="0.2">
      <c r="B96" s="3" t="str">
        <f>A22</f>
        <v>PUMS 2023 Bay Area Work Flow - Calibration Sheet USES THIS</v>
      </c>
      <c r="C96" s="72">
        <f t="shared" ref="C96:K96" si="94">C36/$M36</f>
        <v>0.167042214763235</v>
      </c>
      <c r="D96" s="72">
        <f t="shared" si="94"/>
        <v>0.10510694160601348</v>
      </c>
      <c r="E96" s="72">
        <f t="shared" si="94"/>
        <v>0.14526857238519567</v>
      </c>
      <c r="F96" s="72">
        <f t="shared" si="94"/>
        <v>0.12158782624728408</v>
      </c>
      <c r="G96" s="72">
        <f t="shared" si="94"/>
        <v>8.6347337617022471E-2</v>
      </c>
      <c r="H96" s="72">
        <f t="shared" si="94"/>
        <v>7.9560518647104408E-2</v>
      </c>
      <c r="I96" s="72">
        <f t="shared" si="94"/>
        <v>0.10030390972715451</v>
      </c>
      <c r="J96" s="72">
        <f t="shared" si="94"/>
        <v>0.10646197684480892</v>
      </c>
      <c r="K96" s="72">
        <f t="shared" si="94"/>
        <v>8.8320702162181616E-2</v>
      </c>
      <c r="L96" s="84">
        <f>SUM(C96:K96)</f>
        <v>1.0000000000000002</v>
      </c>
    </row>
    <row r="97" spans="1:67" x14ac:dyDescent="0.2">
      <c r="B97" s="1" t="str">
        <f>P19</f>
        <v>TAZ Data TOTEMP</v>
      </c>
      <c r="C97" s="72">
        <f t="shared" ref="C97:L97" si="95">Q20</f>
        <v>0.1862672933652309</v>
      </c>
      <c r="D97" s="72">
        <f t="shared" si="95"/>
        <v>0.10745409489463177</v>
      </c>
      <c r="E97" s="72">
        <f t="shared" si="95"/>
        <v>0.2719422566228471</v>
      </c>
      <c r="F97" s="72">
        <f t="shared" si="95"/>
        <v>0.19806910272108044</v>
      </c>
      <c r="G97" s="72">
        <f t="shared" si="95"/>
        <v>9.8334390789290044E-2</v>
      </c>
      <c r="H97" s="72">
        <f t="shared" si="95"/>
        <v>3.1387459601131075E-2</v>
      </c>
      <c r="I97" s="72">
        <f t="shared" si="95"/>
        <v>2.0058432749215239E-2</v>
      </c>
      <c r="J97" s="72">
        <f t="shared" si="95"/>
        <v>5.5449658222769323E-2</v>
      </c>
      <c r="K97" s="72">
        <f t="shared" si="95"/>
        <v>3.1037311033804086E-2</v>
      </c>
      <c r="L97" s="72">
        <f t="shared" si="95"/>
        <v>1</v>
      </c>
    </row>
    <row r="105" spans="1:67" s="67" customForma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</row>
  </sheetData>
  <conditionalFormatting sqref="AD64:AL72 AD36:AM39">
    <cfRule type="colorScale" priority="5">
      <colorScale>
        <cfvo type="num" val="-50000"/>
        <cfvo type="num" val="0"/>
        <cfvo type="num" val="50000"/>
        <color rgb="FFF8696B"/>
        <color rgb="FFFCFCFF"/>
        <color rgb="FF63BE7B"/>
      </colorScale>
    </cfRule>
  </conditionalFormatting>
  <conditionalFormatting sqref="AD73:AL73">
    <cfRule type="colorScale" priority="3">
      <colorScale>
        <cfvo type="num" val="-50000"/>
        <cfvo type="num" val="0"/>
        <cfvo type="num" val="50000"/>
        <color rgb="FFF8696B"/>
        <color rgb="FFFCFCFF"/>
        <color rgb="FF63BE7B"/>
      </colorScale>
    </cfRule>
  </conditionalFormatting>
  <conditionalFormatting sqref="AD7:AM15">
    <cfRule type="colorScale" priority="13">
      <colorScale>
        <cfvo type="num" val="-50000"/>
        <cfvo type="num" val="0"/>
        <cfvo type="num" val="50000"/>
        <color rgb="FFF8696B"/>
        <color rgb="FFFCFCFF"/>
        <color rgb="FF63BE7B"/>
      </colorScale>
    </cfRule>
  </conditionalFormatting>
  <conditionalFormatting sqref="AD16:AM20">
    <cfRule type="colorScale" priority="11">
      <colorScale>
        <cfvo type="num" val="-50000"/>
        <cfvo type="num" val="0"/>
        <cfvo type="num" val="50000"/>
        <color rgb="FFF8696B"/>
        <color rgb="FFFCFCFF"/>
        <color rgb="FF63BE7B"/>
      </colorScale>
    </cfRule>
  </conditionalFormatting>
  <conditionalFormatting sqref="AD27:AM36">
    <cfRule type="colorScale" priority="14">
      <colorScale>
        <cfvo type="num" val="-50000"/>
        <cfvo type="num" val="0"/>
        <cfvo type="num" val="50000"/>
        <color rgb="FFF8696B"/>
        <color rgb="FFFCFCFF"/>
        <color rgb="FF63BE7B"/>
      </colorScale>
    </cfRule>
  </conditionalFormatting>
  <conditionalFormatting sqref="AM64:AM73">
    <cfRule type="colorScale" priority="4">
      <colorScale>
        <cfvo type="num" val="-50000"/>
        <cfvo type="num" val="0"/>
        <cfvo type="num" val="50000"/>
        <color rgb="FFF8696B"/>
        <color rgb="FFFCFCFF"/>
        <color rgb="FF63BE7B"/>
      </colorScale>
    </cfRule>
  </conditionalFormatting>
  <conditionalFormatting sqref="AP7:AY15">
    <cfRule type="colorScale" priority="19">
      <colorScale>
        <cfvo type="num" val="-1"/>
        <cfvo type="num" val="0"/>
        <cfvo type="num" val="1"/>
        <color rgb="FFF8696B"/>
        <color rgb="FFFCFCFF"/>
        <color rgb="FF63BE7B"/>
      </colorScale>
    </cfRule>
  </conditionalFormatting>
  <conditionalFormatting sqref="AP27:AY36">
    <cfRule type="colorScale" priority="20">
      <colorScale>
        <cfvo type="num" val="-1"/>
        <cfvo type="num" val="0"/>
        <cfvo type="num" val="1"/>
        <color rgb="FFF8696B"/>
        <color rgb="FFFCFCFF"/>
        <color rgb="FF63BE7B"/>
      </colorScale>
    </cfRule>
  </conditionalFormatting>
  <conditionalFormatting sqref="AP64:AY73">
    <cfRule type="colorScale" priority="6">
      <colorScale>
        <cfvo type="num" val="-1"/>
        <cfvo type="num" val="0"/>
        <cfvo type="num" val="1"/>
        <color rgb="FFF8696B"/>
        <color rgb="FFFCFCFF"/>
        <color rgb="FF63BE7B"/>
      </colorScale>
    </cfRule>
  </conditionalFormatting>
  <pageMargins left="0.7" right="0.7" top="0.75" bottom="0.75" header="0.3" footer="0.3"/>
  <pageSetup paperSize="3" scale="38" fitToHeight="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1"/>
    <pageSetUpPr fitToPage="1"/>
  </sheetPr>
  <dimension ref="A1:AJ68"/>
  <sheetViews>
    <sheetView tabSelected="1" workbookViewId="0">
      <pane ySplit="20" topLeftCell="A21" activePane="bottomLeft" state="frozen"/>
      <selection pane="bottomLeft" activeCell="M8" sqref="M8:N9"/>
    </sheetView>
  </sheetViews>
  <sheetFormatPr defaultColWidth="9.140625" defaultRowHeight="12.75" x14ac:dyDescent="0.2"/>
  <cols>
    <col min="1" max="1" width="5.85546875" style="1" customWidth="1"/>
    <col min="2" max="2" width="15.140625" style="1" customWidth="1"/>
    <col min="3" max="3" width="9.140625" style="1"/>
    <col min="4" max="4" width="8.7109375" style="1" customWidth="1"/>
    <col min="5" max="8" width="9.140625" style="1"/>
    <col min="9" max="9" width="10.140625" style="1" customWidth="1"/>
    <col min="10" max="10" width="9.140625" style="1"/>
    <col min="11" max="11" width="9.140625" style="173"/>
    <col min="12" max="12" width="8.42578125" style="173" customWidth="1"/>
    <col min="13" max="13" width="9.140625" style="1"/>
    <col min="14" max="14" width="22.42578125" style="1" customWidth="1"/>
    <col min="15" max="20" width="9.140625" style="1"/>
    <col min="21" max="21" width="10.42578125" style="1" customWidth="1"/>
    <col min="22" max="25" width="9.140625" style="1"/>
    <col min="26" max="26" width="16.7109375" style="1" customWidth="1"/>
    <col min="27" max="16384" width="9.140625" style="1"/>
  </cols>
  <sheetData>
    <row r="1" spans="2:36" x14ac:dyDescent="0.2">
      <c r="B1" s="1" t="s">
        <v>85</v>
      </c>
      <c r="C1" s="32">
        <v>0</v>
      </c>
      <c r="H1" s="98" t="s">
        <v>115</v>
      </c>
      <c r="I1" s="32">
        <v>0</v>
      </c>
      <c r="N1" s="1" t="s">
        <v>86</v>
      </c>
      <c r="O1" s="32">
        <v>0</v>
      </c>
      <c r="Z1" s="1" t="s">
        <v>87</v>
      </c>
      <c r="AA1" s="32">
        <v>0</v>
      </c>
    </row>
    <row r="2" spans="2:36" x14ac:dyDescent="0.2">
      <c r="AE2" s="1" t="s">
        <v>63</v>
      </c>
      <c r="AG2" s="1" t="s">
        <v>64</v>
      </c>
    </row>
    <row r="3" spans="2:36" x14ac:dyDescent="0.2">
      <c r="C3" s="1" t="s">
        <v>63</v>
      </c>
      <c r="D3" s="1" t="s">
        <v>64</v>
      </c>
      <c r="I3" s="1" t="s">
        <v>63</v>
      </c>
      <c r="J3" s="1" t="s">
        <v>64</v>
      </c>
      <c r="K3" s="173" t="s">
        <v>176</v>
      </c>
      <c r="O3" s="1" t="s">
        <v>63</v>
      </c>
      <c r="P3" s="1" t="s">
        <v>64</v>
      </c>
      <c r="AA3" s="1" t="s">
        <v>63</v>
      </c>
      <c r="AB3" s="1" t="s">
        <v>64</v>
      </c>
      <c r="AC3" s="1" t="s">
        <v>91</v>
      </c>
      <c r="AE3" s="1" t="s">
        <v>90</v>
      </c>
      <c r="AF3" s="1" t="s">
        <v>89</v>
      </c>
      <c r="AG3" s="1" t="s">
        <v>90</v>
      </c>
      <c r="AH3" s="1" t="s">
        <v>89</v>
      </c>
    </row>
    <row r="4" spans="2:36" x14ac:dyDescent="0.2">
      <c r="B4" s="1" t="s">
        <v>65</v>
      </c>
      <c r="C4" s="33">
        <v>-2.6481308889438444</v>
      </c>
      <c r="D4" s="33">
        <f>J19</f>
        <v>-2.6481308889438444</v>
      </c>
      <c r="F4" s="102"/>
      <c r="G4" s="103"/>
      <c r="H4" s="104" t="s">
        <v>114</v>
      </c>
      <c r="I4" s="33">
        <v>-0.17504882970749294</v>
      </c>
      <c r="J4" s="33">
        <f>I4+K4</f>
        <v>-0.17504882970749294</v>
      </c>
      <c r="K4" s="33">
        <f>damp_county_work*LN((SF_SF_obs/SF_tot_obs)/(SF_SF_model/SF_tot_model))</f>
        <v>0</v>
      </c>
      <c r="N4" s="1" t="s">
        <v>65</v>
      </c>
      <c r="O4" s="232">
        <v>2.1957552070032174</v>
      </c>
      <c r="P4" s="33">
        <f>V19</f>
        <v>2.1957552070032174</v>
      </c>
      <c r="Z4" s="1" t="s">
        <v>65</v>
      </c>
      <c r="AA4" s="33">
        <f t="shared" ref="AA4:AA9" si="0">AVERAGE(AE4:AF4)</f>
        <v>-1.5588772320309405</v>
      </c>
      <c r="AB4" s="33">
        <f>AH19</f>
        <v>-1.5588772320309405</v>
      </c>
      <c r="AC4" s="33">
        <f t="shared" ref="AC4:AC9" si="1">AB4/AA4</f>
        <v>1</v>
      </c>
      <c r="AE4" s="232">
        <v>-1.1445060279170556</v>
      </c>
      <c r="AF4" s="232">
        <v>-1.9732484361448255</v>
      </c>
      <c r="AG4" s="33">
        <f>AE4*$AC4</f>
        <v>-1.1445060279170556</v>
      </c>
      <c r="AH4" s="33">
        <f>AF4*$AC4</f>
        <v>-1.9732484361448255</v>
      </c>
    </row>
    <row r="5" spans="2:36" x14ac:dyDescent="0.2">
      <c r="B5" s="1" t="s">
        <v>66</v>
      </c>
      <c r="C5" s="33">
        <v>-0.50419002549104164</v>
      </c>
      <c r="D5" s="33">
        <f>J20-J19</f>
        <v>-0.50419002549104164</v>
      </c>
      <c r="F5" s="102"/>
      <c r="G5" s="103"/>
      <c r="H5" s="104" t="s">
        <v>118</v>
      </c>
      <c r="I5" s="33">
        <v>0.70738111750485255</v>
      </c>
      <c r="J5" s="33">
        <f t="shared" ref="J5:J13" si="2">I5+K5</f>
        <v>0.70738111750485255</v>
      </c>
      <c r="K5" s="33">
        <f>damp_county_work*LN((SF_SM_obs/SF_tot_obs)/(SF_SM_model/SF_tot_model))</f>
        <v>0</v>
      </c>
      <c r="N5" s="1" t="s">
        <v>66</v>
      </c>
      <c r="O5" s="232">
        <v>-6.4435481197641149</v>
      </c>
      <c r="P5" s="33">
        <f>V20-V19</f>
        <v>-6.4435481197641149</v>
      </c>
      <c r="Z5" s="1" t="s">
        <v>66</v>
      </c>
      <c r="AA5" s="33">
        <f t="shared" si="0"/>
        <v>-0.10907884717484495</v>
      </c>
      <c r="AB5" s="33">
        <f>AH20-AH19</f>
        <v>-0.10907884717484495</v>
      </c>
      <c r="AC5" s="33">
        <f t="shared" si="1"/>
        <v>1</v>
      </c>
      <c r="AE5" s="232">
        <v>-0.10907884717484495</v>
      </c>
      <c r="AF5" s="232">
        <v>-0.10907884717484495</v>
      </c>
      <c r="AG5" s="33">
        <f t="shared" ref="AG5:AH9" si="3">AE5*$AC5</f>
        <v>-0.10907884717484495</v>
      </c>
      <c r="AH5" s="33">
        <f t="shared" si="3"/>
        <v>-0.10907884717484495</v>
      </c>
    </row>
    <row r="6" spans="2:36" x14ac:dyDescent="0.2">
      <c r="B6" s="1" t="s">
        <v>67</v>
      </c>
      <c r="C6" s="33">
        <v>-0.23555352265666718</v>
      </c>
      <c r="D6" s="33">
        <f>(J23-J20)/3</f>
        <v>-0.23555352265666718</v>
      </c>
      <c r="F6" s="105"/>
      <c r="G6" s="106"/>
      <c r="H6" s="107" t="s">
        <v>113</v>
      </c>
      <c r="I6" s="33">
        <v>3.5256171097058089</v>
      </c>
      <c r="J6" s="33">
        <f t="shared" si="2"/>
        <v>3.5256171097058089</v>
      </c>
      <c r="K6" s="33">
        <f>damp_county_work*LN((SF_SC_obs/SF_tot_obs)/(SF_SC_model/SF_tot_model))</f>
        <v>0</v>
      </c>
      <c r="N6" s="1" t="s">
        <v>67</v>
      </c>
      <c r="O6" s="232">
        <v>0.37092007579519803</v>
      </c>
      <c r="P6" s="33">
        <f>(V23-V20)/3</f>
        <v>0.37092007579519803</v>
      </c>
      <c r="Z6" s="1" t="s">
        <v>67</v>
      </c>
      <c r="AA6" s="33">
        <f t="shared" si="0"/>
        <v>-0.38571852319234695</v>
      </c>
      <c r="AB6" s="33">
        <f>(AH23-AH20)/3</f>
        <v>-0.38571852319234695</v>
      </c>
      <c r="AC6" s="33">
        <f t="shared" si="1"/>
        <v>1</v>
      </c>
      <c r="AE6" s="232">
        <v>-0.38571852319234695</v>
      </c>
      <c r="AF6" s="232">
        <v>-0.38571852319234695</v>
      </c>
      <c r="AG6" s="33">
        <f t="shared" si="3"/>
        <v>-0.38571852319234695</v>
      </c>
      <c r="AH6" s="33">
        <f t="shared" si="3"/>
        <v>-0.38571852319234695</v>
      </c>
    </row>
    <row r="7" spans="2:36" x14ac:dyDescent="0.2">
      <c r="B7" s="1" t="s">
        <v>68</v>
      </c>
      <c r="C7" s="33">
        <v>-0.20243286791722692</v>
      </c>
      <c r="D7" s="33">
        <f>(J33-J23)/10</f>
        <v>-0.20243286791722692</v>
      </c>
      <c r="F7" s="110"/>
      <c r="G7" s="111"/>
      <c r="H7" s="112" t="s">
        <v>119</v>
      </c>
      <c r="I7" s="33">
        <v>0.4372222484096927</v>
      </c>
      <c r="J7" s="33">
        <f t="shared" si="2"/>
        <v>0.4372222484096927</v>
      </c>
      <c r="K7" s="33">
        <f>damp_county_work*LN((SM_SC_obs/SM_tot_obs)/(SM_SC_model/SM_tot_model))</f>
        <v>0</v>
      </c>
      <c r="N7" s="1" t="s">
        <v>68</v>
      </c>
      <c r="O7" s="232">
        <v>-0.17920515524980546</v>
      </c>
      <c r="P7" s="33">
        <f>(V33-V23)/10</f>
        <v>-0.17920515524980546</v>
      </c>
      <c r="Z7" s="1" t="s">
        <v>68</v>
      </c>
      <c r="AA7" s="33">
        <f t="shared" si="0"/>
        <v>-0.28496155144383373</v>
      </c>
      <c r="AB7" s="33">
        <f>(AH31-AH23)/10</f>
        <v>-0.22796924115506698</v>
      </c>
      <c r="AC7" s="33">
        <f t="shared" si="1"/>
        <v>0.79999999999999993</v>
      </c>
      <c r="AE7" s="232">
        <v>-0.27772540332061751</v>
      </c>
      <c r="AF7" s="232">
        <v>-0.29219769956704994</v>
      </c>
      <c r="AG7" s="33">
        <f t="shared" si="3"/>
        <v>-0.22218032265649398</v>
      </c>
      <c r="AH7" s="33">
        <f t="shared" si="3"/>
        <v>-0.23375815965363994</v>
      </c>
    </row>
    <row r="8" spans="2:36" x14ac:dyDescent="0.2">
      <c r="B8" s="1" t="s">
        <v>69</v>
      </c>
      <c r="C8" s="33">
        <v>-0.1273712880138449</v>
      </c>
      <c r="D8" s="33">
        <f>(J48-J33)/15</f>
        <v>-0.1273712880138449</v>
      </c>
      <c r="F8" s="115"/>
      <c r="G8" s="116"/>
      <c r="H8" s="117" t="s">
        <v>120</v>
      </c>
      <c r="I8" s="33">
        <v>-2.2149119039990135E-2</v>
      </c>
      <c r="J8" s="33">
        <f t="shared" si="2"/>
        <v>-2.2149119039990135E-2</v>
      </c>
      <c r="K8" s="33">
        <f>damp_county_work*LN((SM_AL_obs/SM_tot_obs)/(SM_AL_model/SM_tot_model))</f>
        <v>0</v>
      </c>
      <c r="N8" s="1" t="s">
        <v>69</v>
      </c>
      <c r="O8" s="232">
        <v>-0.31198492638919889</v>
      </c>
      <c r="P8" s="33">
        <f>(V48-V33)/15</f>
        <v>-0.31198492638919889</v>
      </c>
      <c r="Z8" s="1" t="s">
        <v>69</v>
      </c>
      <c r="AA8" s="33">
        <f t="shared" si="0"/>
        <v>-0.23755754344668609</v>
      </c>
      <c r="AB8" s="33">
        <f>(AH42-AH34)/15</f>
        <v>-0.12669735650489902</v>
      </c>
      <c r="AC8" s="33">
        <f t="shared" si="1"/>
        <v>0.53333333333333244</v>
      </c>
      <c r="AE8" s="232">
        <v>-0.3818014189868591</v>
      </c>
      <c r="AF8" s="232">
        <v>-9.331366790651309E-2</v>
      </c>
      <c r="AG8" s="33">
        <f t="shared" si="3"/>
        <v>-0.20362742345965784</v>
      </c>
      <c r="AH8" s="33">
        <f t="shared" si="3"/>
        <v>-4.9767289550140231E-2</v>
      </c>
    </row>
    <row r="9" spans="2:36" x14ac:dyDescent="0.2">
      <c r="B9" s="1" t="s">
        <v>70</v>
      </c>
      <c r="C9" s="33">
        <f>C8</f>
        <v>-0.1273712880138449</v>
      </c>
      <c r="D9" s="33">
        <f>D8</f>
        <v>-0.1273712880138449</v>
      </c>
      <c r="F9" s="118"/>
      <c r="G9" s="119"/>
      <c r="H9" s="120" t="s">
        <v>116</v>
      </c>
      <c r="I9" s="33">
        <v>1.5342839118736928</v>
      </c>
      <c r="J9" s="33">
        <f t="shared" si="2"/>
        <v>1.5342839118736928</v>
      </c>
      <c r="K9" s="33">
        <f>damp_county_work*LN((SC_SF_obs/SC_tot_obs)/(SC_SF_model/SC_tot_model))</f>
        <v>0</v>
      </c>
      <c r="N9" s="1" t="s">
        <v>70</v>
      </c>
      <c r="O9" s="33">
        <f>O8</f>
        <v>-0.31198492638919889</v>
      </c>
      <c r="P9" s="33">
        <f>P8</f>
        <v>-0.31198492638919889</v>
      </c>
      <c r="Z9" s="1" t="s">
        <v>70</v>
      </c>
      <c r="AA9" s="33">
        <f t="shared" si="0"/>
        <v>-0.23755754344668609</v>
      </c>
      <c r="AB9" s="33">
        <f>AB8</f>
        <v>-0.12669735650489902</v>
      </c>
      <c r="AC9" s="33">
        <f t="shared" si="1"/>
        <v>0.53333333333333244</v>
      </c>
      <c r="AE9" s="33">
        <f>AE8</f>
        <v>-0.3818014189868591</v>
      </c>
      <c r="AF9" s="33">
        <f>AF8</f>
        <v>-9.331366790651309E-2</v>
      </c>
      <c r="AG9" s="33">
        <f t="shared" si="3"/>
        <v>-0.20362742345965784</v>
      </c>
      <c r="AH9" s="33">
        <f t="shared" si="3"/>
        <v>-4.9767289550140231E-2</v>
      </c>
    </row>
    <row r="10" spans="2:36" x14ac:dyDescent="0.2">
      <c r="F10" s="118"/>
      <c r="G10" s="119"/>
      <c r="H10" s="120" t="s">
        <v>117</v>
      </c>
      <c r="I10" s="33">
        <v>-2.0337939479809462E-2</v>
      </c>
      <c r="J10" s="33">
        <f t="shared" si="2"/>
        <v>-2.0337939479809462E-2</v>
      </c>
      <c r="K10" s="33">
        <f>damp_county_work*LN((SC_SC_obs/SC_tot_obs)/(SC_SC_model/SC_tot_model))</f>
        <v>0</v>
      </c>
    </row>
    <row r="11" spans="2:36" x14ac:dyDescent="0.2">
      <c r="F11" s="163"/>
      <c r="G11" s="164"/>
      <c r="H11" s="165" t="s">
        <v>173</v>
      </c>
      <c r="I11" s="33">
        <v>0.60673055276005883</v>
      </c>
      <c r="J11" s="33">
        <f t="shared" si="2"/>
        <v>0.60673055276005883</v>
      </c>
      <c r="K11" s="33">
        <f>damp_county_work*LN((AL_SC_obs/AL_tot_obs)/(AL_SC_model/AL_tot_model))</f>
        <v>0</v>
      </c>
    </row>
    <row r="12" spans="2:36" x14ac:dyDescent="0.2">
      <c r="F12" s="166"/>
      <c r="G12" s="166"/>
      <c r="H12" s="167" t="s">
        <v>174</v>
      </c>
      <c r="I12" s="33">
        <v>0.70096648479764723</v>
      </c>
      <c r="J12" s="33">
        <f t="shared" si="2"/>
        <v>0.70096648479764723</v>
      </c>
      <c r="K12" s="33">
        <f>damp_county_work*LN((CC_SM_obs/CC_tot_obs)/(CC_SM_model/CC_tot_model))</f>
        <v>0</v>
      </c>
    </row>
    <row r="13" spans="2:36" x14ac:dyDescent="0.2">
      <c r="F13" s="166"/>
      <c r="G13" s="166"/>
      <c r="H13" s="167" t="s">
        <v>175</v>
      </c>
      <c r="I13" s="33">
        <v>1.3180557029786457</v>
      </c>
      <c r="J13" s="33">
        <f t="shared" si="2"/>
        <v>1.3180557029786457</v>
      </c>
      <c r="K13" s="33">
        <f>damp_county_work*LN((CC_SC_obs/CC_tot_obs)/(CC_SC_model/CC_tot_model))</f>
        <v>0</v>
      </c>
    </row>
    <row r="14" spans="2:36" x14ac:dyDescent="0.2">
      <c r="F14" s="122"/>
      <c r="G14" s="122"/>
      <c r="H14" s="123"/>
      <c r="I14" s="33"/>
      <c r="J14" s="33"/>
    </row>
    <row r="15" spans="2:36" x14ac:dyDescent="0.2">
      <c r="B15" s="16" t="s">
        <v>83</v>
      </c>
      <c r="N15" s="16" t="s">
        <v>84</v>
      </c>
      <c r="Z15" s="16" t="s">
        <v>88</v>
      </c>
    </row>
    <row r="16" spans="2:36" x14ac:dyDescent="0.2">
      <c r="C16" s="258" t="s">
        <v>71</v>
      </c>
      <c r="D16" s="259"/>
      <c r="E16" s="99" t="s">
        <v>60</v>
      </c>
      <c r="F16" s="101"/>
      <c r="G16" s="100"/>
      <c r="H16" s="258" t="s">
        <v>72</v>
      </c>
      <c r="I16" s="259"/>
      <c r="J16" s="35" t="s">
        <v>73</v>
      </c>
      <c r="K16" s="260" t="s">
        <v>74</v>
      </c>
      <c r="L16" s="261"/>
      <c r="O16" s="258" t="s">
        <v>71</v>
      </c>
      <c r="P16" s="259"/>
      <c r="Q16" s="258" t="s">
        <v>60</v>
      </c>
      <c r="R16" s="262"/>
      <c r="S16" s="259"/>
      <c r="T16" s="258" t="s">
        <v>72</v>
      </c>
      <c r="U16" s="259"/>
      <c r="V16" s="35" t="s">
        <v>73</v>
      </c>
      <c r="W16" s="258" t="s">
        <v>74</v>
      </c>
      <c r="X16" s="259"/>
      <c r="AA16" s="258" t="s">
        <v>71</v>
      </c>
      <c r="AB16" s="259"/>
      <c r="AC16" s="258" t="s">
        <v>60</v>
      </c>
      <c r="AD16" s="262"/>
      <c r="AE16" s="259"/>
      <c r="AF16" s="258" t="s">
        <v>72</v>
      </c>
      <c r="AG16" s="259"/>
      <c r="AH16" s="35" t="s">
        <v>73</v>
      </c>
      <c r="AI16" s="258" t="s">
        <v>74</v>
      </c>
      <c r="AJ16" s="259"/>
    </row>
    <row r="17" spans="1:36" s="25" customFormat="1" ht="25.5" x14ac:dyDescent="0.2">
      <c r="B17" s="65" t="s">
        <v>75</v>
      </c>
      <c r="C17" s="63" t="s">
        <v>76</v>
      </c>
      <c r="D17" s="66" t="s">
        <v>77</v>
      </c>
      <c r="E17" s="63" t="s">
        <v>78</v>
      </c>
      <c r="F17" s="65" t="s">
        <v>79</v>
      </c>
      <c r="G17" s="66" t="s">
        <v>80</v>
      </c>
      <c r="H17" s="63" t="s">
        <v>81</v>
      </c>
      <c r="I17" s="66" t="s">
        <v>82</v>
      </c>
      <c r="J17" s="64" t="s">
        <v>77</v>
      </c>
      <c r="K17" s="174" t="s">
        <v>76</v>
      </c>
      <c r="L17" s="175" t="s">
        <v>77</v>
      </c>
      <c r="N17" s="65" t="s">
        <v>75</v>
      </c>
      <c r="O17" s="63" t="s">
        <v>76</v>
      </c>
      <c r="P17" s="66" t="s">
        <v>77</v>
      </c>
      <c r="Q17" s="63" t="s">
        <v>78</v>
      </c>
      <c r="R17" s="65" t="s">
        <v>79</v>
      </c>
      <c r="S17" s="66" t="s">
        <v>80</v>
      </c>
      <c r="T17" s="63" t="s">
        <v>81</v>
      </c>
      <c r="U17" s="66" t="s">
        <v>82</v>
      </c>
      <c r="V17" s="64" t="s">
        <v>77</v>
      </c>
      <c r="W17" s="63" t="s">
        <v>76</v>
      </c>
      <c r="X17" s="66" t="s">
        <v>77</v>
      </c>
      <c r="Z17" s="65" t="s">
        <v>75</v>
      </c>
      <c r="AA17" s="63" t="s">
        <v>76</v>
      </c>
      <c r="AB17" s="66" t="s">
        <v>77</v>
      </c>
      <c r="AC17" s="63" t="s">
        <v>78</v>
      </c>
      <c r="AD17" s="65" t="s">
        <v>79</v>
      </c>
      <c r="AE17" s="66" t="s">
        <v>80</v>
      </c>
      <c r="AF17" s="63" t="s">
        <v>81</v>
      </c>
      <c r="AG17" s="66" t="s">
        <v>82</v>
      </c>
      <c r="AH17" s="64" t="s">
        <v>77</v>
      </c>
      <c r="AI17" s="63" t="s">
        <v>76</v>
      </c>
      <c r="AJ17" s="66" t="s">
        <v>77</v>
      </c>
    </row>
    <row r="18" spans="1:36" x14ac:dyDescent="0.2">
      <c r="A18" s="62">
        <f>(B18+B19)/2</f>
        <v>0.5</v>
      </c>
      <c r="B18" s="36">
        <v>0</v>
      </c>
      <c r="C18" s="33">
        <f>C4</f>
        <v>-2.6481308889438444</v>
      </c>
      <c r="D18" s="42">
        <v>0</v>
      </c>
      <c r="E18" s="37">
        <f>'BATS 2023 TLFD'!M5</f>
        <v>6.9392787160115446E-2</v>
      </c>
      <c r="F18" s="38">
        <f>modeldata!L20</f>
        <v>6.6666666666666671E-3</v>
      </c>
      <c r="G18" s="34">
        <f t="shared" ref="G18:G49" si="4">(F18-E18)/E18</f>
        <v>-0.90392853581044175</v>
      </c>
      <c r="H18" s="39">
        <f t="shared" ref="H18:H49" si="5">damp_work*LN(E18/F18)</f>
        <v>0</v>
      </c>
      <c r="I18" s="40">
        <f t="shared" ref="I18:I49" si="6">H18-H$18</f>
        <v>0</v>
      </c>
      <c r="J18" s="41">
        <f t="shared" ref="J18:J49" si="7">SUM(D18,I18)</f>
        <v>0</v>
      </c>
      <c r="K18" s="176">
        <f>D4</f>
        <v>-2.6481308889438444</v>
      </c>
      <c r="L18" s="177">
        <v>0</v>
      </c>
      <c r="N18" s="36">
        <v>0</v>
      </c>
      <c r="O18" s="33">
        <f>O4</f>
        <v>2.1957552070032174</v>
      </c>
      <c r="P18" s="42">
        <v>0</v>
      </c>
      <c r="Q18" s="37">
        <f>'BATS 2023 TLFD'!Z5</f>
        <v>0.11145628900984729</v>
      </c>
      <c r="R18" s="38">
        <f>modeldata!Y20</f>
        <v>6.6666666666666671E-3</v>
      </c>
      <c r="S18" s="34">
        <f>(R18-Q18)/Q18</f>
        <v>-0.94018581880042984</v>
      </c>
      <c r="T18" s="39">
        <f t="shared" ref="T18:T49" si="8">damp_university*IF(OR(Q18=0,R18=0),0,LN(Q18/R18))</f>
        <v>0</v>
      </c>
      <c r="U18" s="40">
        <f t="shared" ref="U18:U49" si="9">T18-T$18</f>
        <v>0</v>
      </c>
      <c r="V18" s="41">
        <f>SUM(P18,U18)</f>
        <v>0</v>
      </c>
      <c r="W18" s="176">
        <f>P4</f>
        <v>2.1957552070032174</v>
      </c>
      <c r="X18" s="42">
        <v>0</v>
      </c>
      <c r="Z18" s="36">
        <v>0</v>
      </c>
      <c r="AA18" s="33">
        <f>AA4</f>
        <v>-1.5588772320309405</v>
      </c>
      <c r="AB18" s="42">
        <v>0</v>
      </c>
      <c r="AC18" s="37">
        <f>'BATS 2023 TLFD'!AM5</f>
        <v>0.22671883244926289</v>
      </c>
      <c r="AD18" s="38">
        <f>modeldata!AL20</f>
        <v>6.6666666666666671E-3</v>
      </c>
      <c r="AE18" s="34">
        <f>(AD18-AC18)/AC18</f>
        <v>-0.97059500265308318</v>
      </c>
      <c r="AF18" s="39">
        <f t="shared" ref="AF18:AF49" si="10">damp_school*LN(AC18/AD18)</f>
        <v>0</v>
      </c>
      <c r="AG18" s="40">
        <f t="shared" ref="AG18:AG49" si="11">AF18-AF$18</f>
        <v>0</v>
      </c>
      <c r="AH18" s="41">
        <f>SUM(AB18,AG18)</f>
        <v>0</v>
      </c>
      <c r="AI18" s="176">
        <f>AB4</f>
        <v>-1.5588772320309405</v>
      </c>
      <c r="AJ18" s="42">
        <v>0</v>
      </c>
    </row>
    <row r="19" spans="1:36" x14ac:dyDescent="0.2">
      <c r="A19" s="62">
        <f t="shared" ref="A19:A67" si="12">(B19+B20)/2</f>
        <v>1.5</v>
      </c>
      <c r="B19" s="44">
        <v>1</v>
      </c>
      <c r="C19" s="45">
        <f>C5</f>
        <v>-0.50419002549104164</v>
      </c>
      <c r="D19" s="46">
        <f t="shared" ref="D19:D68" si="13">D18+C18</f>
        <v>-2.6481308889438444</v>
      </c>
      <c r="E19" s="47">
        <f>'BATS 2023 TLFD'!M6</f>
        <v>7.1237817079635377E-2</v>
      </c>
      <c r="F19" s="48">
        <f>modeldata!L21</f>
        <v>6.6666666666666671E-3</v>
      </c>
      <c r="G19" s="49">
        <f t="shared" si="4"/>
        <v>-0.90641674689141405</v>
      </c>
      <c r="H19" s="50">
        <f t="shared" si="5"/>
        <v>0</v>
      </c>
      <c r="I19" s="51">
        <f t="shared" si="6"/>
        <v>0</v>
      </c>
      <c r="J19" s="52">
        <f t="shared" si="7"/>
        <v>-2.6481308889438444</v>
      </c>
      <c r="K19" s="178">
        <f>D5</f>
        <v>-0.50419002549104164</v>
      </c>
      <c r="L19" s="179">
        <f>L18+K18</f>
        <v>-2.6481308889438444</v>
      </c>
      <c r="N19" s="44">
        <v>1</v>
      </c>
      <c r="O19" s="45">
        <f>O5</f>
        <v>-6.4435481197641149</v>
      </c>
      <c r="P19" s="46">
        <f t="shared" ref="P19:P68" si="14">P18+O18</f>
        <v>2.1957552070032174</v>
      </c>
      <c r="Q19" s="47">
        <f>'BATS 2023 TLFD'!Z6</f>
        <v>0.2492897216079529</v>
      </c>
      <c r="R19" s="48">
        <f>modeldata!Y21</f>
        <v>6.6666666666666671E-3</v>
      </c>
      <c r="S19" s="49">
        <f t="shared" ref="S19:S68" si="15">(R19-Q19)/Q19</f>
        <v>-0.97325735444018413</v>
      </c>
      <c r="T19" s="50">
        <f t="shared" si="8"/>
        <v>0</v>
      </c>
      <c r="U19" s="51">
        <f t="shared" si="9"/>
        <v>0</v>
      </c>
      <c r="V19" s="52">
        <f>SUM(P19,U19)</f>
        <v>2.1957552070032174</v>
      </c>
      <c r="W19" s="178">
        <f>P5</f>
        <v>-6.4435481197641149</v>
      </c>
      <c r="X19" s="46">
        <f>X18+W18</f>
        <v>2.1957552070032174</v>
      </c>
      <c r="Z19" s="44">
        <v>1</v>
      </c>
      <c r="AA19" s="45">
        <f>AA5</f>
        <v>-0.10907884717484495</v>
      </c>
      <c r="AB19" s="46">
        <f t="shared" ref="AB19:AB68" si="16">AB18+AA18</f>
        <v>-1.5588772320309405</v>
      </c>
      <c r="AC19" s="47">
        <f>'BATS 2023 TLFD'!AM6</f>
        <v>0.21077869615796266</v>
      </c>
      <c r="AD19" s="48">
        <f>modeldata!AL21</f>
        <v>6.6666666666666671E-3</v>
      </c>
      <c r="AE19" s="49">
        <f t="shared" ref="AE19:AE68" si="17">(AD19-AC19)/AC19</f>
        <v>-0.96837125009222713</v>
      </c>
      <c r="AF19" s="50">
        <f t="shared" si="10"/>
        <v>0</v>
      </c>
      <c r="AG19" s="51">
        <f t="shared" si="11"/>
        <v>0</v>
      </c>
      <c r="AH19" s="52">
        <f>SUM(AB19,AG19)</f>
        <v>-1.5588772320309405</v>
      </c>
      <c r="AI19" s="178">
        <f>AB5</f>
        <v>-0.10907884717484495</v>
      </c>
      <c r="AJ19" s="46">
        <f>AJ18+AI18</f>
        <v>-1.5588772320309405</v>
      </c>
    </row>
    <row r="20" spans="1:36" x14ac:dyDescent="0.2">
      <c r="A20" s="62">
        <f t="shared" si="12"/>
        <v>2.5</v>
      </c>
      <c r="B20" s="36">
        <v>2</v>
      </c>
      <c r="C20" s="33">
        <f>C6</f>
        <v>-0.23555352265666718</v>
      </c>
      <c r="D20" s="42">
        <f t="shared" si="13"/>
        <v>-3.152320914434886</v>
      </c>
      <c r="E20" s="37">
        <f>'BATS 2023 TLFD'!M7</f>
        <v>7.9893391180100776E-2</v>
      </c>
      <c r="F20" s="38">
        <f>modeldata!L22</f>
        <v>6.6666666666666671E-3</v>
      </c>
      <c r="G20" s="34">
        <f t="shared" si="4"/>
        <v>-0.91655546762762585</v>
      </c>
      <c r="H20" s="39">
        <f t="shared" si="5"/>
        <v>0</v>
      </c>
      <c r="I20" s="40">
        <f t="shared" si="6"/>
        <v>0</v>
      </c>
      <c r="J20" s="41">
        <f t="shared" si="7"/>
        <v>-3.152320914434886</v>
      </c>
      <c r="K20" s="176">
        <f>D6</f>
        <v>-0.23555352265666718</v>
      </c>
      <c r="L20" s="177">
        <f t="shared" ref="L20:L68" si="18">L19+K19</f>
        <v>-3.152320914434886</v>
      </c>
      <c r="N20" s="36">
        <v>2</v>
      </c>
      <c r="O20" s="33">
        <f>O6</f>
        <v>0.37092007579519803</v>
      </c>
      <c r="P20" s="42">
        <f t="shared" si="14"/>
        <v>-4.2477929127608975</v>
      </c>
      <c r="Q20" s="37">
        <f>'BATS 2023 TLFD'!Z7</f>
        <v>3.864360734242827E-2</v>
      </c>
      <c r="R20" s="38">
        <f>modeldata!Y22</f>
        <v>6.6666666666666671E-3</v>
      </c>
      <c r="S20" s="34">
        <f t="shared" si="15"/>
        <v>-0.82748332453561901</v>
      </c>
      <c r="T20" s="39">
        <f t="shared" si="8"/>
        <v>0</v>
      </c>
      <c r="U20" s="40">
        <f t="shared" si="9"/>
        <v>0</v>
      </c>
      <c r="V20" s="41">
        <f t="shared" ref="V20:V68" si="19">SUM(P20,U20)</f>
        <v>-4.2477929127608975</v>
      </c>
      <c r="W20" s="176">
        <f>P6</f>
        <v>0.37092007579519803</v>
      </c>
      <c r="X20" s="42">
        <f t="shared" ref="X20:X68" si="20">X19+W19</f>
        <v>-4.2477929127608975</v>
      </c>
      <c r="Z20" s="36">
        <v>2</v>
      </c>
      <c r="AA20" s="33">
        <f>AA6</f>
        <v>-0.38571852319234695</v>
      </c>
      <c r="AB20" s="42">
        <f t="shared" si="16"/>
        <v>-1.6679560792057855</v>
      </c>
      <c r="AC20" s="37">
        <f>'BATS 2023 TLFD'!AM7</f>
        <v>0.21685273293933136</v>
      </c>
      <c r="AD20" s="38">
        <f>modeldata!AL22</f>
        <v>6.6666666666666671E-3</v>
      </c>
      <c r="AE20" s="34">
        <f t="shared" si="17"/>
        <v>-0.96925717017118806</v>
      </c>
      <c r="AF20" s="39">
        <f t="shared" si="10"/>
        <v>0</v>
      </c>
      <c r="AG20" s="40">
        <f t="shared" si="11"/>
        <v>0</v>
      </c>
      <c r="AH20" s="41">
        <f t="shared" ref="AH20:AH68" si="21">SUM(AB20,AG20)</f>
        <v>-1.6679560792057855</v>
      </c>
      <c r="AI20" s="176">
        <f>AB6</f>
        <v>-0.38571852319234695</v>
      </c>
      <c r="AJ20" s="42">
        <f t="shared" ref="AJ20:AJ68" si="22">AJ19+AI19</f>
        <v>-1.6679560792057855</v>
      </c>
    </row>
    <row r="21" spans="1:36" x14ac:dyDescent="0.2">
      <c r="A21" s="62">
        <f t="shared" si="12"/>
        <v>3.5</v>
      </c>
      <c r="B21" s="36">
        <v>3</v>
      </c>
      <c r="C21" s="33">
        <f>C20</f>
        <v>-0.23555352265666718</v>
      </c>
      <c r="D21" s="42">
        <f t="shared" si="13"/>
        <v>-3.3878744370915532</v>
      </c>
      <c r="E21" s="37">
        <f>'BATS 2023 TLFD'!M8</f>
        <v>6.9475907201940773E-2</v>
      </c>
      <c r="F21" s="38">
        <f>modeldata!L23</f>
        <v>6.6666666666666671E-3</v>
      </c>
      <c r="G21" s="34">
        <f t="shared" si="4"/>
        <v>-0.90404347441928135</v>
      </c>
      <c r="H21" s="39">
        <f t="shared" si="5"/>
        <v>0</v>
      </c>
      <c r="I21" s="40">
        <f t="shared" si="6"/>
        <v>0</v>
      </c>
      <c r="J21" s="41">
        <f t="shared" si="7"/>
        <v>-3.3878744370915532</v>
      </c>
      <c r="K21" s="176">
        <f>K20</f>
        <v>-0.23555352265666718</v>
      </c>
      <c r="L21" s="177">
        <f t="shared" si="18"/>
        <v>-3.3878744370915532</v>
      </c>
      <c r="N21" s="36">
        <v>3</v>
      </c>
      <c r="O21" s="33">
        <f>O20</f>
        <v>0.37092007579519803</v>
      </c>
      <c r="P21" s="42">
        <f t="shared" si="14"/>
        <v>-3.8768728369656995</v>
      </c>
      <c r="Q21" s="37">
        <f>'BATS 2023 TLFD'!Z8</f>
        <v>4.5926186881441469E-2</v>
      </c>
      <c r="R21" s="38">
        <f>modeldata!Y23</f>
        <v>6.6666666666666671E-3</v>
      </c>
      <c r="S21" s="34">
        <f t="shared" si="15"/>
        <v>-0.85483953449310568</v>
      </c>
      <c r="T21" s="39">
        <f t="shared" si="8"/>
        <v>0</v>
      </c>
      <c r="U21" s="40">
        <f t="shared" si="9"/>
        <v>0</v>
      </c>
      <c r="V21" s="41">
        <f t="shared" si="19"/>
        <v>-3.8768728369656995</v>
      </c>
      <c r="W21" s="176">
        <f>W20</f>
        <v>0.37092007579519803</v>
      </c>
      <c r="X21" s="42">
        <f t="shared" si="20"/>
        <v>-3.8768728369656995</v>
      </c>
      <c r="Z21" s="36">
        <v>3</v>
      </c>
      <c r="AA21" s="33">
        <f>AA20</f>
        <v>-0.38571852319234695</v>
      </c>
      <c r="AB21" s="42">
        <f t="shared" si="16"/>
        <v>-2.0536746023981323</v>
      </c>
      <c r="AC21" s="37">
        <f>'BATS 2023 TLFD'!AM8</f>
        <v>0.10588112356547347</v>
      </c>
      <c r="AD21" s="38">
        <f>modeldata!AL23</f>
        <v>6.6666666666666671E-3</v>
      </c>
      <c r="AE21" s="34">
        <f t="shared" si="17"/>
        <v>-0.93703630598003418</v>
      </c>
      <c r="AF21" s="39">
        <f t="shared" si="10"/>
        <v>0</v>
      </c>
      <c r="AG21" s="40">
        <f t="shared" si="11"/>
        <v>0</v>
      </c>
      <c r="AH21" s="41">
        <f t="shared" si="21"/>
        <v>-2.0536746023981323</v>
      </c>
      <c r="AI21" s="176">
        <f>AI20</f>
        <v>-0.38571852319234695</v>
      </c>
      <c r="AJ21" s="42">
        <f t="shared" si="22"/>
        <v>-2.0536746023981323</v>
      </c>
    </row>
    <row r="22" spans="1:36" x14ac:dyDescent="0.2">
      <c r="A22" s="62">
        <f t="shared" si="12"/>
        <v>4.5</v>
      </c>
      <c r="B22" s="36">
        <v>4</v>
      </c>
      <c r="C22" s="33">
        <f>C21</f>
        <v>-0.23555352265666718</v>
      </c>
      <c r="D22" s="42">
        <f t="shared" si="13"/>
        <v>-3.6234279597482204</v>
      </c>
      <c r="E22" s="37">
        <f>'BATS 2023 TLFD'!M9</f>
        <v>6.1020839152607323E-2</v>
      </c>
      <c r="F22" s="38">
        <f>modeldata!L24</f>
        <v>6.6666666666666671E-3</v>
      </c>
      <c r="G22" s="34">
        <f t="shared" si="4"/>
        <v>-0.89074770587808583</v>
      </c>
      <c r="H22" s="39">
        <f t="shared" si="5"/>
        <v>0</v>
      </c>
      <c r="I22" s="40">
        <f t="shared" si="6"/>
        <v>0</v>
      </c>
      <c r="J22" s="41">
        <f t="shared" si="7"/>
        <v>-3.6234279597482204</v>
      </c>
      <c r="K22" s="176">
        <f>K21</f>
        <v>-0.23555352265666718</v>
      </c>
      <c r="L22" s="177">
        <f t="shared" si="18"/>
        <v>-3.6234279597482204</v>
      </c>
      <c r="N22" s="36">
        <v>4</v>
      </c>
      <c r="O22" s="33">
        <f>O21</f>
        <v>0.37092007579519803</v>
      </c>
      <c r="P22" s="42">
        <f t="shared" si="14"/>
        <v>-3.5059527611705015</v>
      </c>
      <c r="Q22" s="37">
        <f>'BATS 2023 TLFD'!Z9</f>
        <v>4.5007810664399878E-2</v>
      </c>
      <c r="R22" s="38">
        <f>modeldata!Y24</f>
        <v>6.6666666666666671E-3</v>
      </c>
      <c r="S22" s="34">
        <f t="shared" si="15"/>
        <v>-0.85187756151089911</v>
      </c>
      <c r="T22" s="39">
        <f t="shared" si="8"/>
        <v>0</v>
      </c>
      <c r="U22" s="40">
        <f t="shared" si="9"/>
        <v>0</v>
      </c>
      <c r="V22" s="41">
        <f t="shared" si="19"/>
        <v>-3.5059527611705015</v>
      </c>
      <c r="W22" s="176">
        <f>W21</f>
        <v>0.37092007579519803</v>
      </c>
      <c r="X22" s="42">
        <f t="shared" si="20"/>
        <v>-3.5059527611705015</v>
      </c>
      <c r="Z22" s="36">
        <v>4</v>
      </c>
      <c r="AA22" s="33">
        <f>AA21</f>
        <v>-0.38571852319234695</v>
      </c>
      <c r="AB22" s="42">
        <f t="shared" si="16"/>
        <v>-2.4393931255904793</v>
      </c>
      <c r="AC22" s="37">
        <f>'BATS 2023 TLFD'!AM9</f>
        <v>3.3022540277899207E-2</v>
      </c>
      <c r="AD22" s="38">
        <f>modeldata!AL24</f>
        <v>6.6666666666666671E-3</v>
      </c>
      <c r="AE22" s="34">
        <f t="shared" si="17"/>
        <v>-0.79811769141429656</v>
      </c>
      <c r="AF22" s="39">
        <f t="shared" si="10"/>
        <v>0</v>
      </c>
      <c r="AG22" s="40">
        <f t="shared" si="11"/>
        <v>0</v>
      </c>
      <c r="AH22" s="41">
        <f t="shared" si="21"/>
        <v>-2.4393931255904793</v>
      </c>
      <c r="AI22" s="176">
        <f>AI21</f>
        <v>-0.38571852319234695</v>
      </c>
      <c r="AJ22" s="42">
        <f t="shared" si="22"/>
        <v>-2.4393931255904793</v>
      </c>
    </row>
    <row r="23" spans="1:36" x14ac:dyDescent="0.2">
      <c r="A23" s="62">
        <f t="shared" si="12"/>
        <v>5.5</v>
      </c>
      <c r="B23" s="44">
        <v>5</v>
      </c>
      <c r="C23" s="45">
        <f>C7</f>
        <v>-0.20243286791722692</v>
      </c>
      <c r="D23" s="46">
        <f t="shared" si="13"/>
        <v>-3.8589814824048876</v>
      </c>
      <c r="E23" s="47">
        <f>'BATS 2023 TLFD'!M10</f>
        <v>7.9838562029688281E-2</v>
      </c>
      <c r="F23" s="48">
        <f>modeldata!L25</f>
        <v>6.6666666666666671E-3</v>
      </c>
      <c r="G23" s="49">
        <f t="shared" si="4"/>
        <v>-0.91649816207627033</v>
      </c>
      <c r="H23" s="50">
        <f t="shared" si="5"/>
        <v>0</v>
      </c>
      <c r="I23" s="51">
        <f t="shared" si="6"/>
        <v>0</v>
      </c>
      <c r="J23" s="52">
        <f t="shared" si="7"/>
        <v>-3.8589814824048876</v>
      </c>
      <c r="K23" s="178">
        <f>D7</f>
        <v>-0.20243286791722692</v>
      </c>
      <c r="L23" s="179">
        <f t="shared" si="18"/>
        <v>-3.8589814824048876</v>
      </c>
      <c r="N23" s="44">
        <v>5</v>
      </c>
      <c r="O23" s="45">
        <f>O7</f>
        <v>-0.17920515524980546</v>
      </c>
      <c r="P23" s="46">
        <f t="shared" si="14"/>
        <v>-3.1350326853753034</v>
      </c>
      <c r="Q23" s="47">
        <f>'BATS 2023 TLFD'!Z10</f>
        <v>0.10218303647232076</v>
      </c>
      <c r="R23" s="48">
        <f>modeldata!Y25</f>
        <v>6.6666666666666671E-3</v>
      </c>
      <c r="S23" s="49">
        <f t="shared" si="15"/>
        <v>-0.93475759874808062</v>
      </c>
      <c r="T23" s="50">
        <f t="shared" si="8"/>
        <v>0</v>
      </c>
      <c r="U23" s="51">
        <f t="shared" si="9"/>
        <v>0</v>
      </c>
      <c r="V23" s="52">
        <f t="shared" si="19"/>
        <v>-3.1350326853753034</v>
      </c>
      <c r="W23" s="178">
        <f>P7</f>
        <v>-0.17920515524980546</v>
      </c>
      <c r="X23" s="46">
        <f t="shared" si="20"/>
        <v>-3.1350326853753034</v>
      </c>
      <c r="Z23" s="44">
        <v>5</v>
      </c>
      <c r="AA23" s="45">
        <f>AA7</f>
        <v>-0.28496155144383373</v>
      </c>
      <c r="AB23" s="46">
        <f t="shared" si="16"/>
        <v>-2.8251116487828263</v>
      </c>
      <c r="AC23" s="47">
        <f>'BATS 2023 TLFD'!AM10</f>
        <v>0.10951868398176605</v>
      </c>
      <c r="AD23" s="48">
        <f>modeldata!AL25</f>
        <v>6.6666666666666671E-3</v>
      </c>
      <c r="AE23" s="49">
        <f t="shared" si="17"/>
        <v>-0.93912758604936664</v>
      </c>
      <c r="AF23" s="50">
        <f t="shared" si="10"/>
        <v>0</v>
      </c>
      <c r="AG23" s="51">
        <f t="shared" si="11"/>
        <v>0</v>
      </c>
      <c r="AH23" s="52">
        <f t="shared" si="21"/>
        <v>-2.8251116487828263</v>
      </c>
      <c r="AI23" s="178">
        <f>AB7</f>
        <v>-0.22796924115506698</v>
      </c>
      <c r="AJ23" s="46">
        <f t="shared" si="22"/>
        <v>-2.8251116487828263</v>
      </c>
    </row>
    <row r="24" spans="1:36" x14ac:dyDescent="0.2">
      <c r="A24" s="62">
        <f t="shared" si="12"/>
        <v>6.5</v>
      </c>
      <c r="B24" s="44">
        <v>6</v>
      </c>
      <c r="C24" s="45">
        <f t="shared" ref="C24:C32" si="23">C23</f>
        <v>-0.20243286791722692</v>
      </c>
      <c r="D24" s="46">
        <f t="shared" si="13"/>
        <v>-4.0614143503221145</v>
      </c>
      <c r="E24" s="47">
        <f>'BATS 2023 TLFD'!M11</f>
        <v>3.2159191078284084E-2</v>
      </c>
      <c r="F24" s="48">
        <f>modeldata!L26</f>
        <v>6.6666666666666671E-3</v>
      </c>
      <c r="G24" s="49">
        <f t="shared" si="4"/>
        <v>-0.79269793663533961</v>
      </c>
      <c r="H24" s="50">
        <f t="shared" si="5"/>
        <v>0</v>
      </c>
      <c r="I24" s="51">
        <f t="shared" si="6"/>
        <v>0</v>
      </c>
      <c r="J24" s="52">
        <f t="shared" si="7"/>
        <v>-4.0614143503221145</v>
      </c>
      <c r="K24" s="178">
        <f>K23</f>
        <v>-0.20243286791722692</v>
      </c>
      <c r="L24" s="179">
        <f t="shared" si="18"/>
        <v>-4.0614143503221145</v>
      </c>
      <c r="N24" s="44">
        <v>6</v>
      </c>
      <c r="O24" s="45">
        <f t="shared" ref="O24:O32" si="24">O23</f>
        <v>-0.17920515524980546</v>
      </c>
      <c r="P24" s="46">
        <f t="shared" si="14"/>
        <v>-3.314237840625109</v>
      </c>
      <c r="Q24" s="47">
        <f>'BATS 2023 TLFD'!Z11</f>
        <v>2.8764484008355549E-2</v>
      </c>
      <c r="R24" s="48">
        <f>modeldata!Y26</f>
        <v>6.6666666666666671E-3</v>
      </c>
      <c r="S24" s="49">
        <f t="shared" si="15"/>
        <v>-0.76823270444447656</v>
      </c>
      <c r="T24" s="50">
        <f t="shared" si="8"/>
        <v>0</v>
      </c>
      <c r="U24" s="51">
        <f t="shared" si="9"/>
        <v>0</v>
      </c>
      <c r="V24" s="52">
        <f t="shared" si="19"/>
        <v>-3.314237840625109</v>
      </c>
      <c r="W24" s="178">
        <f>W23</f>
        <v>-0.17920515524980546</v>
      </c>
      <c r="X24" s="46">
        <f t="shared" si="20"/>
        <v>-3.314237840625109</v>
      </c>
      <c r="Z24" s="44">
        <v>6</v>
      </c>
      <c r="AA24" s="45">
        <f t="shared" ref="AA24:AA32" si="25">AA23</f>
        <v>-0.28496155144383373</v>
      </c>
      <c r="AB24" s="46">
        <f t="shared" si="16"/>
        <v>-3.11007320022666</v>
      </c>
      <c r="AC24" s="47">
        <f>'BATS 2023 TLFD'!AM11</f>
        <v>2.8818245033644E-2</v>
      </c>
      <c r="AD24" s="48">
        <f>modeldata!AL26</f>
        <v>6.6666666666666671E-3</v>
      </c>
      <c r="AE24" s="49">
        <f t="shared" si="17"/>
        <v>-0.76866507107273063</v>
      </c>
      <c r="AF24" s="50">
        <f t="shared" si="10"/>
        <v>0</v>
      </c>
      <c r="AG24" s="51">
        <f t="shared" si="11"/>
        <v>0</v>
      </c>
      <c r="AH24" s="52">
        <f t="shared" si="21"/>
        <v>-3.11007320022666</v>
      </c>
      <c r="AI24" s="178">
        <f>AI23</f>
        <v>-0.22796924115506698</v>
      </c>
      <c r="AJ24" s="46">
        <f t="shared" si="22"/>
        <v>-3.0530808899378932</v>
      </c>
    </row>
    <row r="25" spans="1:36" x14ac:dyDescent="0.2">
      <c r="A25" s="62">
        <f t="shared" si="12"/>
        <v>7.5</v>
      </c>
      <c r="B25" s="44">
        <v>7</v>
      </c>
      <c r="C25" s="45">
        <f t="shared" si="23"/>
        <v>-0.20243286791722692</v>
      </c>
      <c r="D25" s="46">
        <f t="shared" si="13"/>
        <v>-4.2638472182393414</v>
      </c>
      <c r="E25" s="47">
        <f>'BATS 2023 TLFD'!M12</f>
        <v>4.7761294245299936E-2</v>
      </c>
      <c r="F25" s="48">
        <f>modeldata!L27</f>
        <v>6.6666666666666671E-3</v>
      </c>
      <c r="G25" s="49">
        <f t="shared" si="4"/>
        <v>-0.8604169595483121</v>
      </c>
      <c r="H25" s="50">
        <f t="shared" si="5"/>
        <v>0</v>
      </c>
      <c r="I25" s="51">
        <f t="shared" si="6"/>
        <v>0</v>
      </c>
      <c r="J25" s="52">
        <f t="shared" si="7"/>
        <v>-4.2638472182393414</v>
      </c>
      <c r="K25" s="178">
        <f t="shared" ref="K25:K32" si="26">K24</f>
        <v>-0.20243286791722692</v>
      </c>
      <c r="L25" s="179">
        <f t="shared" si="18"/>
        <v>-4.2638472182393414</v>
      </c>
      <c r="N25" s="44">
        <v>7</v>
      </c>
      <c r="O25" s="45">
        <f t="shared" si="24"/>
        <v>-0.17920515524980546</v>
      </c>
      <c r="P25" s="46">
        <f t="shared" si="14"/>
        <v>-3.4934429958749145</v>
      </c>
      <c r="Q25" s="47">
        <f>'BATS 2023 TLFD'!Z12</f>
        <v>1.545945479559792E-2</v>
      </c>
      <c r="R25" s="48">
        <f>modeldata!Y27</f>
        <v>6.6666666666666671E-3</v>
      </c>
      <c r="S25" s="49">
        <f t="shared" si="15"/>
        <v>-0.56876443866797943</v>
      </c>
      <c r="T25" s="50">
        <f t="shared" si="8"/>
        <v>0</v>
      </c>
      <c r="U25" s="51">
        <f t="shared" si="9"/>
        <v>0</v>
      </c>
      <c r="V25" s="52">
        <f t="shared" si="19"/>
        <v>-3.4934429958749145</v>
      </c>
      <c r="W25" s="178">
        <f t="shared" ref="W25:W32" si="27">W24</f>
        <v>-0.17920515524980546</v>
      </c>
      <c r="X25" s="46">
        <f t="shared" si="20"/>
        <v>-3.4934429958749145</v>
      </c>
      <c r="Z25" s="44">
        <v>7</v>
      </c>
      <c r="AA25" s="45">
        <f t="shared" si="25"/>
        <v>-0.28496155144383373</v>
      </c>
      <c r="AB25" s="46">
        <f t="shared" si="16"/>
        <v>-3.3950347516704937</v>
      </c>
      <c r="AC25" s="47">
        <f>'BATS 2023 TLFD'!AM12</f>
        <v>2.2482551706507863E-2</v>
      </c>
      <c r="AD25" s="48">
        <f>modeldata!AL27</f>
        <v>6.6666666666666671E-3</v>
      </c>
      <c r="AE25" s="49">
        <f t="shared" si="17"/>
        <v>-0.70347375361592446</v>
      </c>
      <c r="AF25" s="50">
        <f t="shared" si="10"/>
        <v>0</v>
      </c>
      <c r="AG25" s="51">
        <f t="shared" si="11"/>
        <v>0</v>
      </c>
      <c r="AH25" s="52">
        <f t="shared" si="21"/>
        <v>-3.3950347516704937</v>
      </c>
      <c r="AI25" s="178">
        <f t="shared" ref="AI25:AI32" si="28">AI24</f>
        <v>-0.22796924115506698</v>
      </c>
      <c r="AJ25" s="46">
        <f t="shared" si="22"/>
        <v>-3.2810501310929601</v>
      </c>
    </row>
    <row r="26" spans="1:36" x14ac:dyDescent="0.2">
      <c r="A26" s="62">
        <f t="shared" si="12"/>
        <v>8.5</v>
      </c>
      <c r="B26" s="44">
        <v>8</v>
      </c>
      <c r="C26" s="45">
        <f t="shared" si="23"/>
        <v>-0.20243286791722692</v>
      </c>
      <c r="D26" s="46">
        <f t="shared" si="13"/>
        <v>-4.4662800861565684</v>
      </c>
      <c r="E26" s="47">
        <f>'BATS 2023 TLFD'!M13</f>
        <v>3.124683564668812E-2</v>
      </c>
      <c r="F26" s="48">
        <f>modeldata!L28</f>
        <v>6.6666666666666671E-3</v>
      </c>
      <c r="G26" s="49">
        <f t="shared" si="4"/>
        <v>-0.78664506249376731</v>
      </c>
      <c r="H26" s="50">
        <f t="shared" si="5"/>
        <v>0</v>
      </c>
      <c r="I26" s="51">
        <f t="shared" si="6"/>
        <v>0</v>
      </c>
      <c r="J26" s="52">
        <f t="shared" si="7"/>
        <v>-4.4662800861565684</v>
      </c>
      <c r="K26" s="178">
        <f t="shared" si="26"/>
        <v>-0.20243286791722692</v>
      </c>
      <c r="L26" s="179">
        <f t="shared" si="18"/>
        <v>-4.4662800861565684</v>
      </c>
      <c r="N26" s="44">
        <v>8</v>
      </c>
      <c r="O26" s="45">
        <f t="shared" si="24"/>
        <v>-0.17920515524980546</v>
      </c>
      <c r="P26" s="46">
        <f t="shared" si="14"/>
        <v>-3.67264815112472</v>
      </c>
      <c r="Q26" s="47">
        <f>'BATS 2023 TLFD'!Z13</f>
        <v>2.8639088372473453E-3</v>
      </c>
      <c r="R26" s="48">
        <f>modeldata!Y28</f>
        <v>6.6666666666666671E-3</v>
      </c>
      <c r="S26" s="49">
        <f t="shared" si="15"/>
        <v>1.3278208370188047</v>
      </c>
      <c r="T26" s="50">
        <f t="shared" si="8"/>
        <v>0</v>
      </c>
      <c r="U26" s="51">
        <f t="shared" si="9"/>
        <v>0</v>
      </c>
      <c r="V26" s="52">
        <f t="shared" si="19"/>
        <v>-3.67264815112472</v>
      </c>
      <c r="W26" s="178">
        <f t="shared" si="27"/>
        <v>-0.17920515524980546</v>
      </c>
      <c r="X26" s="46">
        <f t="shared" si="20"/>
        <v>-3.67264815112472</v>
      </c>
      <c r="Z26" s="44">
        <v>8</v>
      </c>
      <c r="AA26" s="45">
        <f t="shared" si="25"/>
        <v>-0.28496155144383373</v>
      </c>
      <c r="AB26" s="46">
        <f t="shared" si="16"/>
        <v>-3.6799963031143275</v>
      </c>
      <c r="AC26" s="47">
        <f>'BATS 2023 TLFD'!AM13</f>
        <v>1.1432969104912724E-2</v>
      </c>
      <c r="AD26" s="48">
        <f>modeldata!AL28</f>
        <v>6.6666666666666671E-3</v>
      </c>
      <c r="AE26" s="49">
        <f t="shared" si="17"/>
        <v>-0.41689104505652747</v>
      </c>
      <c r="AF26" s="50">
        <f t="shared" si="10"/>
        <v>0</v>
      </c>
      <c r="AG26" s="51">
        <f t="shared" si="11"/>
        <v>0</v>
      </c>
      <c r="AH26" s="52">
        <f t="shared" si="21"/>
        <v>-3.6799963031143275</v>
      </c>
      <c r="AI26" s="178">
        <f t="shared" si="28"/>
        <v>-0.22796924115506698</v>
      </c>
      <c r="AJ26" s="46">
        <f t="shared" si="22"/>
        <v>-3.509019372248027</v>
      </c>
    </row>
    <row r="27" spans="1:36" x14ac:dyDescent="0.2">
      <c r="A27" s="62">
        <f t="shared" si="12"/>
        <v>9.5</v>
      </c>
      <c r="B27" s="44">
        <v>9</v>
      </c>
      <c r="C27" s="45">
        <f t="shared" si="23"/>
        <v>-0.20243286791722692</v>
      </c>
      <c r="D27" s="46">
        <f t="shared" si="13"/>
        <v>-4.6687129540737953</v>
      </c>
      <c r="E27" s="47">
        <f>'BATS 2023 TLFD'!M14</f>
        <v>2.9313020201908301E-2</v>
      </c>
      <c r="F27" s="48">
        <f>modeldata!L29</f>
        <v>6.6666666666666671E-3</v>
      </c>
      <c r="G27" s="49">
        <f t="shared" si="4"/>
        <v>-0.77256977886459266</v>
      </c>
      <c r="H27" s="50">
        <f t="shared" si="5"/>
        <v>0</v>
      </c>
      <c r="I27" s="51">
        <f t="shared" si="6"/>
        <v>0</v>
      </c>
      <c r="J27" s="52">
        <f t="shared" si="7"/>
        <v>-4.6687129540737953</v>
      </c>
      <c r="K27" s="178">
        <f t="shared" si="26"/>
        <v>-0.20243286791722692</v>
      </c>
      <c r="L27" s="179">
        <f t="shared" si="18"/>
        <v>-4.6687129540737953</v>
      </c>
      <c r="N27" s="44">
        <v>9</v>
      </c>
      <c r="O27" s="45">
        <f t="shared" si="24"/>
        <v>-0.17920515524980546</v>
      </c>
      <c r="P27" s="46">
        <f t="shared" si="14"/>
        <v>-3.8518533063745255</v>
      </c>
      <c r="Q27" s="47">
        <f>'BATS 2023 TLFD'!Z14</f>
        <v>1.8899666662708491E-3</v>
      </c>
      <c r="R27" s="48">
        <f>modeldata!Y29</f>
        <v>6.6666666666666671E-3</v>
      </c>
      <c r="S27" s="49">
        <f t="shared" si="15"/>
        <v>2.5273990730327909</v>
      </c>
      <c r="T27" s="50">
        <f t="shared" si="8"/>
        <v>0</v>
      </c>
      <c r="U27" s="51">
        <f t="shared" si="9"/>
        <v>0</v>
      </c>
      <c r="V27" s="52">
        <f t="shared" si="19"/>
        <v>-3.8518533063745255</v>
      </c>
      <c r="W27" s="178">
        <f t="shared" si="27"/>
        <v>-0.17920515524980546</v>
      </c>
      <c r="X27" s="46">
        <f t="shared" si="20"/>
        <v>-3.8518533063745255</v>
      </c>
      <c r="Z27" s="44">
        <v>9</v>
      </c>
      <c r="AA27" s="45">
        <f t="shared" si="25"/>
        <v>-0.28496155144383373</v>
      </c>
      <c r="AB27" s="46">
        <f t="shared" si="16"/>
        <v>-3.9649578545581612</v>
      </c>
      <c r="AC27" s="47">
        <f>'BATS 2023 TLFD'!AM14</f>
        <v>1.3526752470178982E-2</v>
      </c>
      <c r="AD27" s="48">
        <f>modeldata!AL29</f>
        <v>6.6666666666666671E-3</v>
      </c>
      <c r="AE27" s="49">
        <f t="shared" si="17"/>
        <v>-0.50714950381741886</v>
      </c>
      <c r="AF27" s="50">
        <f t="shared" si="10"/>
        <v>0</v>
      </c>
      <c r="AG27" s="51">
        <f t="shared" si="11"/>
        <v>0</v>
      </c>
      <c r="AH27" s="52">
        <f t="shared" si="21"/>
        <v>-3.9649578545581612</v>
      </c>
      <c r="AI27" s="178">
        <f t="shared" si="28"/>
        <v>-0.22796924115506698</v>
      </c>
      <c r="AJ27" s="46">
        <f t="shared" si="22"/>
        <v>-3.7369886134030939</v>
      </c>
    </row>
    <row r="28" spans="1:36" x14ac:dyDescent="0.2">
      <c r="A28" s="62">
        <f t="shared" si="12"/>
        <v>10.5</v>
      </c>
      <c r="B28" s="44">
        <v>10</v>
      </c>
      <c r="C28" s="45">
        <f t="shared" si="23"/>
        <v>-0.20243286791722692</v>
      </c>
      <c r="D28" s="46">
        <f t="shared" si="13"/>
        <v>-4.8711458219910222</v>
      </c>
      <c r="E28" s="47">
        <f>'BATS 2023 TLFD'!M15</f>
        <v>3.9730247916106715E-2</v>
      </c>
      <c r="F28" s="48">
        <f>modeldata!L30</f>
        <v>6.6666666666666671E-3</v>
      </c>
      <c r="G28" s="49">
        <f t="shared" si="4"/>
        <v>-0.83220173504218209</v>
      </c>
      <c r="H28" s="50">
        <f t="shared" si="5"/>
        <v>0</v>
      </c>
      <c r="I28" s="51">
        <f t="shared" si="6"/>
        <v>0</v>
      </c>
      <c r="J28" s="52">
        <f t="shared" si="7"/>
        <v>-4.8711458219910222</v>
      </c>
      <c r="K28" s="178">
        <f t="shared" si="26"/>
        <v>-0.20243286791722692</v>
      </c>
      <c r="L28" s="179">
        <f t="shared" si="18"/>
        <v>-4.8711458219910222</v>
      </c>
      <c r="N28" s="44">
        <v>10</v>
      </c>
      <c r="O28" s="45">
        <f t="shared" si="24"/>
        <v>-0.17920515524980546</v>
      </c>
      <c r="P28" s="46">
        <f t="shared" si="14"/>
        <v>-4.0310584616243306</v>
      </c>
      <c r="Q28" s="47">
        <f>'BATS 2023 TLFD'!Z15</f>
        <v>3.0081626235749222E-2</v>
      </c>
      <c r="R28" s="48">
        <f>modeldata!Y30</f>
        <v>6.6666666666666671E-3</v>
      </c>
      <c r="S28" s="49">
        <f t="shared" si="15"/>
        <v>-0.77838077587893328</v>
      </c>
      <c r="T28" s="50">
        <f t="shared" si="8"/>
        <v>0</v>
      </c>
      <c r="U28" s="51">
        <f t="shared" si="9"/>
        <v>0</v>
      </c>
      <c r="V28" s="52">
        <f t="shared" si="19"/>
        <v>-4.0310584616243306</v>
      </c>
      <c r="W28" s="178">
        <f t="shared" si="27"/>
        <v>-0.17920515524980546</v>
      </c>
      <c r="X28" s="46">
        <f t="shared" si="20"/>
        <v>-4.0310584616243306</v>
      </c>
      <c r="Z28" s="44">
        <v>10</v>
      </c>
      <c r="AA28" s="45">
        <f t="shared" si="25"/>
        <v>-0.28496155144383373</v>
      </c>
      <c r="AB28" s="46">
        <f t="shared" si="16"/>
        <v>-4.2499194060019949</v>
      </c>
      <c r="AC28" s="47">
        <f>'BATS 2023 TLFD'!AM15</f>
        <v>7.8835832275291583E-3</v>
      </c>
      <c r="AD28" s="48">
        <f>modeldata!AL30</f>
        <v>6.6666666666666671E-3</v>
      </c>
      <c r="AE28" s="49">
        <f t="shared" si="17"/>
        <v>-0.15436084401482147</v>
      </c>
      <c r="AF28" s="50">
        <f t="shared" si="10"/>
        <v>0</v>
      </c>
      <c r="AG28" s="51">
        <f t="shared" si="11"/>
        <v>0</v>
      </c>
      <c r="AH28" s="52">
        <f t="shared" si="21"/>
        <v>-4.2499194060019949</v>
      </c>
      <c r="AI28" s="178">
        <f t="shared" si="28"/>
        <v>-0.22796924115506698</v>
      </c>
      <c r="AJ28" s="46">
        <f t="shared" si="22"/>
        <v>-3.9649578545581607</v>
      </c>
    </row>
    <row r="29" spans="1:36" x14ac:dyDescent="0.2">
      <c r="A29" s="62">
        <f t="shared" si="12"/>
        <v>11.5</v>
      </c>
      <c r="B29" s="44">
        <v>11</v>
      </c>
      <c r="C29" s="45">
        <f t="shared" si="23"/>
        <v>-0.20243286791722692</v>
      </c>
      <c r="D29" s="46">
        <f t="shared" si="13"/>
        <v>-5.0735786899082491</v>
      </c>
      <c r="E29" s="47">
        <f>'BATS 2023 TLFD'!M16</f>
        <v>3.1514880586316865E-2</v>
      </c>
      <c r="F29" s="48">
        <f>modeldata!L31</f>
        <v>6.6666666666666671E-3</v>
      </c>
      <c r="G29" s="49">
        <f t="shared" si="4"/>
        <v>-0.78845971989621932</v>
      </c>
      <c r="H29" s="50">
        <f t="shared" si="5"/>
        <v>0</v>
      </c>
      <c r="I29" s="51">
        <f t="shared" si="6"/>
        <v>0</v>
      </c>
      <c r="J29" s="52">
        <f t="shared" si="7"/>
        <v>-5.0735786899082491</v>
      </c>
      <c r="K29" s="178">
        <f t="shared" si="26"/>
        <v>-0.20243286791722692</v>
      </c>
      <c r="L29" s="179">
        <f t="shared" si="18"/>
        <v>-5.0735786899082491</v>
      </c>
      <c r="N29" s="44">
        <v>11</v>
      </c>
      <c r="O29" s="45">
        <f t="shared" si="24"/>
        <v>-0.17920515524980546</v>
      </c>
      <c r="P29" s="46">
        <f t="shared" si="14"/>
        <v>-4.2102636168741361</v>
      </c>
      <c r="Q29" s="47">
        <f>'BATS 2023 TLFD'!Z16</f>
        <v>2.0233892290242076E-3</v>
      </c>
      <c r="R29" s="48">
        <f>modeldata!Y31</f>
        <v>6.6666666666666671E-3</v>
      </c>
      <c r="S29" s="49">
        <f t="shared" si="15"/>
        <v>2.2948018952743512</v>
      </c>
      <c r="T29" s="50">
        <f t="shared" si="8"/>
        <v>0</v>
      </c>
      <c r="U29" s="51">
        <f t="shared" si="9"/>
        <v>0</v>
      </c>
      <c r="V29" s="52">
        <f t="shared" si="19"/>
        <v>-4.2102636168741361</v>
      </c>
      <c r="W29" s="178">
        <f t="shared" si="27"/>
        <v>-0.17920515524980546</v>
      </c>
      <c r="X29" s="46">
        <f t="shared" si="20"/>
        <v>-4.2102636168741361</v>
      </c>
      <c r="Z29" s="44">
        <v>11</v>
      </c>
      <c r="AA29" s="45">
        <f t="shared" si="25"/>
        <v>-0.28496155144383373</v>
      </c>
      <c r="AB29" s="46">
        <f t="shared" si="16"/>
        <v>-4.5348809574458286</v>
      </c>
      <c r="AC29" s="47">
        <f>'BATS 2023 TLFD'!AM16</f>
        <v>2.4029550034549224E-4</v>
      </c>
      <c r="AD29" s="48">
        <f>modeldata!AL31</f>
        <v>6.6666666666666671E-3</v>
      </c>
      <c r="AE29" s="49">
        <f t="shared" si="17"/>
        <v>26.743618407674976</v>
      </c>
      <c r="AF29" s="50">
        <f t="shared" si="10"/>
        <v>0</v>
      </c>
      <c r="AG29" s="51">
        <f t="shared" si="11"/>
        <v>0</v>
      </c>
      <c r="AH29" s="52">
        <f t="shared" si="21"/>
        <v>-4.5348809574458286</v>
      </c>
      <c r="AI29" s="178">
        <f t="shared" si="28"/>
        <v>-0.22796924115506698</v>
      </c>
      <c r="AJ29" s="46">
        <f t="shared" si="22"/>
        <v>-4.1929270957132276</v>
      </c>
    </row>
    <row r="30" spans="1:36" x14ac:dyDescent="0.2">
      <c r="A30" s="62">
        <f t="shared" si="12"/>
        <v>12.5</v>
      </c>
      <c r="B30" s="44">
        <v>12</v>
      </c>
      <c r="C30" s="45">
        <f t="shared" si="23"/>
        <v>-0.20243286791722692</v>
      </c>
      <c r="D30" s="46">
        <f t="shared" si="13"/>
        <v>-5.276011557825476</v>
      </c>
      <c r="E30" s="47">
        <f>'BATS 2023 TLFD'!M17</f>
        <v>1.8968435725652023E-2</v>
      </c>
      <c r="F30" s="48">
        <f>modeldata!L32</f>
        <v>6.6666666666666671E-3</v>
      </c>
      <c r="G30" s="49">
        <f t="shared" si="4"/>
        <v>-0.64853893261999562</v>
      </c>
      <c r="H30" s="50">
        <f t="shared" si="5"/>
        <v>0</v>
      </c>
      <c r="I30" s="51">
        <f t="shared" si="6"/>
        <v>0</v>
      </c>
      <c r="J30" s="52">
        <f t="shared" si="7"/>
        <v>-5.276011557825476</v>
      </c>
      <c r="K30" s="178">
        <f t="shared" si="26"/>
        <v>-0.20243286791722692</v>
      </c>
      <c r="L30" s="179">
        <f t="shared" si="18"/>
        <v>-5.276011557825476</v>
      </c>
      <c r="N30" s="44">
        <v>12</v>
      </c>
      <c r="O30" s="45">
        <f t="shared" si="24"/>
        <v>-0.17920515524980546</v>
      </c>
      <c r="P30" s="46">
        <f t="shared" si="14"/>
        <v>-4.3894687721239416</v>
      </c>
      <c r="Q30" s="47">
        <f>'BATS 2023 TLFD'!Z17</f>
        <v>2.1471183620617122E-3</v>
      </c>
      <c r="R30" s="48">
        <f>modeldata!Y32</f>
        <v>6.6666666666666671E-3</v>
      </c>
      <c r="S30" s="49">
        <f t="shared" si="15"/>
        <v>2.1049367302998525</v>
      </c>
      <c r="T30" s="50">
        <f t="shared" si="8"/>
        <v>0</v>
      </c>
      <c r="U30" s="51">
        <f t="shared" si="9"/>
        <v>0</v>
      </c>
      <c r="V30" s="52">
        <f t="shared" si="19"/>
        <v>-4.3894687721239416</v>
      </c>
      <c r="W30" s="178">
        <f t="shared" si="27"/>
        <v>-0.17920515524980546</v>
      </c>
      <c r="X30" s="46">
        <f t="shared" si="20"/>
        <v>-4.3894687721239416</v>
      </c>
      <c r="Z30" s="44">
        <v>12</v>
      </c>
      <c r="AA30" s="45">
        <f t="shared" si="25"/>
        <v>-0.28496155144383373</v>
      </c>
      <c r="AB30" s="46">
        <f t="shared" si="16"/>
        <v>-4.8198425088896624</v>
      </c>
      <c r="AC30" s="47">
        <f>'BATS 2023 TLFD'!AM17</f>
        <v>7.7674730446178671E-3</v>
      </c>
      <c r="AD30" s="48">
        <f>modeldata!AL32</f>
        <v>6.6666666666666671E-3</v>
      </c>
      <c r="AE30" s="49">
        <f t="shared" si="17"/>
        <v>-0.1417200126254646</v>
      </c>
      <c r="AF30" s="50">
        <f t="shared" si="10"/>
        <v>0</v>
      </c>
      <c r="AG30" s="51">
        <f t="shared" si="11"/>
        <v>0</v>
      </c>
      <c r="AH30" s="52">
        <f t="shared" si="21"/>
        <v>-4.8198425088896624</v>
      </c>
      <c r="AI30" s="178">
        <f t="shared" si="28"/>
        <v>-0.22796924115506698</v>
      </c>
      <c r="AJ30" s="46">
        <f t="shared" si="22"/>
        <v>-4.420896336868295</v>
      </c>
    </row>
    <row r="31" spans="1:36" x14ac:dyDescent="0.2">
      <c r="A31" s="62">
        <f t="shared" si="12"/>
        <v>13.5</v>
      </c>
      <c r="B31" s="44">
        <v>13</v>
      </c>
      <c r="C31" s="45">
        <f t="shared" si="23"/>
        <v>-0.20243286791722692</v>
      </c>
      <c r="D31" s="46">
        <f t="shared" si="13"/>
        <v>-5.478444425742703</v>
      </c>
      <c r="E31" s="47">
        <f>'BATS 2023 TLFD'!M18</f>
        <v>3.346339391443133E-2</v>
      </c>
      <c r="F31" s="48">
        <f>modeldata!L33</f>
        <v>6.6666666666666671E-3</v>
      </c>
      <c r="G31" s="49">
        <f t="shared" si="4"/>
        <v>-0.80077733048495059</v>
      </c>
      <c r="H31" s="50">
        <f t="shared" si="5"/>
        <v>0</v>
      </c>
      <c r="I31" s="51">
        <f t="shared" si="6"/>
        <v>0</v>
      </c>
      <c r="J31" s="52">
        <f t="shared" si="7"/>
        <v>-5.478444425742703</v>
      </c>
      <c r="K31" s="178">
        <f t="shared" si="26"/>
        <v>-0.20243286791722692</v>
      </c>
      <c r="L31" s="179">
        <f t="shared" si="18"/>
        <v>-5.478444425742703</v>
      </c>
      <c r="N31" s="44">
        <v>13</v>
      </c>
      <c r="O31" s="45">
        <f t="shared" si="24"/>
        <v>-0.17920515524980546</v>
      </c>
      <c r="P31" s="46">
        <f t="shared" si="14"/>
        <v>-4.5686739273737471</v>
      </c>
      <c r="Q31" s="47">
        <f>'BATS 2023 TLFD'!Z18</f>
        <v>1.6124547170646156E-2</v>
      </c>
      <c r="R31" s="48">
        <f>modeldata!Y33</f>
        <v>6.6666666666666671E-3</v>
      </c>
      <c r="S31" s="49">
        <f t="shared" si="15"/>
        <v>-0.58655169685614705</v>
      </c>
      <c r="T31" s="50">
        <f t="shared" si="8"/>
        <v>0</v>
      </c>
      <c r="U31" s="51">
        <f t="shared" si="9"/>
        <v>0</v>
      </c>
      <c r="V31" s="52">
        <f t="shared" si="19"/>
        <v>-4.5686739273737471</v>
      </c>
      <c r="W31" s="178">
        <f t="shared" si="27"/>
        <v>-0.17920515524980546</v>
      </c>
      <c r="X31" s="46">
        <f t="shared" si="20"/>
        <v>-4.5686739273737471</v>
      </c>
      <c r="Z31" s="44">
        <v>13</v>
      </c>
      <c r="AA31" s="45">
        <f t="shared" si="25"/>
        <v>-0.28496155144383373</v>
      </c>
      <c r="AB31" s="46">
        <f t="shared" si="16"/>
        <v>-5.1048040603334961</v>
      </c>
      <c r="AC31" s="47">
        <f>'BATS 2023 TLFD'!AM18</f>
        <v>6.5531206468188378E-4</v>
      </c>
      <c r="AD31" s="48">
        <f>modeldata!AL33</f>
        <v>6.6666666666666671E-3</v>
      </c>
      <c r="AE31" s="49">
        <f t="shared" si="17"/>
        <v>9.1732701501580767</v>
      </c>
      <c r="AF31" s="50">
        <f t="shared" si="10"/>
        <v>0</v>
      </c>
      <c r="AG31" s="51">
        <f t="shared" si="11"/>
        <v>0</v>
      </c>
      <c r="AH31" s="52">
        <f t="shared" si="21"/>
        <v>-5.1048040603334961</v>
      </c>
      <c r="AI31" s="178">
        <f t="shared" si="28"/>
        <v>-0.22796924115506698</v>
      </c>
      <c r="AJ31" s="46">
        <f t="shared" si="22"/>
        <v>-4.6488655780233623</v>
      </c>
    </row>
    <row r="32" spans="1:36" x14ac:dyDescent="0.2">
      <c r="A32" s="62">
        <f t="shared" si="12"/>
        <v>14.5</v>
      </c>
      <c r="B32" s="44">
        <v>14</v>
      </c>
      <c r="C32" s="45">
        <f t="shared" si="23"/>
        <v>-0.20243286791722692</v>
      </c>
      <c r="D32" s="46">
        <f t="shared" si="13"/>
        <v>-5.6808772936599299</v>
      </c>
      <c r="E32" s="47">
        <f>'BATS 2023 TLFD'!M19</f>
        <v>1.8496778600742756E-2</v>
      </c>
      <c r="F32" s="48">
        <f>modeldata!L34</f>
        <v>6.6666666666666671E-3</v>
      </c>
      <c r="G32" s="49">
        <f t="shared" si="4"/>
        <v>-0.6395768792735097</v>
      </c>
      <c r="H32" s="50">
        <f t="shared" si="5"/>
        <v>0</v>
      </c>
      <c r="I32" s="51">
        <f t="shared" si="6"/>
        <v>0</v>
      </c>
      <c r="J32" s="52">
        <f t="shared" si="7"/>
        <v>-5.6808772936599299</v>
      </c>
      <c r="K32" s="178">
        <f t="shared" si="26"/>
        <v>-0.20243286791722692</v>
      </c>
      <c r="L32" s="179">
        <f t="shared" si="18"/>
        <v>-5.6808772936599299</v>
      </c>
      <c r="N32" s="44">
        <v>14</v>
      </c>
      <c r="O32" s="45">
        <f t="shared" si="24"/>
        <v>-0.17920515524980546</v>
      </c>
      <c r="P32" s="46">
        <f t="shared" si="14"/>
        <v>-4.7478790826235526</v>
      </c>
      <c r="Q32" s="47">
        <f>'BATS 2023 TLFD'!Z19</f>
        <v>3.8391883571214355E-2</v>
      </c>
      <c r="R32" s="48">
        <f>modeldata!Y34</f>
        <v>6.6666666666666671E-3</v>
      </c>
      <c r="S32" s="49">
        <f t="shared" si="15"/>
        <v>-0.82635218576081448</v>
      </c>
      <c r="T32" s="50">
        <f t="shared" si="8"/>
        <v>0</v>
      </c>
      <c r="U32" s="51">
        <f t="shared" si="9"/>
        <v>0</v>
      </c>
      <c r="V32" s="52">
        <f t="shared" si="19"/>
        <v>-4.7478790826235526</v>
      </c>
      <c r="W32" s="178">
        <f t="shared" si="27"/>
        <v>-0.17920515524980546</v>
      </c>
      <c r="X32" s="46">
        <f t="shared" si="20"/>
        <v>-4.7478790826235526</v>
      </c>
      <c r="Z32" s="44">
        <v>14</v>
      </c>
      <c r="AA32" s="45">
        <f t="shared" si="25"/>
        <v>-0.28496155144383373</v>
      </c>
      <c r="AB32" s="46">
        <f t="shared" si="16"/>
        <v>-5.3897656117773298</v>
      </c>
      <c r="AC32" s="47">
        <f>'BATS 2023 TLFD'!AM19</f>
        <v>0</v>
      </c>
      <c r="AD32" s="48">
        <f>modeldata!AL34</f>
        <v>6.6666666666666671E-3</v>
      </c>
      <c r="AE32" s="49" t="e">
        <f t="shared" si="17"/>
        <v>#DIV/0!</v>
      </c>
      <c r="AF32" s="50" t="e">
        <f t="shared" si="10"/>
        <v>#NUM!</v>
      </c>
      <c r="AG32" s="51" t="e">
        <f t="shared" si="11"/>
        <v>#NUM!</v>
      </c>
      <c r="AH32" s="52" t="e">
        <f t="shared" si="21"/>
        <v>#NUM!</v>
      </c>
      <c r="AI32" s="178">
        <f t="shared" si="28"/>
        <v>-0.22796924115506698</v>
      </c>
      <c r="AJ32" s="46">
        <f t="shared" si="22"/>
        <v>-4.8768348191784296</v>
      </c>
    </row>
    <row r="33" spans="1:36" x14ac:dyDescent="0.2">
      <c r="A33" s="62">
        <f t="shared" si="12"/>
        <v>15.5</v>
      </c>
      <c r="B33" s="36">
        <v>15</v>
      </c>
      <c r="C33" s="33">
        <f>C8</f>
        <v>-0.1273712880138449</v>
      </c>
      <c r="D33" s="42">
        <f t="shared" si="13"/>
        <v>-5.8833101615771568</v>
      </c>
      <c r="E33" s="37">
        <f>'BATS 2023 TLFD'!M20</f>
        <v>1.8253003837560029E-2</v>
      </c>
      <c r="F33" s="38">
        <f>modeldata!L35</f>
        <v>6.6666666666666671E-3</v>
      </c>
      <c r="G33" s="34">
        <f t="shared" si="4"/>
        <v>-0.63476331205560987</v>
      </c>
      <c r="H33" s="39">
        <f t="shared" si="5"/>
        <v>0</v>
      </c>
      <c r="I33" s="40">
        <f t="shared" si="6"/>
        <v>0</v>
      </c>
      <c r="J33" s="41">
        <f t="shared" si="7"/>
        <v>-5.8833101615771568</v>
      </c>
      <c r="K33" s="176">
        <f>D8</f>
        <v>-0.1273712880138449</v>
      </c>
      <c r="L33" s="177">
        <f t="shared" si="18"/>
        <v>-5.8833101615771568</v>
      </c>
      <c r="N33" s="36">
        <v>15</v>
      </c>
      <c r="O33" s="33">
        <f>O8</f>
        <v>-0.31198492638919889</v>
      </c>
      <c r="P33" s="42">
        <f t="shared" si="14"/>
        <v>-4.9270842378733581</v>
      </c>
      <c r="Q33" s="37">
        <f>'BATS 2023 TLFD'!Z20</f>
        <v>1.7050770652932045E-2</v>
      </c>
      <c r="R33" s="38">
        <f>modeldata!Y35</f>
        <v>6.6666666666666671E-3</v>
      </c>
      <c r="S33" s="34">
        <f t="shared" si="15"/>
        <v>-0.60901082992865951</v>
      </c>
      <c r="T33" s="39">
        <f t="shared" si="8"/>
        <v>0</v>
      </c>
      <c r="U33" s="40">
        <f t="shared" si="9"/>
        <v>0</v>
      </c>
      <c r="V33" s="41">
        <f t="shared" si="19"/>
        <v>-4.9270842378733581</v>
      </c>
      <c r="W33" s="176">
        <f>P8</f>
        <v>-0.31198492638919889</v>
      </c>
      <c r="X33" s="42">
        <f t="shared" si="20"/>
        <v>-4.9270842378733581</v>
      </c>
      <c r="Z33" s="36">
        <v>15</v>
      </c>
      <c r="AA33" s="33">
        <f>AA8</f>
        <v>-0.23755754344668609</v>
      </c>
      <c r="AB33" s="42">
        <f t="shared" si="16"/>
        <v>-5.6747271632211636</v>
      </c>
      <c r="AC33" s="37">
        <f>'BATS 2023 TLFD'!AM20</f>
        <v>0</v>
      </c>
      <c r="AD33" s="38">
        <f>modeldata!AL35</f>
        <v>6.6666666666666671E-3</v>
      </c>
      <c r="AE33" s="34" t="e">
        <f t="shared" si="17"/>
        <v>#DIV/0!</v>
      </c>
      <c r="AF33" s="39" t="e">
        <f t="shared" si="10"/>
        <v>#NUM!</v>
      </c>
      <c r="AG33" s="40" t="e">
        <f t="shared" si="11"/>
        <v>#NUM!</v>
      </c>
      <c r="AH33" s="41" t="e">
        <f t="shared" si="21"/>
        <v>#NUM!</v>
      </c>
      <c r="AI33" s="176">
        <f>AB8</f>
        <v>-0.12669735650489902</v>
      </c>
      <c r="AJ33" s="42">
        <f t="shared" si="22"/>
        <v>-5.104804060333497</v>
      </c>
    </row>
    <row r="34" spans="1:36" x14ac:dyDescent="0.2">
      <c r="A34" s="62">
        <f t="shared" si="12"/>
        <v>16.5</v>
      </c>
      <c r="B34" s="36">
        <v>16</v>
      </c>
      <c r="C34" s="33">
        <f t="shared" ref="C34:C68" si="29">C33</f>
        <v>-0.1273712880138449</v>
      </c>
      <c r="D34" s="42">
        <f t="shared" si="13"/>
        <v>-6.0106814495910017</v>
      </c>
      <c r="E34" s="37">
        <f>'BATS 2023 TLFD'!M21</f>
        <v>1.3610021075645825E-2</v>
      </c>
      <c r="F34" s="38">
        <f>modeldata!L36</f>
        <v>6.6666666666666671E-3</v>
      </c>
      <c r="G34" s="34">
        <f t="shared" si="4"/>
        <v>-0.51016485355807439</v>
      </c>
      <c r="H34" s="39">
        <f t="shared" si="5"/>
        <v>0</v>
      </c>
      <c r="I34" s="40">
        <f t="shared" si="6"/>
        <v>0</v>
      </c>
      <c r="J34" s="41">
        <f t="shared" si="7"/>
        <v>-6.0106814495910017</v>
      </c>
      <c r="K34" s="176">
        <f>K33</f>
        <v>-0.1273712880138449</v>
      </c>
      <c r="L34" s="177">
        <f t="shared" si="18"/>
        <v>-6.0106814495910017</v>
      </c>
      <c r="N34" s="36">
        <v>16</v>
      </c>
      <c r="O34" s="33">
        <f t="shared" ref="O34:O68" si="30">O33</f>
        <v>-0.31198492638919889</v>
      </c>
      <c r="P34" s="42">
        <f t="shared" si="14"/>
        <v>-5.2390691642625571</v>
      </c>
      <c r="Q34" s="37">
        <f>'BATS 2023 TLFD'!Z21</f>
        <v>1.222363529614116E-3</v>
      </c>
      <c r="R34" s="38">
        <f>modeldata!Y36</f>
        <v>6.6666666666666671E-3</v>
      </c>
      <c r="S34" s="34">
        <f t="shared" si="15"/>
        <v>4.4539148994172342</v>
      </c>
      <c r="T34" s="39">
        <f t="shared" si="8"/>
        <v>0</v>
      </c>
      <c r="U34" s="40">
        <f t="shared" si="9"/>
        <v>0</v>
      </c>
      <c r="V34" s="41">
        <f t="shared" si="19"/>
        <v>-5.2390691642625571</v>
      </c>
      <c r="W34" s="176">
        <f>W33</f>
        <v>-0.31198492638919889</v>
      </c>
      <c r="X34" s="42">
        <f t="shared" si="20"/>
        <v>-5.2390691642625571</v>
      </c>
      <c r="Z34" s="36">
        <v>16</v>
      </c>
      <c r="AA34" s="33">
        <f t="shared" ref="AA34:AA68" si="31">AA33</f>
        <v>-0.23755754344668609</v>
      </c>
      <c r="AB34" s="42">
        <f t="shared" si="16"/>
        <v>-5.9122847066678492</v>
      </c>
      <c r="AC34" s="37">
        <f>'BATS 2023 TLFD'!AM21</f>
        <v>1.1568207352118269E-4</v>
      </c>
      <c r="AD34" s="38">
        <f>modeldata!AL36</f>
        <v>6.6666666666666671E-3</v>
      </c>
      <c r="AE34" s="34">
        <f t="shared" si="17"/>
        <v>56.629211369952884</v>
      </c>
      <c r="AF34" s="39">
        <f t="shared" si="10"/>
        <v>0</v>
      </c>
      <c r="AG34" s="40">
        <f t="shared" si="11"/>
        <v>0</v>
      </c>
      <c r="AH34" s="41">
        <f t="shared" si="21"/>
        <v>-5.9122847066678492</v>
      </c>
      <c r="AI34" s="176">
        <f>AI33</f>
        <v>-0.12669735650489902</v>
      </c>
      <c r="AJ34" s="42">
        <f t="shared" si="22"/>
        <v>-5.2315014168383964</v>
      </c>
    </row>
    <row r="35" spans="1:36" x14ac:dyDescent="0.2">
      <c r="A35" s="62">
        <f t="shared" si="12"/>
        <v>17.5</v>
      </c>
      <c r="B35" s="36">
        <v>17</v>
      </c>
      <c r="C35" s="33">
        <f t="shared" si="29"/>
        <v>-0.1273712880138449</v>
      </c>
      <c r="D35" s="42">
        <f t="shared" si="13"/>
        <v>-6.1380527376048466</v>
      </c>
      <c r="E35" s="37">
        <f>'BATS 2023 TLFD'!M22</f>
        <v>1.5468162759388141E-2</v>
      </c>
      <c r="F35" s="38">
        <f>modeldata!L37</f>
        <v>6.6666666666666671E-3</v>
      </c>
      <c r="G35" s="34">
        <f t="shared" si="4"/>
        <v>-0.5690072072314829</v>
      </c>
      <c r="H35" s="39">
        <f t="shared" si="5"/>
        <v>0</v>
      </c>
      <c r="I35" s="40">
        <f t="shared" si="6"/>
        <v>0</v>
      </c>
      <c r="J35" s="41">
        <f t="shared" si="7"/>
        <v>-6.1380527376048466</v>
      </c>
      <c r="K35" s="176">
        <f t="shared" ref="K35:K68" si="32">K34</f>
        <v>-0.1273712880138449</v>
      </c>
      <c r="L35" s="177">
        <f t="shared" si="18"/>
        <v>-6.1380527376048466</v>
      </c>
      <c r="N35" s="36">
        <v>17</v>
      </c>
      <c r="O35" s="33">
        <f t="shared" si="30"/>
        <v>-0.31198492638919889</v>
      </c>
      <c r="P35" s="42">
        <f t="shared" si="14"/>
        <v>-5.551054090651756</v>
      </c>
      <c r="Q35" s="37">
        <f>'BATS 2023 TLFD'!Z22</f>
        <v>1.8329165845438609E-2</v>
      </c>
      <c r="R35" s="38">
        <f>modeldata!Y37</f>
        <v>6.6666666666666671E-3</v>
      </c>
      <c r="S35" s="34">
        <f t="shared" si="15"/>
        <v>-0.63628095665216911</v>
      </c>
      <c r="T35" s="39">
        <f t="shared" si="8"/>
        <v>0</v>
      </c>
      <c r="U35" s="40">
        <f t="shared" si="9"/>
        <v>0</v>
      </c>
      <c r="V35" s="41">
        <f t="shared" si="19"/>
        <v>-5.551054090651756</v>
      </c>
      <c r="W35" s="176">
        <f t="shared" ref="W35:W68" si="33">W34</f>
        <v>-0.31198492638919889</v>
      </c>
      <c r="X35" s="42">
        <f t="shared" si="20"/>
        <v>-5.551054090651756</v>
      </c>
      <c r="Z35" s="36">
        <v>17</v>
      </c>
      <c r="AA35" s="33">
        <f t="shared" si="31"/>
        <v>-0.23755754344668609</v>
      </c>
      <c r="AB35" s="42">
        <f t="shared" si="16"/>
        <v>-6.1498422501145349</v>
      </c>
      <c r="AC35" s="37">
        <f>'BATS 2023 TLFD'!AM22</f>
        <v>1.6598594464754192E-3</v>
      </c>
      <c r="AD35" s="38">
        <f>modeldata!AL37</f>
        <v>6.6666666666666671E-3</v>
      </c>
      <c r="AE35" s="34">
        <f t="shared" si="17"/>
        <v>3.0164043291875156</v>
      </c>
      <c r="AF35" s="39">
        <f t="shared" si="10"/>
        <v>0</v>
      </c>
      <c r="AG35" s="40">
        <f t="shared" si="11"/>
        <v>0</v>
      </c>
      <c r="AH35" s="41">
        <f t="shared" si="21"/>
        <v>-6.1498422501145349</v>
      </c>
      <c r="AI35" s="176">
        <f t="shared" ref="AI35:AI68" si="34">AI34</f>
        <v>-0.12669735650489902</v>
      </c>
      <c r="AJ35" s="42">
        <f t="shared" si="22"/>
        <v>-5.3581987733432959</v>
      </c>
    </row>
    <row r="36" spans="1:36" x14ac:dyDescent="0.2">
      <c r="A36" s="62">
        <f t="shared" si="12"/>
        <v>18.5</v>
      </c>
      <c r="B36" s="36">
        <v>18</v>
      </c>
      <c r="C36" s="33">
        <f t="shared" si="29"/>
        <v>-0.1273712880138449</v>
      </c>
      <c r="D36" s="42">
        <f t="shared" si="13"/>
        <v>-6.2654240256186915</v>
      </c>
      <c r="E36" s="37">
        <f>'BATS 2023 TLFD'!M23</f>
        <v>1.5539996729033069E-2</v>
      </c>
      <c r="F36" s="38">
        <f>modeldata!L38</f>
        <v>6.6666666666666671E-3</v>
      </c>
      <c r="G36" s="34">
        <f t="shared" si="4"/>
        <v>-0.57099948070056772</v>
      </c>
      <c r="H36" s="39">
        <f t="shared" si="5"/>
        <v>0</v>
      </c>
      <c r="I36" s="40">
        <f t="shared" si="6"/>
        <v>0</v>
      </c>
      <c r="J36" s="41">
        <f t="shared" si="7"/>
        <v>-6.2654240256186915</v>
      </c>
      <c r="K36" s="176">
        <f t="shared" si="32"/>
        <v>-0.1273712880138449</v>
      </c>
      <c r="L36" s="177">
        <f t="shared" si="18"/>
        <v>-6.2654240256186915</v>
      </c>
      <c r="N36" s="36">
        <v>18</v>
      </c>
      <c r="O36" s="33">
        <f t="shared" si="30"/>
        <v>-0.31198492638919889</v>
      </c>
      <c r="P36" s="42">
        <f t="shared" si="14"/>
        <v>-5.863039017040955</v>
      </c>
      <c r="Q36" s="37">
        <f>'BATS 2023 TLFD'!Z23</f>
        <v>2.0645461288402674E-2</v>
      </c>
      <c r="R36" s="38">
        <f>modeldata!Y38</f>
        <v>6.6666666666666671E-3</v>
      </c>
      <c r="S36" s="34">
        <f t="shared" si="15"/>
        <v>-0.67708802561793169</v>
      </c>
      <c r="T36" s="39">
        <f t="shared" si="8"/>
        <v>0</v>
      </c>
      <c r="U36" s="40">
        <f t="shared" si="9"/>
        <v>0</v>
      </c>
      <c r="V36" s="41">
        <f t="shared" si="19"/>
        <v>-5.863039017040955</v>
      </c>
      <c r="W36" s="176">
        <f t="shared" si="33"/>
        <v>-0.31198492638919889</v>
      </c>
      <c r="X36" s="42">
        <f t="shared" si="20"/>
        <v>-5.863039017040955</v>
      </c>
      <c r="Z36" s="36">
        <v>18</v>
      </c>
      <c r="AA36" s="33">
        <f t="shared" si="31"/>
        <v>-0.23755754344668609</v>
      </c>
      <c r="AB36" s="42">
        <f t="shared" si="16"/>
        <v>-6.3873997935612206</v>
      </c>
      <c r="AC36" s="37">
        <f>'BATS 2023 TLFD'!AM23</f>
        <v>0</v>
      </c>
      <c r="AD36" s="38">
        <f>modeldata!AL38</f>
        <v>6.6666666666666671E-3</v>
      </c>
      <c r="AE36" s="34" t="e">
        <f t="shared" si="17"/>
        <v>#DIV/0!</v>
      </c>
      <c r="AF36" s="39" t="e">
        <f t="shared" si="10"/>
        <v>#NUM!</v>
      </c>
      <c r="AG36" s="40" t="e">
        <f t="shared" si="11"/>
        <v>#NUM!</v>
      </c>
      <c r="AH36" s="41" t="e">
        <f t="shared" si="21"/>
        <v>#NUM!</v>
      </c>
      <c r="AI36" s="176">
        <f t="shared" si="34"/>
        <v>-0.12669735650489902</v>
      </c>
      <c r="AJ36" s="42">
        <f t="shared" si="22"/>
        <v>-5.4848961298481953</v>
      </c>
    </row>
    <row r="37" spans="1:36" x14ac:dyDescent="0.2">
      <c r="A37" s="62">
        <f t="shared" si="12"/>
        <v>19.5</v>
      </c>
      <c r="B37" s="36">
        <v>19</v>
      </c>
      <c r="C37" s="33">
        <f t="shared" si="29"/>
        <v>-0.1273712880138449</v>
      </c>
      <c r="D37" s="42">
        <f t="shared" si="13"/>
        <v>-6.3927953136325364</v>
      </c>
      <c r="E37" s="37">
        <f>'BATS 2023 TLFD'!M24</f>
        <v>1.5868425829590863E-2</v>
      </c>
      <c r="F37" s="38">
        <f>modeldata!L39</f>
        <v>6.6666666666666671E-3</v>
      </c>
      <c r="G37" s="34">
        <f t="shared" si="4"/>
        <v>-0.57987851232004939</v>
      </c>
      <c r="H37" s="39">
        <f t="shared" si="5"/>
        <v>0</v>
      </c>
      <c r="I37" s="40">
        <f t="shared" si="6"/>
        <v>0</v>
      </c>
      <c r="J37" s="41">
        <f t="shared" si="7"/>
        <v>-6.3927953136325364</v>
      </c>
      <c r="K37" s="176">
        <f t="shared" si="32"/>
        <v>-0.1273712880138449</v>
      </c>
      <c r="L37" s="177">
        <f t="shared" si="18"/>
        <v>-6.3927953136325364</v>
      </c>
      <c r="N37" s="36">
        <v>19</v>
      </c>
      <c r="O37" s="33">
        <f t="shared" si="30"/>
        <v>-0.31198492638919889</v>
      </c>
      <c r="P37" s="42">
        <f t="shared" si="14"/>
        <v>-6.1750239434301539</v>
      </c>
      <c r="Q37" s="37">
        <f>'BATS 2023 TLFD'!Z24</f>
        <v>7.9063191949591306E-3</v>
      </c>
      <c r="R37" s="38">
        <f>modeldata!Y39</f>
        <v>6.6666666666666671E-3</v>
      </c>
      <c r="S37" s="34">
        <f t="shared" si="15"/>
        <v>-0.156792623435041</v>
      </c>
      <c r="T37" s="39">
        <f t="shared" si="8"/>
        <v>0</v>
      </c>
      <c r="U37" s="40">
        <f t="shared" si="9"/>
        <v>0</v>
      </c>
      <c r="V37" s="41">
        <f t="shared" si="19"/>
        <v>-6.1750239434301539</v>
      </c>
      <c r="W37" s="176">
        <f t="shared" si="33"/>
        <v>-0.31198492638919889</v>
      </c>
      <c r="X37" s="42">
        <f t="shared" si="20"/>
        <v>-6.1750239434301539</v>
      </c>
      <c r="Z37" s="36">
        <v>19</v>
      </c>
      <c r="AA37" s="33">
        <f t="shared" si="31"/>
        <v>-0.23755754344668609</v>
      </c>
      <c r="AB37" s="42">
        <f t="shared" si="16"/>
        <v>-6.6249573370079062</v>
      </c>
      <c r="AC37" s="37">
        <f>'BATS 2023 TLFD'!AM24</f>
        <v>0</v>
      </c>
      <c r="AD37" s="38">
        <f>modeldata!AL39</f>
        <v>6.6666666666666671E-3</v>
      </c>
      <c r="AE37" s="34" t="e">
        <f t="shared" si="17"/>
        <v>#DIV/0!</v>
      </c>
      <c r="AF37" s="39" t="e">
        <f t="shared" si="10"/>
        <v>#NUM!</v>
      </c>
      <c r="AG37" s="40" t="e">
        <f t="shared" si="11"/>
        <v>#NUM!</v>
      </c>
      <c r="AH37" s="41" t="e">
        <f t="shared" si="21"/>
        <v>#NUM!</v>
      </c>
      <c r="AI37" s="176">
        <f t="shared" si="34"/>
        <v>-0.12669735650489902</v>
      </c>
      <c r="AJ37" s="42">
        <f t="shared" si="22"/>
        <v>-5.6115934863530947</v>
      </c>
    </row>
    <row r="38" spans="1:36" x14ac:dyDescent="0.2">
      <c r="A38" s="62">
        <f t="shared" si="12"/>
        <v>20.5</v>
      </c>
      <c r="B38" s="36">
        <v>20</v>
      </c>
      <c r="C38" s="33">
        <f t="shared" si="29"/>
        <v>-0.1273712880138449</v>
      </c>
      <c r="D38" s="42">
        <f t="shared" si="13"/>
        <v>-6.5201666016463813</v>
      </c>
      <c r="E38" s="37">
        <f>'BATS 2023 TLFD'!M25</f>
        <v>2.969063721465481E-2</v>
      </c>
      <c r="F38" s="38">
        <f>modeldata!L40</f>
        <v>6.6666666666666671E-3</v>
      </c>
      <c r="G38" s="34">
        <f t="shared" si="4"/>
        <v>-0.7754623244200326</v>
      </c>
      <c r="H38" s="39">
        <f t="shared" si="5"/>
        <v>0</v>
      </c>
      <c r="I38" s="40">
        <f t="shared" si="6"/>
        <v>0</v>
      </c>
      <c r="J38" s="41">
        <f t="shared" si="7"/>
        <v>-6.5201666016463813</v>
      </c>
      <c r="K38" s="176">
        <f t="shared" si="32"/>
        <v>-0.1273712880138449</v>
      </c>
      <c r="L38" s="177">
        <f t="shared" si="18"/>
        <v>-6.5201666016463813</v>
      </c>
      <c r="N38" s="36">
        <v>20</v>
      </c>
      <c r="O38" s="33">
        <f t="shared" si="30"/>
        <v>-0.31198492638919889</v>
      </c>
      <c r="P38" s="42">
        <f t="shared" si="14"/>
        <v>-6.4870088698193529</v>
      </c>
      <c r="Q38" s="37">
        <f>'BATS 2023 TLFD'!Z25</f>
        <v>7.3634968747400432E-3</v>
      </c>
      <c r="R38" s="38">
        <f>modeldata!Y40</f>
        <v>6.6666666666666671E-3</v>
      </c>
      <c r="S38" s="34">
        <f t="shared" si="15"/>
        <v>-9.4633055452743239E-2</v>
      </c>
      <c r="T38" s="39">
        <f t="shared" si="8"/>
        <v>0</v>
      </c>
      <c r="U38" s="40">
        <f t="shared" si="9"/>
        <v>0</v>
      </c>
      <c r="V38" s="41">
        <f t="shared" si="19"/>
        <v>-6.4870088698193529</v>
      </c>
      <c r="W38" s="176">
        <f t="shared" si="33"/>
        <v>-0.31198492638919889</v>
      </c>
      <c r="X38" s="42">
        <f t="shared" si="20"/>
        <v>-6.4870088698193529</v>
      </c>
      <c r="Z38" s="36">
        <v>20</v>
      </c>
      <c r="AA38" s="33">
        <f t="shared" si="31"/>
        <v>-0.23755754344668609</v>
      </c>
      <c r="AB38" s="42">
        <f t="shared" si="16"/>
        <v>-6.8625148804545919</v>
      </c>
      <c r="AC38" s="37">
        <f>'BATS 2023 TLFD'!AM25</f>
        <v>9.1263408000018275E-4</v>
      </c>
      <c r="AD38" s="38">
        <f>modeldata!AL40</f>
        <v>6.6666666666666671E-3</v>
      </c>
      <c r="AE38" s="34">
        <f t="shared" si="17"/>
        <v>6.3048627185446904</v>
      </c>
      <c r="AF38" s="39">
        <f t="shared" si="10"/>
        <v>0</v>
      </c>
      <c r="AG38" s="40">
        <f t="shared" si="11"/>
        <v>0</v>
      </c>
      <c r="AH38" s="41">
        <f t="shared" si="21"/>
        <v>-6.8625148804545919</v>
      </c>
      <c r="AI38" s="176">
        <f t="shared" si="34"/>
        <v>-0.12669735650489902</v>
      </c>
      <c r="AJ38" s="42">
        <f t="shared" si="22"/>
        <v>-5.7382908428579942</v>
      </c>
    </row>
    <row r="39" spans="1:36" x14ac:dyDescent="0.2">
      <c r="A39" s="62">
        <f t="shared" si="12"/>
        <v>21.5</v>
      </c>
      <c r="B39" s="36">
        <v>21</v>
      </c>
      <c r="C39" s="33">
        <f t="shared" si="29"/>
        <v>-0.1273712880138449</v>
      </c>
      <c r="D39" s="42">
        <f t="shared" si="13"/>
        <v>-6.6475378896602262</v>
      </c>
      <c r="E39" s="37">
        <f>'BATS 2023 TLFD'!M26</f>
        <v>1.2050308322200059E-2</v>
      </c>
      <c r="F39" s="38">
        <f>modeldata!L41</f>
        <v>6.6666666666666671E-3</v>
      </c>
      <c r="G39" s="34">
        <f t="shared" si="4"/>
        <v>-0.44676380982013625</v>
      </c>
      <c r="H39" s="39">
        <f t="shared" si="5"/>
        <v>0</v>
      </c>
      <c r="I39" s="40">
        <f t="shared" si="6"/>
        <v>0</v>
      </c>
      <c r="J39" s="41">
        <f t="shared" si="7"/>
        <v>-6.6475378896602262</v>
      </c>
      <c r="K39" s="176">
        <f t="shared" si="32"/>
        <v>-0.1273712880138449</v>
      </c>
      <c r="L39" s="177">
        <f t="shared" si="18"/>
        <v>-6.6475378896602262</v>
      </c>
      <c r="N39" s="36">
        <v>21</v>
      </c>
      <c r="O39" s="33">
        <f t="shared" si="30"/>
        <v>-0.31198492638919889</v>
      </c>
      <c r="P39" s="42">
        <f t="shared" si="14"/>
        <v>-6.7989937962085518</v>
      </c>
      <c r="Q39" s="37">
        <f>'BATS 2023 TLFD'!Z26</f>
        <v>4.1918556691490543E-3</v>
      </c>
      <c r="R39" s="38">
        <f>modeldata!Y41</f>
        <v>6.6666666666666671E-3</v>
      </c>
      <c r="S39" s="34">
        <f t="shared" si="15"/>
        <v>0.59038554588879699</v>
      </c>
      <c r="T39" s="39">
        <f t="shared" si="8"/>
        <v>0</v>
      </c>
      <c r="U39" s="40">
        <f t="shared" si="9"/>
        <v>0</v>
      </c>
      <c r="V39" s="41">
        <f t="shared" si="19"/>
        <v>-6.7989937962085518</v>
      </c>
      <c r="W39" s="176">
        <f t="shared" si="33"/>
        <v>-0.31198492638919889</v>
      </c>
      <c r="X39" s="42">
        <f t="shared" si="20"/>
        <v>-6.7989937962085518</v>
      </c>
      <c r="Z39" s="36">
        <v>21</v>
      </c>
      <c r="AA39" s="33">
        <f t="shared" si="31"/>
        <v>-0.23755754344668609</v>
      </c>
      <c r="AB39" s="42">
        <f t="shared" si="16"/>
        <v>-7.1000724239012776</v>
      </c>
      <c r="AC39" s="37">
        <f>'BATS 2023 TLFD'!AM26</f>
        <v>1.0807237310609516E-4</v>
      </c>
      <c r="AD39" s="38">
        <f>modeldata!AL41</f>
        <v>6.6666666666666671E-3</v>
      </c>
      <c r="AE39" s="34">
        <f t="shared" si="17"/>
        <v>60.687057247479601</v>
      </c>
      <c r="AF39" s="39">
        <f t="shared" si="10"/>
        <v>0</v>
      </c>
      <c r="AG39" s="40">
        <f t="shared" si="11"/>
        <v>0</v>
      </c>
      <c r="AH39" s="41">
        <f t="shared" si="21"/>
        <v>-7.1000724239012776</v>
      </c>
      <c r="AI39" s="176">
        <f t="shared" si="34"/>
        <v>-0.12669735650489902</v>
      </c>
      <c r="AJ39" s="42">
        <f t="shared" si="22"/>
        <v>-5.8649881993628936</v>
      </c>
    </row>
    <row r="40" spans="1:36" x14ac:dyDescent="0.2">
      <c r="A40" s="62">
        <f t="shared" si="12"/>
        <v>22.5</v>
      </c>
      <c r="B40" s="36">
        <v>22</v>
      </c>
      <c r="C40" s="33">
        <f t="shared" si="29"/>
        <v>-0.1273712880138449</v>
      </c>
      <c r="D40" s="42">
        <f t="shared" si="13"/>
        <v>-6.7749091776740711</v>
      </c>
      <c r="E40" s="37">
        <f>'BATS 2023 TLFD'!M27</f>
        <v>1.2901752330690339E-2</v>
      </c>
      <c r="F40" s="38">
        <f>modeldata!L42</f>
        <v>6.6666666666666671E-3</v>
      </c>
      <c r="G40" s="34">
        <f t="shared" si="4"/>
        <v>-0.48327432616977301</v>
      </c>
      <c r="H40" s="39">
        <f t="shared" si="5"/>
        <v>0</v>
      </c>
      <c r="I40" s="40">
        <f t="shared" si="6"/>
        <v>0</v>
      </c>
      <c r="J40" s="41">
        <f t="shared" si="7"/>
        <v>-6.7749091776740711</v>
      </c>
      <c r="K40" s="176">
        <f t="shared" si="32"/>
        <v>-0.1273712880138449</v>
      </c>
      <c r="L40" s="177">
        <f t="shared" si="18"/>
        <v>-6.7749091776740711</v>
      </c>
      <c r="N40" s="36">
        <v>22</v>
      </c>
      <c r="O40" s="33">
        <f t="shared" si="30"/>
        <v>-0.31198492638919889</v>
      </c>
      <c r="P40" s="42">
        <f t="shared" si="14"/>
        <v>-7.1109787225977508</v>
      </c>
      <c r="Q40" s="37">
        <f>'BATS 2023 TLFD'!Z27</f>
        <v>2.0958838026783637E-3</v>
      </c>
      <c r="R40" s="38">
        <f>modeldata!Y42</f>
        <v>6.6666666666666671E-3</v>
      </c>
      <c r="S40" s="34">
        <f t="shared" si="15"/>
        <v>2.180837915798207</v>
      </c>
      <c r="T40" s="39">
        <f t="shared" si="8"/>
        <v>0</v>
      </c>
      <c r="U40" s="40">
        <f t="shared" si="9"/>
        <v>0</v>
      </c>
      <c r="V40" s="41">
        <f t="shared" si="19"/>
        <v>-7.1109787225977508</v>
      </c>
      <c r="W40" s="176">
        <f t="shared" si="33"/>
        <v>-0.31198492638919889</v>
      </c>
      <c r="X40" s="42">
        <f t="shared" si="20"/>
        <v>-7.1109787225977508</v>
      </c>
      <c r="Z40" s="36">
        <v>22</v>
      </c>
      <c r="AA40" s="33">
        <f t="shared" si="31"/>
        <v>-0.23755754344668609</v>
      </c>
      <c r="AB40" s="42">
        <f t="shared" si="16"/>
        <v>-7.3376299673479632</v>
      </c>
      <c r="AC40" s="37">
        <f>'BATS 2023 TLFD'!AM27</f>
        <v>0</v>
      </c>
      <c r="AD40" s="38">
        <f>modeldata!AL42</f>
        <v>6.6666666666666671E-3</v>
      </c>
      <c r="AE40" s="34" t="e">
        <f t="shared" si="17"/>
        <v>#DIV/0!</v>
      </c>
      <c r="AF40" s="39" t="e">
        <f t="shared" si="10"/>
        <v>#NUM!</v>
      </c>
      <c r="AG40" s="40" t="e">
        <f t="shared" si="11"/>
        <v>#NUM!</v>
      </c>
      <c r="AH40" s="41" t="e">
        <f t="shared" si="21"/>
        <v>#NUM!</v>
      </c>
      <c r="AI40" s="176">
        <f t="shared" si="34"/>
        <v>-0.12669735650489902</v>
      </c>
      <c r="AJ40" s="42">
        <f t="shared" si="22"/>
        <v>-5.9916855558677931</v>
      </c>
    </row>
    <row r="41" spans="1:36" x14ac:dyDescent="0.2">
      <c r="A41" s="62">
        <f t="shared" si="12"/>
        <v>23.5</v>
      </c>
      <c r="B41" s="36">
        <v>23</v>
      </c>
      <c r="C41" s="33">
        <f t="shared" si="29"/>
        <v>-0.1273712880138449</v>
      </c>
      <c r="D41" s="42">
        <f t="shared" si="13"/>
        <v>-6.902280465687916</v>
      </c>
      <c r="E41" s="37">
        <f>'BATS 2023 TLFD'!M28</f>
        <v>1.3720518924942693E-2</v>
      </c>
      <c r="F41" s="38">
        <f>modeldata!L43</f>
        <v>6.6666666666666671E-3</v>
      </c>
      <c r="G41" s="34">
        <f t="shared" si="4"/>
        <v>-0.51410972841943647</v>
      </c>
      <c r="H41" s="39">
        <f t="shared" si="5"/>
        <v>0</v>
      </c>
      <c r="I41" s="40">
        <f t="shared" si="6"/>
        <v>0</v>
      </c>
      <c r="J41" s="41">
        <f t="shared" si="7"/>
        <v>-6.902280465687916</v>
      </c>
      <c r="K41" s="176">
        <f t="shared" si="32"/>
        <v>-0.1273712880138449</v>
      </c>
      <c r="L41" s="177">
        <f t="shared" si="18"/>
        <v>-6.902280465687916</v>
      </c>
      <c r="N41" s="36">
        <v>23</v>
      </c>
      <c r="O41" s="33">
        <f t="shared" si="30"/>
        <v>-0.31198492638919889</v>
      </c>
      <c r="P41" s="42">
        <f t="shared" si="14"/>
        <v>-7.4229636489869497</v>
      </c>
      <c r="Q41" s="37">
        <f>'BATS 2023 TLFD'!Z28</f>
        <v>7.0565831707746158E-4</v>
      </c>
      <c r="R41" s="38">
        <f>modeldata!Y43</f>
        <v>6.6666666666666671E-3</v>
      </c>
      <c r="S41" s="34">
        <f t="shared" si="15"/>
        <v>8.4474429129910664</v>
      </c>
      <c r="T41" s="39">
        <f t="shared" si="8"/>
        <v>0</v>
      </c>
      <c r="U41" s="40">
        <f t="shared" si="9"/>
        <v>0</v>
      </c>
      <c r="V41" s="41">
        <f t="shared" si="19"/>
        <v>-7.4229636489869497</v>
      </c>
      <c r="W41" s="176">
        <f t="shared" si="33"/>
        <v>-0.31198492638919889</v>
      </c>
      <c r="X41" s="42">
        <f t="shared" si="20"/>
        <v>-7.4229636489869497</v>
      </c>
      <c r="Z41" s="36">
        <v>23</v>
      </c>
      <c r="AA41" s="33">
        <f t="shared" si="31"/>
        <v>-0.23755754344668609</v>
      </c>
      <c r="AB41" s="42">
        <f t="shared" si="16"/>
        <v>-7.5751875107946489</v>
      </c>
      <c r="AC41" s="37">
        <f>'BATS 2023 TLFD'!AM28</f>
        <v>1.0615594839632746E-4</v>
      </c>
      <c r="AD41" s="38">
        <f>modeldata!AL43</f>
        <v>6.6666666666666671E-3</v>
      </c>
      <c r="AE41" s="34">
        <f t="shared" si="17"/>
        <v>61.800688679046317</v>
      </c>
      <c r="AF41" s="39">
        <f t="shared" si="10"/>
        <v>0</v>
      </c>
      <c r="AG41" s="40">
        <f t="shared" si="11"/>
        <v>0</v>
      </c>
      <c r="AH41" s="41">
        <f t="shared" si="21"/>
        <v>-7.5751875107946489</v>
      </c>
      <c r="AI41" s="176">
        <f t="shared" si="34"/>
        <v>-0.12669735650489902</v>
      </c>
      <c r="AJ41" s="42">
        <f t="shared" si="22"/>
        <v>-6.1183829123726925</v>
      </c>
    </row>
    <row r="42" spans="1:36" x14ac:dyDescent="0.2">
      <c r="A42" s="62">
        <f t="shared" si="12"/>
        <v>24.5</v>
      </c>
      <c r="B42" s="36">
        <v>24</v>
      </c>
      <c r="C42" s="33">
        <f t="shared" si="29"/>
        <v>-0.1273712880138449</v>
      </c>
      <c r="D42" s="42">
        <f t="shared" si="13"/>
        <v>-7.0296517537017609</v>
      </c>
      <c r="E42" s="37">
        <f>'BATS 2023 TLFD'!M29</f>
        <v>8.1636189293992564E-3</v>
      </c>
      <c r="F42" s="38">
        <f>modeldata!L44</f>
        <v>6.6666666666666671E-3</v>
      </c>
      <c r="G42" s="34">
        <f t="shared" si="4"/>
        <v>-0.18336870886288992</v>
      </c>
      <c r="H42" s="39">
        <f t="shared" si="5"/>
        <v>0</v>
      </c>
      <c r="I42" s="40">
        <f t="shared" si="6"/>
        <v>0</v>
      </c>
      <c r="J42" s="41">
        <f t="shared" si="7"/>
        <v>-7.0296517537017609</v>
      </c>
      <c r="K42" s="176">
        <f t="shared" si="32"/>
        <v>-0.1273712880138449</v>
      </c>
      <c r="L42" s="177">
        <f t="shared" si="18"/>
        <v>-7.0296517537017609</v>
      </c>
      <c r="N42" s="36">
        <v>24</v>
      </c>
      <c r="O42" s="33">
        <f t="shared" si="30"/>
        <v>-0.31198492638919889</v>
      </c>
      <c r="P42" s="42">
        <f t="shared" si="14"/>
        <v>-7.7349485753761487</v>
      </c>
      <c r="Q42" s="37">
        <f>'BATS 2023 TLFD'!Z29</f>
        <v>1.4492444238027912E-2</v>
      </c>
      <c r="R42" s="38">
        <f>modeldata!Y44</f>
        <v>6.6666666666666671E-3</v>
      </c>
      <c r="S42" s="34">
        <f t="shared" si="15"/>
        <v>-0.53999017990537068</v>
      </c>
      <c r="T42" s="39">
        <f t="shared" si="8"/>
        <v>0</v>
      </c>
      <c r="U42" s="40">
        <f t="shared" si="9"/>
        <v>0</v>
      </c>
      <c r="V42" s="41">
        <f t="shared" si="19"/>
        <v>-7.7349485753761487</v>
      </c>
      <c r="W42" s="176">
        <f t="shared" si="33"/>
        <v>-0.31198492638919889</v>
      </c>
      <c r="X42" s="42">
        <f t="shared" si="20"/>
        <v>-7.7349485753761487</v>
      </c>
      <c r="Z42" s="36">
        <v>24</v>
      </c>
      <c r="AA42" s="33">
        <f t="shared" si="31"/>
        <v>-0.23755754344668609</v>
      </c>
      <c r="AB42" s="42">
        <f t="shared" si="16"/>
        <v>-7.8127450542413346</v>
      </c>
      <c r="AC42" s="37">
        <f>'BATS 2023 TLFD'!AM29</f>
        <v>3.3807567498466654E-4</v>
      </c>
      <c r="AD42" s="38">
        <f>modeldata!AL44</f>
        <v>6.6666666666666671E-3</v>
      </c>
      <c r="AE42" s="34">
        <f t="shared" si="17"/>
        <v>18.71945088024755</v>
      </c>
      <c r="AF42" s="39">
        <f t="shared" si="10"/>
        <v>0</v>
      </c>
      <c r="AG42" s="40">
        <f t="shared" si="11"/>
        <v>0</v>
      </c>
      <c r="AH42" s="41">
        <f t="shared" si="21"/>
        <v>-7.8127450542413346</v>
      </c>
      <c r="AI42" s="176">
        <f t="shared" si="34"/>
        <v>-0.12669735650489902</v>
      </c>
      <c r="AJ42" s="42">
        <f t="shared" si="22"/>
        <v>-6.2450802688775919</v>
      </c>
    </row>
    <row r="43" spans="1:36" x14ac:dyDescent="0.2">
      <c r="A43" s="62">
        <f t="shared" si="12"/>
        <v>25.5</v>
      </c>
      <c r="B43" s="36">
        <v>25</v>
      </c>
      <c r="C43" s="33">
        <f t="shared" si="29"/>
        <v>-0.1273712880138449</v>
      </c>
      <c r="D43" s="42">
        <f t="shared" si="13"/>
        <v>-7.1570230417156058</v>
      </c>
      <c r="E43" s="37">
        <f>'BATS 2023 TLFD'!M30</f>
        <v>9.8265829044981469E-3</v>
      </c>
      <c r="F43" s="38">
        <f>modeldata!L45</f>
        <v>6.6666666666666671E-3</v>
      </c>
      <c r="G43" s="34">
        <f t="shared" si="4"/>
        <v>-0.32156816551000844</v>
      </c>
      <c r="H43" s="39">
        <f t="shared" si="5"/>
        <v>0</v>
      </c>
      <c r="I43" s="40">
        <f t="shared" si="6"/>
        <v>0</v>
      </c>
      <c r="J43" s="41">
        <f t="shared" si="7"/>
        <v>-7.1570230417156058</v>
      </c>
      <c r="K43" s="176">
        <f t="shared" si="32"/>
        <v>-0.1273712880138449</v>
      </c>
      <c r="L43" s="177">
        <f t="shared" si="18"/>
        <v>-7.1570230417156058</v>
      </c>
      <c r="N43" s="36">
        <v>25</v>
      </c>
      <c r="O43" s="33">
        <f t="shared" si="30"/>
        <v>-0.31198492638919889</v>
      </c>
      <c r="P43" s="42">
        <f t="shared" si="14"/>
        <v>-8.0469335017653467</v>
      </c>
      <c r="Q43" s="37">
        <f>'BATS 2023 TLFD'!Z30</f>
        <v>1.075455641293334E-2</v>
      </c>
      <c r="R43" s="38">
        <f>modeldata!Y45</f>
        <v>6.6666666666666671E-3</v>
      </c>
      <c r="S43" s="34">
        <f t="shared" si="15"/>
        <v>-0.38010770405654398</v>
      </c>
      <c r="T43" s="39">
        <f t="shared" si="8"/>
        <v>0</v>
      </c>
      <c r="U43" s="40">
        <f t="shared" si="9"/>
        <v>0</v>
      </c>
      <c r="V43" s="41">
        <f t="shared" si="19"/>
        <v>-8.0469335017653467</v>
      </c>
      <c r="W43" s="176">
        <f t="shared" si="33"/>
        <v>-0.31198492638919889</v>
      </c>
      <c r="X43" s="42">
        <f t="shared" si="20"/>
        <v>-8.0469335017653467</v>
      </c>
      <c r="Z43" s="36">
        <v>25</v>
      </c>
      <c r="AA43" s="33">
        <f t="shared" si="31"/>
        <v>-0.23755754344668609</v>
      </c>
      <c r="AB43" s="42">
        <f t="shared" si="16"/>
        <v>-8.0503025976880203</v>
      </c>
      <c r="AC43" s="37">
        <f>'BATS 2023 TLFD'!AM30</f>
        <v>0</v>
      </c>
      <c r="AD43" s="38">
        <f>modeldata!AL45</f>
        <v>6.6666666666666671E-3</v>
      </c>
      <c r="AE43" s="34" t="e">
        <f t="shared" si="17"/>
        <v>#DIV/0!</v>
      </c>
      <c r="AF43" s="39" t="e">
        <f t="shared" si="10"/>
        <v>#NUM!</v>
      </c>
      <c r="AG43" s="40" t="e">
        <f t="shared" si="11"/>
        <v>#NUM!</v>
      </c>
      <c r="AH43" s="41" t="e">
        <f t="shared" si="21"/>
        <v>#NUM!</v>
      </c>
      <c r="AI43" s="176">
        <f t="shared" si="34"/>
        <v>-0.12669735650489902</v>
      </c>
      <c r="AJ43" s="42">
        <f t="shared" si="22"/>
        <v>-6.3717776253824914</v>
      </c>
    </row>
    <row r="44" spans="1:36" x14ac:dyDescent="0.2">
      <c r="A44" s="62">
        <f t="shared" si="12"/>
        <v>26.5</v>
      </c>
      <c r="B44" s="36">
        <v>26</v>
      </c>
      <c r="C44" s="33">
        <f t="shared" si="29"/>
        <v>-0.1273712880138449</v>
      </c>
      <c r="D44" s="42">
        <f t="shared" si="13"/>
        <v>-7.2843943297294507</v>
      </c>
      <c r="E44" s="37">
        <f>'BATS 2023 TLFD'!M31</f>
        <v>7.0542732599804736E-3</v>
      </c>
      <c r="F44" s="38">
        <f>modeldata!L46</f>
        <v>6.6666666666666671E-3</v>
      </c>
      <c r="G44" s="34">
        <f t="shared" si="4"/>
        <v>-5.4946353653853121E-2</v>
      </c>
      <c r="H44" s="39">
        <f t="shared" si="5"/>
        <v>0</v>
      </c>
      <c r="I44" s="40">
        <f t="shared" si="6"/>
        <v>0</v>
      </c>
      <c r="J44" s="41">
        <f t="shared" si="7"/>
        <v>-7.2843943297294507</v>
      </c>
      <c r="K44" s="176">
        <f t="shared" si="32"/>
        <v>-0.1273712880138449</v>
      </c>
      <c r="L44" s="177">
        <f t="shared" si="18"/>
        <v>-7.2843943297294507</v>
      </c>
      <c r="N44" s="36">
        <v>26</v>
      </c>
      <c r="O44" s="33">
        <f t="shared" si="30"/>
        <v>-0.31198492638919889</v>
      </c>
      <c r="P44" s="42">
        <f t="shared" si="14"/>
        <v>-8.3589184281545457</v>
      </c>
      <c r="Q44" s="37">
        <f>'BATS 2023 TLFD'!Z31</f>
        <v>6.4356116677915587E-4</v>
      </c>
      <c r="R44" s="38">
        <f>modeldata!Y46</f>
        <v>6.6666666666666671E-3</v>
      </c>
      <c r="S44" s="34">
        <f t="shared" si="15"/>
        <v>9.359025700744926</v>
      </c>
      <c r="T44" s="39">
        <f t="shared" si="8"/>
        <v>0</v>
      </c>
      <c r="U44" s="40">
        <f t="shared" si="9"/>
        <v>0</v>
      </c>
      <c r="V44" s="41">
        <f t="shared" si="19"/>
        <v>-8.3589184281545457</v>
      </c>
      <c r="W44" s="176">
        <f t="shared" si="33"/>
        <v>-0.31198492638919889</v>
      </c>
      <c r="X44" s="42">
        <f t="shared" si="20"/>
        <v>-8.3589184281545457</v>
      </c>
      <c r="Z44" s="36">
        <v>26</v>
      </c>
      <c r="AA44" s="33">
        <f t="shared" si="31"/>
        <v>-0.23755754344668609</v>
      </c>
      <c r="AB44" s="42">
        <f t="shared" si="16"/>
        <v>-8.2878601411347059</v>
      </c>
      <c r="AC44" s="37">
        <f>'BATS 2023 TLFD'!AM31</f>
        <v>0</v>
      </c>
      <c r="AD44" s="38">
        <f>modeldata!AL46</f>
        <v>6.6666666666666671E-3</v>
      </c>
      <c r="AE44" s="34" t="e">
        <f>(AD44-AC44)/AC44</f>
        <v>#DIV/0!</v>
      </c>
      <c r="AF44" s="39" t="e">
        <f t="shared" si="10"/>
        <v>#NUM!</v>
      </c>
      <c r="AG44" s="40" t="e">
        <f t="shared" si="11"/>
        <v>#NUM!</v>
      </c>
      <c r="AH44" s="41" t="e">
        <f t="shared" si="21"/>
        <v>#NUM!</v>
      </c>
      <c r="AI44" s="176">
        <f t="shared" si="34"/>
        <v>-0.12669735650489902</v>
      </c>
      <c r="AJ44" s="42">
        <f t="shared" si="22"/>
        <v>-6.4984749818873908</v>
      </c>
    </row>
    <row r="45" spans="1:36" x14ac:dyDescent="0.2">
      <c r="A45" s="62">
        <f t="shared" si="12"/>
        <v>27.5</v>
      </c>
      <c r="B45" s="36">
        <v>27</v>
      </c>
      <c r="C45" s="33">
        <f t="shared" si="29"/>
        <v>-0.1273712880138449</v>
      </c>
      <c r="D45" s="42">
        <f t="shared" si="13"/>
        <v>-7.4117656177432956</v>
      </c>
      <c r="E45" s="37">
        <f>'BATS 2023 TLFD'!M32</f>
        <v>7.9252176475483362E-3</v>
      </c>
      <c r="F45" s="38">
        <f>modeldata!L47</f>
        <v>6.6666666666666671E-3</v>
      </c>
      <c r="G45" s="34">
        <f t="shared" si="4"/>
        <v>-0.15880333346693656</v>
      </c>
      <c r="H45" s="39">
        <f t="shared" si="5"/>
        <v>0</v>
      </c>
      <c r="I45" s="40">
        <f t="shared" si="6"/>
        <v>0</v>
      </c>
      <c r="J45" s="41">
        <f t="shared" si="7"/>
        <v>-7.4117656177432956</v>
      </c>
      <c r="K45" s="176">
        <f t="shared" si="32"/>
        <v>-0.1273712880138449</v>
      </c>
      <c r="L45" s="177">
        <f t="shared" si="18"/>
        <v>-7.4117656177432956</v>
      </c>
      <c r="N45" s="36">
        <v>27</v>
      </c>
      <c r="O45" s="33">
        <f t="shared" si="30"/>
        <v>-0.31198492638919889</v>
      </c>
      <c r="P45" s="42">
        <f t="shared" si="14"/>
        <v>-8.6709033545437446</v>
      </c>
      <c r="Q45" s="37">
        <f>'BATS 2023 TLFD'!Z32</f>
        <v>3.7215701250453855E-4</v>
      </c>
      <c r="R45" s="38">
        <f>modeldata!Y47</f>
        <v>6.6666666666666671E-3</v>
      </c>
      <c r="S45" s="34">
        <f t="shared" si="15"/>
        <v>16.913586047462601</v>
      </c>
      <c r="T45" s="39">
        <f t="shared" si="8"/>
        <v>0</v>
      </c>
      <c r="U45" s="40">
        <f t="shared" si="9"/>
        <v>0</v>
      </c>
      <c r="V45" s="41">
        <f t="shared" si="19"/>
        <v>-8.6709033545437446</v>
      </c>
      <c r="W45" s="176">
        <f t="shared" si="33"/>
        <v>-0.31198492638919889</v>
      </c>
      <c r="X45" s="42">
        <f t="shared" si="20"/>
        <v>-8.6709033545437446</v>
      </c>
      <c r="Z45" s="36">
        <v>27</v>
      </c>
      <c r="AA45" s="33">
        <f t="shared" si="31"/>
        <v>-0.23755754344668609</v>
      </c>
      <c r="AB45" s="42">
        <f t="shared" si="16"/>
        <v>-8.5254176845813916</v>
      </c>
      <c r="AC45" s="37">
        <f>'BATS 2023 TLFD'!AM32</f>
        <v>0</v>
      </c>
      <c r="AD45" s="38">
        <f>modeldata!AL47</f>
        <v>6.6666666666666671E-3</v>
      </c>
      <c r="AE45" s="34" t="e">
        <f t="shared" si="17"/>
        <v>#DIV/0!</v>
      </c>
      <c r="AF45" s="39" t="e">
        <f t="shared" si="10"/>
        <v>#NUM!</v>
      </c>
      <c r="AG45" s="40" t="e">
        <f t="shared" si="11"/>
        <v>#NUM!</v>
      </c>
      <c r="AH45" s="41" t="e">
        <f t="shared" si="21"/>
        <v>#NUM!</v>
      </c>
      <c r="AI45" s="176">
        <f t="shared" si="34"/>
        <v>-0.12669735650489902</v>
      </c>
      <c r="AJ45" s="42">
        <f t="shared" si="22"/>
        <v>-6.6251723383922902</v>
      </c>
    </row>
    <row r="46" spans="1:36" x14ac:dyDescent="0.2">
      <c r="A46" s="62">
        <f t="shared" si="12"/>
        <v>28.5</v>
      </c>
      <c r="B46" s="36">
        <v>28</v>
      </c>
      <c r="C46" s="33">
        <f t="shared" si="29"/>
        <v>-0.1273712880138449</v>
      </c>
      <c r="D46" s="42">
        <f t="shared" si="13"/>
        <v>-7.5391369057571405</v>
      </c>
      <c r="E46" s="37">
        <f>'BATS 2023 TLFD'!M33</f>
        <v>1.5689187845082234E-2</v>
      </c>
      <c r="F46" s="38">
        <f>modeldata!L48</f>
        <v>6.6666666666666671E-3</v>
      </c>
      <c r="G46" s="34">
        <f t="shared" si="4"/>
        <v>-0.57507891852054471</v>
      </c>
      <c r="H46" s="39">
        <f t="shared" si="5"/>
        <v>0</v>
      </c>
      <c r="I46" s="40">
        <f t="shared" si="6"/>
        <v>0</v>
      </c>
      <c r="J46" s="41">
        <f t="shared" si="7"/>
        <v>-7.5391369057571405</v>
      </c>
      <c r="K46" s="176">
        <f t="shared" si="32"/>
        <v>-0.1273712880138449</v>
      </c>
      <c r="L46" s="177">
        <f t="shared" si="18"/>
        <v>-7.5391369057571405</v>
      </c>
      <c r="N46" s="36">
        <v>28</v>
      </c>
      <c r="O46" s="33">
        <f t="shared" si="30"/>
        <v>-0.31198492638919889</v>
      </c>
      <c r="P46" s="42">
        <f t="shared" si="14"/>
        <v>-8.9828882809329436</v>
      </c>
      <c r="Q46" s="37">
        <f>'BATS 2023 TLFD'!Z33</f>
        <v>8.8723308981195931E-2</v>
      </c>
      <c r="R46" s="38">
        <f>modeldata!Y48</f>
        <v>6.6666666666666671E-3</v>
      </c>
      <c r="S46" s="34">
        <f t="shared" si="15"/>
        <v>-0.92486003122269023</v>
      </c>
      <c r="T46" s="39">
        <f t="shared" si="8"/>
        <v>0</v>
      </c>
      <c r="U46" s="40">
        <f t="shared" si="9"/>
        <v>0</v>
      </c>
      <c r="V46" s="41">
        <f t="shared" si="19"/>
        <v>-8.9828882809329436</v>
      </c>
      <c r="W46" s="176">
        <f t="shared" si="33"/>
        <v>-0.31198492638919889</v>
      </c>
      <c r="X46" s="42">
        <f t="shared" si="20"/>
        <v>-8.9828882809329436</v>
      </c>
      <c r="Z46" s="36">
        <v>28</v>
      </c>
      <c r="AA46" s="33">
        <f t="shared" si="31"/>
        <v>-0.23755754344668609</v>
      </c>
      <c r="AB46" s="42">
        <f t="shared" si="16"/>
        <v>-8.7629752280280773</v>
      </c>
      <c r="AC46" s="37">
        <f>'BATS 2023 TLFD'!AM33</f>
        <v>0</v>
      </c>
      <c r="AD46" s="38">
        <f>modeldata!AL48</f>
        <v>6.6666666666666671E-3</v>
      </c>
      <c r="AE46" s="34" t="e">
        <f t="shared" si="17"/>
        <v>#DIV/0!</v>
      </c>
      <c r="AF46" s="39" t="e">
        <f t="shared" si="10"/>
        <v>#NUM!</v>
      </c>
      <c r="AG46" s="40" t="e">
        <f t="shared" si="11"/>
        <v>#NUM!</v>
      </c>
      <c r="AH46" s="41" t="e">
        <f t="shared" si="21"/>
        <v>#NUM!</v>
      </c>
      <c r="AI46" s="176">
        <f t="shared" si="34"/>
        <v>-0.12669735650489902</v>
      </c>
      <c r="AJ46" s="42">
        <f t="shared" si="22"/>
        <v>-6.7518696948971897</v>
      </c>
    </row>
    <row r="47" spans="1:36" x14ac:dyDescent="0.2">
      <c r="A47" s="62">
        <f t="shared" si="12"/>
        <v>29.5</v>
      </c>
      <c r="B47" s="36">
        <v>29</v>
      </c>
      <c r="C47" s="33">
        <f t="shared" si="29"/>
        <v>-0.1273712880138449</v>
      </c>
      <c r="D47" s="42">
        <f t="shared" si="13"/>
        <v>-7.6665081937709854</v>
      </c>
      <c r="E47" s="37">
        <f>'BATS 2023 TLFD'!M34</f>
        <v>8.3152468919799553E-3</v>
      </c>
      <c r="F47" s="38">
        <f>modeldata!L49</f>
        <v>6.6666666666666671E-3</v>
      </c>
      <c r="G47" s="34">
        <f t="shared" si="4"/>
        <v>-0.19825992501838299</v>
      </c>
      <c r="H47" s="39">
        <f t="shared" si="5"/>
        <v>0</v>
      </c>
      <c r="I47" s="40">
        <f t="shared" si="6"/>
        <v>0</v>
      </c>
      <c r="J47" s="41">
        <f t="shared" si="7"/>
        <v>-7.6665081937709854</v>
      </c>
      <c r="K47" s="176">
        <f t="shared" si="32"/>
        <v>-0.1273712880138449</v>
      </c>
      <c r="L47" s="177">
        <f t="shared" si="18"/>
        <v>-7.6665081937709854</v>
      </c>
      <c r="N47" s="36">
        <v>29</v>
      </c>
      <c r="O47" s="33">
        <f t="shared" si="30"/>
        <v>-0.31198492638919889</v>
      </c>
      <c r="P47" s="42">
        <f t="shared" si="14"/>
        <v>-9.2948732073221425</v>
      </c>
      <c r="Q47" s="37">
        <f>'BATS 2023 TLFD'!Z34</f>
        <v>3.2064071950619788E-3</v>
      </c>
      <c r="R47" s="38">
        <f>modeldata!Y49</f>
        <v>6.6666666666666671E-3</v>
      </c>
      <c r="S47" s="34">
        <f t="shared" si="15"/>
        <v>1.0791703177730059</v>
      </c>
      <c r="T47" s="39">
        <f t="shared" si="8"/>
        <v>0</v>
      </c>
      <c r="U47" s="40">
        <f t="shared" si="9"/>
        <v>0</v>
      </c>
      <c r="V47" s="41">
        <f t="shared" si="19"/>
        <v>-9.2948732073221425</v>
      </c>
      <c r="W47" s="176">
        <f t="shared" si="33"/>
        <v>-0.31198492638919889</v>
      </c>
      <c r="X47" s="42">
        <f t="shared" si="20"/>
        <v>-9.2948732073221425</v>
      </c>
      <c r="Z47" s="36">
        <v>29</v>
      </c>
      <c r="AA47" s="33">
        <f t="shared" si="31"/>
        <v>-0.23755754344668609</v>
      </c>
      <c r="AB47" s="42">
        <f t="shared" si="16"/>
        <v>-9.0005327714747629</v>
      </c>
      <c r="AC47" s="37">
        <f>'BATS 2023 TLFD'!AM34</f>
        <v>0</v>
      </c>
      <c r="AD47" s="38">
        <f>modeldata!AL49</f>
        <v>6.6666666666666671E-3</v>
      </c>
      <c r="AE47" s="34" t="e">
        <f t="shared" si="17"/>
        <v>#DIV/0!</v>
      </c>
      <c r="AF47" s="39" t="e">
        <f t="shared" si="10"/>
        <v>#NUM!</v>
      </c>
      <c r="AG47" s="40" t="e">
        <f t="shared" si="11"/>
        <v>#NUM!</v>
      </c>
      <c r="AH47" s="41" t="e">
        <f t="shared" si="21"/>
        <v>#NUM!</v>
      </c>
      <c r="AI47" s="176">
        <f t="shared" si="34"/>
        <v>-0.12669735650489902</v>
      </c>
      <c r="AJ47" s="42">
        <f t="shared" si="22"/>
        <v>-6.8785670514020891</v>
      </c>
    </row>
    <row r="48" spans="1:36" x14ac:dyDescent="0.2">
      <c r="A48" s="62">
        <f t="shared" si="12"/>
        <v>30.5</v>
      </c>
      <c r="B48" s="44">
        <v>30</v>
      </c>
      <c r="C48" s="45">
        <f t="shared" si="29"/>
        <v>-0.1273712880138449</v>
      </c>
      <c r="D48" s="46">
        <f t="shared" si="13"/>
        <v>-7.7938794817848303</v>
      </c>
      <c r="E48" s="47">
        <f>'BATS 2023 TLFD'!M35</f>
        <v>4.3788075376014193E-3</v>
      </c>
      <c r="F48" s="48">
        <f>modeldata!L50</f>
        <v>6.6666666666666671E-3</v>
      </c>
      <c r="G48" s="49">
        <f t="shared" si="4"/>
        <v>0.52248451420143238</v>
      </c>
      <c r="H48" s="50">
        <f t="shared" si="5"/>
        <v>0</v>
      </c>
      <c r="I48" s="51">
        <f t="shared" si="6"/>
        <v>0</v>
      </c>
      <c r="J48" s="52">
        <f t="shared" si="7"/>
        <v>-7.7938794817848303</v>
      </c>
      <c r="K48" s="178">
        <f t="shared" si="32"/>
        <v>-0.1273712880138449</v>
      </c>
      <c r="L48" s="179">
        <f t="shared" si="18"/>
        <v>-7.7938794817848303</v>
      </c>
      <c r="N48" s="44">
        <v>30</v>
      </c>
      <c r="O48" s="45">
        <f t="shared" si="30"/>
        <v>-0.31198492638919889</v>
      </c>
      <c r="P48" s="46">
        <f t="shared" si="14"/>
        <v>-9.6068581337113415</v>
      </c>
      <c r="Q48" s="47">
        <f>'BATS 2023 TLFD'!Z35</f>
        <v>7.3102185878626171E-4</v>
      </c>
      <c r="R48" s="48">
        <f>modeldata!Y50</f>
        <v>6.6666666666666671E-3</v>
      </c>
      <c r="S48" s="49">
        <f t="shared" si="15"/>
        <v>8.119654339386706</v>
      </c>
      <c r="T48" s="50">
        <f t="shared" si="8"/>
        <v>0</v>
      </c>
      <c r="U48" s="51">
        <f t="shared" si="9"/>
        <v>0</v>
      </c>
      <c r="V48" s="52">
        <f t="shared" si="19"/>
        <v>-9.6068581337113415</v>
      </c>
      <c r="W48" s="178">
        <f t="shared" si="33"/>
        <v>-0.31198492638919889</v>
      </c>
      <c r="X48" s="46">
        <f t="shared" si="20"/>
        <v>-9.6068581337113415</v>
      </c>
      <c r="Z48" s="44">
        <v>30</v>
      </c>
      <c r="AA48" s="45">
        <f t="shared" si="31"/>
        <v>-0.23755754344668609</v>
      </c>
      <c r="AB48" s="46">
        <f t="shared" si="16"/>
        <v>-9.2380903149214486</v>
      </c>
      <c r="AC48" s="47">
        <f>'BATS 2023 TLFD'!AM35</f>
        <v>0</v>
      </c>
      <c r="AD48" s="48">
        <f>modeldata!AL50</f>
        <v>6.6666666666666671E-3</v>
      </c>
      <c r="AE48" s="49" t="e">
        <f t="shared" si="17"/>
        <v>#DIV/0!</v>
      </c>
      <c r="AF48" s="50" t="e">
        <f t="shared" si="10"/>
        <v>#NUM!</v>
      </c>
      <c r="AG48" s="51" t="e">
        <f t="shared" si="11"/>
        <v>#NUM!</v>
      </c>
      <c r="AH48" s="52" t="e">
        <f t="shared" si="21"/>
        <v>#NUM!</v>
      </c>
      <c r="AI48" s="178">
        <f t="shared" si="34"/>
        <v>-0.12669735650489902</v>
      </c>
      <c r="AJ48" s="46">
        <f t="shared" si="22"/>
        <v>-7.0052644079069886</v>
      </c>
    </row>
    <row r="49" spans="1:36" x14ac:dyDescent="0.2">
      <c r="A49" s="62">
        <f t="shared" si="12"/>
        <v>31.5</v>
      </c>
      <c r="B49" s="44">
        <v>31</v>
      </c>
      <c r="C49" s="45">
        <f t="shared" si="29"/>
        <v>-0.1273712880138449</v>
      </c>
      <c r="D49" s="46">
        <f t="shared" si="13"/>
        <v>-7.9212507697986752</v>
      </c>
      <c r="E49" s="47">
        <f>'BATS 2023 TLFD'!M36</f>
        <v>7.0695240706298464E-3</v>
      </c>
      <c r="F49" s="48">
        <f>modeldata!L51</f>
        <v>6.6666666666666671E-3</v>
      </c>
      <c r="G49" s="49">
        <f t="shared" si="4"/>
        <v>-5.6985081306511122E-2</v>
      </c>
      <c r="H49" s="50">
        <f t="shared" si="5"/>
        <v>0</v>
      </c>
      <c r="I49" s="51">
        <f t="shared" si="6"/>
        <v>0</v>
      </c>
      <c r="J49" s="52">
        <f t="shared" si="7"/>
        <v>-7.9212507697986752</v>
      </c>
      <c r="K49" s="178">
        <f t="shared" si="32"/>
        <v>-0.1273712880138449</v>
      </c>
      <c r="L49" s="179">
        <f t="shared" si="18"/>
        <v>-7.9212507697986752</v>
      </c>
      <c r="N49" s="44">
        <v>31</v>
      </c>
      <c r="O49" s="45">
        <f t="shared" si="30"/>
        <v>-0.31198492638919889</v>
      </c>
      <c r="P49" s="46">
        <f t="shared" si="14"/>
        <v>-9.9188430601005404</v>
      </c>
      <c r="Q49" s="47">
        <f>'BATS 2023 TLFD'!Z36</f>
        <v>9.309516492942177E-3</v>
      </c>
      <c r="R49" s="48">
        <f>modeldata!Y51</f>
        <v>6.6666666666666671E-3</v>
      </c>
      <c r="S49" s="49">
        <f t="shared" si="15"/>
        <v>-0.2838869052199578</v>
      </c>
      <c r="T49" s="50">
        <f t="shared" si="8"/>
        <v>0</v>
      </c>
      <c r="U49" s="51">
        <f t="shared" si="9"/>
        <v>0</v>
      </c>
      <c r="V49" s="52">
        <f t="shared" si="19"/>
        <v>-9.9188430601005404</v>
      </c>
      <c r="W49" s="178">
        <f t="shared" si="33"/>
        <v>-0.31198492638919889</v>
      </c>
      <c r="X49" s="46">
        <f t="shared" si="20"/>
        <v>-9.9188430601005404</v>
      </c>
      <c r="Z49" s="44">
        <v>31</v>
      </c>
      <c r="AA49" s="45">
        <f t="shared" si="31"/>
        <v>-0.23755754344668609</v>
      </c>
      <c r="AB49" s="46">
        <f t="shared" si="16"/>
        <v>-9.4756478583681343</v>
      </c>
      <c r="AC49" s="47">
        <f>'BATS 2023 TLFD'!AM36</f>
        <v>0</v>
      </c>
      <c r="AD49" s="48">
        <f>modeldata!AL51</f>
        <v>6.6666666666666671E-3</v>
      </c>
      <c r="AE49" s="49" t="e">
        <f t="shared" si="17"/>
        <v>#DIV/0!</v>
      </c>
      <c r="AF49" s="50" t="e">
        <f t="shared" si="10"/>
        <v>#NUM!</v>
      </c>
      <c r="AG49" s="51" t="e">
        <f t="shared" si="11"/>
        <v>#NUM!</v>
      </c>
      <c r="AH49" s="52" t="e">
        <f t="shared" si="21"/>
        <v>#NUM!</v>
      </c>
      <c r="AI49" s="178">
        <f t="shared" si="34"/>
        <v>-0.12669735650489902</v>
      </c>
      <c r="AJ49" s="46">
        <f t="shared" si="22"/>
        <v>-7.131961764411888</v>
      </c>
    </row>
    <row r="50" spans="1:36" x14ac:dyDescent="0.2">
      <c r="A50" s="62">
        <f t="shared" si="12"/>
        <v>32.5</v>
      </c>
      <c r="B50" s="44">
        <v>32</v>
      </c>
      <c r="C50" s="45">
        <f t="shared" si="29"/>
        <v>-0.1273712880138449</v>
      </c>
      <c r="D50" s="46">
        <f t="shared" si="13"/>
        <v>-8.0486220578125192</v>
      </c>
      <c r="E50" s="47">
        <f>'BATS 2023 TLFD'!M37</f>
        <v>1.4627474847103609E-2</v>
      </c>
      <c r="F50" s="48">
        <f>modeldata!L52</f>
        <v>6.6666666666666671E-3</v>
      </c>
      <c r="G50" s="49">
        <f t="shared" ref="G50:G68" si="35">(F50-E50)/E50</f>
        <v>-0.54423666857395181</v>
      </c>
      <c r="H50" s="50">
        <f t="shared" ref="H50:H68" si="36">damp_work*LN(E50/F50)</f>
        <v>0</v>
      </c>
      <c r="I50" s="51">
        <f t="shared" ref="I50:I68" si="37">H50-H$18</f>
        <v>0</v>
      </c>
      <c r="J50" s="52">
        <f t="shared" ref="J50:J68" si="38">SUM(D50,I50)</f>
        <v>-8.0486220578125192</v>
      </c>
      <c r="K50" s="178">
        <f t="shared" si="32"/>
        <v>-0.1273712880138449</v>
      </c>
      <c r="L50" s="179">
        <f t="shared" si="18"/>
        <v>-8.0486220578125192</v>
      </c>
      <c r="N50" s="44">
        <v>32</v>
      </c>
      <c r="O50" s="45">
        <f t="shared" si="30"/>
        <v>-0.31198492638919889</v>
      </c>
      <c r="P50" s="46">
        <f t="shared" si="14"/>
        <v>-10.230827986489739</v>
      </c>
      <c r="Q50" s="47">
        <f>'BATS 2023 TLFD'!Z37</f>
        <v>7.0114345470827775E-4</v>
      </c>
      <c r="R50" s="48">
        <f>modeldata!Y52</f>
        <v>6.6666666666666671E-3</v>
      </c>
      <c r="S50" s="49">
        <f t="shared" si="15"/>
        <v>8.5082776882520328</v>
      </c>
      <c r="T50" s="50">
        <f t="shared" ref="T50:T68" si="39">damp_university*IF(OR(Q50=0,R50=0),0,LN(Q50/R50))</f>
        <v>0</v>
      </c>
      <c r="U50" s="51">
        <f t="shared" ref="U50:U68" si="40">T50-T$18</f>
        <v>0</v>
      </c>
      <c r="V50" s="52">
        <f t="shared" si="19"/>
        <v>-10.230827986489739</v>
      </c>
      <c r="W50" s="178">
        <f t="shared" si="33"/>
        <v>-0.31198492638919889</v>
      </c>
      <c r="X50" s="46">
        <f t="shared" si="20"/>
        <v>-10.230827986489739</v>
      </c>
      <c r="Z50" s="44">
        <v>32</v>
      </c>
      <c r="AA50" s="45">
        <f t="shared" si="31"/>
        <v>-0.23755754344668609</v>
      </c>
      <c r="AB50" s="46">
        <f t="shared" si="16"/>
        <v>-9.71320540181482</v>
      </c>
      <c r="AC50" s="47">
        <f>'BATS 2023 TLFD'!AM37</f>
        <v>0</v>
      </c>
      <c r="AD50" s="48">
        <f>modeldata!AL52</f>
        <v>6.6666666666666671E-3</v>
      </c>
      <c r="AE50" s="49" t="e">
        <f t="shared" si="17"/>
        <v>#DIV/0!</v>
      </c>
      <c r="AF50" s="50" t="e">
        <f t="shared" ref="AF50:AF68" si="41">damp_school*LN(AC50/AD50)</f>
        <v>#NUM!</v>
      </c>
      <c r="AG50" s="51" t="e">
        <f t="shared" ref="AG50:AG68" si="42">AF50-AF$18</f>
        <v>#NUM!</v>
      </c>
      <c r="AH50" s="52" t="e">
        <f t="shared" si="21"/>
        <v>#NUM!</v>
      </c>
      <c r="AI50" s="178">
        <f t="shared" si="34"/>
        <v>-0.12669735650489902</v>
      </c>
      <c r="AJ50" s="46">
        <f t="shared" si="22"/>
        <v>-7.2586591209167874</v>
      </c>
    </row>
    <row r="51" spans="1:36" x14ac:dyDescent="0.2">
      <c r="A51" s="62">
        <f t="shared" si="12"/>
        <v>33.5</v>
      </c>
      <c r="B51" s="44">
        <v>33</v>
      </c>
      <c r="C51" s="45">
        <f t="shared" si="29"/>
        <v>-0.1273712880138449</v>
      </c>
      <c r="D51" s="46">
        <f t="shared" si="13"/>
        <v>-8.1759933458263632</v>
      </c>
      <c r="E51" s="47">
        <f>'BATS 2023 TLFD'!M38</f>
        <v>7.4427947543646272E-3</v>
      </c>
      <c r="F51" s="48">
        <f>modeldata!L53</f>
        <v>6.6666666666666671E-3</v>
      </c>
      <c r="G51" s="49">
        <f t="shared" si="35"/>
        <v>-0.10427912005000818</v>
      </c>
      <c r="H51" s="50">
        <f t="shared" si="36"/>
        <v>0</v>
      </c>
      <c r="I51" s="51">
        <f t="shared" si="37"/>
        <v>0</v>
      </c>
      <c r="J51" s="52">
        <f t="shared" si="38"/>
        <v>-8.1759933458263632</v>
      </c>
      <c r="K51" s="178">
        <f t="shared" si="32"/>
        <v>-0.1273712880138449</v>
      </c>
      <c r="L51" s="179">
        <f t="shared" si="18"/>
        <v>-8.1759933458263632</v>
      </c>
      <c r="N51" s="44">
        <v>33</v>
      </c>
      <c r="O51" s="45">
        <f t="shared" si="30"/>
        <v>-0.31198492638919889</v>
      </c>
      <c r="P51" s="46">
        <f t="shared" si="14"/>
        <v>-10.542812912878938</v>
      </c>
      <c r="Q51" s="47">
        <f>'BATS 2023 TLFD'!Z38</f>
        <v>0</v>
      </c>
      <c r="R51" s="48">
        <f>modeldata!Y53</f>
        <v>6.6666666666666671E-3</v>
      </c>
      <c r="S51" s="49" t="e">
        <f t="shared" si="15"/>
        <v>#DIV/0!</v>
      </c>
      <c r="T51" s="50">
        <f t="shared" si="39"/>
        <v>0</v>
      </c>
      <c r="U51" s="51">
        <f t="shared" si="40"/>
        <v>0</v>
      </c>
      <c r="V51" s="52">
        <f t="shared" si="19"/>
        <v>-10.542812912878938</v>
      </c>
      <c r="W51" s="178">
        <f t="shared" si="33"/>
        <v>-0.31198492638919889</v>
      </c>
      <c r="X51" s="46">
        <f t="shared" si="20"/>
        <v>-10.542812912878938</v>
      </c>
      <c r="Z51" s="44">
        <v>33</v>
      </c>
      <c r="AA51" s="45">
        <f t="shared" si="31"/>
        <v>-0.23755754344668609</v>
      </c>
      <c r="AB51" s="46">
        <f t="shared" si="16"/>
        <v>-9.9507629452615056</v>
      </c>
      <c r="AC51" s="47">
        <f>'BATS 2023 TLFD'!AM38</f>
        <v>0</v>
      </c>
      <c r="AD51" s="48">
        <f>modeldata!AL53</f>
        <v>6.6666666666666671E-3</v>
      </c>
      <c r="AE51" s="49" t="e">
        <f t="shared" si="17"/>
        <v>#DIV/0!</v>
      </c>
      <c r="AF51" s="50" t="e">
        <f t="shared" si="41"/>
        <v>#NUM!</v>
      </c>
      <c r="AG51" s="51" t="e">
        <f t="shared" si="42"/>
        <v>#NUM!</v>
      </c>
      <c r="AH51" s="52" t="e">
        <f t="shared" si="21"/>
        <v>#NUM!</v>
      </c>
      <c r="AI51" s="178">
        <f t="shared" si="34"/>
        <v>-0.12669735650489902</v>
      </c>
      <c r="AJ51" s="46">
        <f t="shared" si="22"/>
        <v>-7.3853564774216869</v>
      </c>
    </row>
    <row r="52" spans="1:36" x14ac:dyDescent="0.2">
      <c r="A52" s="62">
        <f t="shared" si="12"/>
        <v>34.5</v>
      </c>
      <c r="B52" s="44">
        <v>34</v>
      </c>
      <c r="C52" s="45">
        <f t="shared" si="29"/>
        <v>-0.1273712880138449</v>
      </c>
      <c r="D52" s="46">
        <f t="shared" si="13"/>
        <v>-8.3033646338402072</v>
      </c>
      <c r="E52" s="47">
        <f>'BATS 2023 TLFD'!M39</f>
        <v>1.4859589813130231E-3</v>
      </c>
      <c r="F52" s="48">
        <f>modeldata!L54</f>
        <v>6.6666666666666671E-3</v>
      </c>
      <c r="G52" s="49">
        <f t="shared" si="35"/>
        <v>3.4864405750795804</v>
      </c>
      <c r="H52" s="50">
        <f t="shared" si="36"/>
        <v>0</v>
      </c>
      <c r="I52" s="51">
        <f t="shared" si="37"/>
        <v>0</v>
      </c>
      <c r="J52" s="52">
        <f t="shared" si="38"/>
        <v>-8.3033646338402072</v>
      </c>
      <c r="K52" s="178">
        <f t="shared" si="32"/>
        <v>-0.1273712880138449</v>
      </c>
      <c r="L52" s="179">
        <f t="shared" si="18"/>
        <v>-8.3033646338402072</v>
      </c>
      <c r="N52" s="44">
        <v>34</v>
      </c>
      <c r="O52" s="45">
        <f t="shared" si="30"/>
        <v>-0.31198492638919889</v>
      </c>
      <c r="P52" s="46">
        <f t="shared" si="14"/>
        <v>-10.854797839268137</v>
      </c>
      <c r="Q52" s="47">
        <f>'BATS 2023 TLFD'!Z39</f>
        <v>1.3167262883077527E-2</v>
      </c>
      <c r="R52" s="48">
        <f>modeldata!Y54</f>
        <v>6.6666666666666671E-3</v>
      </c>
      <c r="S52" s="49">
        <f t="shared" si="15"/>
        <v>-0.49369381276387975</v>
      </c>
      <c r="T52" s="50">
        <f t="shared" si="39"/>
        <v>0</v>
      </c>
      <c r="U52" s="51">
        <f t="shared" si="40"/>
        <v>0</v>
      </c>
      <c r="V52" s="52">
        <f t="shared" si="19"/>
        <v>-10.854797839268137</v>
      </c>
      <c r="W52" s="178">
        <f t="shared" si="33"/>
        <v>-0.31198492638919889</v>
      </c>
      <c r="X52" s="46">
        <f t="shared" si="20"/>
        <v>-10.854797839268137</v>
      </c>
      <c r="Z52" s="44">
        <v>34</v>
      </c>
      <c r="AA52" s="45">
        <f t="shared" si="31"/>
        <v>-0.23755754344668609</v>
      </c>
      <c r="AB52" s="46">
        <f t="shared" si="16"/>
        <v>-10.188320488708191</v>
      </c>
      <c r="AC52" s="47">
        <f>'BATS 2023 TLFD'!AM39</f>
        <v>0</v>
      </c>
      <c r="AD52" s="48">
        <f>modeldata!AL54</f>
        <v>6.6666666666666671E-3</v>
      </c>
      <c r="AE52" s="49" t="e">
        <f t="shared" si="17"/>
        <v>#DIV/0!</v>
      </c>
      <c r="AF52" s="50" t="e">
        <f t="shared" si="41"/>
        <v>#NUM!</v>
      </c>
      <c r="AG52" s="51" t="e">
        <f t="shared" si="42"/>
        <v>#NUM!</v>
      </c>
      <c r="AH52" s="52" t="e">
        <f t="shared" si="21"/>
        <v>#NUM!</v>
      </c>
      <c r="AI52" s="178">
        <f t="shared" si="34"/>
        <v>-0.12669735650489902</v>
      </c>
      <c r="AJ52" s="46">
        <f t="shared" si="22"/>
        <v>-7.5120538339265863</v>
      </c>
    </row>
    <row r="53" spans="1:36" x14ac:dyDescent="0.2">
      <c r="A53" s="62">
        <f t="shared" si="12"/>
        <v>35.5</v>
      </c>
      <c r="B53" s="44">
        <v>35</v>
      </c>
      <c r="C53" s="45">
        <f t="shared" si="29"/>
        <v>-0.1273712880138449</v>
      </c>
      <c r="D53" s="46">
        <f t="shared" si="13"/>
        <v>-8.4307359218540512</v>
      </c>
      <c r="E53" s="47">
        <f>'BATS 2023 TLFD'!M40</f>
        <v>4.4444361347499243E-3</v>
      </c>
      <c r="F53" s="48">
        <f>modeldata!L55</f>
        <v>6.6666666666666671E-3</v>
      </c>
      <c r="G53" s="49">
        <f t="shared" si="35"/>
        <v>0.50000280452714418</v>
      </c>
      <c r="H53" s="50">
        <f t="shared" si="36"/>
        <v>0</v>
      </c>
      <c r="I53" s="51">
        <f t="shared" si="37"/>
        <v>0</v>
      </c>
      <c r="J53" s="52">
        <f t="shared" si="38"/>
        <v>-8.4307359218540512</v>
      </c>
      <c r="K53" s="178">
        <f t="shared" si="32"/>
        <v>-0.1273712880138449</v>
      </c>
      <c r="L53" s="179">
        <f t="shared" si="18"/>
        <v>-8.4307359218540512</v>
      </c>
      <c r="N53" s="44">
        <v>35</v>
      </c>
      <c r="O53" s="45">
        <f t="shared" si="30"/>
        <v>-0.31198492638919889</v>
      </c>
      <c r="P53" s="46">
        <f t="shared" si="14"/>
        <v>-11.166782765657336</v>
      </c>
      <c r="Q53" s="47">
        <f>'BATS 2023 TLFD'!Z40</f>
        <v>8.9313689164782217E-3</v>
      </c>
      <c r="R53" s="48">
        <f>modeldata!Y55</f>
        <v>6.6666666666666671E-3</v>
      </c>
      <c r="S53" s="49">
        <f t="shared" si="15"/>
        <v>-0.25356720464577587</v>
      </c>
      <c r="T53" s="50">
        <f t="shared" si="39"/>
        <v>0</v>
      </c>
      <c r="U53" s="51">
        <f t="shared" si="40"/>
        <v>0</v>
      </c>
      <c r="V53" s="52">
        <f t="shared" si="19"/>
        <v>-11.166782765657336</v>
      </c>
      <c r="W53" s="178">
        <f t="shared" si="33"/>
        <v>-0.31198492638919889</v>
      </c>
      <c r="X53" s="46">
        <f t="shared" si="20"/>
        <v>-11.166782765657336</v>
      </c>
      <c r="Z53" s="44">
        <v>35</v>
      </c>
      <c r="AA53" s="45">
        <f t="shared" si="31"/>
        <v>-0.23755754344668609</v>
      </c>
      <c r="AB53" s="46">
        <f t="shared" si="16"/>
        <v>-10.425878032154877</v>
      </c>
      <c r="AC53" s="47">
        <f>'BATS 2023 TLFD'!AM40</f>
        <v>0</v>
      </c>
      <c r="AD53" s="48">
        <f>modeldata!AL55</f>
        <v>6.6666666666666671E-3</v>
      </c>
      <c r="AE53" s="49" t="e">
        <f t="shared" si="17"/>
        <v>#DIV/0!</v>
      </c>
      <c r="AF53" s="50" t="e">
        <f t="shared" si="41"/>
        <v>#NUM!</v>
      </c>
      <c r="AG53" s="51" t="e">
        <f t="shared" si="42"/>
        <v>#NUM!</v>
      </c>
      <c r="AH53" s="52" t="e">
        <f t="shared" si="21"/>
        <v>#NUM!</v>
      </c>
      <c r="AI53" s="178">
        <f t="shared" si="34"/>
        <v>-0.12669735650489902</v>
      </c>
      <c r="AJ53" s="46">
        <f t="shared" si="22"/>
        <v>-7.6387511904314858</v>
      </c>
    </row>
    <row r="54" spans="1:36" x14ac:dyDescent="0.2">
      <c r="A54" s="62">
        <f t="shared" si="12"/>
        <v>36.5</v>
      </c>
      <c r="B54" s="44">
        <v>36</v>
      </c>
      <c r="C54" s="45">
        <f t="shared" si="29"/>
        <v>-0.1273712880138449</v>
      </c>
      <c r="D54" s="46">
        <f t="shared" si="13"/>
        <v>-8.5581072098678952</v>
      </c>
      <c r="E54" s="47">
        <f>'BATS 2023 TLFD'!M41</f>
        <v>3.3447162594287703E-3</v>
      </c>
      <c r="F54" s="48">
        <f>modeldata!L56</f>
        <v>6.6666666666666671E-3</v>
      </c>
      <c r="G54" s="49">
        <f t="shared" si="35"/>
        <v>0.99319348775050909</v>
      </c>
      <c r="H54" s="50">
        <f t="shared" si="36"/>
        <v>0</v>
      </c>
      <c r="I54" s="51">
        <f t="shared" si="37"/>
        <v>0</v>
      </c>
      <c r="J54" s="52">
        <f t="shared" si="38"/>
        <v>-8.5581072098678952</v>
      </c>
      <c r="K54" s="178">
        <f t="shared" si="32"/>
        <v>-0.1273712880138449</v>
      </c>
      <c r="L54" s="179">
        <f t="shared" si="18"/>
        <v>-8.5581072098678952</v>
      </c>
      <c r="N54" s="44">
        <v>36</v>
      </c>
      <c r="O54" s="45">
        <f t="shared" si="30"/>
        <v>-0.31198492638919889</v>
      </c>
      <c r="P54" s="46">
        <f t="shared" si="14"/>
        <v>-11.478767692046535</v>
      </c>
      <c r="Q54" s="47">
        <f>'BATS 2023 TLFD'!Z41</f>
        <v>2.0488466914610677E-3</v>
      </c>
      <c r="R54" s="48">
        <f>modeldata!Y56</f>
        <v>6.6666666666666671E-3</v>
      </c>
      <c r="S54" s="49">
        <f t="shared" si="15"/>
        <v>2.2538631096466042</v>
      </c>
      <c r="T54" s="50">
        <f t="shared" si="39"/>
        <v>0</v>
      </c>
      <c r="U54" s="51">
        <f t="shared" si="40"/>
        <v>0</v>
      </c>
      <c r="V54" s="52">
        <f t="shared" si="19"/>
        <v>-11.478767692046535</v>
      </c>
      <c r="W54" s="178">
        <f t="shared" si="33"/>
        <v>-0.31198492638919889</v>
      </c>
      <c r="X54" s="46">
        <f t="shared" si="20"/>
        <v>-11.478767692046535</v>
      </c>
      <c r="Z54" s="44">
        <v>36</v>
      </c>
      <c r="AA54" s="45">
        <f t="shared" si="31"/>
        <v>-0.23755754344668609</v>
      </c>
      <c r="AB54" s="46">
        <f t="shared" si="16"/>
        <v>-10.663435575601563</v>
      </c>
      <c r="AC54" s="47">
        <f>'BATS 2023 TLFD'!AM41</f>
        <v>1.179728879402539E-3</v>
      </c>
      <c r="AD54" s="48">
        <f>modeldata!AL56</f>
        <v>6.6666666666666671E-3</v>
      </c>
      <c r="AE54" s="49">
        <f t="shared" si="17"/>
        <v>4.6510159097257402</v>
      </c>
      <c r="AF54" s="50">
        <f t="shared" si="41"/>
        <v>0</v>
      </c>
      <c r="AG54" s="51">
        <f t="shared" si="42"/>
        <v>0</v>
      </c>
      <c r="AH54" s="52">
        <f t="shared" si="21"/>
        <v>-10.663435575601563</v>
      </c>
      <c r="AI54" s="178">
        <f t="shared" si="34"/>
        <v>-0.12669735650489902</v>
      </c>
      <c r="AJ54" s="46">
        <f t="shared" si="22"/>
        <v>-7.7654485469363852</v>
      </c>
    </row>
    <row r="55" spans="1:36" x14ac:dyDescent="0.2">
      <c r="A55" s="62">
        <f t="shared" si="12"/>
        <v>37.5</v>
      </c>
      <c r="B55" s="44">
        <v>37</v>
      </c>
      <c r="C55" s="45">
        <f t="shared" si="29"/>
        <v>-0.1273712880138449</v>
      </c>
      <c r="D55" s="46">
        <f t="shared" si="13"/>
        <v>-8.6854784978817392</v>
      </c>
      <c r="E55" s="47">
        <f>'BATS 2023 TLFD'!M42</f>
        <v>4.1873481879105279E-3</v>
      </c>
      <c r="F55" s="48">
        <f>modeldata!L57</f>
        <v>6.6666666666666671E-3</v>
      </c>
      <c r="G55" s="49">
        <f t="shared" si="35"/>
        <v>0.59209752031471508</v>
      </c>
      <c r="H55" s="50">
        <f t="shared" si="36"/>
        <v>0</v>
      </c>
      <c r="I55" s="51">
        <f t="shared" si="37"/>
        <v>0</v>
      </c>
      <c r="J55" s="52">
        <f t="shared" si="38"/>
        <v>-8.6854784978817392</v>
      </c>
      <c r="K55" s="178">
        <f t="shared" si="32"/>
        <v>-0.1273712880138449</v>
      </c>
      <c r="L55" s="179">
        <f t="shared" si="18"/>
        <v>-8.6854784978817392</v>
      </c>
      <c r="N55" s="44">
        <v>37</v>
      </c>
      <c r="O55" s="45">
        <f t="shared" si="30"/>
        <v>-0.31198492638919889</v>
      </c>
      <c r="P55" s="46">
        <f t="shared" si="14"/>
        <v>-11.790752618435734</v>
      </c>
      <c r="Q55" s="47">
        <f>'BATS 2023 TLFD'!Z42</f>
        <v>0</v>
      </c>
      <c r="R55" s="48">
        <f>modeldata!Y57</f>
        <v>6.6666666666666671E-3</v>
      </c>
      <c r="S55" s="49" t="e">
        <f t="shared" si="15"/>
        <v>#DIV/0!</v>
      </c>
      <c r="T55" s="50">
        <f t="shared" si="39"/>
        <v>0</v>
      </c>
      <c r="U55" s="51">
        <f t="shared" si="40"/>
        <v>0</v>
      </c>
      <c r="V55" s="52">
        <f t="shared" si="19"/>
        <v>-11.790752618435734</v>
      </c>
      <c r="W55" s="178">
        <f t="shared" si="33"/>
        <v>-0.31198492638919889</v>
      </c>
      <c r="X55" s="46">
        <f t="shared" si="20"/>
        <v>-11.790752618435734</v>
      </c>
      <c r="Z55" s="44">
        <v>37</v>
      </c>
      <c r="AA55" s="45">
        <f t="shared" si="31"/>
        <v>-0.23755754344668609</v>
      </c>
      <c r="AB55" s="46">
        <f t="shared" si="16"/>
        <v>-10.900993119048248</v>
      </c>
      <c r="AC55" s="47">
        <f>'BATS 2023 TLFD'!AM42</f>
        <v>0</v>
      </c>
      <c r="AD55" s="48">
        <f>modeldata!AL57</f>
        <v>6.6666666666666671E-3</v>
      </c>
      <c r="AE55" s="49" t="e">
        <f t="shared" si="17"/>
        <v>#DIV/0!</v>
      </c>
      <c r="AF55" s="50" t="e">
        <f t="shared" si="41"/>
        <v>#NUM!</v>
      </c>
      <c r="AG55" s="51" t="e">
        <f t="shared" si="42"/>
        <v>#NUM!</v>
      </c>
      <c r="AH55" s="52" t="e">
        <f t="shared" si="21"/>
        <v>#NUM!</v>
      </c>
      <c r="AI55" s="178">
        <f t="shared" si="34"/>
        <v>-0.12669735650489902</v>
      </c>
      <c r="AJ55" s="46">
        <f t="shared" si="22"/>
        <v>-7.8921459034412846</v>
      </c>
    </row>
    <row r="56" spans="1:36" x14ac:dyDescent="0.2">
      <c r="A56" s="62">
        <f t="shared" si="12"/>
        <v>38.5</v>
      </c>
      <c r="B56" s="44">
        <v>38</v>
      </c>
      <c r="C56" s="45">
        <f t="shared" si="29"/>
        <v>-0.1273712880138449</v>
      </c>
      <c r="D56" s="46">
        <f t="shared" si="13"/>
        <v>-8.8128497858955832</v>
      </c>
      <c r="E56" s="47">
        <f>'BATS 2023 TLFD'!M43</f>
        <v>1.6915529590631343E-3</v>
      </c>
      <c r="F56" s="48">
        <f>modeldata!L58</f>
        <v>6.6666666666666671E-3</v>
      </c>
      <c r="G56" s="49">
        <f t="shared" si="35"/>
        <v>2.9411516092047139</v>
      </c>
      <c r="H56" s="50">
        <f t="shared" si="36"/>
        <v>0</v>
      </c>
      <c r="I56" s="51">
        <f t="shared" si="37"/>
        <v>0</v>
      </c>
      <c r="J56" s="52">
        <f t="shared" si="38"/>
        <v>-8.8128497858955832</v>
      </c>
      <c r="K56" s="178">
        <f t="shared" si="32"/>
        <v>-0.1273712880138449</v>
      </c>
      <c r="L56" s="179">
        <f t="shared" si="18"/>
        <v>-8.8128497858955832</v>
      </c>
      <c r="N56" s="44">
        <v>38</v>
      </c>
      <c r="O56" s="45">
        <f t="shared" si="30"/>
        <v>-0.31198492638919889</v>
      </c>
      <c r="P56" s="46">
        <f t="shared" si="14"/>
        <v>-12.102737544824933</v>
      </c>
      <c r="Q56" s="47">
        <f>'BATS 2023 TLFD'!Z43</f>
        <v>0</v>
      </c>
      <c r="R56" s="48">
        <f>modeldata!Y58</f>
        <v>6.6666666666666671E-3</v>
      </c>
      <c r="S56" s="49" t="e">
        <f t="shared" si="15"/>
        <v>#DIV/0!</v>
      </c>
      <c r="T56" s="50">
        <f t="shared" si="39"/>
        <v>0</v>
      </c>
      <c r="U56" s="51">
        <f t="shared" si="40"/>
        <v>0</v>
      </c>
      <c r="V56" s="52">
        <f t="shared" si="19"/>
        <v>-12.102737544824933</v>
      </c>
      <c r="W56" s="178">
        <f t="shared" si="33"/>
        <v>-0.31198492638919889</v>
      </c>
      <c r="X56" s="46">
        <f t="shared" si="20"/>
        <v>-12.102737544824933</v>
      </c>
      <c r="Z56" s="44">
        <v>38</v>
      </c>
      <c r="AA56" s="45">
        <f t="shared" si="31"/>
        <v>-0.23755754344668609</v>
      </c>
      <c r="AB56" s="46">
        <f t="shared" si="16"/>
        <v>-11.138550662494934</v>
      </c>
      <c r="AC56" s="47">
        <f>'BATS 2023 TLFD'!AM43</f>
        <v>0</v>
      </c>
      <c r="AD56" s="48">
        <f>modeldata!AL58</f>
        <v>6.6666666666666671E-3</v>
      </c>
      <c r="AE56" s="49" t="e">
        <f t="shared" si="17"/>
        <v>#DIV/0!</v>
      </c>
      <c r="AF56" s="50" t="e">
        <f t="shared" si="41"/>
        <v>#NUM!</v>
      </c>
      <c r="AG56" s="51" t="e">
        <f t="shared" si="42"/>
        <v>#NUM!</v>
      </c>
      <c r="AH56" s="52" t="e">
        <f t="shared" si="21"/>
        <v>#NUM!</v>
      </c>
      <c r="AI56" s="178">
        <f t="shared" si="34"/>
        <v>-0.12669735650489902</v>
      </c>
      <c r="AJ56" s="46">
        <f t="shared" si="22"/>
        <v>-8.0188432599461841</v>
      </c>
    </row>
    <row r="57" spans="1:36" x14ac:dyDescent="0.2">
      <c r="A57" s="62">
        <f t="shared" si="12"/>
        <v>39.5</v>
      </c>
      <c r="B57" s="44">
        <v>39</v>
      </c>
      <c r="C57" s="45">
        <f t="shared" si="29"/>
        <v>-0.1273712880138449</v>
      </c>
      <c r="D57" s="46">
        <f t="shared" si="13"/>
        <v>-8.9402210739094272</v>
      </c>
      <c r="E57" s="47">
        <f>'BATS 2023 TLFD'!M44</f>
        <v>3.394547232588772E-3</v>
      </c>
      <c r="F57" s="48">
        <f>modeldata!L59</f>
        <v>6.6666666666666671E-3</v>
      </c>
      <c r="G57" s="49">
        <f t="shared" si="35"/>
        <v>0.96393398290778531</v>
      </c>
      <c r="H57" s="50">
        <f t="shared" si="36"/>
        <v>0</v>
      </c>
      <c r="I57" s="51">
        <f t="shared" si="37"/>
        <v>0</v>
      </c>
      <c r="J57" s="52">
        <f t="shared" si="38"/>
        <v>-8.9402210739094272</v>
      </c>
      <c r="K57" s="178">
        <f t="shared" si="32"/>
        <v>-0.1273712880138449</v>
      </c>
      <c r="L57" s="179">
        <f t="shared" si="18"/>
        <v>-8.9402210739094272</v>
      </c>
      <c r="N57" s="44">
        <v>39</v>
      </c>
      <c r="O57" s="45">
        <f t="shared" si="30"/>
        <v>-0.31198492638919889</v>
      </c>
      <c r="P57" s="46">
        <f t="shared" si="14"/>
        <v>-12.414722471214132</v>
      </c>
      <c r="Q57" s="47">
        <f>'BATS 2023 TLFD'!Z44</f>
        <v>9.0590907533721454E-4</v>
      </c>
      <c r="R57" s="48">
        <f>modeldata!Y59</f>
        <v>6.6666666666666671E-3</v>
      </c>
      <c r="S57" s="49">
        <f t="shared" si="15"/>
        <v>6.3590902753513916</v>
      </c>
      <c r="T57" s="50">
        <f t="shared" si="39"/>
        <v>0</v>
      </c>
      <c r="U57" s="51">
        <f t="shared" si="40"/>
        <v>0</v>
      </c>
      <c r="V57" s="52">
        <f t="shared" si="19"/>
        <v>-12.414722471214132</v>
      </c>
      <c r="W57" s="178">
        <f t="shared" si="33"/>
        <v>-0.31198492638919889</v>
      </c>
      <c r="X57" s="46">
        <f t="shared" si="20"/>
        <v>-12.414722471214132</v>
      </c>
      <c r="Z57" s="44">
        <v>39</v>
      </c>
      <c r="AA57" s="45">
        <f t="shared" si="31"/>
        <v>-0.23755754344668609</v>
      </c>
      <c r="AB57" s="46">
        <f t="shared" si="16"/>
        <v>-11.37610820594162</v>
      </c>
      <c r="AC57" s="47">
        <f>'BATS 2023 TLFD'!AM44</f>
        <v>0</v>
      </c>
      <c r="AD57" s="48">
        <f>modeldata!AL59</f>
        <v>6.6666666666666671E-3</v>
      </c>
      <c r="AE57" s="49" t="e">
        <f t="shared" si="17"/>
        <v>#DIV/0!</v>
      </c>
      <c r="AF57" s="50" t="e">
        <f t="shared" si="41"/>
        <v>#NUM!</v>
      </c>
      <c r="AG57" s="51" t="e">
        <f t="shared" si="42"/>
        <v>#NUM!</v>
      </c>
      <c r="AH57" s="52" t="e">
        <f t="shared" si="21"/>
        <v>#NUM!</v>
      </c>
      <c r="AI57" s="178">
        <f t="shared" si="34"/>
        <v>-0.12669735650489902</v>
      </c>
      <c r="AJ57" s="46">
        <f t="shared" si="22"/>
        <v>-8.1455406164510826</v>
      </c>
    </row>
    <row r="58" spans="1:36" x14ac:dyDescent="0.2">
      <c r="A58" s="62">
        <f t="shared" si="12"/>
        <v>40.5</v>
      </c>
      <c r="B58" s="44">
        <v>40</v>
      </c>
      <c r="C58" s="45">
        <f t="shared" si="29"/>
        <v>-0.1273712880138449</v>
      </c>
      <c r="D58" s="46">
        <f t="shared" si="13"/>
        <v>-9.0675923619232712</v>
      </c>
      <c r="E58" s="47">
        <f>'BATS 2023 TLFD'!M45</f>
        <v>3.7398964175409232E-3</v>
      </c>
      <c r="F58" s="48">
        <f>modeldata!L60</f>
        <v>6.6666666666666671E-3</v>
      </c>
      <c r="G58" s="49">
        <f t="shared" si="35"/>
        <v>0.78258056437032808</v>
      </c>
      <c r="H58" s="50">
        <f t="shared" si="36"/>
        <v>0</v>
      </c>
      <c r="I58" s="51">
        <f t="shared" si="37"/>
        <v>0</v>
      </c>
      <c r="J58" s="52">
        <f t="shared" si="38"/>
        <v>-9.0675923619232712</v>
      </c>
      <c r="K58" s="178">
        <f t="shared" si="32"/>
        <v>-0.1273712880138449</v>
      </c>
      <c r="L58" s="179">
        <f t="shared" si="18"/>
        <v>-9.0675923619232712</v>
      </c>
      <c r="N58" s="44">
        <v>40</v>
      </c>
      <c r="O58" s="45">
        <f t="shared" si="30"/>
        <v>-0.31198492638919889</v>
      </c>
      <c r="P58" s="46">
        <f t="shared" si="14"/>
        <v>-12.726707397603331</v>
      </c>
      <c r="Q58" s="47">
        <f>'BATS 2023 TLFD'!Z45</f>
        <v>4.7984213169721489E-4</v>
      </c>
      <c r="R58" s="48">
        <f>modeldata!Y60</f>
        <v>6.6666666666666671E-3</v>
      </c>
      <c r="S58" s="49">
        <f t="shared" si="15"/>
        <v>12.893458340322228</v>
      </c>
      <c r="T58" s="50">
        <f t="shared" si="39"/>
        <v>0</v>
      </c>
      <c r="U58" s="51">
        <f t="shared" si="40"/>
        <v>0</v>
      </c>
      <c r="V58" s="52">
        <f t="shared" si="19"/>
        <v>-12.726707397603331</v>
      </c>
      <c r="W58" s="178">
        <f t="shared" si="33"/>
        <v>-0.31198492638919889</v>
      </c>
      <c r="X58" s="46">
        <f t="shared" si="20"/>
        <v>-12.726707397603331</v>
      </c>
      <c r="Z58" s="44">
        <v>40</v>
      </c>
      <c r="AA58" s="45">
        <f t="shared" si="31"/>
        <v>-0.23755754344668609</v>
      </c>
      <c r="AB58" s="46">
        <f t="shared" si="16"/>
        <v>-11.613665749388305</v>
      </c>
      <c r="AC58" s="47">
        <f>'BATS 2023 TLFD'!AM45</f>
        <v>0</v>
      </c>
      <c r="AD58" s="48">
        <f>modeldata!AL60</f>
        <v>6.6666666666666671E-3</v>
      </c>
      <c r="AE58" s="49" t="e">
        <f t="shared" si="17"/>
        <v>#DIV/0!</v>
      </c>
      <c r="AF58" s="50" t="e">
        <f t="shared" si="41"/>
        <v>#NUM!</v>
      </c>
      <c r="AG58" s="51" t="e">
        <f t="shared" si="42"/>
        <v>#NUM!</v>
      </c>
      <c r="AH58" s="52" t="e">
        <f t="shared" si="21"/>
        <v>#NUM!</v>
      </c>
      <c r="AI58" s="178">
        <f t="shared" si="34"/>
        <v>-0.12669735650489902</v>
      </c>
      <c r="AJ58" s="46">
        <f t="shared" si="22"/>
        <v>-8.2722379729559812</v>
      </c>
    </row>
    <row r="59" spans="1:36" x14ac:dyDescent="0.2">
      <c r="A59" s="62">
        <f t="shared" si="12"/>
        <v>41.5</v>
      </c>
      <c r="B59" s="44">
        <v>41</v>
      </c>
      <c r="C59" s="45">
        <f t="shared" si="29"/>
        <v>-0.1273712880138449</v>
      </c>
      <c r="D59" s="46">
        <f t="shared" si="13"/>
        <v>-9.1949636499371152</v>
      </c>
      <c r="E59" s="47">
        <f>'BATS 2023 TLFD'!M46</f>
        <v>6.0855456308226861E-3</v>
      </c>
      <c r="F59" s="48">
        <f>modeldata!L61</f>
        <v>6.6666666666666671E-3</v>
      </c>
      <c r="G59" s="49">
        <f t="shared" si="35"/>
        <v>9.5492018480752242E-2</v>
      </c>
      <c r="H59" s="50">
        <f t="shared" si="36"/>
        <v>0</v>
      </c>
      <c r="I59" s="51">
        <f t="shared" si="37"/>
        <v>0</v>
      </c>
      <c r="J59" s="52">
        <f t="shared" si="38"/>
        <v>-9.1949636499371152</v>
      </c>
      <c r="K59" s="178">
        <f t="shared" si="32"/>
        <v>-0.1273712880138449</v>
      </c>
      <c r="L59" s="179">
        <f t="shared" si="18"/>
        <v>-9.1949636499371152</v>
      </c>
      <c r="N59" s="44">
        <v>41</v>
      </c>
      <c r="O59" s="45">
        <f t="shared" si="30"/>
        <v>-0.31198492638919889</v>
      </c>
      <c r="P59" s="46">
        <f t="shared" si="14"/>
        <v>-13.03869232399253</v>
      </c>
      <c r="Q59" s="47">
        <f>'BATS 2023 TLFD'!Z46</f>
        <v>3.6517918420459074E-4</v>
      </c>
      <c r="R59" s="48">
        <f>modeldata!Y61</f>
        <v>6.6666666666666671E-3</v>
      </c>
      <c r="S59" s="49">
        <f t="shared" si="15"/>
        <v>17.255878086774199</v>
      </c>
      <c r="T59" s="50">
        <f t="shared" si="39"/>
        <v>0</v>
      </c>
      <c r="U59" s="51">
        <f t="shared" si="40"/>
        <v>0</v>
      </c>
      <c r="V59" s="52">
        <f t="shared" si="19"/>
        <v>-13.03869232399253</v>
      </c>
      <c r="W59" s="178">
        <f t="shared" si="33"/>
        <v>-0.31198492638919889</v>
      </c>
      <c r="X59" s="46">
        <f t="shared" si="20"/>
        <v>-13.03869232399253</v>
      </c>
      <c r="Z59" s="44">
        <v>41</v>
      </c>
      <c r="AA59" s="45">
        <f t="shared" si="31"/>
        <v>-0.23755754344668609</v>
      </c>
      <c r="AB59" s="46">
        <f t="shared" si="16"/>
        <v>-11.851223292834991</v>
      </c>
      <c r="AC59" s="47">
        <f>'BATS 2023 TLFD'!AM46</f>
        <v>0</v>
      </c>
      <c r="AD59" s="48">
        <f>modeldata!AL61</f>
        <v>6.6666666666666671E-3</v>
      </c>
      <c r="AE59" s="49" t="e">
        <f t="shared" si="17"/>
        <v>#DIV/0!</v>
      </c>
      <c r="AF59" s="50" t="e">
        <f t="shared" si="41"/>
        <v>#NUM!</v>
      </c>
      <c r="AG59" s="51" t="e">
        <f t="shared" si="42"/>
        <v>#NUM!</v>
      </c>
      <c r="AH59" s="52" t="e">
        <f t="shared" si="21"/>
        <v>#NUM!</v>
      </c>
      <c r="AI59" s="178">
        <f t="shared" si="34"/>
        <v>-0.12669735650489902</v>
      </c>
      <c r="AJ59" s="46">
        <f t="shared" si="22"/>
        <v>-8.3989353294608797</v>
      </c>
    </row>
    <row r="60" spans="1:36" x14ac:dyDescent="0.2">
      <c r="A60" s="62">
        <f t="shared" si="12"/>
        <v>42.5</v>
      </c>
      <c r="B60" s="44">
        <v>42</v>
      </c>
      <c r="C60" s="45">
        <f t="shared" si="29"/>
        <v>-0.1273712880138449</v>
      </c>
      <c r="D60" s="46">
        <f t="shared" si="13"/>
        <v>-9.3223349379509592</v>
      </c>
      <c r="E60" s="47">
        <f>'BATS 2023 TLFD'!M47</f>
        <v>3.8383667784420449E-3</v>
      </c>
      <c r="F60" s="48">
        <f>modeldata!L62</f>
        <v>6.6666666666666671E-3</v>
      </c>
      <c r="G60" s="49">
        <f t="shared" si="35"/>
        <v>0.73684982480298589</v>
      </c>
      <c r="H60" s="50">
        <f t="shared" si="36"/>
        <v>0</v>
      </c>
      <c r="I60" s="51">
        <f t="shared" si="37"/>
        <v>0</v>
      </c>
      <c r="J60" s="52">
        <f t="shared" si="38"/>
        <v>-9.3223349379509592</v>
      </c>
      <c r="K60" s="178">
        <f t="shared" si="32"/>
        <v>-0.1273712880138449</v>
      </c>
      <c r="L60" s="179">
        <f t="shared" si="18"/>
        <v>-9.3223349379509592</v>
      </c>
      <c r="N60" s="44">
        <v>42</v>
      </c>
      <c r="O60" s="45">
        <f t="shared" si="30"/>
        <v>-0.31198492638919889</v>
      </c>
      <c r="P60" s="46">
        <f t="shared" si="14"/>
        <v>-13.350677250381729</v>
      </c>
      <c r="Q60" s="47">
        <f>'BATS 2023 TLFD'!Z47</f>
        <v>0</v>
      </c>
      <c r="R60" s="48">
        <f>modeldata!Y62</f>
        <v>6.6666666666666671E-3</v>
      </c>
      <c r="S60" s="49" t="e">
        <f t="shared" si="15"/>
        <v>#DIV/0!</v>
      </c>
      <c r="T60" s="50">
        <f t="shared" si="39"/>
        <v>0</v>
      </c>
      <c r="U60" s="51">
        <f t="shared" si="40"/>
        <v>0</v>
      </c>
      <c r="V60" s="52">
        <f t="shared" si="19"/>
        <v>-13.350677250381729</v>
      </c>
      <c r="W60" s="178">
        <f t="shared" si="33"/>
        <v>-0.31198492638919889</v>
      </c>
      <c r="X60" s="46">
        <f t="shared" si="20"/>
        <v>-13.350677250381729</v>
      </c>
      <c r="Z60" s="44">
        <v>42</v>
      </c>
      <c r="AA60" s="45">
        <f t="shared" si="31"/>
        <v>-0.23755754344668609</v>
      </c>
      <c r="AB60" s="46">
        <f t="shared" si="16"/>
        <v>-12.088780836281677</v>
      </c>
      <c r="AC60" s="47">
        <f>'BATS 2023 TLFD'!AM47</f>
        <v>0</v>
      </c>
      <c r="AD60" s="48">
        <f>modeldata!AL62</f>
        <v>6.6666666666666671E-3</v>
      </c>
      <c r="AE60" s="49" t="e">
        <f t="shared" si="17"/>
        <v>#DIV/0!</v>
      </c>
      <c r="AF60" s="50" t="e">
        <f t="shared" si="41"/>
        <v>#NUM!</v>
      </c>
      <c r="AG60" s="51" t="e">
        <f t="shared" si="42"/>
        <v>#NUM!</v>
      </c>
      <c r="AH60" s="52" t="e">
        <f t="shared" si="21"/>
        <v>#NUM!</v>
      </c>
      <c r="AI60" s="178">
        <f t="shared" si="34"/>
        <v>-0.12669735650489902</v>
      </c>
      <c r="AJ60" s="46">
        <f t="shared" si="22"/>
        <v>-8.5256326859657783</v>
      </c>
    </row>
    <row r="61" spans="1:36" x14ac:dyDescent="0.2">
      <c r="A61" s="62">
        <f t="shared" si="12"/>
        <v>43.5</v>
      </c>
      <c r="B61" s="44">
        <v>43</v>
      </c>
      <c r="C61" s="45">
        <f t="shared" si="29"/>
        <v>-0.1273712880138449</v>
      </c>
      <c r="D61" s="46">
        <f t="shared" si="13"/>
        <v>-9.4497062259648033</v>
      </c>
      <c r="E61" s="47">
        <f>'BATS 2023 TLFD'!M48</f>
        <v>2.8579898782259763E-3</v>
      </c>
      <c r="F61" s="48">
        <f>modeldata!L63</f>
        <v>6.6666666666666671E-3</v>
      </c>
      <c r="G61" s="49">
        <f t="shared" si="35"/>
        <v>1.3326418044576243</v>
      </c>
      <c r="H61" s="50">
        <f t="shared" si="36"/>
        <v>0</v>
      </c>
      <c r="I61" s="51">
        <f t="shared" si="37"/>
        <v>0</v>
      </c>
      <c r="J61" s="52">
        <f t="shared" si="38"/>
        <v>-9.4497062259648033</v>
      </c>
      <c r="K61" s="178">
        <f t="shared" si="32"/>
        <v>-0.1273712880138449</v>
      </c>
      <c r="L61" s="179">
        <f t="shared" si="18"/>
        <v>-9.4497062259648033</v>
      </c>
      <c r="N61" s="44">
        <v>43</v>
      </c>
      <c r="O61" s="45">
        <f t="shared" si="30"/>
        <v>-0.31198492638919889</v>
      </c>
      <c r="P61" s="46">
        <f t="shared" si="14"/>
        <v>-13.662662176770928</v>
      </c>
      <c r="Q61" s="47">
        <f>'BATS 2023 TLFD'!Z48</f>
        <v>0</v>
      </c>
      <c r="R61" s="48">
        <f>modeldata!Y63</f>
        <v>6.6666666666666671E-3</v>
      </c>
      <c r="S61" s="49" t="e">
        <f t="shared" si="15"/>
        <v>#DIV/0!</v>
      </c>
      <c r="T61" s="50">
        <f t="shared" si="39"/>
        <v>0</v>
      </c>
      <c r="U61" s="51">
        <f t="shared" si="40"/>
        <v>0</v>
      </c>
      <c r="V61" s="52">
        <f t="shared" si="19"/>
        <v>-13.662662176770928</v>
      </c>
      <c r="W61" s="178">
        <f t="shared" si="33"/>
        <v>-0.31198492638919889</v>
      </c>
      <c r="X61" s="46">
        <f t="shared" si="20"/>
        <v>-13.662662176770928</v>
      </c>
      <c r="Z61" s="44">
        <v>43</v>
      </c>
      <c r="AA61" s="45">
        <f t="shared" si="31"/>
        <v>-0.23755754344668609</v>
      </c>
      <c r="AB61" s="46">
        <f t="shared" si="16"/>
        <v>-12.326338379728362</v>
      </c>
      <c r="AC61" s="47">
        <f>'BATS 2023 TLFD'!AM48</f>
        <v>0</v>
      </c>
      <c r="AD61" s="48">
        <f>modeldata!AL63</f>
        <v>6.6666666666666671E-3</v>
      </c>
      <c r="AE61" s="49" t="e">
        <f t="shared" si="17"/>
        <v>#DIV/0!</v>
      </c>
      <c r="AF61" s="50" t="e">
        <f t="shared" si="41"/>
        <v>#NUM!</v>
      </c>
      <c r="AG61" s="51" t="e">
        <f t="shared" si="42"/>
        <v>#NUM!</v>
      </c>
      <c r="AH61" s="52" t="e">
        <f t="shared" si="21"/>
        <v>#NUM!</v>
      </c>
      <c r="AI61" s="178">
        <f t="shared" si="34"/>
        <v>-0.12669735650489902</v>
      </c>
      <c r="AJ61" s="46">
        <f t="shared" si="22"/>
        <v>-8.6523300424706768</v>
      </c>
    </row>
    <row r="62" spans="1:36" x14ac:dyDescent="0.2">
      <c r="A62" s="62">
        <f t="shared" si="12"/>
        <v>44.5</v>
      </c>
      <c r="B62" s="44">
        <v>44</v>
      </c>
      <c r="C62" s="45">
        <f t="shared" si="29"/>
        <v>-0.1273712880138449</v>
      </c>
      <c r="D62" s="46">
        <f t="shared" si="13"/>
        <v>-9.5770775139786473</v>
      </c>
      <c r="E62" s="47">
        <f>'BATS 2023 TLFD'!M49</f>
        <v>2.0722119458455E-3</v>
      </c>
      <c r="F62" s="48">
        <f>modeldata!L64</f>
        <v>6.6666666666666671E-3</v>
      </c>
      <c r="G62" s="49">
        <f t="shared" si="35"/>
        <v>2.2171741312622086</v>
      </c>
      <c r="H62" s="50">
        <f t="shared" si="36"/>
        <v>0</v>
      </c>
      <c r="I62" s="51">
        <f t="shared" si="37"/>
        <v>0</v>
      </c>
      <c r="J62" s="52">
        <f t="shared" si="38"/>
        <v>-9.5770775139786473</v>
      </c>
      <c r="K62" s="178">
        <f t="shared" si="32"/>
        <v>-0.1273712880138449</v>
      </c>
      <c r="L62" s="179">
        <f t="shared" si="18"/>
        <v>-9.5770775139786473</v>
      </c>
      <c r="N62" s="44">
        <v>44</v>
      </c>
      <c r="O62" s="45">
        <f t="shared" si="30"/>
        <v>-0.31198492638919889</v>
      </c>
      <c r="P62" s="46">
        <f t="shared" si="14"/>
        <v>-13.974647103160127</v>
      </c>
      <c r="Q62" s="47">
        <f>'BATS 2023 TLFD'!Z49</f>
        <v>0</v>
      </c>
      <c r="R62" s="48">
        <f>modeldata!Y64</f>
        <v>6.6666666666666671E-3</v>
      </c>
      <c r="S62" s="49" t="e">
        <f t="shared" si="15"/>
        <v>#DIV/0!</v>
      </c>
      <c r="T62" s="50">
        <f t="shared" si="39"/>
        <v>0</v>
      </c>
      <c r="U62" s="51">
        <f t="shared" si="40"/>
        <v>0</v>
      </c>
      <c r="V62" s="52">
        <f t="shared" si="19"/>
        <v>-13.974647103160127</v>
      </c>
      <c r="W62" s="178">
        <f t="shared" si="33"/>
        <v>-0.31198492638919889</v>
      </c>
      <c r="X62" s="46">
        <f t="shared" si="20"/>
        <v>-13.974647103160127</v>
      </c>
      <c r="Z62" s="44">
        <v>44</v>
      </c>
      <c r="AA62" s="45">
        <f t="shared" si="31"/>
        <v>-0.23755754344668609</v>
      </c>
      <c r="AB62" s="46">
        <f t="shared" si="16"/>
        <v>-12.563895923175048</v>
      </c>
      <c r="AC62" s="47">
        <f>'BATS 2023 TLFD'!AM49</f>
        <v>0</v>
      </c>
      <c r="AD62" s="48">
        <f>modeldata!AL64</f>
        <v>6.6666666666666671E-3</v>
      </c>
      <c r="AE62" s="49" t="e">
        <f t="shared" si="17"/>
        <v>#DIV/0!</v>
      </c>
      <c r="AF62" s="50" t="e">
        <f t="shared" si="41"/>
        <v>#NUM!</v>
      </c>
      <c r="AG62" s="51" t="e">
        <f t="shared" si="42"/>
        <v>#NUM!</v>
      </c>
      <c r="AH62" s="52" t="e">
        <f t="shared" si="21"/>
        <v>#NUM!</v>
      </c>
      <c r="AI62" s="178">
        <f t="shared" si="34"/>
        <v>-0.12669735650489902</v>
      </c>
      <c r="AJ62" s="46">
        <f t="shared" si="22"/>
        <v>-8.7790273989755754</v>
      </c>
    </row>
    <row r="63" spans="1:36" x14ac:dyDescent="0.2">
      <c r="A63" s="62">
        <f t="shared" si="12"/>
        <v>45.5</v>
      </c>
      <c r="B63" s="44">
        <v>45</v>
      </c>
      <c r="C63" s="45">
        <f t="shared" si="29"/>
        <v>-0.1273712880138449</v>
      </c>
      <c r="D63" s="46">
        <f t="shared" si="13"/>
        <v>-9.7044488019924913</v>
      </c>
      <c r="E63" s="47">
        <f>'BATS 2023 TLFD'!M50</f>
        <v>3.9261793551087863E-3</v>
      </c>
      <c r="F63" s="48">
        <f>modeldata!L65</f>
        <v>6.6666666666666671E-3</v>
      </c>
      <c r="G63" s="49">
        <f t="shared" si="35"/>
        <v>0.69800359680255808</v>
      </c>
      <c r="H63" s="50">
        <f t="shared" si="36"/>
        <v>0</v>
      </c>
      <c r="I63" s="51">
        <f t="shared" si="37"/>
        <v>0</v>
      </c>
      <c r="J63" s="52">
        <f t="shared" si="38"/>
        <v>-9.7044488019924913</v>
      </c>
      <c r="K63" s="178">
        <f t="shared" si="32"/>
        <v>-0.1273712880138449</v>
      </c>
      <c r="L63" s="179">
        <f t="shared" si="18"/>
        <v>-9.7044488019924913</v>
      </c>
      <c r="N63" s="44">
        <v>45</v>
      </c>
      <c r="O63" s="45">
        <f t="shared" si="30"/>
        <v>-0.31198492638919889</v>
      </c>
      <c r="P63" s="46">
        <f t="shared" si="14"/>
        <v>-14.286632029549326</v>
      </c>
      <c r="Q63" s="47">
        <f>'BATS 2023 TLFD'!Z50</f>
        <v>3.3316592760481221E-3</v>
      </c>
      <c r="R63" s="48">
        <f>modeldata!Y65</f>
        <v>6.6666666666666671E-3</v>
      </c>
      <c r="S63" s="49">
        <f t="shared" si="15"/>
        <v>1.0010049390687976</v>
      </c>
      <c r="T63" s="50">
        <f t="shared" si="39"/>
        <v>0</v>
      </c>
      <c r="U63" s="51">
        <f t="shared" si="40"/>
        <v>0</v>
      </c>
      <c r="V63" s="52">
        <f t="shared" si="19"/>
        <v>-14.286632029549326</v>
      </c>
      <c r="W63" s="178">
        <f t="shared" si="33"/>
        <v>-0.31198492638919889</v>
      </c>
      <c r="X63" s="46">
        <f t="shared" si="20"/>
        <v>-14.286632029549326</v>
      </c>
      <c r="Z63" s="44">
        <v>45</v>
      </c>
      <c r="AA63" s="45">
        <f t="shared" si="31"/>
        <v>-0.23755754344668609</v>
      </c>
      <c r="AB63" s="46">
        <f t="shared" si="16"/>
        <v>-12.801453466621734</v>
      </c>
      <c r="AC63" s="47">
        <f>'BATS 2023 TLFD'!AM50</f>
        <v>0</v>
      </c>
      <c r="AD63" s="48">
        <f>modeldata!AL65</f>
        <v>6.6666666666666671E-3</v>
      </c>
      <c r="AE63" s="49" t="e">
        <f t="shared" si="17"/>
        <v>#DIV/0!</v>
      </c>
      <c r="AF63" s="50" t="e">
        <f t="shared" si="41"/>
        <v>#NUM!</v>
      </c>
      <c r="AG63" s="51" t="e">
        <f t="shared" si="42"/>
        <v>#NUM!</v>
      </c>
      <c r="AH63" s="52" t="e">
        <f t="shared" si="21"/>
        <v>#NUM!</v>
      </c>
      <c r="AI63" s="178">
        <f t="shared" si="34"/>
        <v>-0.12669735650489902</v>
      </c>
      <c r="AJ63" s="46">
        <f t="shared" si="22"/>
        <v>-8.9057247554804739</v>
      </c>
    </row>
    <row r="64" spans="1:36" x14ac:dyDescent="0.2">
      <c r="A64" s="62">
        <f t="shared" si="12"/>
        <v>46.5</v>
      </c>
      <c r="B64" s="44">
        <v>46</v>
      </c>
      <c r="C64" s="45">
        <f t="shared" si="29"/>
        <v>-0.1273712880138449</v>
      </c>
      <c r="D64" s="46">
        <f t="shared" si="13"/>
        <v>-9.8318200900063353</v>
      </c>
      <c r="E64" s="47">
        <f>'BATS 2023 TLFD'!M51</f>
        <v>2.7931253995115276E-3</v>
      </c>
      <c r="F64" s="48">
        <f>modeldata!L66</f>
        <v>6.6666666666666671E-3</v>
      </c>
      <c r="G64" s="49">
        <f t="shared" si="35"/>
        <v>1.3868125175592041</v>
      </c>
      <c r="H64" s="50">
        <f t="shared" si="36"/>
        <v>0</v>
      </c>
      <c r="I64" s="51">
        <f t="shared" si="37"/>
        <v>0</v>
      </c>
      <c r="J64" s="52">
        <f t="shared" si="38"/>
        <v>-9.8318200900063353</v>
      </c>
      <c r="K64" s="178">
        <f t="shared" si="32"/>
        <v>-0.1273712880138449</v>
      </c>
      <c r="L64" s="179">
        <f t="shared" si="18"/>
        <v>-9.8318200900063353</v>
      </c>
      <c r="N64" s="44">
        <v>46</v>
      </c>
      <c r="O64" s="45">
        <f t="shared" si="30"/>
        <v>-0.31198492638919889</v>
      </c>
      <c r="P64" s="46">
        <f t="shared" si="14"/>
        <v>-14.598616955938525</v>
      </c>
      <c r="Q64" s="47">
        <f>'BATS 2023 TLFD'!Z51</f>
        <v>0</v>
      </c>
      <c r="R64" s="48">
        <f>modeldata!Y66</f>
        <v>6.6666666666666671E-3</v>
      </c>
      <c r="S64" s="49" t="e">
        <f t="shared" si="15"/>
        <v>#DIV/0!</v>
      </c>
      <c r="T64" s="50">
        <f t="shared" si="39"/>
        <v>0</v>
      </c>
      <c r="U64" s="51">
        <f t="shared" si="40"/>
        <v>0</v>
      </c>
      <c r="V64" s="52">
        <f t="shared" si="19"/>
        <v>-14.598616955938525</v>
      </c>
      <c r="W64" s="178">
        <f t="shared" si="33"/>
        <v>-0.31198492638919889</v>
      </c>
      <c r="X64" s="46">
        <f t="shared" si="20"/>
        <v>-14.598616955938525</v>
      </c>
      <c r="Z64" s="44">
        <v>46</v>
      </c>
      <c r="AA64" s="45">
        <f t="shared" si="31"/>
        <v>-0.23755754344668609</v>
      </c>
      <c r="AB64" s="46">
        <f t="shared" si="16"/>
        <v>-13.039011010068419</v>
      </c>
      <c r="AC64" s="47">
        <f>'BATS 2023 TLFD'!AM51</f>
        <v>0</v>
      </c>
      <c r="AD64" s="48">
        <f>modeldata!AL66</f>
        <v>6.6666666666666671E-3</v>
      </c>
      <c r="AE64" s="49" t="e">
        <f t="shared" si="17"/>
        <v>#DIV/0!</v>
      </c>
      <c r="AF64" s="50" t="e">
        <f t="shared" si="41"/>
        <v>#NUM!</v>
      </c>
      <c r="AG64" s="51" t="e">
        <f t="shared" si="42"/>
        <v>#NUM!</v>
      </c>
      <c r="AH64" s="52" t="e">
        <f t="shared" si="21"/>
        <v>#NUM!</v>
      </c>
      <c r="AI64" s="178">
        <f t="shared" si="34"/>
        <v>-0.12669735650489902</v>
      </c>
      <c r="AJ64" s="46">
        <f t="shared" si="22"/>
        <v>-9.0324221119853725</v>
      </c>
    </row>
    <row r="65" spans="1:36" x14ac:dyDescent="0.2">
      <c r="A65" s="62">
        <f t="shared" si="12"/>
        <v>47.5</v>
      </c>
      <c r="B65" s="44">
        <v>47</v>
      </c>
      <c r="C65" s="45">
        <f t="shared" si="29"/>
        <v>-0.1273712880138449</v>
      </c>
      <c r="D65" s="46">
        <f t="shared" si="13"/>
        <v>-9.9591913780201793</v>
      </c>
      <c r="E65" s="47">
        <f>'BATS 2023 TLFD'!M52</f>
        <v>1.0521979142092985E-3</v>
      </c>
      <c r="F65" s="48">
        <f>modeldata!L67</f>
        <v>6.6666666666666671E-3</v>
      </c>
      <c r="G65" s="49">
        <f t="shared" si="35"/>
        <v>5.3359436248992251</v>
      </c>
      <c r="H65" s="50">
        <f t="shared" si="36"/>
        <v>0</v>
      </c>
      <c r="I65" s="51">
        <f t="shared" si="37"/>
        <v>0</v>
      </c>
      <c r="J65" s="52">
        <f t="shared" si="38"/>
        <v>-9.9591913780201793</v>
      </c>
      <c r="K65" s="178">
        <f t="shared" si="32"/>
        <v>-0.1273712880138449</v>
      </c>
      <c r="L65" s="179">
        <f t="shared" si="18"/>
        <v>-9.9591913780201793</v>
      </c>
      <c r="N65" s="44">
        <v>47</v>
      </c>
      <c r="O65" s="45">
        <f t="shared" si="30"/>
        <v>-0.31198492638919889</v>
      </c>
      <c r="P65" s="46">
        <f t="shared" si="14"/>
        <v>-14.910601882327724</v>
      </c>
      <c r="Q65" s="47">
        <f>'BATS 2023 TLFD'!Z52</f>
        <v>1.2028154088497167E-2</v>
      </c>
      <c r="R65" s="48">
        <f>modeldata!Y67</f>
        <v>6.6666666666666671E-3</v>
      </c>
      <c r="S65" s="49">
        <f t="shared" si="15"/>
        <v>-0.44574482355175582</v>
      </c>
      <c r="T65" s="50">
        <f t="shared" si="39"/>
        <v>0</v>
      </c>
      <c r="U65" s="51">
        <f t="shared" si="40"/>
        <v>0</v>
      </c>
      <c r="V65" s="52">
        <f t="shared" si="19"/>
        <v>-14.910601882327724</v>
      </c>
      <c r="W65" s="178">
        <f t="shared" si="33"/>
        <v>-0.31198492638919889</v>
      </c>
      <c r="X65" s="46">
        <f t="shared" si="20"/>
        <v>-14.910601882327724</v>
      </c>
      <c r="Z65" s="44">
        <v>47</v>
      </c>
      <c r="AA65" s="45">
        <f t="shared" si="31"/>
        <v>-0.23755754344668609</v>
      </c>
      <c r="AB65" s="46">
        <f t="shared" si="16"/>
        <v>-13.276568553515105</v>
      </c>
      <c r="AC65" s="47">
        <f>'BATS 2023 TLFD'!AM52</f>
        <v>0</v>
      </c>
      <c r="AD65" s="48">
        <f>modeldata!AL67</f>
        <v>6.6666666666666671E-3</v>
      </c>
      <c r="AE65" s="49" t="e">
        <f t="shared" si="17"/>
        <v>#DIV/0!</v>
      </c>
      <c r="AF65" s="50" t="e">
        <f t="shared" si="41"/>
        <v>#NUM!</v>
      </c>
      <c r="AG65" s="51" t="e">
        <f t="shared" si="42"/>
        <v>#NUM!</v>
      </c>
      <c r="AH65" s="52" t="e">
        <f t="shared" si="21"/>
        <v>#NUM!</v>
      </c>
      <c r="AI65" s="178">
        <f t="shared" si="34"/>
        <v>-0.12669735650489902</v>
      </c>
      <c r="AJ65" s="46">
        <f t="shared" si="22"/>
        <v>-9.159119468490271</v>
      </c>
    </row>
    <row r="66" spans="1:36" x14ac:dyDescent="0.2">
      <c r="A66" s="62">
        <f t="shared" si="12"/>
        <v>48.5</v>
      </c>
      <c r="B66" s="44">
        <v>48</v>
      </c>
      <c r="C66" s="45">
        <f t="shared" si="29"/>
        <v>-0.1273712880138449</v>
      </c>
      <c r="D66" s="46">
        <f t="shared" si="13"/>
        <v>-10.086562666034023</v>
      </c>
      <c r="E66" s="47">
        <f>'BATS 2023 TLFD'!M53</f>
        <v>1.1627974464307881E-3</v>
      </c>
      <c r="F66" s="48">
        <f>modeldata!L68</f>
        <v>6.6666666666666671E-3</v>
      </c>
      <c r="G66" s="49">
        <f t="shared" si="35"/>
        <v>4.7333000576583908</v>
      </c>
      <c r="H66" s="50">
        <f t="shared" si="36"/>
        <v>0</v>
      </c>
      <c r="I66" s="51">
        <f t="shared" si="37"/>
        <v>0</v>
      </c>
      <c r="J66" s="52">
        <f t="shared" si="38"/>
        <v>-10.086562666034023</v>
      </c>
      <c r="K66" s="178">
        <f t="shared" si="32"/>
        <v>-0.1273712880138449</v>
      </c>
      <c r="L66" s="179">
        <f t="shared" si="18"/>
        <v>-10.086562666034023</v>
      </c>
      <c r="N66" s="44">
        <v>48</v>
      </c>
      <c r="O66" s="45">
        <f t="shared" si="30"/>
        <v>-0.31198492638919889</v>
      </c>
      <c r="P66" s="46">
        <f t="shared" si="14"/>
        <v>-15.222586808716922</v>
      </c>
      <c r="Q66" s="47">
        <f>'BATS 2023 TLFD'!Z53</f>
        <v>1.8016133108586185E-2</v>
      </c>
      <c r="R66" s="48">
        <f>modeldata!Y68</f>
        <v>6.6666666666666671E-3</v>
      </c>
      <c r="S66" s="49">
        <f t="shared" si="15"/>
        <v>-0.6299612893351989</v>
      </c>
      <c r="T66" s="50">
        <f t="shared" si="39"/>
        <v>0</v>
      </c>
      <c r="U66" s="51">
        <f t="shared" si="40"/>
        <v>0</v>
      </c>
      <c r="V66" s="52">
        <f t="shared" si="19"/>
        <v>-15.222586808716922</v>
      </c>
      <c r="W66" s="178">
        <f t="shared" si="33"/>
        <v>-0.31198492638919889</v>
      </c>
      <c r="X66" s="46">
        <f t="shared" si="20"/>
        <v>-15.222586808716922</v>
      </c>
      <c r="Z66" s="44">
        <v>48</v>
      </c>
      <c r="AA66" s="45">
        <f t="shared" si="31"/>
        <v>-0.23755754344668609</v>
      </c>
      <c r="AB66" s="46">
        <f t="shared" si="16"/>
        <v>-13.514126096961791</v>
      </c>
      <c r="AC66" s="47">
        <f>'BATS 2023 TLFD'!AM53</f>
        <v>0</v>
      </c>
      <c r="AD66" s="48">
        <f>modeldata!AL68</f>
        <v>6.6666666666666671E-3</v>
      </c>
      <c r="AE66" s="49" t="e">
        <f t="shared" si="17"/>
        <v>#DIV/0!</v>
      </c>
      <c r="AF66" s="50" t="e">
        <f t="shared" si="41"/>
        <v>#NUM!</v>
      </c>
      <c r="AG66" s="51" t="e">
        <f t="shared" si="42"/>
        <v>#NUM!</v>
      </c>
      <c r="AH66" s="52" t="e">
        <f t="shared" si="21"/>
        <v>#NUM!</v>
      </c>
      <c r="AI66" s="178">
        <f t="shared" si="34"/>
        <v>-0.12669735650489902</v>
      </c>
      <c r="AJ66" s="46">
        <f t="shared" si="22"/>
        <v>-9.2858168249951696</v>
      </c>
    </row>
    <row r="67" spans="1:36" x14ac:dyDescent="0.2">
      <c r="A67" s="62">
        <f t="shared" si="12"/>
        <v>49.5</v>
      </c>
      <c r="B67" s="44">
        <v>49</v>
      </c>
      <c r="C67" s="45">
        <f t="shared" si="29"/>
        <v>-0.1273712880138449</v>
      </c>
      <c r="D67" s="46">
        <f t="shared" si="13"/>
        <v>-10.213933954047867</v>
      </c>
      <c r="E67" s="47">
        <f>'BATS 2023 TLFD'!M54</f>
        <v>1.5357346625722158E-3</v>
      </c>
      <c r="F67" s="48">
        <f>modeldata!L69</f>
        <v>6.6666666666666671E-3</v>
      </c>
      <c r="G67" s="49">
        <f t="shared" si="35"/>
        <v>3.3410276717337406</v>
      </c>
      <c r="H67" s="50">
        <f t="shared" si="36"/>
        <v>0</v>
      </c>
      <c r="I67" s="51">
        <f t="shared" si="37"/>
        <v>0</v>
      </c>
      <c r="J67" s="52">
        <f t="shared" si="38"/>
        <v>-10.213933954047867</v>
      </c>
      <c r="K67" s="178">
        <f t="shared" si="32"/>
        <v>-0.1273712880138449</v>
      </c>
      <c r="L67" s="179">
        <f t="shared" si="18"/>
        <v>-10.213933954047867</v>
      </c>
      <c r="N67" s="44">
        <v>49</v>
      </c>
      <c r="O67" s="45">
        <f t="shared" si="30"/>
        <v>-0.31198492638919889</v>
      </c>
      <c r="P67" s="46">
        <f t="shared" si="14"/>
        <v>-15.534571735106121</v>
      </c>
      <c r="Q67" s="47">
        <f>'BATS 2023 TLFD'!Z54</f>
        <v>0</v>
      </c>
      <c r="R67" s="48">
        <f>modeldata!Y69</f>
        <v>6.6666666666666671E-3</v>
      </c>
      <c r="S67" s="49" t="e">
        <f t="shared" si="15"/>
        <v>#DIV/0!</v>
      </c>
      <c r="T67" s="50">
        <f t="shared" si="39"/>
        <v>0</v>
      </c>
      <c r="U67" s="51">
        <f t="shared" si="40"/>
        <v>0</v>
      </c>
      <c r="V67" s="52">
        <f t="shared" si="19"/>
        <v>-15.534571735106121</v>
      </c>
      <c r="W67" s="178">
        <f t="shared" si="33"/>
        <v>-0.31198492638919889</v>
      </c>
      <c r="X67" s="46">
        <f t="shared" si="20"/>
        <v>-15.534571735106121</v>
      </c>
      <c r="Z67" s="44">
        <v>49</v>
      </c>
      <c r="AA67" s="45">
        <f t="shared" si="31"/>
        <v>-0.23755754344668609</v>
      </c>
      <c r="AB67" s="46">
        <f t="shared" si="16"/>
        <v>-13.751683640408476</v>
      </c>
      <c r="AC67" s="47">
        <f>'BATS 2023 TLFD'!AM54</f>
        <v>0</v>
      </c>
      <c r="AD67" s="48">
        <f>modeldata!AL69</f>
        <v>6.6666666666666671E-3</v>
      </c>
      <c r="AE67" s="49" t="e">
        <f t="shared" si="17"/>
        <v>#DIV/0!</v>
      </c>
      <c r="AF67" s="50" t="e">
        <f t="shared" si="41"/>
        <v>#NUM!</v>
      </c>
      <c r="AG67" s="51" t="e">
        <f t="shared" si="42"/>
        <v>#NUM!</v>
      </c>
      <c r="AH67" s="52" t="e">
        <f t="shared" si="21"/>
        <v>#NUM!</v>
      </c>
      <c r="AI67" s="178">
        <f t="shared" si="34"/>
        <v>-0.12669735650489902</v>
      </c>
      <c r="AJ67" s="46">
        <f t="shared" si="22"/>
        <v>-9.4125141815000681</v>
      </c>
    </row>
    <row r="68" spans="1:36" x14ac:dyDescent="0.2">
      <c r="A68" s="62">
        <v>50.5</v>
      </c>
      <c r="B68" s="53">
        <v>50</v>
      </c>
      <c r="C68" s="54">
        <f t="shared" si="29"/>
        <v>-0.1273712880138449</v>
      </c>
      <c r="D68" s="55">
        <f t="shared" si="13"/>
        <v>-10.341305242061711</v>
      </c>
      <c r="E68" s="56">
        <f>'BATS 2023 TLFD'!M55</f>
        <v>1.2784573848242475E-3</v>
      </c>
      <c r="F68" s="57">
        <f>SUM(modeldata!L70:L169)</f>
        <v>0.66666666666666707</v>
      </c>
      <c r="G68" s="58">
        <f t="shared" si="35"/>
        <v>520.46178244206021</v>
      </c>
      <c r="H68" s="59">
        <f t="shared" si="36"/>
        <v>0</v>
      </c>
      <c r="I68" s="60">
        <f t="shared" si="37"/>
        <v>0</v>
      </c>
      <c r="J68" s="61">
        <f t="shared" si="38"/>
        <v>-10.341305242061711</v>
      </c>
      <c r="K68" s="180">
        <f t="shared" si="32"/>
        <v>-0.1273712880138449</v>
      </c>
      <c r="L68" s="181">
        <f t="shared" si="18"/>
        <v>-10.341305242061711</v>
      </c>
      <c r="N68" s="53">
        <v>50</v>
      </c>
      <c r="O68" s="54">
        <f t="shared" si="30"/>
        <v>-0.31198492638919889</v>
      </c>
      <c r="P68" s="55">
        <f t="shared" si="14"/>
        <v>-15.84655666149532</v>
      </c>
      <c r="Q68" s="56">
        <f>'BATS 2023 TLFD'!Z55</f>
        <v>2.0275218021237403E-3</v>
      </c>
      <c r="R68" s="57">
        <f>SUM(modeldata!Y70:Y169)</f>
        <v>0.66666666666666707</v>
      </c>
      <c r="S68" s="58">
        <f t="shared" si="15"/>
        <v>327.80863030343886</v>
      </c>
      <c r="T68" s="59">
        <f t="shared" si="39"/>
        <v>0</v>
      </c>
      <c r="U68" s="60">
        <f t="shared" si="40"/>
        <v>0</v>
      </c>
      <c r="V68" s="61">
        <f t="shared" si="19"/>
        <v>-15.84655666149532</v>
      </c>
      <c r="W68" s="180">
        <f t="shared" si="33"/>
        <v>-0.31198492638919889</v>
      </c>
      <c r="X68" s="55">
        <f t="shared" si="20"/>
        <v>-15.84655666149532</v>
      </c>
      <c r="Z68" s="53">
        <v>50</v>
      </c>
      <c r="AA68" s="54">
        <f t="shared" si="31"/>
        <v>-0.23755754344668609</v>
      </c>
      <c r="AB68" s="55">
        <f t="shared" si="16"/>
        <v>-13.989241183855162</v>
      </c>
      <c r="AC68" s="56">
        <f>'BATS 2023 TLFD'!AM55</f>
        <v>0</v>
      </c>
      <c r="AD68" s="57">
        <f>SUM(modeldata!AL70:AL169)</f>
        <v>0.66666666666666707</v>
      </c>
      <c r="AE68" s="58" t="e">
        <f t="shared" si="17"/>
        <v>#DIV/0!</v>
      </c>
      <c r="AF68" s="59" t="e">
        <f t="shared" si="41"/>
        <v>#NUM!</v>
      </c>
      <c r="AG68" s="60" t="e">
        <f t="shared" si="42"/>
        <v>#NUM!</v>
      </c>
      <c r="AH68" s="61" t="e">
        <f t="shared" si="21"/>
        <v>#NUM!</v>
      </c>
      <c r="AI68" s="180">
        <f t="shared" si="34"/>
        <v>-0.12669735650489902</v>
      </c>
      <c r="AJ68" s="55">
        <f t="shared" si="22"/>
        <v>-9.5392115380049667</v>
      </c>
    </row>
  </sheetData>
  <mergeCells count="11">
    <mergeCell ref="C16:D16"/>
    <mergeCell ref="H16:I16"/>
    <mergeCell ref="K16:L16"/>
    <mergeCell ref="AF16:AG16"/>
    <mergeCell ref="AI16:AJ16"/>
    <mergeCell ref="O16:P16"/>
    <mergeCell ref="Q16:S16"/>
    <mergeCell ref="T16:U16"/>
    <mergeCell ref="W16:X16"/>
    <mergeCell ref="AA16:AB16"/>
    <mergeCell ref="AC16:AE16"/>
  </mergeCells>
  <pageMargins left="0.7" right="0.7" top="0.75" bottom="0.75" header="0.3" footer="0.3"/>
  <pageSetup paperSize="5" scale="74" fitToWidth="3" fitToHeight="0"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/>
  </sheetPr>
  <dimension ref="A1:AL169"/>
  <sheetViews>
    <sheetView workbookViewId="0">
      <selection activeCell="A2" sqref="A2"/>
    </sheetView>
  </sheetViews>
  <sheetFormatPr defaultColWidth="9.140625" defaultRowHeight="12.75" x14ac:dyDescent="0.2"/>
  <cols>
    <col min="1" max="1" width="20.140625" style="1" customWidth="1"/>
    <col min="2" max="11" width="11.42578125" style="1" customWidth="1"/>
    <col min="12" max="12" width="7.42578125" style="1" customWidth="1"/>
    <col min="13" max="25" width="9.140625" style="1"/>
    <col min="26" max="26" width="13.140625" style="1" customWidth="1"/>
    <col min="27" max="16384" width="9.140625" style="1"/>
  </cols>
  <sheetData>
    <row r="1" spans="1:17" x14ac:dyDescent="0.2">
      <c r="A1" s="2" t="s">
        <v>169</v>
      </c>
    </row>
    <row r="2" spans="1:17" x14ac:dyDescent="0.2">
      <c r="A2" s="24" t="s">
        <v>34</v>
      </c>
    </row>
    <row r="3" spans="1:17" x14ac:dyDescent="0.2">
      <c r="N3" s="2" t="s">
        <v>169</v>
      </c>
    </row>
    <row r="4" spans="1:17" x14ac:dyDescent="0.2">
      <c r="A4" s="1" t="s">
        <v>32</v>
      </c>
      <c r="B4" s="1" t="s">
        <v>0</v>
      </c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33</v>
      </c>
      <c r="N4" s="1" t="s">
        <v>107</v>
      </c>
      <c r="O4" s="1" t="s">
        <v>108</v>
      </c>
      <c r="P4" s="1" t="s">
        <v>109</v>
      </c>
      <c r="Q4" s="1" t="s">
        <v>110</v>
      </c>
    </row>
    <row r="5" spans="1:17" x14ac:dyDescent="0.2">
      <c r="A5" s="1" t="s">
        <v>0</v>
      </c>
      <c r="B5" s="5">
        <v>1</v>
      </c>
      <c r="C5" s="6">
        <v>1</v>
      </c>
      <c r="D5" s="6">
        <v>1</v>
      </c>
      <c r="E5" s="6">
        <v>1</v>
      </c>
      <c r="F5" s="6">
        <v>1</v>
      </c>
      <c r="G5" s="6">
        <v>1</v>
      </c>
      <c r="H5" s="6">
        <v>1</v>
      </c>
      <c r="I5" s="6">
        <v>1</v>
      </c>
      <c r="J5" s="7">
        <v>1</v>
      </c>
      <c r="K5" s="8">
        <v>1</v>
      </c>
      <c r="L5" s="8"/>
      <c r="N5" s="1" t="s">
        <v>16</v>
      </c>
      <c r="O5" s="86">
        <v>1</v>
      </c>
      <c r="P5" s="87">
        <v>1</v>
      </c>
      <c r="Q5" s="88">
        <v>1</v>
      </c>
    </row>
    <row r="6" spans="1:17" x14ac:dyDescent="0.2">
      <c r="A6" s="1" t="s">
        <v>1</v>
      </c>
      <c r="B6" s="9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10">
        <v>1</v>
      </c>
      <c r="K6" s="8">
        <v>1</v>
      </c>
      <c r="L6" s="8"/>
      <c r="N6" s="1" t="s">
        <v>17</v>
      </c>
      <c r="O6" s="89">
        <v>1</v>
      </c>
      <c r="P6" s="90">
        <v>1</v>
      </c>
      <c r="Q6" s="91">
        <v>1</v>
      </c>
    </row>
    <row r="7" spans="1:17" x14ac:dyDescent="0.2">
      <c r="A7" s="1" t="s">
        <v>2</v>
      </c>
      <c r="B7" s="9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10">
        <v>1</v>
      </c>
      <c r="K7" s="8">
        <v>1</v>
      </c>
      <c r="L7" s="8"/>
      <c r="N7" s="1" t="s">
        <v>21</v>
      </c>
      <c r="O7" s="89">
        <v>1</v>
      </c>
      <c r="P7" s="90">
        <v>1</v>
      </c>
      <c r="Q7" s="91">
        <v>1</v>
      </c>
    </row>
    <row r="8" spans="1:17" x14ac:dyDescent="0.2">
      <c r="A8" s="1" t="s">
        <v>3</v>
      </c>
      <c r="B8" s="9">
        <v>1</v>
      </c>
      <c r="C8" s="8">
        <v>1</v>
      </c>
      <c r="D8" s="8">
        <v>1</v>
      </c>
      <c r="E8" s="8">
        <v>1</v>
      </c>
      <c r="F8" s="8">
        <v>1</v>
      </c>
      <c r="G8" s="8">
        <v>1</v>
      </c>
      <c r="H8" s="8">
        <v>1</v>
      </c>
      <c r="I8" s="8">
        <v>1</v>
      </c>
      <c r="J8" s="10">
        <v>1</v>
      </c>
      <c r="K8" s="8">
        <v>1</v>
      </c>
      <c r="L8" s="8"/>
      <c r="N8" s="1" t="s">
        <v>19</v>
      </c>
      <c r="O8" s="89">
        <v>1</v>
      </c>
      <c r="P8" s="90">
        <v>1</v>
      </c>
      <c r="Q8" s="91">
        <v>1</v>
      </c>
    </row>
    <row r="9" spans="1:17" x14ac:dyDescent="0.2">
      <c r="A9" s="1" t="s">
        <v>4</v>
      </c>
      <c r="B9" s="9">
        <v>1</v>
      </c>
      <c r="C9" s="8">
        <v>1</v>
      </c>
      <c r="D9" s="8">
        <v>1</v>
      </c>
      <c r="E9" s="8">
        <v>1</v>
      </c>
      <c r="F9" s="8">
        <v>1</v>
      </c>
      <c r="G9" s="8">
        <v>1</v>
      </c>
      <c r="H9" s="8">
        <v>1</v>
      </c>
      <c r="I9" s="8">
        <v>1</v>
      </c>
      <c r="J9" s="10">
        <v>1</v>
      </c>
      <c r="K9" s="8">
        <v>1</v>
      </c>
      <c r="L9" s="8"/>
      <c r="N9" s="1" t="s">
        <v>13</v>
      </c>
      <c r="O9" s="89">
        <v>1</v>
      </c>
      <c r="P9" s="90">
        <v>1</v>
      </c>
      <c r="Q9" s="91">
        <v>1</v>
      </c>
    </row>
    <row r="10" spans="1:17" x14ac:dyDescent="0.2">
      <c r="A10" s="1" t="s">
        <v>5</v>
      </c>
      <c r="B10" s="9">
        <v>1</v>
      </c>
      <c r="C10" s="8">
        <v>1</v>
      </c>
      <c r="D10" s="8">
        <v>1</v>
      </c>
      <c r="E10" s="8">
        <v>1</v>
      </c>
      <c r="F10" s="8">
        <v>1</v>
      </c>
      <c r="G10" s="8">
        <v>1</v>
      </c>
      <c r="H10" s="8">
        <v>1</v>
      </c>
      <c r="I10" s="8">
        <v>1</v>
      </c>
      <c r="J10" s="10">
        <v>1</v>
      </c>
      <c r="K10" s="8">
        <v>1</v>
      </c>
      <c r="L10" s="8"/>
      <c r="N10" s="1" t="s">
        <v>14</v>
      </c>
      <c r="O10" s="89">
        <v>1</v>
      </c>
      <c r="P10" s="90">
        <v>1</v>
      </c>
      <c r="Q10" s="91">
        <v>1</v>
      </c>
    </row>
    <row r="11" spans="1:17" x14ac:dyDescent="0.2">
      <c r="A11" s="1" t="s">
        <v>6</v>
      </c>
      <c r="B11" s="9">
        <v>1</v>
      </c>
      <c r="C11" s="8">
        <v>1</v>
      </c>
      <c r="D11" s="8">
        <v>1</v>
      </c>
      <c r="E11" s="8">
        <v>1</v>
      </c>
      <c r="F11" s="8">
        <v>1</v>
      </c>
      <c r="G11" s="8">
        <v>1</v>
      </c>
      <c r="H11" s="8">
        <v>1</v>
      </c>
      <c r="I11" s="8">
        <v>1</v>
      </c>
      <c r="J11" s="10">
        <v>1</v>
      </c>
      <c r="K11" s="8">
        <v>1</v>
      </c>
      <c r="L11" s="8"/>
      <c r="N11" s="1" t="s">
        <v>15</v>
      </c>
      <c r="O11" s="89">
        <v>1</v>
      </c>
      <c r="P11" s="90">
        <v>1</v>
      </c>
      <c r="Q11" s="91">
        <v>1</v>
      </c>
    </row>
    <row r="12" spans="1:17" x14ac:dyDescent="0.2">
      <c r="A12" s="1" t="s">
        <v>7</v>
      </c>
      <c r="B12" s="9">
        <v>1</v>
      </c>
      <c r="C12" s="8">
        <v>1</v>
      </c>
      <c r="D12" s="8">
        <v>1</v>
      </c>
      <c r="E12" s="8">
        <v>1</v>
      </c>
      <c r="F12" s="8">
        <v>1</v>
      </c>
      <c r="G12" s="8">
        <v>1</v>
      </c>
      <c r="H12" s="8">
        <v>1</v>
      </c>
      <c r="I12" s="8">
        <v>1</v>
      </c>
      <c r="J12" s="10">
        <v>1</v>
      </c>
      <c r="K12" s="8">
        <v>1</v>
      </c>
      <c r="L12" s="8"/>
      <c r="N12" s="1" t="s">
        <v>18</v>
      </c>
      <c r="O12" s="89">
        <v>1</v>
      </c>
      <c r="P12" s="90">
        <v>1</v>
      </c>
      <c r="Q12" s="91">
        <v>1</v>
      </c>
    </row>
    <row r="13" spans="1:17" x14ac:dyDescent="0.2">
      <c r="A13" s="1" t="s">
        <v>8</v>
      </c>
      <c r="B13" s="11">
        <v>1</v>
      </c>
      <c r="C13" s="12">
        <v>1</v>
      </c>
      <c r="D13" s="12">
        <v>1</v>
      </c>
      <c r="E13" s="12">
        <v>1</v>
      </c>
      <c r="F13" s="12">
        <v>1</v>
      </c>
      <c r="G13" s="12">
        <v>1</v>
      </c>
      <c r="H13" s="12">
        <v>1</v>
      </c>
      <c r="I13" s="12">
        <v>1</v>
      </c>
      <c r="J13" s="13">
        <v>1</v>
      </c>
      <c r="K13" s="8">
        <v>1</v>
      </c>
      <c r="L13" s="8"/>
      <c r="N13" s="1" t="s">
        <v>20</v>
      </c>
      <c r="O13" s="92">
        <v>1</v>
      </c>
      <c r="P13" s="93">
        <v>1</v>
      </c>
      <c r="Q13" s="94">
        <v>1</v>
      </c>
    </row>
    <row r="14" spans="1:17" x14ac:dyDescent="0.2">
      <c r="N14" s="1" t="s">
        <v>59</v>
      </c>
      <c r="O14" s="90">
        <v>1</v>
      </c>
      <c r="P14" s="90">
        <v>1</v>
      </c>
      <c r="Q14" s="90">
        <v>1</v>
      </c>
    </row>
    <row r="17" spans="1:38" x14ac:dyDescent="0.2">
      <c r="A17" s="2" t="s">
        <v>169</v>
      </c>
      <c r="N17" s="2" t="s">
        <v>169</v>
      </c>
      <c r="AA17" s="2" t="s">
        <v>169</v>
      </c>
    </row>
    <row r="18" spans="1:38" x14ac:dyDescent="0.2">
      <c r="A18" s="24" t="s">
        <v>34</v>
      </c>
      <c r="N18" s="24" t="s">
        <v>61</v>
      </c>
      <c r="AA18" s="24" t="s">
        <v>62</v>
      </c>
    </row>
    <row r="19" spans="1:38" x14ac:dyDescent="0.2">
      <c r="A19" s="1" t="s">
        <v>58</v>
      </c>
      <c r="B19" s="1" t="s">
        <v>16</v>
      </c>
      <c r="C19" s="1" t="s">
        <v>17</v>
      </c>
      <c r="D19" s="1" t="s">
        <v>21</v>
      </c>
      <c r="E19" s="1" t="s">
        <v>19</v>
      </c>
      <c r="F19" s="1" t="s">
        <v>13</v>
      </c>
      <c r="G19" s="1" t="s">
        <v>14</v>
      </c>
      <c r="H19" s="1" t="s">
        <v>15</v>
      </c>
      <c r="I19" s="1" t="s">
        <v>18</v>
      </c>
      <c r="J19" s="1" t="s">
        <v>20</v>
      </c>
      <c r="K19" s="1" t="s">
        <v>59</v>
      </c>
      <c r="N19" s="1" t="s">
        <v>58</v>
      </c>
      <c r="O19" s="1" t="s">
        <v>16</v>
      </c>
      <c r="P19" s="1" t="s">
        <v>17</v>
      </c>
      <c r="Q19" s="1" t="s">
        <v>21</v>
      </c>
      <c r="R19" s="1" t="s">
        <v>19</v>
      </c>
      <c r="S19" s="1" t="s">
        <v>13</v>
      </c>
      <c r="T19" s="1" t="s">
        <v>14</v>
      </c>
      <c r="U19" s="1" t="s">
        <v>15</v>
      </c>
      <c r="V19" s="1" t="s">
        <v>18</v>
      </c>
      <c r="W19" s="1" t="s">
        <v>20</v>
      </c>
      <c r="X19" s="1" t="s">
        <v>59</v>
      </c>
      <c r="AA19" s="1">
        <v>1</v>
      </c>
      <c r="AB19" s="1">
        <v>1</v>
      </c>
      <c r="AC19" s="1">
        <v>1</v>
      </c>
      <c r="AD19" s="1">
        <v>1</v>
      </c>
      <c r="AE19" s="1">
        <v>1</v>
      </c>
      <c r="AF19" s="1">
        <v>1</v>
      </c>
      <c r="AG19" s="1">
        <v>1</v>
      </c>
      <c r="AH19" s="1">
        <v>1</v>
      </c>
      <c r="AI19" s="1">
        <v>1</v>
      </c>
      <c r="AJ19" s="1">
        <v>1</v>
      </c>
      <c r="AK19" s="1">
        <v>1</v>
      </c>
    </row>
    <row r="20" spans="1:38" x14ac:dyDescent="0.2">
      <c r="A20" s="1">
        <v>1</v>
      </c>
      <c r="B20" s="5">
        <v>1</v>
      </c>
      <c r="C20" s="6">
        <v>1</v>
      </c>
      <c r="D20" s="6">
        <v>1</v>
      </c>
      <c r="E20" s="6">
        <v>1</v>
      </c>
      <c r="F20" s="6">
        <v>1</v>
      </c>
      <c r="G20" s="6">
        <v>1</v>
      </c>
      <c r="H20" s="6">
        <v>1</v>
      </c>
      <c r="I20" s="6">
        <v>1</v>
      </c>
      <c r="J20" s="7">
        <v>1</v>
      </c>
      <c r="K20" s="8">
        <v>1</v>
      </c>
      <c r="L20" s="43">
        <f>K20/SUM(K$20:K$169)</f>
        <v>6.6666666666666671E-3</v>
      </c>
      <c r="N20" s="1">
        <v>1</v>
      </c>
      <c r="O20" s="5">
        <v>1</v>
      </c>
      <c r="P20" s="6">
        <v>1</v>
      </c>
      <c r="Q20" s="6">
        <v>1</v>
      </c>
      <c r="R20" s="6">
        <v>1</v>
      </c>
      <c r="S20" s="6">
        <v>1</v>
      </c>
      <c r="T20" s="6">
        <v>1</v>
      </c>
      <c r="U20" s="6">
        <v>1</v>
      </c>
      <c r="V20" s="6">
        <v>1</v>
      </c>
      <c r="W20" s="7">
        <v>1</v>
      </c>
      <c r="X20" s="8">
        <v>1</v>
      </c>
      <c r="Y20" s="43">
        <f>X20/SUM(X$20:X$169)</f>
        <v>6.6666666666666671E-3</v>
      </c>
      <c r="AA20" s="1">
        <v>1</v>
      </c>
      <c r="AB20" s="5">
        <v>1</v>
      </c>
      <c r="AC20" s="6">
        <v>1</v>
      </c>
      <c r="AD20" s="6">
        <v>1</v>
      </c>
      <c r="AE20" s="6">
        <v>1</v>
      </c>
      <c r="AF20" s="6">
        <v>1</v>
      </c>
      <c r="AG20" s="6">
        <v>1</v>
      </c>
      <c r="AH20" s="6">
        <v>1</v>
      </c>
      <c r="AI20" s="6">
        <v>1</v>
      </c>
      <c r="AJ20" s="7">
        <v>1</v>
      </c>
      <c r="AK20" s="8">
        <v>1</v>
      </c>
      <c r="AL20" s="43">
        <f>AK20/SUM(AK$20:AK$169)</f>
        <v>6.6666666666666671E-3</v>
      </c>
    </row>
    <row r="21" spans="1:38" x14ac:dyDescent="0.2">
      <c r="A21" s="1">
        <v>2</v>
      </c>
      <c r="B21" s="9">
        <v>1</v>
      </c>
      <c r="C21" s="8">
        <v>1</v>
      </c>
      <c r="D21" s="8">
        <v>1</v>
      </c>
      <c r="E21" s="8">
        <v>1</v>
      </c>
      <c r="F21" s="8">
        <v>1</v>
      </c>
      <c r="G21" s="8">
        <v>1</v>
      </c>
      <c r="H21" s="8">
        <v>1</v>
      </c>
      <c r="I21" s="8">
        <v>1</v>
      </c>
      <c r="J21" s="10">
        <v>1</v>
      </c>
      <c r="K21" s="8">
        <v>1</v>
      </c>
      <c r="L21" s="43">
        <f t="shared" ref="L21:L84" si="0">K21/SUM(K$20:K$169)</f>
        <v>6.6666666666666671E-3</v>
      </c>
      <c r="N21" s="1">
        <v>2</v>
      </c>
      <c r="O21" s="9">
        <v>1</v>
      </c>
      <c r="P21" s="8">
        <v>1</v>
      </c>
      <c r="Q21" s="8">
        <v>1</v>
      </c>
      <c r="R21" s="8">
        <v>1</v>
      </c>
      <c r="S21" s="8">
        <v>1</v>
      </c>
      <c r="T21" s="8">
        <v>1</v>
      </c>
      <c r="U21" s="8">
        <v>1</v>
      </c>
      <c r="V21" s="8">
        <v>1</v>
      </c>
      <c r="W21" s="10">
        <v>1</v>
      </c>
      <c r="X21" s="8">
        <v>1</v>
      </c>
      <c r="Y21" s="43">
        <f t="shared" ref="Y21:Y84" si="1">X21/SUM(X$20:X$169)</f>
        <v>6.6666666666666671E-3</v>
      </c>
      <c r="AA21" s="1">
        <v>1</v>
      </c>
      <c r="AB21" s="9">
        <v>1</v>
      </c>
      <c r="AC21" s="8">
        <v>1</v>
      </c>
      <c r="AD21" s="8">
        <v>1</v>
      </c>
      <c r="AE21" s="8">
        <v>1</v>
      </c>
      <c r="AF21" s="8">
        <v>1</v>
      </c>
      <c r="AG21" s="8">
        <v>1</v>
      </c>
      <c r="AH21" s="8">
        <v>1</v>
      </c>
      <c r="AI21" s="8">
        <v>1</v>
      </c>
      <c r="AJ21" s="10">
        <v>1</v>
      </c>
      <c r="AK21" s="8">
        <v>1</v>
      </c>
      <c r="AL21" s="43">
        <f t="shared" ref="AL21:AL84" si="2">AK21/SUM(AK$20:AK$169)</f>
        <v>6.6666666666666671E-3</v>
      </c>
    </row>
    <row r="22" spans="1:38" x14ac:dyDescent="0.2">
      <c r="A22" s="1">
        <v>3</v>
      </c>
      <c r="B22" s="9">
        <v>1</v>
      </c>
      <c r="C22" s="8">
        <v>1</v>
      </c>
      <c r="D22" s="8">
        <v>1</v>
      </c>
      <c r="E22" s="8">
        <v>1</v>
      </c>
      <c r="F22" s="8">
        <v>1</v>
      </c>
      <c r="G22" s="8">
        <v>1</v>
      </c>
      <c r="H22" s="8">
        <v>1</v>
      </c>
      <c r="I22" s="8">
        <v>1</v>
      </c>
      <c r="J22" s="10">
        <v>1</v>
      </c>
      <c r="K22" s="8">
        <v>1</v>
      </c>
      <c r="L22" s="43">
        <f t="shared" si="0"/>
        <v>6.6666666666666671E-3</v>
      </c>
      <c r="N22" s="1">
        <v>3</v>
      </c>
      <c r="O22" s="9">
        <v>1</v>
      </c>
      <c r="P22" s="8">
        <v>1</v>
      </c>
      <c r="Q22" s="8">
        <v>1</v>
      </c>
      <c r="R22" s="8">
        <v>1</v>
      </c>
      <c r="S22" s="8">
        <v>1</v>
      </c>
      <c r="T22" s="8">
        <v>1</v>
      </c>
      <c r="U22" s="8">
        <v>1</v>
      </c>
      <c r="V22" s="8">
        <v>1</v>
      </c>
      <c r="W22" s="10">
        <v>1</v>
      </c>
      <c r="X22" s="8">
        <v>1</v>
      </c>
      <c r="Y22" s="43">
        <f t="shared" si="1"/>
        <v>6.6666666666666671E-3</v>
      </c>
      <c r="AA22" s="1">
        <v>1</v>
      </c>
      <c r="AB22" s="9">
        <v>1</v>
      </c>
      <c r="AC22" s="8">
        <v>1</v>
      </c>
      <c r="AD22" s="8">
        <v>1</v>
      </c>
      <c r="AE22" s="8">
        <v>1</v>
      </c>
      <c r="AF22" s="8">
        <v>1</v>
      </c>
      <c r="AG22" s="8">
        <v>1</v>
      </c>
      <c r="AH22" s="8">
        <v>1</v>
      </c>
      <c r="AI22" s="8">
        <v>1</v>
      </c>
      <c r="AJ22" s="10">
        <v>1</v>
      </c>
      <c r="AK22" s="8">
        <v>1</v>
      </c>
      <c r="AL22" s="43">
        <f t="shared" si="2"/>
        <v>6.6666666666666671E-3</v>
      </c>
    </row>
    <row r="23" spans="1:38" x14ac:dyDescent="0.2">
      <c r="A23" s="1">
        <v>4</v>
      </c>
      <c r="B23" s="9">
        <v>1</v>
      </c>
      <c r="C23" s="8">
        <v>1</v>
      </c>
      <c r="D23" s="8">
        <v>1</v>
      </c>
      <c r="E23" s="8">
        <v>1</v>
      </c>
      <c r="F23" s="8">
        <v>1</v>
      </c>
      <c r="G23" s="8">
        <v>1</v>
      </c>
      <c r="H23" s="8">
        <v>1</v>
      </c>
      <c r="I23" s="8">
        <v>1</v>
      </c>
      <c r="J23" s="10">
        <v>1</v>
      </c>
      <c r="K23" s="8">
        <v>1</v>
      </c>
      <c r="L23" s="43">
        <f t="shared" si="0"/>
        <v>6.6666666666666671E-3</v>
      </c>
      <c r="N23" s="1">
        <v>4</v>
      </c>
      <c r="O23" s="9">
        <v>1</v>
      </c>
      <c r="P23" s="8">
        <v>1</v>
      </c>
      <c r="Q23" s="8">
        <v>1</v>
      </c>
      <c r="R23" s="8">
        <v>1</v>
      </c>
      <c r="S23" s="8">
        <v>1</v>
      </c>
      <c r="T23" s="8">
        <v>1</v>
      </c>
      <c r="U23" s="8">
        <v>1</v>
      </c>
      <c r="V23" s="8">
        <v>1</v>
      </c>
      <c r="W23" s="10">
        <v>1</v>
      </c>
      <c r="X23" s="8">
        <v>1</v>
      </c>
      <c r="Y23" s="43">
        <f t="shared" si="1"/>
        <v>6.6666666666666671E-3</v>
      </c>
      <c r="AA23" s="1">
        <v>1</v>
      </c>
      <c r="AB23" s="9">
        <v>1</v>
      </c>
      <c r="AC23" s="8">
        <v>1</v>
      </c>
      <c r="AD23" s="8">
        <v>1</v>
      </c>
      <c r="AE23" s="8">
        <v>1</v>
      </c>
      <c r="AF23" s="8">
        <v>1</v>
      </c>
      <c r="AG23" s="8">
        <v>1</v>
      </c>
      <c r="AH23" s="8">
        <v>1</v>
      </c>
      <c r="AI23" s="8">
        <v>1</v>
      </c>
      <c r="AJ23" s="10">
        <v>1</v>
      </c>
      <c r="AK23" s="8">
        <v>1</v>
      </c>
      <c r="AL23" s="43">
        <f t="shared" si="2"/>
        <v>6.6666666666666671E-3</v>
      </c>
    </row>
    <row r="24" spans="1:38" x14ac:dyDescent="0.2">
      <c r="A24" s="1">
        <v>5</v>
      </c>
      <c r="B24" s="9">
        <v>1</v>
      </c>
      <c r="C24" s="8">
        <v>1</v>
      </c>
      <c r="D24" s="8">
        <v>1</v>
      </c>
      <c r="E24" s="8">
        <v>1</v>
      </c>
      <c r="F24" s="8">
        <v>1</v>
      </c>
      <c r="G24" s="8">
        <v>1</v>
      </c>
      <c r="H24" s="8">
        <v>1</v>
      </c>
      <c r="I24" s="8">
        <v>1</v>
      </c>
      <c r="J24" s="10">
        <v>1</v>
      </c>
      <c r="K24" s="8">
        <v>1</v>
      </c>
      <c r="L24" s="43">
        <f t="shared" si="0"/>
        <v>6.6666666666666671E-3</v>
      </c>
      <c r="N24" s="1">
        <v>5</v>
      </c>
      <c r="O24" s="9">
        <v>1</v>
      </c>
      <c r="P24" s="8">
        <v>1</v>
      </c>
      <c r="Q24" s="8">
        <v>1</v>
      </c>
      <c r="R24" s="8">
        <v>1</v>
      </c>
      <c r="S24" s="8">
        <v>1</v>
      </c>
      <c r="T24" s="8">
        <v>1</v>
      </c>
      <c r="U24" s="8">
        <v>1</v>
      </c>
      <c r="V24" s="8">
        <v>1</v>
      </c>
      <c r="W24" s="10">
        <v>1</v>
      </c>
      <c r="X24" s="8">
        <v>1</v>
      </c>
      <c r="Y24" s="43">
        <f t="shared" si="1"/>
        <v>6.6666666666666671E-3</v>
      </c>
      <c r="AA24" s="1">
        <v>1</v>
      </c>
      <c r="AB24" s="9">
        <v>1</v>
      </c>
      <c r="AC24" s="8">
        <v>1</v>
      </c>
      <c r="AD24" s="8">
        <v>1</v>
      </c>
      <c r="AE24" s="8">
        <v>1</v>
      </c>
      <c r="AF24" s="8">
        <v>1</v>
      </c>
      <c r="AG24" s="8">
        <v>1</v>
      </c>
      <c r="AH24" s="8">
        <v>1</v>
      </c>
      <c r="AI24" s="8">
        <v>1</v>
      </c>
      <c r="AJ24" s="10">
        <v>1</v>
      </c>
      <c r="AK24" s="8">
        <v>1</v>
      </c>
      <c r="AL24" s="43">
        <f t="shared" si="2"/>
        <v>6.6666666666666671E-3</v>
      </c>
    </row>
    <row r="25" spans="1:38" x14ac:dyDescent="0.2">
      <c r="A25" s="1">
        <v>6</v>
      </c>
      <c r="B25" s="9">
        <v>1</v>
      </c>
      <c r="C25" s="8">
        <v>1</v>
      </c>
      <c r="D25" s="8">
        <v>1</v>
      </c>
      <c r="E25" s="8">
        <v>1</v>
      </c>
      <c r="F25" s="8">
        <v>1</v>
      </c>
      <c r="G25" s="8">
        <v>1</v>
      </c>
      <c r="H25" s="8">
        <v>1</v>
      </c>
      <c r="I25" s="8">
        <v>1</v>
      </c>
      <c r="J25" s="10">
        <v>1</v>
      </c>
      <c r="K25" s="8">
        <v>1</v>
      </c>
      <c r="L25" s="43">
        <f t="shared" si="0"/>
        <v>6.6666666666666671E-3</v>
      </c>
      <c r="N25" s="1">
        <v>6</v>
      </c>
      <c r="O25" s="9">
        <v>1</v>
      </c>
      <c r="P25" s="8">
        <v>1</v>
      </c>
      <c r="Q25" s="8">
        <v>1</v>
      </c>
      <c r="R25" s="8">
        <v>1</v>
      </c>
      <c r="S25" s="8">
        <v>1</v>
      </c>
      <c r="T25" s="8">
        <v>1</v>
      </c>
      <c r="U25" s="8">
        <v>1</v>
      </c>
      <c r="V25" s="8">
        <v>1</v>
      </c>
      <c r="W25" s="10">
        <v>1</v>
      </c>
      <c r="X25" s="8">
        <v>1</v>
      </c>
      <c r="Y25" s="43">
        <f t="shared" si="1"/>
        <v>6.6666666666666671E-3</v>
      </c>
      <c r="AA25" s="1">
        <v>1</v>
      </c>
      <c r="AB25" s="9">
        <v>1</v>
      </c>
      <c r="AC25" s="8">
        <v>1</v>
      </c>
      <c r="AD25" s="8">
        <v>1</v>
      </c>
      <c r="AE25" s="8">
        <v>1</v>
      </c>
      <c r="AF25" s="8">
        <v>1</v>
      </c>
      <c r="AG25" s="8">
        <v>1</v>
      </c>
      <c r="AH25" s="8">
        <v>1</v>
      </c>
      <c r="AI25" s="8">
        <v>1</v>
      </c>
      <c r="AJ25" s="10">
        <v>1</v>
      </c>
      <c r="AK25" s="8">
        <v>1</v>
      </c>
      <c r="AL25" s="43">
        <f t="shared" si="2"/>
        <v>6.6666666666666671E-3</v>
      </c>
    </row>
    <row r="26" spans="1:38" x14ac:dyDescent="0.2">
      <c r="A26" s="1">
        <v>7</v>
      </c>
      <c r="B26" s="9">
        <v>1</v>
      </c>
      <c r="C26" s="8">
        <v>1</v>
      </c>
      <c r="D26" s="8">
        <v>1</v>
      </c>
      <c r="E26" s="8">
        <v>1</v>
      </c>
      <c r="F26" s="8">
        <v>1</v>
      </c>
      <c r="G26" s="8">
        <v>1</v>
      </c>
      <c r="H26" s="8">
        <v>1</v>
      </c>
      <c r="I26" s="8">
        <v>1</v>
      </c>
      <c r="J26" s="10">
        <v>1</v>
      </c>
      <c r="K26" s="8">
        <v>1</v>
      </c>
      <c r="L26" s="43">
        <f t="shared" si="0"/>
        <v>6.6666666666666671E-3</v>
      </c>
      <c r="N26" s="1">
        <v>7</v>
      </c>
      <c r="O26" s="9">
        <v>1</v>
      </c>
      <c r="P26" s="8">
        <v>1</v>
      </c>
      <c r="Q26" s="8">
        <v>1</v>
      </c>
      <c r="R26" s="8">
        <v>1</v>
      </c>
      <c r="S26" s="8">
        <v>1</v>
      </c>
      <c r="T26" s="8">
        <v>1</v>
      </c>
      <c r="U26" s="8">
        <v>1</v>
      </c>
      <c r="V26" s="8">
        <v>1</v>
      </c>
      <c r="W26" s="10">
        <v>1</v>
      </c>
      <c r="X26" s="8">
        <v>1</v>
      </c>
      <c r="Y26" s="43">
        <f t="shared" si="1"/>
        <v>6.6666666666666671E-3</v>
      </c>
      <c r="AA26" s="1">
        <v>1</v>
      </c>
      <c r="AB26" s="9">
        <v>1</v>
      </c>
      <c r="AC26" s="8">
        <v>1</v>
      </c>
      <c r="AD26" s="8">
        <v>1</v>
      </c>
      <c r="AE26" s="8">
        <v>1</v>
      </c>
      <c r="AF26" s="8">
        <v>1</v>
      </c>
      <c r="AG26" s="8">
        <v>1</v>
      </c>
      <c r="AH26" s="8">
        <v>1</v>
      </c>
      <c r="AI26" s="8">
        <v>1</v>
      </c>
      <c r="AJ26" s="10">
        <v>1</v>
      </c>
      <c r="AK26" s="8">
        <v>1</v>
      </c>
      <c r="AL26" s="43">
        <f t="shared" si="2"/>
        <v>6.6666666666666671E-3</v>
      </c>
    </row>
    <row r="27" spans="1:38" x14ac:dyDescent="0.2">
      <c r="A27" s="1">
        <v>8</v>
      </c>
      <c r="B27" s="9">
        <v>1</v>
      </c>
      <c r="C27" s="8">
        <v>1</v>
      </c>
      <c r="D27" s="8">
        <v>1</v>
      </c>
      <c r="E27" s="8">
        <v>1</v>
      </c>
      <c r="F27" s="8">
        <v>1</v>
      </c>
      <c r="G27" s="8">
        <v>1</v>
      </c>
      <c r="H27" s="8">
        <v>1</v>
      </c>
      <c r="I27" s="8">
        <v>1</v>
      </c>
      <c r="J27" s="10">
        <v>1</v>
      </c>
      <c r="K27" s="8">
        <v>1</v>
      </c>
      <c r="L27" s="43">
        <f t="shared" si="0"/>
        <v>6.6666666666666671E-3</v>
      </c>
      <c r="N27" s="1">
        <v>8</v>
      </c>
      <c r="O27" s="9">
        <v>1</v>
      </c>
      <c r="P27" s="8">
        <v>1</v>
      </c>
      <c r="Q27" s="8">
        <v>1</v>
      </c>
      <c r="R27" s="8">
        <v>1</v>
      </c>
      <c r="S27" s="8">
        <v>1</v>
      </c>
      <c r="T27" s="8">
        <v>1</v>
      </c>
      <c r="U27" s="8">
        <v>1</v>
      </c>
      <c r="V27" s="8">
        <v>1</v>
      </c>
      <c r="W27" s="10">
        <v>1</v>
      </c>
      <c r="X27" s="8">
        <v>1</v>
      </c>
      <c r="Y27" s="43">
        <f t="shared" si="1"/>
        <v>6.6666666666666671E-3</v>
      </c>
      <c r="AA27" s="1">
        <v>1</v>
      </c>
      <c r="AB27" s="9">
        <v>1</v>
      </c>
      <c r="AC27" s="8">
        <v>1</v>
      </c>
      <c r="AD27" s="8">
        <v>1</v>
      </c>
      <c r="AE27" s="8">
        <v>1</v>
      </c>
      <c r="AF27" s="8">
        <v>1</v>
      </c>
      <c r="AG27" s="8">
        <v>1</v>
      </c>
      <c r="AH27" s="8">
        <v>1</v>
      </c>
      <c r="AI27" s="8">
        <v>1</v>
      </c>
      <c r="AJ27" s="10">
        <v>1</v>
      </c>
      <c r="AK27" s="8">
        <v>1</v>
      </c>
      <c r="AL27" s="43">
        <f t="shared" si="2"/>
        <v>6.6666666666666671E-3</v>
      </c>
    </row>
    <row r="28" spans="1:38" x14ac:dyDescent="0.2">
      <c r="A28" s="1">
        <v>9</v>
      </c>
      <c r="B28" s="9">
        <v>1</v>
      </c>
      <c r="C28" s="8">
        <v>1</v>
      </c>
      <c r="D28" s="8">
        <v>1</v>
      </c>
      <c r="E28" s="8">
        <v>1</v>
      </c>
      <c r="F28" s="8">
        <v>1</v>
      </c>
      <c r="G28" s="8">
        <v>1</v>
      </c>
      <c r="H28" s="8">
        <v>1</v>
      </c>
      <c r="I28" s="8">
        <v>1</v>
      </c>
      <c r="J28" s="10">
        <v>1</v>
      </c>
      <c r="K28" s="8">
        <v>1</v>
      </c>
      <c r="L28" s="43">
        <f t="shared" si="0"/>
        <v>6.6666666666666671E-3</v>
      </c>
      <c r="N28" s="1">
        <v>9</v>
      </c>
      <c r="O28" s="9">
        <v>1</v>
      </c>
      <c r="P28" s="8">
        <v>1</v>
      </c>
      <c r="Q28" s="8">
        <v>1</v>
      </c>
      <c r="R28" s="8">
        <v>1</v>
      </c>
      <c r="S28" s="8">
        <v>1</v>
      </c>
      <c r="T28" s="8">
        <v>1</v>
      </c>
      <c r="U28" s="8">
        <v>1</v>
      </c>
      <c r="V28" s="8">
        <v>1</v>
      </c>
      <c r="W28" s="10">
        <v>1</v>
      </c>
      <c r="X28" s="8">
        <v>1</v>
      </c>
      <c r="Y28" s="43">
        <f t="shared" si="1"/>
        <v>6.6666666666666671E-3</v>
      </c>
      <c r="AA28" s="1">
        <v>1</v>
      </c>
      <c r="AB28" s="9">
        <v>1</v>
      </c>
      <c r="AC28" s="8">
        <v>1</v>
      </c>
      <c r="AD28" s="8">
        <v>1</v>
      </c>
      <c r="AE28" s="8">
        <v>1</v>
      </c>
      <c r="AF28" s="8">
        <v>1</v>
      </c>
      <c r="AG28" s="8">
        <v>1</v>
      </c>
      <c r="AH28" s="8">
        <v>1</v>
      </c>
      <c r="AI28" s="8">
        <v>1</v>
      </c>
      <c r="AJ28" s="10">
        <v>1</v>
      </c>
      <c r="AK28" s="8">
        <v>1</v>
      </c>
      <c r="AL28" s="43">
        <f t="shared" si="2"/>
        <v>6.6666666666666671E-3</v>
      </c>
    </row>
    <row r="29" spans="1:38" x14ac:dyDescent="0.2">
      <c r="A29" s="1">
        <v>10</v>
      </c>
      <c r="B29" s="9">
        <v>1</v>
      </c>
      <c r="C29" s="8">
        <v>1</v>
      </c>
      <c r="D29" s="8">
        <v>1</v>
      </c>
      <c r="E29" s="8">
        <v>1</v>
      </c>
      <c r="F29" s="8">
        <v>1</v>
      </c>
      <c r="G29" s="8">
        <v>1</v>
      </c>
      <c r="H29" s="8">
        <v>1</v>
      </c>
      <c r="I29" s="8">
        <v>1</v>
      </c>
      <c r="J29" s="10">
        <v>1</v>
      </c>
      <c r="K29" s="8">
        <v>1</v>
      </c>
      <c r="L29" s="43">
        <f t="shared" si="0"/>
        <v>6.6666666666666671E-3</v>
      </c>
      <c r="N29" s="1">
        <v>10</v>
      </c>
      <c r="O29" s="9">
        <v>1</v>
      </c>
      <c r="P29" s="8">
        <v>1</v>
      </c>
      <c r="Q29" s="8">
        <v>1</v>
      </c>
      <c r="R29" s="8">
        <v>1</v>
      </c>
      <c r="S29" s="8">
        <v>1</v>
      </c>
      <c r="T29" s="8">
        <v>1</v>
      </c>
      <c r="U29" s="8">
        <v>1</v>
      </c>
      <c r="V29" s="8">
        <v>1</v>
      </c>
      <c r="W29" s="10">
        <v>1</v>
      </c>
      <c r="X29" s="8">
        <v>1</v>
      </c>
      <c r="Y29" s="43">
        <f t="shared" si="1"/>
        <v>6.6666666666666671E-3</v>
      </c>
      <c r="AA29" s="1">
        <v>1</v>
      </c>
      <c r="AB29" s="9">
        <v>1</v>
      </c>
      <c r="AC29" s="8">
        <v>1</v>
      </c>
      <c r="AD29" s="8">
        <v>1</v>
      </c>
      <c r="AE29" s="8">
        <v>1</v>
      </c>
      <c r="AF29" s="8">
        <v>1</v>
      </c>
      <c r="AG29" s="8">
        <v>1</v>
      </c>
      <c r="AH29" s="8">
        <v>1</v>
      </c>
      <c r="AI29" s="8">
        <v>1</v>
      </c>
      <c r="AJ29" s="10">
        <v>1</v>
      </c>
      <c r="AK29" s="8">
        <v>1</v>
      </c>
      <c r="AL29" s="43">
        <f t="shared" si="2"/>
        <v>6.6666666666666671E-3</v>
      </c>
    </row>
    <row r="30" spans="1:38" x14ac:dyDescent="0.2">
      <c r="A30" s="1">
        <v>11</v>
      </c>
      <c r="B30" s="9">
        <v>1</v>
      </c>
      <c r="C30" s="8">
        <v>1</v>
      </c>
      <c r="D30" s="8">
        <v>1</v>
      </c>
      <c r="E30" s="8">
        <v>1</v>
      </c>
      <c r="F30" s="8">
        <v>1</v>
      </c>
      <c r="G30" s="8">
        <v>1</v>
      </c>
      <c r="H30" s="8">
        <v>1</v>
      </c>
      <c r="I30" s="8">
        <v>1</v>
      </c>
      <c r="J30" s="10">
        <v>1</v>
      </c>
      <c r="K30" s="8">
        <v>1</v>
      </c>
      <c r="L30" s="43">
        <f t="shared" si="0"/>
        <v>6.6666666666666671E-3</v>
      </c>
      <c r="N30" s="1">
        <v>11</v>
      </c>
      <c r="O30" s="9">
        <v>1</v>
      </c>
      <c r="P30" s="8">
        <v>1</v>
      </c>
      <c r="Q30" s="8">
        <v>1</v>
      </c>
      <c r="R30" s="8">
        <v>1</v>
      </c>
      <c r="S30" s="8">
        <v>1</v>
      </c>
      <c r="T30" s="8">
        <v>1</v>
      </c>
      <c r="U30" s="8">
        <v>1</v>
      </c>
      <c r="V30" s="8">
        <v>1</v>
      </c>
      <c r="W30" s="10">
        <v>1</v>
      </c>
      <c r="X30" s="8">
        <v>1</v>
      </c>
      <c r="Y30" s="43">
        <f t="shared" si="1"/>
        <v>6.6666666666666671E-3</v>
      </c>
      <c r="AA30" s="1">
        <v>1</v>
      </c>
      <c r="AB30" s="9">
        <v>1</v>
      </c>
      <c r="AC30" s="8">
        <v>1</v>
      </c>
      <c r="AD30" s="8">
        <v>1</v>
      </c>
      <c r="AE30" s="8">
        <v>1</v>
      </c>
      <c r="AF30" s="8">
        <v>1</v>
      </c>
      <c r="AG30" s="8">
        <v>1</v>
      </c>
      <c r="AH30" s="8">
        <v>1</v>
      </c>
      <c r="AI30" s="8">
        <v>1</v>
      </c>
      <c r="AJ30" s="10">
        <v>1</v>
      </c>
      <c r="AK30" s="8">
        <v>1</v>
      </c>
      <c r="AL30" s="43">
        <f t="shared" si="2"/>
        <v>6.6666666666666671E-3</v>
      </c>
    </row>
    <row r="31" spans="1:38" x14ac:dyDescent="0.2">
      <c r="A31" s="1">
        <v>12</v>
      </c>
      <c r="B31" s="9">
        <v>1</v>
      </c>
      <c r="C31" s="8">
        <v>1</v>
      </c>
      <c r="D31" s="8">
        <v>1</v>
      </c>
      <c r="E31" s="8">
        <v>1</v>
      </c>
      <c r="F31" s="8">
        <v>1</v>
      </c>
      <c r="G31" s="8">
        <v>1</v>
      </c>
      <c r="H31" s="8">
        <v>1</v>
      </c>
      <c r="I31" s="8">
        <v>1</v>
      </c>
      <c r="J31" s="10">
        <v>1</v>
      </c>
      <c r="K31" s="8">
        <v>1</v>
      </c>
      <c r="L31" s="43">
        <f t="shared" si="0"/>
        <v>6.6666666666666671E-3</v>
      </c>
      <c r="N31" s="1">
        <v>12</v>
      </c>
      <c r="O31" s="9">
        <v>1</v>
      </c>
      <c r="P31" s="8">
        <v>1</v>
      </c>
      <c r="Q31" s="8">
        <v>1</v>
      </c>
      <c r="R31" s="8">
        <v>1</v>
      </c>
      <c r="S31" s="8">
        <v>1</v>
      </c>
      <c r="T31" s="8">
        <v>1</v>
      </c>
      <c r="U31" s="8">
        <v>1</v>
      </c>
      <c r="V31" s="8">
        <v>1</v>
      </c>
      <c r="W31" s="10">
        <v>1</v>
      </c>
      <c r="X31" s="8">
        <v>1</v>
      </c>
      <c r="Y31" s="43">
        <f t="shared" si="1"/>
        <v>6.6666666666666671E-3</v>
      </c>
      <c r="AA31" s="1">
        <v>1</v>
      </c>
      <c r="AB31" s="9">
        <v>1</v>
      </c>
      <c r="AC31" s="8">
        <v>1</v>
      </c>
      <c r="AD31" s="8">
        <v>1</v>
      </c>
      <c r="AE31" s="8">
        <v>1</v>
      </c>
      <c r="AF31" s="8">
        <v>1</v>
      </c>
      <c r="AG31" s="8">
        <v>1</v>
      </c>
      <c r="AH31" s="8">
        <v>1</v>
      </c>
      <c r="AI31" s="8">
        <v>1</v>
      </c>
      <c r="AJ31" s="10">
        <v>1</v>
      </c>
      <c r="AK31" s="8">
        <v>1</v>
      </c>
      <c r="AL31" s="43">
        <f t="shared" si="2"/>
        <v>6.6666666666666671E-3</v>
      </c>
    </row>
    <row r="32" spans="1:38" x14ac:dyDescent="0.2">
      <c r="A32" s="1">
        <v>13</v>
      </c>
      <c r="B32" s="9">
        <v>1</v>
      </c>
      <c r="C32" s="8">
        <v>1</v>
      </c>
      <c r="D32" s="8">
        <v>1</v>
      </c>
      <c r="E32" s="8">
        <v>1</v>
      </c>
      <c r="F32" s="8">
        <v>1</v>
      </c>
      <c r="G32" s="8">
        <v>1</v>
      </c>
      <c r="H32" s="8">
        <v>1</v>
      </c>
      <c r="I32" s="8">
        <v>1</v>
      </c>
      <c r="J32" s="10">
        <v>1</v>
      </c>
      <c r="K32" s="8">
        <v>1</v>
      </c>
      <c r="L32" s="43">
        <f t="shared" si="0"/>
        <v>6.6666666666666671E-3</v>
      </c>
      <c r="N32" s="1">
        <v>13</v>
      </c>
      <c r="O32" s="9">
        <v>1</v>
      </c>
      <c r="P32" s="8">
        <v>1</v>
      </c>
      <c r="Q32" s="8">
        <v>1</v>
      </c>
      <c r="R32" s="8">
        <v>1</v>
      </c>
      <c r="S32" s="8">
        <v>1</v>
      </c>
      <c r="T32" s="8">
        <v>1</v>
      </c>
      <c r="U32" s="8">
        <v>1</v>
      </c>
      <c r="V32" s="8">
        <v>1</v>
      </c>
      <c r="W32" s="10">
        <v>1</v>
      </c>
      <c r="X32" s="8">
        <v>1</v>
      </c>
      <c r="Y32" s="43">
        <f t="shared" si="1"/>
        <v>6.6666666666666671E-3</v>
      </c>
      <c r="AA32" s="1">
        <v>1</v>
      </c>
      <c r="AB32" s="9">
        <v>1</v>
      </c>
      <c r="AC32" s="8">
        <v>1</v>
      </c>
      <c r="AD32" s="8">
        <v>1</v>
      </c>
      <c r="AE32" s="8">
        <v>1</v>
      </c>
      <c r="AF32" s="8">
        <v>1</v>
      </c>
      <c r="AG32" s="8">
        <v>1</v>
      </c>
      <c r="AH32" s="8">
        <v>1</v>
      </c>
      <c r="AI32" s="8">
        <v>1</v>
      </c>
      <c r="AJ32" s="10">
        <v>1</v>
      </c>
      <c r="AK32" s="8">
        <v>1</v>
      </c>
      <c r="AL32" s="43">
        <f t="shared" si="2"/>
        <v>6.6666666666666671E-3</v>
      </c>
    </row>
    <row r="33" spans="1:38" x14ac:dyDescent="0.2">
      <c r="A33" s="1">
        <v>14</v>
      </c>
      <c r="B33" s="9">
        <v>1</v>
      </c>
      <c r="C33" s="8">
        <v>1</v>
      </c>
      <c r="D33" s="8">
        <v>1</v>
      </c>
      <c r="E33" s="8">
        <v>1</v>
      </c>
      <c r="F33" s="8">
        <v>1</v>
      </c>
      <c r="G33" s="8">
        <v>1</v>
      </c>
      <c r="H33" s="8">
        <v>1</v>
      </c>
      <c r="I33" s="8">
        <v>1</v>
      </c>
      <c r="J33" s="10">
        <v>1</v>
      </c>
      <c r="K33" s="8">
        <v>1</v>
      </c>
      <c r="L33" s="43">
        <f t="shared" si="0"/>
        <v>6.6666666666666671E-3</v>
      </c>
      <c r="N33" s="1">
        <v>14</v>
      </c>
      <c r="O33" s="9">
        <v>1</v>
      </c>
      <c r="P33" s="8">
        <v>1</v>
      </c>
      <c r="Q33" s="8">
        <v>1</v>
      </c>
      <c r="R33" s="8">
        <v>1</v>
      </c>
      <c r="S33" s="8">
        <v>1</v>
      </c>
      <c r="T33" s="8">
        <v>1</v>
      </c>
      <c r="U33" s="8">
        <v>1</v>
      </c>
      <c r="V33" s="8">
        <v>1</v>
      </c>
      <c r="W33" s="10">
        <v>1</v>
      </c>
      <c r="X33" s="8">
        <v>1</v>
      </c>
      <c r="Y33" s="43">
        <f t="shared" si="1"/>
        <v>6.6666666666666671E-3</v>
      </c>
      <c r="AA33" s="1">
        <v>1</v>
      </c>
      <c r="AB33" s="9">
        <v>1</v>
      </c>
      <c r="AC33" s="8">
        <v>1</v>
      </c>
      <c r="AD33" s="8">
        <v>1</v>
      </c>
      <c r="AE33" s="8">
        <v>1</v>
      </c>
      <c r="AF33" s="8">
        <v>1</v>
      </c>
      <c r="AG33" s="8">
        <v>1</v>
      </c>
      <c r="AH33" s="8">
        <v>1</v>
      </c>
      <c r="AI33" s="8">
        <v>1</v>
      </c>
      <c r="AJ33" s="10">
        <v>1</v>
      </c>
      <c r="AK33" s="8">
        <v>1</v>
      </c>
      <c r="AL33" s="43">
        <f t="shared" si="2"/>
        <v>6.6666666666666671E-3</v>
      </c>
    </row>
    <row r="34" spans="1:38" x14ac:dyDescent="0.2">
      <c r="A34" s="1">
        <v>15</v>
      </c>
      <c r="B34" s="9">
        <v>1</v>
      </c>
      <c r="C34" s="8">
        <v>1</v>
      </c>
      <c r="D34" s="8">
        <v>1</v>
      </c>
      <c r="E34" s="8">
        <v>1</v>
      </c>
      <c r="F34" s="8">
        <v>1</v>
      </c>
      <c r="G34" s="8">
        <v>1</v>
      </c>
      <c r="H34" s="8">
        <v>1</v>
      </c>
      <c r="I34" s="8">
        <v>1</v>
      </c>
      <c r="J34" s="10">
        <v>1</v>
      </c>
      <c r="K34" s="8">
        <v>1</v>
      </c>
      <c r="L34" s="43">
        <f t="shared" si="0"/>
        <v>6.6666666666666671E-3</v>
      </c>
      <c r="N34" s="1">
        <v>15</v>
      </c>
      <c r="O34" s="9">
        <v>1</v>
      </c>
      <c r="P34" s="8">
        <v>1</v>
      </c>
      <c r="Q34" s="8">
        <v>1</v>
      </c>
      <c r="R34" s="8">
        <v>1</v>
      </c>
      <c r="S34" s="8">
        <v>1</v>
      </c>
      <c r="T34" s="8">
        <v>1</v>
      </c>
      <c r="U34" s="8">
        <v>1</v>
      </c>
      <c r="V34" s="8">
        <v>1</v>
      </c>
      <c r="W34" s="10">
        <v>1</v>
      </c>
      <c r="X34" s="8">
        <v>1</v>
      </c>
      <c r="Y34" s="43">
        <f t="shared" si="1"/>
        <v>6.6666666666666671E-3</v>
      </c>
      <c r="AA34" s="1">
        <v>1</v>
      </c>
      <c r="AB34" s="9">
        <v>1</v>
      </c>
      <c r="AC34" s="8">
        <v>1</v>
      </c>
      <c r="AD34" s="8">
        <v>1</v>
      </c>
      <c r="AE34" s="8">
        <v>1</v>
      </c>
      <c r="AF34" s="8">
        <v>1</v>
      </c>
      <c r="AG34" s="8">
        <v>1</v>
      </c>
      <c r="AH34" s="8">
        <v>1</v>
      </c>
      <c r="AI34" s="8">
        <v>1</v>
      </c>
      <c r="AJ34" s="10">
        <v>1</v>
      </c>
      <c r="AK34" s="8">
        <v>1</v>
      </c>
      <c r="AL34" s="43">
        <f t="shared" si="2"/>
        <v>6.6666666666666671E-3</v>
      </c>
    </row>
    <row r="35" spans="1:38" x14ac:dyDescent="0.2">
      <c r="A35" s="1">
        <v>16</v>
      </c>
      <c r="B35" s="9">
        <v>1</v>
      </c>
      <c r="C35" s="8">
        <v>1</v>
      </c>
      <c r="D35" s="8">
        <v>1</v>
      </c>
      <c r="E35" s="8">
        <v>1</v>
      </c>
      <c r="F35" s="8">
        <v>1</v>
      </c>
      <c r="G35" s="8">
        <v>1</v>
      </c>
      <c r="H35" s="8">
        <v>1</v>
      </c>
      <c r="I35" s="8">
        <v>1</v>
      </c>
      <c r="J35" s="10">
        <v>1</v>
      </c>
      <c r="K35" s="8">
        <v>1</v>
      </c>
      <c r="L35" s="43">
        <f t="shared" si="0"/>
        <v>6.6666666666666671E-3</v>
      </c>
      <c r="N35" s="1">
        <v>16</v>
      </c>
      <c r="O35" s="9">
        <v>1</v>
      </c>
      <c r="P35" s="8">
        <v>1</v>
      </c>
      <c r="Q35" s="8">
        <v>1</v>
      </c>
      <c r="R35" s="8">
        <v>1</v>
      </c>
      <c r="S35" s="8">
        <v>1</v>
      </c>
      <c r="T35" s="8">
        <v>1</v>
      </c>
      <c r="U35" s="8">
        <v>1</v>
      </c>
      <c r="V35" s="8">
        <v>1</v>
      </c>
      <c r="W35" s="10">
        <v>1</v>
      </c>
      <c r="X35" s="8">
        <v>1</v>
      </c>
      <c r="Y35" s="43">
        <f t="shared" si="1"/>
        <v>6.6666666666666671E-3</v>
      </c>
      <c r="AA35" s="1">
        <v>1</v>
      </c>
      <c r="AB35" s="9">
        <v>1</v>
      </c>
      <c r="AC35" s="8">
        <v>1</v>
      </c>
      <c r="AD35" s="8">
        <v>1</v>
      </c>
      <c r="AE35" s="8">
        <v>1</v>
      </c>
      <c r="AF35" s="8">
        <v>1</v>
      </c>
      <c r="AG35" s="8">
        <v>1</v>
      </c>
      <c r="AH35" s="8">
        <v>1</v>
      </c>
      <c r="AI35" s="8">
        <v>1</v>
      </c>
      <c r="AJ35" s="10">
        <v>1</v>
      </c>
      <c r="AK35" s="8">
        <v>1</v>
      </c>
      <c r="AL35" s="43">
        <f t="shared" si="2"/>
        <v>6.6666666666666671E-3</v>
      </c>
    </row>
    <row r="36" spans="1:38" x14ac:dyDescent="0.2">
      <c r="A36" s="1">
        <v>17</v>
      </c>
      <c r="B36" s="9">
        <v>1</v>
      </c>
      <c r="C36" s="8">
        <v>1</v>
      </c>
      <c r="D36" s="8">
        <v>1</v>
      </c>
      <c r="E36" s="8">
        <v>1</v>
      </c>
      <c r="F36" s="8">
        <v>1</v>
      </c>
      <c r="G36" s="8">
        <v>1</v>
      </c>
      <c r="H36" s="8">
        <v>1</v>
      </c>
      <c r="I36" s="8">
        <v>1</v>
      </c>
      <c r="J36" s="10">
        <v>1</v>
      </c>
      <c r="K36" s="8">
        <v>1</v>
      </c>
      <c r="L36" s="43">
        <f t="shared" si="0"/>
        <v>6.6666666666666671E-3</v>
      </c>
      <c r="N36" s="1">
        <v>17</v>
      </c>
      <c r="O36" s="9">
        <v>1</v>
      </c>
      <c r="P36" s="8">
        <v>1</v>
      </c>
      <c r="Q36" s="8">
        <v>1</v>
      </c>
      <c r="R36" s="8">
        <v>1</v>
      </c>
      <c r="S36" s="8">
        <v>1</v>
      </c>
      <c r="T36" s="8">
        <v>1</v>
      </c>
      <c r="U36" s="8">
        <v>1</v>
      </c>
      <c r="V36" s="8">
        <v>1</v>
      </c>
      <c r="W36" s="10">
        <v>1</v>
      </c>
      <c r="X36" s="8">
        <v>1</v>
      </c>
      <c r="Y36" s="43">
        <f t="shared" si="1"/>
        <v>6.6666666666666671E-3</v>
      </c>
      <c r="AA36" s="1">
        <v>1</v>
      </c>
      <c r="AB36" s="9">
        <v>1</v>
      </c>
      <c r="AC36" s="8">
        <v>1</v>
      </c>
      <c r="AD36" s="8">
        <v>1</v>
      </c>
      <c r="AE36" s="8">
        <v>1</v>
      </c>
      <c r="AF36" s="8">
        <v>1</v>
      </c>
      <c r="AG36" s="8">
        <v>1</v>
      </c>
      <c r="AH36" s="8">
        <v>1</v>
      </c>
      <c r="AI36" s="8">
        <v>1</v>
      </c>
      <c r="AJ36" s="10">
        <v>1</v>
      </c>
      <c r="AK36" s="8">
        <v>1</v>
      </c>
      <c r="AL36" s="43">
        <f t="shared" si="2"/>
        <v>6.6666666666666671E-3</v>
      </c>
    </row>
    <row r="37" spans="1:38" x14ac:dyDescent="0.2">
      <c r="A37" s="1">
        <v>18</v>
      </c>
      <c r="B37" s="9">
        <v>1</v>
      </c>
      <c r="C37" s="8">
        <v>1</v>
      </c>
      <c r="D37" s="8">
        <v>1</v>
      </c>
      <c r="E37" s="8">
        <v>1</v>
      </c>
      <c r="F37" s="8">
        <v>1</v>
      </c>
      <c r="G37" s="8">
        <v>1</v>
      </c>
      <c r="H37" s="8">
        <v>1</v>
      </c>
      <c r="I37" s="8">
        <v>1</v>
      </c>
      <c r="J37" s="10">
        <v>1</v>
      </c>
      <c r="K37" s="8">
        <v>1</v>
      </c>
      <c r="L37" s="43">
        <f t="shared" si="0"/>
        <v>6.6666666666666671E-3</v>
      </c>
      <c r="N37" s="1">
        <v>18</v>
      </c>
      <c r="O37" s="9">
        <v>1</v>
      </c>
      <c r="P37" s="8">
        <v>1</v>
      </c>
      <c r="Q37" s="8">
        <v>1</v>
      </c>
      <c r="R37" s="8">
        <v>1</v>
      </c>
      <c r="S37" s="8">
        <v>1</v>
      </c>
      <c r="T37" s="8">
        <v>1</v>
      </c>
      <c r="U37" s="8">
        <v>1</v>
      </c>
      <c r="V37" s="8">
        <v>1</v>
      </c>
      <c r="W37" s="10">
        <v>1</v>
      </c>
      <c r="X37" s="8">
        <v>1</v>
      </c>
      <c r="Y37" s="43">
        <f t="shared" si="1"/>
        <v>6.6666666666666671E-3</v>
      </c>
      <c r="AA37" s="1">
        <v>1</v>
      </c>
      <c r="AB37" s="9">
        <v>1</v>
      </c>
      <c r="AC37" s="8">
        <v>1</v>
      </c>
      <c r="AD37" s="8">
        <v>1</v>
      </c>
      <c r="AE37" s="8">
        <v>1</v>
      </c>
      <c r="AF37" s="8">
        <v>1</v>
      </c>
      <c r="AG37" s="8">
        <v>1</v>
      </c>
      <c r="AH37" s="8">
        <v>1</v>
      </c>
      <c r="AI37" s="8">
        <v>1</v>
      </c>
      <c r="AJ37" s="10">
        <v>1</v>
      </c>
      <c r="AK37" s="8">
        <v>1</v>
      </c>
      <c r="AL37" s="43">
        <f t="shared" si="2"/>
        <v>6.6666666666666671E-3</v>
      </c>
    </row>
    <row r="38" spans="1:38" x14ac:dyDescent="0.2">
      <c r="A38" s="1">
        <v>19</v>
      </c>
      <c r="B38" s="9">
        <v>1</v>
      </c>
      <c r="C38" s="8">
        <v>1</v>
      </c>
      <c r="D38" s="8">
        <v>1</v>
      </c>
      <c r="E38" s="8">
        <v>1</v>
      </c>
      <c r="F38" s="8">
        <v>1</v>
      </c>
      <c r="G38" s="8">
        <v>1</v>
      </c>
      <c r="H38" s="8">
        <v>1</v>
      </c>
      <c r="I38" s="8">
        <v>1</v>
      </c>
      <c r="J38" s="10">
        <v>1</v>
      </c>
      <c r="K38" s="8">
        <v>1</v>
      </c>
      <c r="L38" s="43">
        <f t="shared" si="0"/>
        <v>6.6666666666666671E-3</v>
      </c>
      <c r="N38" s="1">
        <v>19</v>
      </c>
      <c r="O38" s="9">
        <v>1</v>
      </c>
      <c r="P38" s="8">
        <v>1</v>
      </c>
      <c r="Q38" s="8">
        <v>1</v>
      </c>
      <c r="R38" s="8">
        <v>1</v>
      </c>
      <c r="S38" s="8">
        <v>1</v>
      </c>
      <c r="T38" s="8">
        <v>1</v>
      </c>
      <c r="U38" s="8">
        <v>1</v>
      </c>
      <c r="V38" s="8">
        <v>1</v>
      </c>
      <c r="W38" s="10">
        <v>1</v>
      </c>
      <c r="X38" s="8">
        <v>1</v>
      </c>
      <c r="Y38" s="43">
        <f t="shared" si="1"/>
        <v>6.6666666666666671E-3</v>
      </c>
      <c r="AA38" s="1">
        <v>1</v>
      </c>
      <c r="AB38" s="9">
        <v>1</v>
      </c>
      <c r="AC38" s="8">
        <v>1</v>
      </c>
      <c r="AD38" s="8">
        <v>1</v>
      </c>
      <c r="AE38" s="8">
        <v>1</v>
      </c>
      <c r="AF38" s="8">
        <v>1</v>
      </c>
      <c r="AG38" s="8">
        <v>1</v>
      </c>
      <c r="AH38" s="8">
        <v>1</v>
      </c>
      <c r="AI38" s="8">
        <v>1</v>
      </c>
      <c r="AJ38" s="10">
        <v>1</v>
      </c>
      <c r="AK38" s="8">
        <v>1</v>
      </c>
      <c r="AL38" s="43">
        <f t="shared" si="2"/>
        <v>6.6666666666666671E-3</v>
      </c>
    </row>
    <row r="39" spans="1:38" x14ac:dyDescent="0.2">
      <c r="A39" s="1">
        <v>20</v>
      </c>
      <c r="B39" s="9">
        <v>1</v>
      </c>
      <c r="C39" s="8">
        <v>1</v>
      </c>
      <c r="D39" s="8">
        <v>1</v>
      </c>
      <c r="E39" s="8">
        <v>1</v>
      </c>
      <c r="F39" s="8">
        <v>1</v>
      </c>
      <c r="G39" s="8">
        <v>1</v>
      </c>
      <c r="H39" s="8">
        <v>1</v>
      </c>
      <c r="I39" s="8">
        <v>1</v>
      </c>
      <c r="J39" s="10">
        <v>1</v>
      </c>
      <c r="K39" s="8">
        <v>1</v>
      </c>
      <c r="L39" s="43">
        <f t="shared" si="0"/>
        <v>6.6666666666666671E-3</v>
      </c>
      <c r="N39" s="1">
        <v>20</v>
      </c>
      <c r="O39" s="9">
        <v>1</v>
      </c>
      <c r="P39" s="8">
        <v>1</v>
      </c>
      <c r="Q39" s="8">
        <v>1</v>
      </c>
      <c r="R39" s="8">
        <v>1</v>
      </c>
      <c r="S39" s="8">
        <v>1</v>
      </c>
      <c r="T39" s="8">
        <v>1</v>
      </c>
      <c r="U39" s="8">
        <v>1</v>
      </c>
      <c r="V39" s="8">
        <v>1</v>
      </c>
      <c r="W39" s="10">
        <v>1</v>
      </c>
      <c r="X39" s="8">
        <v>1</v>
      </c>
      <c r="Y39" s="43">
        <f t="shared" si="1"/>
        <v>6.6666666666666671E-3</v>
      </c>
      <c r="AA39" s="1">
        <v>1</v>
      </c>
      <c r="AB39" s="9">
        <v>1</v>
      </c>
      <c r="AC39" s="8">
        <v>1</v>
      </c>
      <c r="AD39" s="8">
        <v>1</v>
      </c>
      <c r="AE39" s="8">
        <v>1</v>
      </c>
      <c r="AF39" s="8">
        <v>1</v>
      </c>
      <c r="AG39" s="8">
        <v>1</v>
      </c>
      <c r="AH39" s="8">
        <v>1</v>
      </c>
      <c r="AI39" s="8">
        <v>1</v>
      </c>
      <c r="AJ39" s="10">
        <v>1</v>
      </c>
      <c r="AK39" s="8">
        <v>1</v>
      </c>
      <c r="AL39" s="43">
        <f t="shared" si="2"/>
        <v>6.6666666666666671E-3</v>
      </c>
    </row>
    <row r="40" spans="1:38" x14ac:dyDescent="0.2">
      <c r="A40" s="1">
        <v>21</v>
      </c>
      <c r="B40" s="9">
        <v>1</v>
      </c>
      <c r="C40" s="8">
        <v>1</v>
      </c>
      <c r="D40" s="8">
        <v>1</v>
      </c>
      <c r="E40" s="8">
        <v>1</v>
      </c>
      <c r="F40" s="8">
        <v>1</v>
      </c>
      <c r="G40" s="8">
        <v>1</v>
      </c>
      <c r="H40" s="8">
        <v>1</v>
      </c>
      <c r="I40" s="8">
        <v>1</v>
      </c>
      <c r="J40" s="10">
        <v>1</v>
      </c>
      <c r="K40" s="8">
        <v>1</v>
      </c>
      <c r="L40" s="43">
        <f t="shared" si="0"/>
        <v>6.6666666666666671E-3</v>
      </c>
      <c r="N40" s="1">
        <v>21</v>
      </c>
      <c r="O40" s="9">
        <v>1</v>
      </c>
      <c r="P40" s="8">
        <v>1</v>
      </c>
      <c r="Q40" s="8">
        <v>1</v>
      </c>
      <c r="R40" s="8">
        <v>1</v>
      </c>
      <c r="S40" s="8">
        <v>1</v>
      </c>
      <c r="T40" s="8">
        <v>1</v>
      </c>
      <c r="U40" s="8">
        <v>1</v>
      </c>
      <c r="V40" s="8">
        <v>1</v>
      </c>
      <c r="W40" s="10">
        <v>1</v>
      </c>
      <c r="X40" s="8">
        <v>1</v>
      </c>
      <c r="Y40" s="43">
        <f t="shared" si="1"/>
        <v>6.6666666666666671E-3</v>
      </c>
      <c r="AA40" s="1">
        <v>1</v>
      </c>
      <c r="AB40" s="9">
        <v>1</v>
      </c>
      <c r="AC40" s="8">
        <v>1</v>
      </c>
      <c r="AD40" s="8">
        <v>1</v>
      </c>
      <c r="AE40" s="8">
        <v>1</v>
      </c>
      <c r="AF40" s="8">
        <v>1</v>
      </c>
      <c r="AG40" s="8">
        <v>1</v>
      </c>
      <c r="AH40" s="8">
        <v>1</v>
      </c>
      <c r="AI40" s="8">
        <v>1</v>
      </c>
      <c r="AJ40" s="10">
        <v>1</v>
      </c>
      <c r="AK40" s="8">
        <v>1</v>
      </c>
      <c r="AL40" s="43">
        <f t="shared" si="2"/>
        <v>6.6666666666666671E-3</v>
      </c>
    </row>
    <row r="41" spans="1:38" x14ac:dyDescent="0.2">
      <c r="A41" s="1">
        <v>22</v>
      </c>
      <c r="B41" s="9">
        <v>1</v>
      </c>
      <c r="C41" s="8">
        <v>1</v>
      </c>
      <c r="D41" s="8">
        <v>1</v>
      </c>
      <c r="E41" s="8">
        <v>1</v>
      </c>
      <c r="F41" s="8">
        <v>1</v>
      </c>
      <c r="G41" s="8">
        <v>1</v>
      </c>
      <c r="H41" s="8">
        <v>1</v>
      </c>
      <c r="I41" s="8">
        <v>1</v>
      </c>
      <c r="J41" s="10">
        <v>1</v>
      </c>
      <c r="K41" s="8">
        <v>1</v>
      </c>
      <c r="L41" s="43">
        <f t="shared" si="0"/>
        <v>6.6666666666666671E-3</v>
      </c>
      <c r="N41" s="1">
        <v>22</v>
      </c>
      <c r="O41" s="9">
        <v>1</v>
      </c>
      <c r="P41" s="8">
        <v>1</v>
      </c>
      <c r="Q41" s="8">
        <v>1</v>
      </c>
      <c r="R41" s="8">
        <v>1</v>
      </c>
      <c r="S41" s="8">
        <v>1</v>
      </c>
      <c r="T41" s="8">
        <v>1</v>
      </c>
      <c r="U41" s="8">
        <v>1</v>
      </c>
      <c r="V41" s="8">
        <v>1</v>
      </c>
      <c r="W41" s="10">
        <v>1</v>
      </c>
      <c r="X41" s="8">
        <v>1</v>
      </c>
      <c r="Y41" s="43">
        <f t="shared" si="1"/>
        <v>6.6666666666666671E-3</v>
      </c>
      <c r="AA41" s="1">
        <v>1</v>
      </c>
      <c r="AB41" s="9">
        <v>1</v>
      </c>
      <c r="AC41" s="8">
        <v>1</v>
      </c>
      <c r="AD41" s="8">
        <v>1</v>
      </c>
      <c r="AE41" s="8">
        <v>1</v>
      </c>
      <c r="AF41" s="8">
        <v>1</v>
      </c>
      <c r="AG41" s="8">
        <v>1</v>
      </c>
      <c r="AH41" s="8">
        <v>1</v>
      </c>
      <c r="AI41" s="8">
        <v>1</v>
      </c>
      <c r="AJ41" s="10">
        <v>1</v>
      </c>
      <c r="AK41" s="8">
        <v>1</v>
      </c>
      <c r="AL41" s="43">
        <f t="shared" si="2"/>
        <v>6.6666666666666671E-3</v>
      </c>
    </row>
    <row r="42" spans="1:38" x14ac:dyDescent="0.2">
      <c r="A42" s="1">
        <v>23</v>
      </c>
      <c r="B42" s="9">
        <v>1</v>
      </c>
      <c r="C42" s="8">
        <v>1</v>
      </c>
      <c r="D42" s="8">
        <v>1</v>
      </c>
      <c r="E42" s="8">
        <v>1</v>
      </c>
      <c r="F42" s="8">
        <v>1</v>
      </c>
      <c r="G42" s="8">
        <v>1</v>
      </c>
      <c r="H42" s="8">
        <v>1</v>
      </c>
      <c r="I42" s="8">
        <v>1</v>
      </c>
      <c r="J42" s="10">
        <v>1</v>
      </c>
      <c r="K42" s="8">
        <v>1</v>
      </c>
      <c r="L42" s="43">
        <f t="shared" si="0"/>
        <v>6.6666666666666671E-3</v>
      </c>
      <c r="N42" s="1">
        <v>23</v>
      </c>
      <c r="O42" s="9">
        <v>1</v>
      </c>
      <c r="P42" s="8">
        <v>1</v>
      </c>
      <c r="Q42" s="8">
        <v>1</v>
      </c>
      <c r="R42" s="8">
        <v>1</v>
      </c>
      <c r="S42" s="8">
        <v>1</v>
      </c>
      <c r="T42" s="8">
        <v>1</v>
      </c>
      <c r="U42" s="8">
        <v>1</v>
      </c>
      <c r="V42" s="8">
        <v>1</v>
      </c>
      <c r="W42" s="10">
        <v>1</v>
      </c>
      <c r="X42" s="8">
        <v>1</v>
      </c>
      <c r="Y42" s="43">
        <f t="shared" si="1"/>
        <v>6.6666666666666671E-3</v>
      </c>
      <c r="AA42" s="1">
        <v>1</v>
      </c>
      <c r="AB42" s="9">
        <v>1</v>
      </c>
      <c r="AC42" s="8">
        <v>1</v>
      </c>
      <c r="AD42" s="8">
        <v>1</v>
      </c>
      <c r="AE42" s="8">
        <v>1</v>
      </c>
      <c r="AF42" s="8">
        <v>1</v>
      </c>
      <c r="AG42" s="8">
        <v>1</v>
      </c>
      <c r="AH42" s="8">
        <v>1</v>
      </c>
      <c r="AI42" s="8">
        <v>1</v>
      </c>
      <c r="AJ42" s="10">
        <v>1</v>
      </c>
      <c r="AK42" s="8">
        <v>1</v>
      </c>
      <c r="AL42" s="43">
        <f t="shared" si="2"/>
        <v>6.6666666666666671E-3</v>
      </c>
    </row>
    <row r="43" spans="1:38" x14ac:dyDescent="0.2">
      <c r="A43" s="1">
        <v>24</v>
      </c>
      <c r="B43" s="9">
        <v>1</v>
      </c>
      <c r="C43" s="8">
        <v>1</v>
      </c>
      <c r="D43" s="8">
        <v>1</v>
      </c>
      <c r="E43" s="8">
        <v>1</v>
      </c>
      <c r="F43" s="8">
        <v>1</v>
      </c>
      <c r="G43" s="8">
        <v>1</v>
      </c>
      <c r="H43" s="8">
        <v>1</v>
      </c>
      <c r="I43" s="8">
        <v>1</v>
      </c>
      <c r="J43" s="10">
        <v>1</v>
      </c>
      <c r="K43" s="8">
        <v>1</v>
      </c>
      <c r="L43" s="43">
        <f t="shared" si="0"/>
        <v>6.6666666666666671E-3</v>
      </c>
      <c r="N43" s="1">
        <v>24</v>
      </c>
      <c r="O43" s="9">
        <v>1</v>
      </c>
      <c r="P43" s="8">
        <v>1</v>
      </c>
      <c r="Q43" s="8">
        <v>1</v>
      </c>
      <c r="R43" s="8">
        <v>1</v>
      </c>
      <c r="S43" s="8">
        <v>1</v>
      </c>
      <c r="T43" s="8">
        <v>1</v>
      </c>
      <c r="U43" s="8">
        <v>1</v>
      </c>
      <c r="V43" s="8">
        <v>1</v>
      </c>
      <c r="W43" s="10">
        <v>1</v>
      </c>
      <c r="X43" s="8">
        <v>1</v>
      </c>
      <c r="Y43" s="43">
        <f t="shared" si="1"/>
        <v>6.6666666666666671E-3</v>
      </c>
      <c r="AA43" s="1">
        <v>1</v>
      </c>
      <c r="AB43" s="9">
        <v>1</v>
      </c>
      <c r="AC43" s="8">
        <v>1</v>
      </c>
      <c r="AD43" s="8">
        <v>1</v>
      </c>
      <c r="AE43" s="8">
        <v>1</v>
      </c>
      <c r="AF43" s="8">
        <v>1</v>
      </c>
      <c r="AG43" s="8">
        <v>1</v>
      </c>
      <c r="AH43" s="8">
        <v>1</v>
      </c>
      <c r="AI43" s="8">
        <v>1</v>
      </c>
      <c r="AJ43" s="10">
        <v>1</v>
      </c>
      <c r="AK43" s="8">
        <v>1</v>
      </c>
      <c r="AL43" s="43">
        <f t="shared" si="2"/>
        <v>6.6666666666666671E-3</v>
      </c>
    </row>
    <row r="44" spans="1:38" x14ac:dyDescent="0.2">
      <c r="A44" s="1">
        <v>25</v>
      </c>
      <c r="B44" s="9">
        <v>1</v>
      </c>
      <c r="C44" s="8">
        <v>1</v>
      </c>
      <c r="D44" s="8">
        <v>1</v>
      </c>
      <c r="E44" s="8">
        <v>1</v>
      </c>
      <c r="F44" s="8">
        <v>1</v>
      </c>
      <c r="G44" s="8">
        <v>1</v>
      </c>
      <c r="H44" s="8">
        <v>1</v>
      </c>
      <c r="I44" s="8">
        <v>1</v>
      </c>
      <c r="J44" s="10">
        <v>1</v>
      </c>
      <c r="K44" s="8">
        <v>1</v>
      </c>
      <c r="L44" s="43">
        <f t="shared" si="0"/>
        <v>6.6666666666666671E-3</v>
      </c>
      <c r="N44" s="1">
        <v>25</v>
      </c>
      <c r="O44" s="9">
        <v>1</v>
      </c>
      <c r="P44" s="8">
        <v>1</v>
      </c>
      <c r="Q44" s="8">
        <v>1</v>
      </c>
      <c r="R44" s="8">
        <v>1</v>
      </c>
      <c r="S44" s="8">
        <v>1</v>
      </c>
      <c r="T44" s="8">
        <v>1</v>
      </c>
      <c r="U44" s="8">
        <v>1</v>
      </c>
      <c r="V44" s="8">
        <v>1</v>
      </c>
      <c r="W44" s="10">
        <v>1</v>
      </c>
      <c r="X44" s="8">
        <v>1</v>
      </c>
      <c r="Y44" s="43">
        <f t="shared" si="1"/>
        <v>6.6666666666666671E-3</v>
      </c>
      <c r="AA44" s="1">
        <v>1</v>
      </c>
      <c r="AB44" s="9">
        <v>1</v>
      </c>
      <c r="AC44" s="8">
        <v>1</v>
      </c>
      <c r="AD44" s="8">
        <v>1</v>
      </c>
      <c r="AE44" s="8">
        <v>1</v>
      </c>
      <c r="AF44" s="8">
        <v>1</v>
      </c>
      <c r="AG44" s="8">
        <v>1</v>
      </c>
      <c r="AH44" s="8">
        <v>1</v>
      </c>
      <c r="AI44" s="8">
        <v>1</v>
      </c>
      <c r="AJ44" s="10">
        <v>1</v>
      </c>
      <c r="AK44" s="8">
        <v>1</v>
      </c>
      <c r="AL44" s="43">
        <f t="shared" si="2"/>
        <v>6.6666666666666671E-3</v>
      </c>
    </row>
    <row r="45" spans="1:38" x14ac:dyDescent="0.2">
      <c r="A45" s="1">
        <v>26</v>
      </c>
      <c r="B45" s="9">
        <v>1</v>
      </c>
      <c r="C45" s="8">
        <v>1</v>
      </c>
      <c r="D45" s="8">
        <v>1</v>
      </c>
      <c r="E45" s="8">
        <v>1</v>
      </c>
      <c r="F45" s="8">
        <v>1</v>
      </c>
      <c r="G45" s="8">
        <v>1</v>
      </c>
      <c r="H45" s="8">
        <v>1</v>
      </c>
      <c r="I45" s="8">
        <v>1</v>
      </c>
      <c r="J45" s="10">
        <v>1</v>
      </c>
      <c r="K45" s="8">
        <v>1</v>
      </c>
      <c r="L45" s="43">
        <f t="shared" si="0"/>
        <v>6.6666666666666671E-3</v>
      </c>
      <c r="N45" s="1">
        <v>26</v>
      </c>
      <c r="O45" s="9">
        <v>1</v>
      </c>
      <c r="P45" s="8">
        <v>1</v>
      </c>
      <c r="Q45" s="8">
        <v>1</v>
      </c>
      <c r="R45" s="8">
        <v>1</v>
      </c>
      <c r="S45" s="8">
        <v>1</v>
      </c>
      <c r="T45" s="8">
        <v>1</v>
      </c>
      <c r="U45" s="8">
        <v>1</v>
      </c>
      <c r="V45" s="8">
        <v>1</v>
      </c>
      <c r="W45" s="10">
        <v>1</v>
      </c>
      <c r="X45" s="8">
        <v>1</v>
      </c>
      <c r="Y45" s="43">
        <f t="shared" si="1"/>
        <v>6.6666666666666671E-3</v>
      </c>
      <c r="AA45" s="1">
        <v>1</v>
      </c>
      <c r="AB45" s="9">
        <v>1</v>
      </c>
      <c r="AC45" s="8">
        <v>1</v>
      </c>
      <c r="AD45" s="8">
        <v>1</v>
      </c>
      <c r="AE45" s="8">
        <v>1</v>
      </c>
      <c r="AF45" s="8">
        <v>1</v>
      </c>
      <c r="AG45" s="8">
        <v>1</v>
      </c>
      <c r="AH45" s="8">
        <v>1</v>
      </c>
      <c r="AI45" s="8">
        <v>1</v>
      </c>
      <c r="AJ45" s="10">
        <v>1</v>
      </c>
      <c r="AK45" s="8">
        <v>1</v>
      </c>
      <c r="AL45" s="43">
        <f t="shared" si="2"/>
        <v>6.6666666666666671E-3</v>
      </c>
    </row>
    <row r="46" spans="1:38" x14ac:dyDescent="0.2">
      <c r="A46" s="1">
        <v>27</v>
      </c>
      <c r="B46" s="9">
        <v>1</v>
      </c>
      <c r="C46" s="8">
        <v>1</v>
      </c>
      <c r="D46" s="8">
        <v>1</v>
      </c>
      <c r="E46" s="8">
        <v>1</v>
      </c>
      <c r="F46" s="8">
        <v>1</v>
      </c>
      <c r="G46" s="8">
        <v>1</v>
      </c>
      <c r="H46" s="8">
        <v>1</v>
      </c>
      <c r="I46" s="8">
        <v>1</v>
      </c>
      <c r="J46" s="10">
        <v>1</v>
      </c>
      <c r="K46" s="8">
        <v>1</v>
      </c>
      <c r="L46" s="43">
        <f t="shared" si="0"/>
        <v>6.6666666666666671E-3</v>
      </c>
      <c r="N46" s="1">
        <v>27</v>
      </c>
      <c r="O46" s="9">
        <v>1</v>
      </c>
      <c r="P46" s="8">
        <v>1</v>
      </c>
      <c r="Q46" s="8">
        <v>1</v>
      </c>
      <c r="R46" s="8">
        <v>1</v>
      </c>
      <c r="S46" s="8">
        <v>1</v>
      </c>
      <c r="T46" s="8">
        <v>1</v>
      </c>
      <c r="U46" s="8">
        <v>1</v>
      </c>
      <c r="V46" s="8">
        <v>1</v>
      </c>
      <c r="W46" s="10">
        <v>1</v>
      </c>
      <c r="X46" s="8">
        <v>1</v>
      </c>
      <c r="Y46" s="43">
        <f t="shared" si="1"/>
        <v>6.6666666666666671E-3</v>
      </c>
      <c r="AA46" s="1">
        <v>1</v>
      </c>
      <c r="AB46" s="9">
        <v>1</v>
      </c>
      <c r="AC46" s="8">
        <v>1</v>
      </c>
      <c r="AD46" s="8">
        <v>1</v>
      </c>
      <c r="AE46" s="8">
        <v>1</v>
      </c>
      <c r="AF46" s="8">
        <v>1</v>
      </c>
      <c r="AG46" s="8">
        <v>1</v>
      </c>
      <c r="AH46" s="8">
        <v>1</v>
      </c>
      <c r="AI46" s="8">
        <v>1</v>
      </c>
      <c r="AJ46" s="10">
        <v>1</v>
      </c>
      <c r="AK46" s="8">
        <v>1</v>
      </c>
      <c r="AL46" s="43">
        <f t="shared" si="2"/>
        <v>6.6666666666666671E-3</v>
      </c>
    </row>
    <row r="47" spans="1:38" x14ac:dyDescent="0.2">
      <c r="A47" s="1">
        <v>28</v>
      </c>
      <c r="B47" s="9">
        <v>1</v>
      </c>
      <c r="C47" s="8">
        <v>1</v>
      </c>
      <c r="D47" s="8">
        <v>1</v>
      </c>
      <c r="E47" s="8">
        <v>1</v>
      </c>
      <c r="F47" s="8">
        <v>1</v>
      </c>
      <c r="G47" s="8">
        <v>1</v>
      </c>
      <c r="H47" s="8">
        <v>1</v>
      </c>
      <c r="I47" s="8">
        <v>1</v>
      </c>
      <c r="J47" s="10">
        <v>1</v>
      </c>
      <c r="K47" s="8">
        <v>1</v>
      </c>
      <c r="L47" s="43">
        <f t="shared" si="0"/>
        <v>6.6666666666666671E-3</v>
      </c>
      <c r="N47" s="1">
        <v>28</v>
      </c>
      <c r="O47" s="9">
        <v>1</v>
      </c>
      <c r="P47" s="8">
        <v>1</v>
      </c>
      <c r="Q47" s="8">
        <v>1</v>
      </c>
      <c r="R47" s="8">
        <v>1</v>
      </c>
      <c r="S47" s="8">
        <v>1</v>
      </c>
      <c r="T47" s="8">
        <v>1</v>
      </c>
      <c r="U47" s="8">
        <v>1</v>
      </c>
      <c r="V47" s="8">
        <v>1</v>
      </c>
      <c r="W47" s="10">
        <v>1</v>
      </c>
      <c r="X47" s="8">
        <v>1</v>
      </c>
      <c r="Y47" s="43">
        <f t="shared" si="1"/>
        <v>6.6666666666666671E-3</v>
      </c>
      <c r="AA47" s="1">
        <v>1</v>
      </c>
      <c r="AB47" s="9">
        <v>1</v>
      </c>
      <c r="AC47" s="8">
        <v>1</v>
      </c>
      <c r="AD47" s="8">
        <v>1</v>
      </c>
      <c r="AE47" s="8">
        <v>1</v>
      </c>
      <c r="AF47" s="8">
        <v>1</v>
      </c>
      <c r="AG47" s="8">
        <v>1</v>
      </c>
      <c r="AH47" s="8">
        <v>1</v>
      </c>
      <c r="AI47" s="8">
        <v>1</v>
      </c>
      <c r="AJ47" s="10">
        <v>1</v>
      </c>
      <c r="AK47" s="8">
        <v>1</v>
      </c>
      <c r="AL47" s="43">
        <f t="shared" si="2"/>
        <v>6.6666666666666671E-3</v>
      </c>
    </row>
    <row r="48" spans="1:38" x14ac:dyDescent="0.2">
      <c r="A48" s="1">
        <v>29</v>
      </c>
      <c r="B48" s="9">
        <v>1</v>
      </c>
      <c r="C48" s="8">
        <v>1</v>
      </c>
      <c r="D48" s="8">
        <v>1</v>
      </c>
      <c r="E48" s="8">
        <v>1</v>
      </c>
      <c r="F48" s="8">
        <v>1</v>
      </c>
      <c r="G48" s="8">
        <v>1</v>
      </c>
      <c r="H48" s="8">
        <v>1</v>
      </c>
      <c r="I48" s="8">
        <v>1</v>
      </c>
      <c r="J48" s="10">
        <v>1</v>
      </c>
      <c r="K48" s="8">
        <v>1</v>
      </c>
      <c r="L48" s="43">
        <f t="shared" si="0"/>
        <v>6.6666666666666671E-3</v>
      </c>
      <c r="N48" s="1">
        <v>29</v>
      </c>
      <c r="O48" s="9">
        <v>1</v>
      </c>
      <c r="P48" s="8">
        <v>1</v>
      </c>
      <c r="Q48" s="8">
        <v>1</v>
      </c>
      <c r="R48" s="8">
        <v>1</v>
      </c>
      <c r="S48" s="8">
        <v>1</v>
      </c>
      <c r="T48" s="8">
        <v>1</v>
      </c>
      <c r="U48" s="8">
        <v>1</v>
      </c>
      <c r="V48" s="8">
        <v>1</v>
      </c>
      <c r="W48" s="10">
        <v>1</v>
      </c>
      <c r="X48" s="8">
        <v>1</v>
      </c>
      <c r="Y48" s="43">
        <f t="shared" si="1"/>
        <v>6.6666666666666671E-3</v>
      </c>
      <c r="AA48" s="1">
        <v>1</v>
      </c>
      <c r="AB48" s="9">
        <v>1</v>
      </c>
      <c r="AC48" s="8">
        <v>1</v>
      </c>
      <c r="AD48" s="8">
        <v>1</v>
      </c>
      <c r="AE48" s="8">
        <v>1</v>
      </c>
      <c r="AF48" s="8">
        <v>1</v>
      </c>
      <c r="AG48" s="8">
        <v>1</v>
      </c>
      <c r="AH48" s="8">
        <v>1</v>
      </c>
      <c r="AI48" s="8">
        <v>1</v>
      </c>
      <c r="AJ48" s="10">
        <v>1</v>
      </c>
      <c r="AK48" s="8">
        <v>1</v>
      </c>
      <c r="AL48" s="43">
        <f t="shared" si="2"/>
        <v>6.6666666666666671E-3</v>
      </c>
    </row>
    <row r="49" spans="1:38" x14ac:dyDescent="0.2">
      <c r="A49" s="1">
        <v>30</v>
      </c>
      <c r="B49" s="9">
        <v>1</v>
      </c>
      <c r="C49" s="8">
        <v>1</v>
      </c>
      <c r="D49" s="8">
        <v>1</v>
      </c>
      <c r="E49" s="8">
        <v>1</v>
      </c>
      <c r="F49" s="8">
        <v>1</v>
      </c>
      <c r="G49" s="8">
        <v>1</v>
      </c>
      <c r="H49" s="8">
        <v>1</v>
      </c>
      <c r="I49" s="8">
        <v>1</v>
      </c>
      <c r="J49" s="10">
        <v>1</v>
      </c>
      <c r="K49" s="8">
        <v>1</v>
      </c>
      <c r="L49" s="43">
        <f t="shared" si="0"/>
        <v>6.6666666666666671E-3</v>
      </c>
      <c r="N49" s="1">
        <v>30</v>
      </c>
      <c r="O49" s="9">
        <v>1</v>
      </c>
      <c r="P49" s="8">
        <v>1</v>
      </c>
      <c r="Q49" s="8">
        <v>1</v>
      </c>
      <c r="R49" s="8">
        <v>1</v>
      </c>
      <c r="S49" s="8">
        <v>1</v>
      </c>
      <c r="T49" s="8">
        <v>1</v>
      </c>
      <c r="U49" s="8">
        <v>1</v>
      </c>
      <c r="V49" s="8">
        <v>1</v>
      </c>
      <c r="W49" s="10">
        <v>1</v>
      </c>
      <c r="X49" s="8">
        <v>1</v>
      </c>
      <c r="Y49" s="43">
        <f t="shared" si="1"/>
        <v>6.6666666666666671E-3</v>
      </c>
      <c r="AA49" s="1">
        <v>1</v>
      </c>
      <c r="AB49" s="9">
        <v>1</v>
      </c>
      <c r="AC49" s="8">
        <v>1</v>
      </c>
      <c r="AD49" s="8">
        <v>1</v>
      </c>
      <c r="AE49" s="8">
        <v>1</v>
      </c>
      <c r="AF49" s="8">
        <v>1</v>
      </c>
      <c r="AG49" s="8">
        <v>1</v>
      </c>
      <c r="AH49" s="8">
        <v>1</v>
      </c>
      <c r="AI49" s="8">
        <v>1</v>
      </c>
      <c r="AJ49" s="10">
        <v>1</v>
      </c>
      <c r="AK49" s="8">
        <v>1</v>
      </c>
      <c r="AL49" s="43">
        <f t="shared" si="2"/>
        <v>6.6666666666666671E-3</v>
      </c>
    </row>
    <row r="50" spans="1:38" x14ac:dyDescent="0.2">
      <c r="A50" s="1">
        <v>31</v>
      </c>
      <c r="B50" s="9">
        <v>1</v>
      </c>
      <c r="C50" s="8">
        <v>1</v>
      </c>
      <c r="D50" s="8">
        <v>1</v>
      </c>
      <c r="E50" s="8">
        <v>1</v>
      </c>
      <c r="F50" s="8">
        <v>1</v>
      </c>
      <c r="G50" s="8">
        <v>1</v>
      </c>
      <c r="H50" s="8">
        <v>1</v>
      </c>
      <c r="I50" s="8">
        <v>1</v>
      </c>
      <c r="J50" s="10">
        <v>1</v>
      </c>
      <c r="K50" s="8">
        <v>1</v>
      </c>
      <c r="L50" s="43">
        <f t="shared" si="0"/>
        <v>6.6666666666666671E-3</v>
      </c>
      <c r="N50" s="1">
        <v>31</v>
      </c>
      <c r="O50" s="9">
        <v>1</v>
      </c>
      <c r="P50" s="8">
        <v>1</v>
      </c>
      <c r="Q50" s="8">
        <v>1</v>
      </c>
      <c r="R50" s="8">
        <v>1</v>
      </c>
      <c r="S50" s="8">
        <v>1</v>
      </c>
      <c r="T50" s="8">
        <v>1</v>
      </c>
      <c r="U50" s="8">
        <v>1</v>
      </c>
      <c r="V50" s="8">
        <v>1</v>
      </c>
      <c r="W50" s="10">
        <v>1</v>
      </c>
      <c r="X50" s="8">
        <v>1</v>
      </c>
      <c r="Y50" s="43">
        <f t="shared" si="1"/>
        <v>6.6666666666666671E-3</v>
      </c>
      <c r="AA50" s="1">
        <v>1</v>
      </c>
      <c r="AB50" s="9">
        <v>1</v>
      </c>
      <c r="AC50" s="8">
        <v>1</v>
      </c>
      <c r="AD50" s="8">
        <v>1</v>
      </c>
      <c r="AE50" s="8">
        <v>1</v>
      </c>
      <c r="AF50" s="8">
        <v>1</v>
      </c>
      <c r="AG50" s="8">
        <v>1</v>
      </c>
      <c r="AH50" s="8">
        <v>1</v>
      </c>
      <c r="AI50" s="8">
        <v>1</v>
      </c>
      <c r="AJ50" s="10">
        <v>1</v>
      </c>
      <c r="AK50" s="8">
        <v>1</v>
      </c>
      <c r="AL50" s="43">
        <f t="shared" si="2"/>
        <v>6.6666666666666671E-3</v>
      </c>
    </row>
    <row r="51" spans="1:38" x14ac:dyDescent="0.2">
      <c r="A51" s="1">
        <v>32</v>
      </c>
      <c r="B51" s="9">
        <v>1</v>
      </c>
      <c r="C51" s="8">
        <v>1</v>
      </c>
      <c r="D51" s="8">
        <v>1</v>
      </c>
      <c r="E51" s="8">
        <v>1</v>
      </c>
      <c r="F51" s="8">
        <v>1</v>
      </c>
      <c r="G51" s="8">
        <v>1</v>
      </c>
      <c r="H51" s="8">
        <v>1</v>
      </c>
      <c r="I51" s="8">
        <v>1</v>
      </c>
      <c r="J51" s="10">
        <v>1</v>
      </c>
      <c r="K51" s="8">
        <v>1</v>
      </c>
      <c r="L51" s="43">
        <f t="shared" si="0"/>
        <v>6.6666666666666671E-3</v>
      </c>
      <c r="N51" s="1">
        <v>32</v>
      </c>
      <c r="O51" s="9">
        <v>1</v>
      </c>
      <c r="P51" s="8">
        <v>1</v>
      </c>
      <c r="Q51" s="8">
        <v>1</v>
      </c>
      <c r="R51" s="8">
        <v>1</v>
      </c>
      <c r="S51" s="8">
        <v>1</v>
      </c>
      <c r="T51" s="8">
        <v>1</v>
      </c>
      <c r="U51" s="8">
        <v>1</v>
      </c>
      <c r="V51" s="8">
        <v>1</v>
      </c>
      <c r="W51" s="10">
        <v>1</v>
      </c>
      <c r="X51" s="8">
        <v>1</v>
      </c>
      <c r="Y51" s="43">
        <f t="shared" si="1"/>
        <v>6.6666666666666671E-3</v>
      </c>
      <c r="AA51" s="1">
        <v>1</v>
      </c>
      <c r="AB51" s="9">
        <v>1</v>
      </c>
      <c r="AC51" s="8">
        <v>1</v>
      </c>
      <c r="AD51" s="8">
        <v>1</v>
      </c>
      <c r="AE51" s="8">
        <v>1</v>
      </c>
      <c r="AF51" s="8">
        <v>1</v>
      </c>
      <c r="AG51" s="8">
        <v>1</v>
      </c>
      <c r="AH51" s="8">
        <v>1</v>
      </c>
      <c r="AI51" s="8">
        <v>1</v>
      </c>
      <c r="AJ51" s="10">
        <v>1</v>
      </c>
      <c r="AK51" s="8">
        <v>1</v>
      </c>
      <c r="AL51" s="43">
        <f t="shared" si="2"/>
        <v>6.6666666666666671E-3</v>
      </c>
    </row>
    <row r="52" spans="1:38" x14ac:dyDescent="0.2">
      <c r="A52" s="1">
        <v>33</v>
      </c>
      <c r="B52" s="9">
        <v>1</v>
      </c>
      <c r="C52" s="8">
        <v>1</v>
      </c>
      <c r="D52" s="8">
        <v>1</v>
      </c>
      <c r="E52" s="8">
        <v>1</v>
      </c>
      <c r="F52" s="8">
        <v>1</v>
      </c>
      <c r="G52" s="8">
        <v>1</v>
      </c>
      <c r="H52" s="8">
        <v>1</v>
      </c>
      <c r="I52" s="8">
        <v>1</v>
      </c>
      <c r="J52" s="10">
        <v>1</v>
      </c>
      <c r="K52" s="8">
        <v>1</v>
      </c>
      <c r="L52" s="43">
        <f t="shared" si="0"/>
        <v>6.6666666666666671E-3</v>
      </c>
      <c r="N52" s="1">
        <v>33</v>
      </c>
      <c r="O52" s="9">
        <v>1</v>
      </c>
      <c r="P52" s="8">
        <v>1</v>
      </c>
      <c r="Q52" s="8">
        <v>1</v>
      </c>
      <c r="R52" s="8">
        <v>1</v>
      </c>
      <c r="S52" s="8">
        <v>1</v>
      </c>
      <c r="T52" s="8">
        <v>1</v>
      </c>
      <c r="U52" s="8">
        <v>1</v>
      </c>
      <c r="V52" s="8">
        <v>1</v>
      </c>
      <c r="W52" s="10">
        <v>1</v>
      </c>
      <c r="X52" s="8">
        <v>1</v>
      </c>
      <c r="Y52" s="43">
        <f t="shared" si="1"/>
        <v>6.6666666666666671E-3</v>
      </c>
      <c r="AA52" s="1">
        <v>1</v>
      </c>
      <c r="AB52" s="9">
        <v>1</v>
      </c>
      <c r="AC52" s="8">
        <v>1</v>
      </c>
      <c r="AD52" s="8">
        <v>1</v>
      </c>
      <c r="AE52" s="8">
        <v>1</v>
      </c>
      <c r="AF52" s="8">
        <v>1</v>
      </c>
      <c r="AG52" s="8">
        <v>1</v>
      </c>
      <c r="AH52" s="8">
        <v>1</v>
      </c>
      <c r="AI52" s="8">
        <v>1</v>
      </c>
      <c r="AJ52" s="10">
        <v>1</v>
      </c>
      <c r="AK52" s="8">
        <v>1</v>
      </c>
      <c r="AL52" s="43">
        <f t="shared" si="2"/>
        <v>6.6666666666666671E-3</v>
      </c>
    </row>
    <row r="53" spans="1:38" x14ac:dyDescent="0.2">
      <c r="A53" s="1">
        <v>34</v>
      </c>
      <c r="B53" s="9">
        <v>1</v>
      </c>
      <c r="C53" s="8">
        <v>1</v>
      </c>
      <c r="D53" s="8">
        <v>1</v>
      </c>
      <c r="E53" s="8">
        <v>1</v>
      </c>
      <c r="F53" s="8">
        <v>1</v>
      </c>
      <c r="G53" s="8">
        <v>1</v>
      </c>
      <c r="H53" s="8">
        <v>1</v>
      </c>
      <c r="I53" s="8">
        <v>1</v>
      </c>
      <c r="J53" s="10">
        <v>1</v>
      </c>
      <c r="K53" s="8">
        <v>1</v>
      </c>
      <c r="L53" s="43">
        <f t="shared" si="0"/>
        <v>6.6666666666666671E-3</v>
      </c>
      <c r="N53" s="1">
        <v>34</v>
      </c>
      <c r="O53" s="9">
        <v>1</v>
      </c>
      <c r="P53" s="8">
        <v>1</v>
      </c>
      <c r="Q53" s="8">
        <v>1</v>
      </c>
      <c r="R53" s="8">
        <v>1</v>
      </c>
      <c r="S53" s="8">
        <v>1</v>
      </c>
      <c r="T53" s="8">
        <v>1</v>
      </c>
      <c r="U53" s="8">
        <v>1</v>
      </c>
      <c r="V53" s="8">
        <v>1</v>
      </c>
      <c r="W53" s="10">
        <v>1</v>
      </c>
      <c r="X53" s="8">
        <v>1</v>
      </c>
      <c r="Y53" s="43">
        <f t="shared" si="1"/>
        <v>6.6666666666666671E-3</v>
      </c>
      <c r="AA53" s="1">
        <v>1</v>
      </c>
      <c r="AB53" s="9">
        <v>1</v>
      </c>
      <c r="AC53" s="8">
        <v>1</v>
      </c>
      <c r="AD53" s="8">
        <v>1</v>
      </c>
      <c r="AE53" s="8">
        <v>1</v>
      </c>
      <c r="AF53" s="8">
        <v>1</v>
      </c>
      <c r="AG53" s="8">
        <v>1</v>
      </c>
      <c r="AH53" s="8">
        <v>1</v>
      </c>
      <c r="AI53" s="8">
        <v>1</v>
      </c>
      <c r="AJ53" s="10">
        <v>1</v>
      </c>
      <c r="AK53" s="8">
        <v>1</v>
      </c>
      <c r="AL53" s="43">
        <f t="shared" si="2"/>
        <v>6.6666666666666671E-3</v>
      </c>
    </row>
    <row r="54" spans="1:38" x14ac:dyDescent="0.2">
      <c r="A54" s="1">
        <v>35</v>
      </c>
      <c r="B54" s="9">
        <v>1</v>
      </c>
      <c r="C54" s="8">
        <v>1</v>
      </c>
      <c r="D54" s="8">
        <v>1</v>
      </c>
      <c r="E54" s="8">
        <v>1</v>
      </c>
      <c r="F54" s="8">
        <v>1</v>
      </c>
      <c r="G54" s="8">
        <v>1</v>
      </c>
      <c r="H54" s="8">
        <v>1</v>
      </c>
      <c r="I54" s="8">
        <v>1</v>
      </c>
      <c r="J54" s="10">
        <v>1</v>
      </c>
      <c r="K54" s="8">
        <v>1</v>
      </c>
      <c r="L54" s="43">
        <f t="shared" si="0"/>
        <v>6.6666666666666671E-3</v>
      </c>
      <c r="N54" s="1">
        <v>35</v>
      </c>
      <c r="O54" s="9">
        <v>1</v>
      </c>
      <c r="P54" s="8">
        <v>1</v>
      </c>
      <c r="Q54" s="8">
        <v>1</v>
      </c>
      <c r="R54" s="8">
        <v>1</v>
      </c>
      <c r="S54" s="8">
        <v>1</v>
      </c>
      <c r="T54" s="8">
        <v>1</v>
      </c>
      <c r="U54" s="8">
        <v>1</v>
      </c>
      <c r="V54" s="8">
        <v>1</v>
      </c>
      <c r="W54" s="10">
        <v>1</v>
      </c>
      <c r="X54" s="8">
        <v>1</v>
      </c>
      <c r="Y54" s="43">
        <f t="shared" si="1"/>
        <v>6.6666666666666671E-3</v>
      </c>
      <c r="AA54" s="1">
        <v>1</v>
      </c>
      <c r="AB54" s="9">
        <v>1</v>
      </c>
      <c r="AC54" s="8">
        <v>1</v>
      </c>
      <c r="AD54" s="8">
        <v>1</v>
      </c>
      <c r="AE54" s="8">
        <v>1</v>
      </c>
      <c r="AF54" s="8">
        <v>1</v>
      </c>
      <c r="AG54" s="8">
        <v>1</v>
      </c>
      <c r="AH54" s="8">
        <v>1</v>
      </c>
      <c r="AI54" s="8">
        <v>1</v>
      </c>
      <c r="AJ54" s="10">
        <v>1</v>
      </c>
      <c r="AK54" s="8">
        <v>1</v>
      </c>
      <c r="AL54" s="43">
        <f t="shared" si="2"/>
        <v>6.6666666666666671E-3</v>
      </c>
    </row>
    <row r="55" spans="1:38" x14ac:dyDescent="0.2">
      <c r="A55" s="1">
        <v>36</v>
      </c>
      <c r="B55" s="9">
        <v>1</v>
      </c>
      <c r="C55" s="8">
        <v>1</v>
      </c>
      <c r="D55" s="8">
        <v>1</v>
      </c>
      <c r="E55" s="8">
        <v>1</v>
      </c>
      <c r="F55" s="8">
        <v>1</v>
      </c>
      <c r="G55" s="8">
        <v>1</v>
      </c>
      <c r="H55" s="8">
        <v>1</v>
      </c>
      <c r="I55" s="8">
        <v>1</v>
      </c>
      <c r="J55" s="10">
        <v>1</v>
      </c>
      <c r="K55" s="8">
        <v>1</v>
      </c>
      <c r="L55" s="43">
        <f t="shared" si="0"/>
        <v>6.6666666666666671E-3</v>
      </c>
      <c r="N55" s="1">
        <v>36</v>
      </c>
      <c r="O55" s="9">
        <v>1</v>
      </c>
      <c r="P55" s="8">
        <v>1</v>
      </c>
      <c r="Q55" s="8">
        <v>1</v>
      </c>
      <c r="R55" s="8">
        <v>1</v>
      </c>
      <c r="S55" s="8">
        <v>1</v>
      </c>
      <c r="T55" s="8">
        <v>1</v>
      </c>
      <c r="U55" s="8">
        <v>1</v>
      </c>
      <c r="V55" s="8">
        <v>1</v>
      </c>
      <c r="W55" s="10">
        <v>1</v>
      </c>
      <c r="X55" s="8">
        <v>1</v>
      </c>
      <c r="Y55" s="43">
        <f t="shared" si="1"/>
        <v>6.6666666666666671E-3</v>
      </c>
      <c r="AA55" s="1">
        <v>1</v>
      </c>
      <c r="AB55" s="9">
        <v>1</v>
      </c>
      <c r="AC55" s="8">
        <v>1</v>
      </c>
      <c r="AD55" s="8">
        <v>1</v>
      </c>
      <c r="AE55" s="8">
        <v>1</v>
      </c>
      <c r="AF55" s="8">
        <v>1</v>
      </c>
      <c r="AG55" s="8">
        <v>1</v>
      </c>
      <c r="AH55" s="8">
        <v>1</v>
      </c>
      <c r="AI55" s="8">
        <v>1</v>
      </c>
      <c r="AJ55" s="10">
        <v>1</v>
      </c>
      <c r="AK55" s="8">
        <v>1</v>
      </c>
      <c r="AL55" s="43">
        <f t="shared" si="2"/>
        <v>6.6666666666666671E-3</v>
      </c>
    </row>
    <row r="56" spans="1:38" x14ac:dyDescent="0.2">
      <c r="A56" s="1">
        <v>37</v>
      </c>
      <c r="B56" s="9">
        <v>1</v>
      </c>
      <c r="C56" s="8">
        <v>1</v>
      </c>
      <c r="D56" s="8">
        <v>1</v>
      </c>
      <c r="E56" s="8">
        <v>1</v>
      </c>
      <c r="F56" s="8">
        <v>1</v>
      </c>
      <c r="G56" s="8">
        <v>1</v>
      </c>
      <c r="H56" s="8">
        <v>1</v>
      </c>
      <c r="I56" s="8">
        <v>1</v>
      </c>
      <c r="J56" s="10">
        <v>1</v>
      </c>
      <c r="K56" s="8">
        <v>1</v>
      </c>
      <c r="L56" s="43">
        <f t="shared" si="0"/>
        <v>6.6666666666666671E-3</v>
      </c>
      <c r="N56" s="1">
        <v>37</v>
      </c>
      <c r="O56" s="9">
        <v>1</v>
      </c>
      <c r="P56" s="8">
        <v>1</v>
      </c>
      <c r="Q56" s="8">
        <v>1</v>
      </c>
      <c r="R56" s="8">
        <v>1</v>
      </c>
      <c r="S56" s="8">
        <v>1</v>
      </c>
      <c r="T56" s="8">
        <v>1</v>
      </c>
      <c r="U56" s="8">
        <v>1</v>
      </c>
      <c r="V56" s="8">
        <v>1</v>
      </c>
      <c r="W56" s="10">
        <v>1</v>
      </c>
      <c r="X56" s="8">
        <v>1</v>
      </c>
      <c r="Y56" s="43">
        <f t="shared" si="1"/>
        <v>6.6666666666666671E-3</v>
      </c>
      <c r="AA56" s="1">
        <v>1</v>
      </c>
      <c r="AB56" s="9">
        <v>1</v>
      </c>
      <c r="AC56" s="8">
        <v>1</v>
      </c>
      <c r="AD56" s="8">
        <v>1</v>
      </c>
      <c r="AE56" s="8">
        <v>1</v>
      </c>
      <c r="AF56" s="8">
        <v>1</v>
      </c>
      <c r="AG56" s="8">
        <v>1</v>
      </c>
      <c r="AH56" s="8">
        <v>1</v>
      </c>
      <c r="AI56" s="8">
        <v>1</v>
      </c>
      <c r="AJ56" s="10">
        <v>1</v>
      </c>
      <c r="AK56" s="8">
        <v>1</v>
      </c>
      <c r="AL56" s="43">
        <f t="shared" si="2"/>
        <v>6.6666666666666671E-3</v>
      </c>
    </row>
    <row r="57" spans="1:38" x14ac:dyDescent="0.2">
      <c r="A57" s="1">
        <v>38</v>
      </c>
      <c r="B57" s="9">
        <v>1</v>
      </c>
      <c r="C57" s="8">
        <v>1</v>
      </c>
      <c r="D57" s="8">
        <v>1</v>
      </c>
      <c r="E57" s="8">
        <v>1</v>
      </c>
      <c r="F57" s="8">
        <v>1</v>
      </c>
      <c r="G57" s="8">
        <v>1</v>
      </c>
      <c r="H57" s="8">
        <v>1</v>
      </c>
      <c r="I57" s="8">
        <v>1</v>
      </c>
      <c r="J57" s="10">
        <v>1</v>
      </c>
      <c r="K57" s="8">
        <v>1</v>
      </c>
      <c r="L57" s="43">
        <f t="shared" si="0"/>
        <v>6.6666666666666671E-3</v>
      </c>
      <c r="N57" s="1">
        <v>38</v>
      </c>
      <c r="O57" s="9">
        <v>1</v>
      </c>
      <c r="P57" s="8">
        <v>1</v>
      </c>
      <c r="Q57" s="8">
        <v>1</v>
      </c>
      <c r="R57" s="8">
        <v>1</v>
      </c>
      <c r="S57" s="8">
        <v>1</v>
      </c>
      <c r="T57" s="8">
        <v>1</v>
      </c>
      <c r="U57" s="8">
        <v>1</v>
      </c>
      <c r="V57" s="8">
        <v>1</v>
      </c>
      <c r="W57" s="10">
        <v>1</v>
      </c>
      <c r="X57" s="8">
        <v>1</v>
      </c>
      <c r="Y57" s="43">
        <f t="shared" si="1"/>
        <v>6.6666666666666671E-3</v>
      </c>
      <c r="AA57" s="1">
        <v>1</v>
      </c>
      <c r="AB57" s="9">
        <v>1</v>
      </c>
      <c r="AC57" s="8">
        <v>1</v>
      </c>
      <c r="AD57" s="8">
        <v>1</v>
      </c>
      <c r="AE57" s="8">
        <v>1</v>
      </c>
      <c r="AF57" s="8">
        <v>1</v>
      </c>
      <c r="AG57" s="8">
        <v>1</v>
      </c>
      <c r="AH57" s="8">
        <v>1</v>
      </c>
      <c r="AI57" s="8">
        <v>1</v>
      </c>
      <c r="AJ57" s="10">
        <v>1</v>
      </c>
      <c r="AK57" s="8">
        <v>1</v>
      </c>
      <c r="AL57" s="43">
        <f t="shared" si="2"/>
        <v>6.6666666666666671E-3</v>
      </c>
    </row>
    <row r="58" spans="1:38" x14ac:dyDescent="0.2">
      <c r="A58" s="1">
        <v>39</v>
      </c>
      <c r="B58" s="9">
        <v>1</v>
      </c>
      <c r="C58" s="8">
        <v>1</v>
      </c>
      <c r="D58" s="8">
        <v>1</v>
      </c>
      <c r="E58" s="8">
        <v>1</v>
      </c>
      <c r="F58" s="8">
        <v>1</v>
      </c>
      <c r="G58" s="8">
        <v>1</v>
      </c>
      <c r="H58" s="8">
        <v>1</v>
      </c>
      <c r="I58" s="8">
        <v>1</v>
      </c>
      <c r="J58" s="10">
        <v>1</v>
      </c>
      <c r="K58" s="8">
        <v>1</v>
      </c>
      <c r="L58" s="43">
        <f t="shared" si="0"/>
        <v>6.6666666666666671E-3</v>
      </c>
      <c r="N58" s="1">
        <v>39</v>
      </c>
      <c r="O58" s="9">
        <v>1</v>
      </c>
      <c r="P58" s="8">
        <v>1</v>
      </c>
      <c r="Q58" s="8">
        <v>1</v>
      </c>
      <c r="R58" s="8">
        <v>1</v>
      </c>
      <c r="S58" s="8">
        <v>1</v>
      </c>
      <c r="T58" s="8">
        <v>1</v>
      </c>
      <c r="U58" s="8">
        <v>1</v>
      </c>
      <c r="V58" s="8">
        <v>1</v>
      </c>
      <c r="W58" s="10">
        <v>1</v>
      </c>
      <c r="X58" s="8">
        <v>1</v>
      </c>
      <c r="Y58" s="43">
        <f t="shared" si="1"/>
        <v>6.6666666666666671E-3</v>
      </c>
      <c r="AA58" s="1">
        <v>1</v>
      </c>
      <c r="AB58" s="9">
        <v>1</v>
      </c>
      <c r="AC58" s="8">
        <v>1</v>
      </c>
      <c r="AD58" s="8">
        <v>1</v>
      </c>
      <c r="AE58" s="8">
        <v>1</v>
      </c>
      <c r="AF58" s="8">
        <v>1</v>
      </c>
      <c r="AG58" s="8">
        <v>1</v>
      </c>
      <c r="AH58" s="8">
        <v>1</v>
      </c>
      <c r="AI58" s="8">
        <v>1</v>
      </c>
      <c r="AJ58" s="10">
        <v>1</v>
      </c>
      <c r="AK58" s="8">
        <v>1</v>
      </c>
      <c r="AL58" s="43">
        <f t="shared" si="2"/>
        <v>6.6666666666666671E-3</v>
      </c>
    </row>
    <row r="59" spans="1:38" x14ac:dyDescent="0.2">
      <c r="A59" s="1">
        <v>40</v>
      </c>
      <c r="B59" s="9">
        <v>1</v>
      </c>
      <c r="C59" s="8">
        <v>1</v>
      </c>
      <c r="D59" s="8">
        <v>1</v>
      </c>
      <c r="E59" s="8">
        <v>1</v>
      </c>
      <c r="F59" s="8">
        <v>1</v>
      </c>
      <c r="G59" s="8">
        <v>1</v>
      </c>
      <c r="H59" s="8">
        <v>1</v>
      </c>
      <c r="I59" s="8">
        <v>1</v>
      </c>
      <c r="J59" s="10">
        <v>1</v>
      </c>
      <c r="K59" s="8">
        <v>1</v>
      </c>
      <c r="L59" s="43">
        <f t="shared" si="0"/>
        <v>6.6666666666666671E-3</v>
      </c>
      <c r="N59" s="1">
        <v>40</v>
      </c>
      <c r="O59" s="9">
        <v>1</v>
      </c>
      <c r="P59" s="8">
        <v>1</v>
      </c>
      <c r="Q59" s="8">
        <v>1</v>
      </c>
      <c r="R59" s="8">
        <v>1</v>
      </c>
      <c r="S59" s="8">
        <v>1</v>
      </c>
      <c r="T59" s="8">
        <v>1</v>
      </c>
      <c r="U59" s="8">
        <v>1</v>
      </c>
      <c r="V59" s="8">
        <v>1</v>
      </c>
      <c r="W59" s="10">
        <v>1</v>
      </c>
      <c r="X59" s="8">
        <v>1</v>
      </c>
      <c r="Y59" s="43">
        <f t="shared" si="1"/>
        <v>6.6666666666666671E-3</v>
      </c>
      <c r="AA59" s="1">
        <v>1</v>
      </c>
      <c r="AB59" s="9">
        <v>1</v>
      </c>
      <c r="AC59" s="8">
        <v>1</v>
      </c>
      <c r="AD59" s="8">
        <v>1</v>
      </c>
      <c r="AE59" s="8">
        <v>1</v>
      </c>
      <c r="AF59" s="8">
        <v>1</v>
      </c>
      <c r="AG59" s="8">
        <v>1</v>
      </c>
      <c r="AH59" s="8">
        <v>1</v>
      </c>
      <c r="AI59" s="8">
        <v>1</v>
      </c>
      <c r="AJ59" s="10">
        <v>1</v>
      </c>
      <c r="AK59" s="8">
        <v>1</v>
      </c>
      <c r="AL59" s="43">
        <f t="shared" si="2"/>
        <v>6.6666666666666671E-3</v>
      </c>
    </row>
    <row r="60" spans="1:38" x14ac:dyDescent="0.2">
      <c r="A60" s="1">
        <v>41</v>
      </c>
      <c r="B60" s="9">
        <v>1</v>
      </c>
      <c r="C60" s="8">
        <v>1</v>
      </c>
      <c r="D60" s="8">
        <v>1</v>
      </c>
      <c r="E60" s="8">
        <v>1</v>
      </c>
      <c r="F60" s="8">
        <v>1</v>
      </c>
      <c r="G60" s="8">
        <v>1</v>
      </c>
      <c r="H60" s="8">
        <v>1</v>
      </c>
      <c r="I60" s="8">
        <v>1</v>
      </c>
      <c r="J60" s="10">
        <v>1</v>
      </c>
      <c r="K60" s="8">
        <v>1</v>
      </c>
      <c r="L60" s="43">
        <f t="shared" si="0"/>
        <v>6.6666666666666671E-3</v>
      </c>
      <c r="N60" s="1">
        <v>41</v>
      </c>
      <c r="O60" s="9">
        <v>1</v>
      </c>
      <c r="P60" s="8">
        <v>1</v>
      </c>
      <c r="Q60" s="8">
        <v>1</v>
      </c>
      <c r="R60" s="8">
        <v>1</v>
      </c>
      <c r="S60" s="8">
        <v>1</v>
      </c>
      <c r="T60" s="8">
        <v>1</v>
      </c>
      <c r="U60" s="8">
        <v>1</v>
      </c>
      <c r="V60" s="8">
        <v>1</v>
      </c>
      <c r="W60" s="10">
        <v>1</v>
      </c>
      <c r="X60" s="8">
        <v>1</v>
      </c>
      <c r="Y60" s="43">
        <f t="shared" si="1"/>
        <v>6.6666666666666671E-3</v>
      </c>
      <c r="AA60" s="1">
        <v>1</v>
      </c>
      <c r="AB60" s="9">
        <v>1</v>
      </c>
      <c r="AC60" s="8">
        <v>1</v>
      </c>
      <c r="AD60" s="8">
        <v>1</v>
      </c>
      <c r="AE60" s="8">
        <v>1</v>
      </c>
      <c r="AF60" s="8">
        <v>1</v>
      </c>
      <c r="AG60" s="8">
        <v>1</v>
      </c>
      <c r="AH60" s="8">
        <v>1</v>
      </c>
      <c r="AI60" s="8">
        <v>1</v>
      </c>
      <c r="AJ60" s="10">
        <v>1</v>
      </c>
      <c r="AK60" s="8">
        <v>1</v>
      </c>
      <c r="AL60" s="43">
        <f t="shared" si="2"/>
        <v>6.6666666666666671E-3</v>
      </c>
    </row>
    <row r="61" spans="1:38" x14ac:dyDescent="0.2">
      <c r="A61" s="1">
        <v>42</v>
      </c>
      <c r="B61" s="9">
        <v>1</v>
      </c>
      <c r="C61" s="8">
        <v>1</v>
      </c>
      <c r="D61" s="8">
        <v>1</v>
      </c>
      <c r="E61" s="8">
        <v>1</v>
      </c>
      <c r="F61" s="8">
        <v>1</v>
      </c>
      <c r="G61" s="8">
        <v>1</v>
      </c>
      <c r="H61" s="8">
        <v>1</v>
      </c>
      <c r="I61" s="8">
        <v>1</v>
      </c>
      <c r="J61" s="10">
        <v>1</v>
      </c>
      <c r="K61" s="8">
        <v>1</v>
      </c>
      <c r="L61" s="43">
        <f t="shared" si="0"/>
        <v>6.6666666666666671E-3</v>
      </c>
      <c r="N61" s="1">
        <v>42</v>
      </c>
      <c r="O61" s="9">
        <v>1</v>
      </c>
      <c r="P61" s="8">
        <v>1</v>
      </c>
      <c r="Q61" s="8">
        <v>1</v>
      </c>
      <c r="R61" s="8">
        <v>1</v>
      </c>
      <c r="S61" s="8">
        <v>1</v>
      </c>
      <c r="T61" s="8">
        <v>1</v>
      </c>
      <c r="U61" s="8">
        <v>1</v>
      </c>
      <c r="V61" s="8">
        <v>1</v>
      </c>
      <c r="W61" s="10">
        <v>1</v>
      </c>
      <c r="X61" s="8">
        <v>1</v>
      </c>
      <c r="Y61" s="43">
        <f t="shared" si="1"/>
        <v>6.6666666666666671E-3</v>
      </c>
      <c r="AA61" s="1">
        <v>1</v>
      </c>
      <c r="AB61" s="9">
        <v>1</v>
      </c>
      <c r="AC61" s="8">
        <v>1</v>
      </c>
      <c r="AD61" s="8">
        <v>1</v>
      </c>
      <c r="AE61" s="8">
        <v>1</v>
      </c>
      <c r="AF61" s="8">
        <v>1</v>
      </c>
      <c r="AG61" s="8">
        <v>1</v>
      </c>
      <c r="AH61" s="8">
        <v>1</v>
      </c>
      <c r="AI61" s="8">
        <v>1</v>
      </c>
      <c r="AJ61" s="10">
        <v>1</v>
      </c>
      <c r="AK61" s="8">
        <v>1</v>
      </c>
      <c r="AL61" s="43">
        <f t="shared" si="2"/>
        <v>6.6666666666666671E-3</v>
      </c>
    </row>
    <row r="62" spans="1:38" x14ac:dyDescent="0.2">
      <c r="A62" s="1">
        <v>43</v>
      </c>
      <c r="B62" s="9">
        <v>1</v>
      </c>
      <c r="C62" s="8">
        <v>1</v>
      </c>
      <c r="D62" s="8">
        <v>1</v>
      </c>
      <c r="E62" s="8">
        <v>1</v>
      </c>
      <c r="F62" s="8">
        <v>1</v>
      </c>
      <c r="G62" s="8">
        <v>1</v>
      </c>
      <c r="H62" s="8">
        <v>1</v>
      </c>
      <c r="I62" s="8">
        <v>1</v>
      </c>
      <c r="J62" s="10">
        <v>1</v>
      </c>
      <c r="K62" s="8">
        <v>1</v>
      </c>
      <c r="L62" s="43">
        <f t="shared" si="0"/>
        <v>6.6666666666666671E-3</v>
      </c>
      <c r="N62" s="1">
        <v>43</v>
      </c>
      <c r="O62" s="9">
        <v>1</v>
      </c>
      <c r="P62" s="8">
        <v>1</v>
      </c>
      <c r="Q62" s="8">
        <v>1</v>
      </c>
      <c r="R62" s="8">
        <v>1</v>
      </c>
      <c r="S62" s="8">
        <v>1</v>
      </c>
      <c r="T62" s="8">
        <v>1</v>
      </c>
      <c r="U62" s="8">
        <v>1</v>
      </c>
      <c r="V62" s="8">
        <v>1</v>
      </c>
      <c r="W62" s="10">
        <v>1</v>
      </c>
      <c r="X62" s="8">
        <v>1</v>
      </c>
      <c r="Y62" s="43">
        <f t="shared" si="1"/>
        <v>6.6666666666666671E-3</v>
      </c>
      <c r="AA62" s="1">
        <v>1</v>
      </c>
      <c r="AB62" s="9">
        <v>1</v>
      </c>
      <c r="AC62" s="8">
        <v>1</v>
      </c>
      <c r="AD62" s="8">
        <v>1</v>
      </c>
      <c r="AE62" s="8">
        <v>1</v>
      </c>
      <c r="AF62" s="8">
        <v>1</v>
      </c>
      <c r="AG62" s="8">
        <v>1</v>
      </c>
      <c r="AH62" s="8">
        <v>1</v>
      </c>
      <c r="AI62" s="8">
        <v>1</v>
      </c>
      <c r="AJ62" s="10">
        <v>1</v>
      </c>
      <c r="AK62" s="8">
        <v>1</v>
      </c>
      <c r="AL62" s="43">
        <f t="shared" si="2"/>
        <v>6.6666666666666671E-3</v>
      </c>
    </row>
    <row r="63" spans="1:38" x14ac:dyDescent="0.2">
      <c r="A63" s="1">
        <v>44</v>
      </c>
      <c r="B63" s="9">
        <v>1</v>
      </c>
      <c r="C63" s="8">
        <v>1</v>
      </c>
      <c r="D63" s="8">
        <v>1</v>
      </c>
      <c r="E63" s="8">
        <v>1</v>
      </c>
      <c r="F63" s="8">
        <v>1</v>
      </c>
      <c r="G63" s="8">
        <v>1</v>
      </c>
      <c r="H63" s="8">
        <v>1</v>
      </c>
      <c r="I63" s="8">
        <v>1</v>
      </c>
      <c r="J63" s="10">
        <v>1</v>
      </c>
      <c r="K63" s="8">
        <v>1</v>
      </c>
      <c r="L63" s="43">
        <f t="shared" si="0"/>
        <v>6.6666666666666671E-3</v>
      </c>
      <c r="N63" s="1">
        <v>44</v>
      </c>
      <c r="O63" s="9">
        <v>1</v>
      </c>
      <c r="P63" s="8">
        <v>1</v>
      </c>
      <c r="Q63" s="8">
        <v>1</v>
      </c>
      <c r="R63" s="8">
        <v>1</v>
      </c>
      <c r="S63" s="8">
        <v>1</v>
      </c>
      <c r="T63" s="8">
        <v>1</v>
      </c>
      <c r="U63" s="8">
        <v>1</v>
      </c>
      <c r="V63" s="8">
        <v>1</v>
      </c>
      <c r="W63" s="10">
        <v>1</v>
      </c>
      <c r="X63" s="8">
        <v>1</v>
      </c>
      <c r="Y63" s="43">
        <f t="shared" si="1"/>
        <v>6.6666666666666671E-3</v>
      </c>
      <c r="AA63" s="1">
        <v>1</v>
      </c>
      <c r="AB63" s="9">
        <v>1</v>
      </c>
      <c r="AC63" s="8">
        <v>1</v>
      </c>
      <c r="AD63" s="8">
        <v>1</v>
      </c>
      <c r="AE63" s="8">
        <v>1</v>
      </c>
      <c r="AF63" s="8">
        <v>1</v>
      </c>
      <c r="AG63" s="8">
        <v>1</v>
      </c>
      <c r="AH63" s="8">
        <v>1</v>
      </c>
      <c r="AI63" s="8">
        <v>1</v>
      </c>
      <c r="AJ63" s="10">
        <v>1</v>
      </c>
      <c r="AK63" s="8">
        <v>1</v>
      </c>
      <c r="AL63" s="43">
        <f t="shared" si="2"/>
        <v>6.6666666666666671E-3</v>
      </c>
    </row>
    <row r="64" spans="1:38" x14ac:dyDescent="0.2">
      <c r="A64" s="1">
        <v>45</v>
      </c>
      <c r="B64" s="9">
        <v>1</v>
      </c>
      <c r="C64" s="8">
        <v>1</v>
      </c>
      <c r="D64" s="8">
        <v>1</v>
      </c>
      <c r="E64" s="8">
        <v>1</v>
      </c>
      <c r="F64" s="8">
        <v>1</v>
      </c>
      <c r="G64" s="8">
        <v>1</v>
      </c>
      <c r="H64" s="8">
        <v>1</v>
      </c>
      <c r="I64" s="8">
        <v>1</v>
      </c>
      <c r="J64" s="10">
        <v>1</v>
      </c>
      <c r="K64" s="8">
        <v>1</v>
      </c>
      <c r="L64" s="43">
        <f t="shared" si="0"/>
        <v>6.6666666666666671E-3</v>
      </c>
      <c r="N64" s="1">
        <v>45</v>
      </c>
      <c r="O64" s="9">
        <v>1</v>
      </c>
      <c r="P64" s="8">
        <v>1</v>
      </c>
      <c r="Q64" s="8">
        <v>1</v>
      </c>
      <c r="R64" s="8">
        <v>1</v>
      </c>
      <c r="S64" s="8">
        <v>1</v>
      </c>
      <c r="T64" s="8">
        <v>1</v>
      </c>
      <c r="U64" s="8">
        <v>1</v>
      </c>
      <c r="V64" s="8">
        <v>1</v>
      </c>
      <c r="W64" s="10">
        <v>1</v>
      </c>
      <c r="X64" s="8">
        <v>1</v>
      </c>
      <c r="Y64" s="43">
        <f t="shared" si="1"/>
        <v>6.6666666666666671E-3</v>
      </c>
      <c r="AA64" s="1">
        <v>1</v>
      </c>
      <c r="AB64" s="9">
        <v>1</v>
      </c>
      <c r="AC64" s="8">
        <v>1</v>
      </c>
      <c r="AD64" s="8">
        <v>1</v>
      </c>
      <c r="AE64" s="8">
        <v>1</v>
      </c>
      <c r="AF64" s="8">
        <v>1</v>
      </c>
      <c r="AG64" s="8">
        <v>1</v>
      </c>
      <c r="AH64" s="8">
        <v>1</v>
      </c>
      <c r="AI64" s="8">
        <v>1</v>
      </c>
      <c r="AJ64" s="10">
        <v>1</v>
      </c>
      <c r="AK64" s="8">
        <v>1</v>
      </c>
      <c r="AL64" s="43">
        <f t="shared" si="2"/>
        <v>6.6666666666666671E-3</v>
      </c>
    </row>
    <row r="65" spans="1:38" x14ac:dyDescent="0.2">
      <c r="A65" s="1">
        <v>46</v>
      </c>
      <c r="B65" s="9">
        <v>1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10">
        <v>1</v>
      </c>
      <c r="K65" s="8">
        <v>1</v>
      </c>
      <c r="L65" s="43">
        <f t="shared" si="0"/>
        <v>6.6666666666666671E-3</v>
      </c>
      <c r="N65" s="1">
        <v>46</v>
      </c>
      <c r="O65" s="9">
        <v>1</v>
      </c>
      <c r="P65" s="8">
        <v>1</v>
      </c>
      <c r="Q65" s="8">
        <v>1</v>
      </c>
      <c r="R65" s="8">
        <v>1</v>
      </c>
      <c r="S65" s="8">
        <v>1</v>
      </c>
      <c r="T65" s="8">
        <v>1</v>
      </c>
      <c r="U65" s="8">
        <v>1</v>
      </c>
      <c r="V65" s="8">
        <v>1</v>
      </c>
      <c r="W65" s="10">
        <v>1</v>
      </c>
      <c r="X65" s="8">
        <v>1</v>
      </c>
      <c r="Y65" s="43">
        <f t="shared" si="1"/>
        <v>6.6666666666666671E-3</v>
      </c>
      <c r="AA65" s="1">
        <v>1</v>
      </c>
      <c r="AB65" s="9">
        <v>1</v>
      </c>
      <c r="AC65" s="8">
        <v>1</v>
      </c>
      <c r="AD65" s="8">
        <v>1</v>
      </c>
      <c r="AE65" s="8">
        <v>1</v>
      </c>
      <c r="AF65" s="8">
        <v>1</v>
      </c>
      <c r="AG65" s="8">
        <v>1</v>
      </c>
      <c r="AH65" s="8">
        <v>1</v>
      </c>
      <c r="AI65" s="8">
        <v>1</v>
      </c>
      <c r="AJ65" s="10">
        <v>1</v>
      </c>
      <c r="AK65" s="8">
        <v>1</v>
      </c>
      <c r="AL65" s="43">
        <f t="shared" si="2"/>
        <v>6.6666666666666671E-3</v>
      </c>
    </row>
    <row r="66" spans="1:38" x14ac:dyDescent="0.2">
      <c r="A66" s="1">
        <v>47</v>
      </c>
      <c r="B66" s="9">
        <v>1</v>
      </c>
      <c r="C66" s="8">
        <v>1</v>
      </c>
      <c r="D66" s="8">
        <v>1</v>
      </c>
      <c r="E66" s="8">
        <v>1</v>
      </c>
      <c r="F66" s="8">
        <v>1</v>
      </c>
      <c r="G66" s="8">
        <v>1</v>
      </c>
      <c r="H66" s="8">
        <v>1</v>
      </c>
      <c r="I66" s="8">
        <v>1</v>
      </c>
      <c r="J66" s="10">
        <v>1</v>
      </c>
      <c r="K66" s="8">
        <v>1</v>
      </c>
      <c r="L66" s="43">
        <f t="shared" si="0"/>
        <v>6.6666666666666671E-3</v>
      </c>
      <c r="N66" s="1">
        <v>47</v>
      </c>
      <c r="O66" s="9">
        <v>1</v>
      </c>
      <c r="P66" s="8">
        <v>1</v>
      </c>
      <c r="Q66" s="8">
        <v>1</v>
      </c>
      <c r="R66" s="8">
        <v>1</v>
      </c>
      <c r="S66" s="8">
        <v>1</v>
      </c>
      <c r="T66" s="8">
        <v>1</v>
      </c>
      <c r="U66" s="8">
        <v>1</v>
      </c>
      <c r="V66" s="8">
        <v>1</v>
      </c>
      <c r="W66" s="10">
        <v>1</v>
      </c>
      <c r="X66" s="8">
        <v>1</v>
      </c>
      <c r="Y66" s="43">
        <f t="shared" si="1"/>
        <v>6.6666666666666671E-3</v>
      </c>
      <c r="AA66" s="1">
        <v>1</v>
      </c>
      <c r="AB66" s="9">
        <v>1</v>
      </c>
      <c r="AC66" s="8">
        <v>1</v>
      </c>
      <c r="AD66" s="8">
        <v>1</v>
      </c>
      <c r="AE66" s="8">
        <v>1</v>
      </c>
      <c r="AF66" s="8">
        <v>1</v>
      </c>
      <c r="AG66" s="8">
        <v>1</v>
      </c>
      <c r="AH66" s="8">
        <v>1</v>
      </c>
      <c r="AI66" s="8">
        <v>1</v>
      </c>
      <c r="AJ66" s="10">
        <v>1</v>
      </c>
      <c r="AK66" s="8">
        <v>1</v>
      </c>
      <c r="AL66" s="43">
        <f t="shared" si="2"/>
        <v>6.6666666666666671E-3</v>
      </c>
    </row>
    <row r="67" spans="1:38" x14ac:dyDescent="0.2">
      <c r="A67" s="1">
        <v>48</v>
      </c>
      <c r="B67" s="9">
        <v>1</v>
      </c>
      <c r="C67" s="8">
        <v>1</v>
      </c>
      <c r="D67" s="8">
        <v>1</v>
      </c>
      <c r="E67" s="8">
        <v>1</v>
      </c>
      <c r="F67" s="8">
        <v>1</v>
      </c>
      <c r="G67" s="8">
        <v>1</v>
      </c>
      <c r="H67" s="8">
        <v>1</v>
      </c>
      <c r="I67" s="8">
        <v>1</v>
      </c>
      <c r="J67" s="10">
        <v>1</v>
      </c>
      <c r="K67" s="8">
        <v>1</v>
      </c>
      <c r="L67" s="43">
        <f t="shared" si="0"/>
        <v>6.6666666666666671E-3</v>
      </c>
      <c r="N67" s="1">
        <v>48</v>
      </c>
      <c r="O67" s="9">
        <v>1</v>
      </c>
      <c r="P67" s="8">
        <v>1</v>
      </c>
      <c r="Q67" s="8">
        <v>1</v>
      </c>
      <c r="R67" s="8">
        <v>1</v>
      </c>
      <c r="S67" s="8">
        <v>1</v>
      </c>
      <c r="T67" s="8">
        <v>1</v>
      </c>
      <c r="U67" s="8">
        <v>1</v>
      </c>
      <c r="V67" s="8">
        <v>1</v>
      </c>
      <c r="W67" s="10">
        <v>1</v>
      </c>
      <c r="X67" s="8">
        <v>1</v>
      </c>
      <c r="Y67" s="43">
        <f t="shared" si="1"/>
        <v>6.6666666666666671E-3</v>
      </c>
      <c r="AA67" s="1">
        <v>1</v>
      </c>
      <c r="AB67" s="9">
        <v>1</v>
      </c>
      <c r="AC67" s="8">
        <v>1</v>
      </c>
      <c r="AD67" s="8">
        <v>1</v>
      </c>
      <c r="AE67" s="8">
        <v>1</v>
      </c>
      <c r="AF67" s="8">
        <v>1</v>
      </c>
      <c r="AG67" s="8">
        <v>1</v>
      </c>
      <c r="AH67" s="8">
        <v>1</v>
      </c>
      <c r="AI67" s="8">
        <v>1</v>
      </c>
      <c r="AJ67" s="10">
        <v>1</v>
      </c>
      <c r="AK67" s="8">
        <v>1</v>
      </c>
      <c r="AL67" s="43">
        <f t="shared" si="2"/>
        <v>6.6666666666666671E-3</v>
      </c>
    </row>
    <row r="68" spans="1:38" x14ac:dyDescent="0.2">
      <c r="A68" s="1">
        <v>49</v>
      </c>
      <c r="B68" s="9">
        <v>1</v>
      </c>
      <c r="C68" s="8">
        <v>1</v>
      </c>
      <c r="D68" s="8">
        <v>1</v>
      </c>
      <c r="E68" s="8">
        <v>1</v>
      </c>
      <c r="F68" s="8">
        <v>1</v>
      </c>
      <c r="G68" s="8">
        <v>1</v>
      </c>
      <c r="H68" s="8">
        <v>1</v>
      </c>
      <c r="I68" s="8">
        <v>1</v>
      </c>
      <c r="J68" s="10">
        <v>1</v>
      </c>
      <c r="K68" s="8">
        <v>1</v>
      </c>
      <c r="L68" s="43">
        <f t="shared" si="0"/>
        <v>6.6666666666666671E-3</v>
      </c>
      <c r="N68" s="1">
        <v>49</v>
      </c>
      <c r="O68" s="9">
        <v>1</v>
      </c>
      <c r="P68" s="8">
        <v>1</v>
      </c>
      <c r="Q68" s="8">
        <v>1</v>
      </c>
      <c r="R68" s="8">
        <v>1</v>
      </c>
      <c r="S68" s="8">
        <v>1</v>
      </c>
      <c r="T68" s="8">
        <v>1</v>
      </c>
      <c r="U68" s="8">
        <v>1</v>
      </c>
      <c r="V68" s="8">
        <v>1</v>
      </c>
      <c r="W68" s="10">
        <v>1</v>
      </c>
      <c r="X68" s="8">
        <v>1</v>
      </c>
      <c r="Y68" s="43">
        <f t="shared" si="1"/>
        <v>6.6666666666666671E-3</v>
      </c>
      <c r="AA68" s="1">
        <v>1</v>
      </c>
      <c r="AB68" s="9">
        <v>1</v>
      </c>
      <c r="AC68" s="8">
        <v>1</v>
      </c>
      <c r="AD68" s="8">
        <v>1</v>
      </c>
      <c r="AE68" s="8">
        <v>1</v>
      </c>
      <c r="AF68" s="8">
        <v>1</v>
      </c>
      <c r="AG68" s="8">
        <v>1</v>
      </c>
      <c r="AH68" s="8">
        <v>1</v>
      </c>
      <c r="AI68" s="8">
        <v>1</v>
      </c>
      <c r="AJ68" s="10">
        <v>1</v>
      </c>
      <c r="AK68" s="8">
        <v>1</v>
      </c>
      <c r="AL68" s="43">
        <f t="shared" si="2"/>
        <v>6.6666666666666671E-3</v>
      </c>
    </row>
    <row r="69" spans="1:38" x14ac:dyDescent="0.2">
      <c r="A69" s="1">
        <v>50</v>
      </c>
      <c r="B69" s="9">
        <v>1</v>
      </c>
      <c r="C69" s="8">
        <v>1</v>
      </c>
      <c r="D69" s="8">
        <v>1</v>
      </c>
      <c r="E69" s="8">
        <v>1</v>
      </c>
      <c r="F69" s="8">
        <v>1</v>
      </c>
      <c r="G69" s="8">
        <v>1</v>
      </c>
      <c r="H69" s="8">
        <v>1</v>
      </c>
      <c r="I69" s="8">
        <v>1</v>
      </c>
      <c r="J69" s="10">
        <v>1</v>
      </c>
      <c r="K69" s="8">
        <v>1</v>
      </c>
      <c r="L69" s="43">
        <f t="shared" si="0"/>
        <v>6.6666666666666671E-3</v>
      </c>
      <c r="N69" s="1">
        <v>50</v>
      </c>
      <c r="O69" s="9">
        <v>1</v>
      </c>
      <c r="P69" s="8">
        <v>1</v>
      </c>
      <c r="Q69" s="8">
        <v>1</v>
      </c>
      <c r="R69" s="8">
        <v>1</v>
      </c>
      <c r="S69" s="8">
        <v>1</v>
      </c>
      <c r="T69" s="8">
        <v>1</v>
      </c>
      <c r="U69" s="8">
        <v>1</v>
      </c>
      <c r="V69" s="8">
        <v>1</v>
      </c>
      <c r="W69" s="10">
        <v>1</v>
      </c>
      <c r="X69" s="8">
        <v>1</v>
      </c>
      <c r="Y69" s="43">
        <f t="shared" si="1"/>
        <v>6.6666666666666671E-3</v>
      </c>
      <c r="AA69" s="1">
        <v>1</v>
      </c>
      <c r="AB69" s="9">
        <v>1</v>
      </c>
      <c r="AC69" s="8">
        <v>1</v>
      </c>
      <c r="AD69" s="8">
        <v>1</v>
      </c>
      <c r="AE69" s="8">
        <v>1</v>
      </c>
      <c r="AF69" s="8">
        <v>1</v>
      </c>
      <c r="AG69" s="8">
        <v>1</v>
      </c>
      <c r="AH69" s="8">
        <v>1</v>
      </c>
      <c r="AI69" s="8">
        <v>1</v>
      </c>
      <c r="AJ69" s="10">
        <v>1</v>
      </c>
      <c r="AK69" s="8">
        <v>1</v>
      </c>
      <c r="AL69" s="43">
        <f t="shared" si="2"/>
        <v>6.6666666666666671E-3</v>
      </c>
    </row>
    <row r="70" spans="1:38" x14ac:dyDescent="0.2">
      <c r="A70" s="1">
        <v>51</v>
      </c>
      <c r="B70" s="9">
        <v>1</v>
      </c>
      <c r="C70" s="8">
        <v>1</v>
      </c>
      <c r="D70" s="8">
        <v>1</v>
      </c>
      <c r="E70" s="8">
        <v>1</v>
      </c>
      <c r="F70" s="8">
        <v>1</v>
      </c>
      <c r="G70" s="8">
        <v>1</v>
      </c>
      <c r="H70" s="8">
        <v>1</v>
      </c>
      <c r="I70" s="8">
        <v>1</v>
      </c>
      <c r="J70" s="10">
        <v>1</v>
      </c>
      <c r="K70" s="8">
        <v>1</v>
      </c>
      <c r="L70" s="43">
        <f t="shared" si="0"/>
        <v>6.6666666666666671E-3</v>
      </c>
      <c r="N70" s="1">
        <v>51</v>
      </c>
      <c r="O70" s="9">
        <v>1</v>
      </c>
      <c r="P70" s="8">
        <v>1</v>
      </c>
      <c r="Q70" s="8">
        <v>1</v>
      </c>
      <c r="R70" s="8">
        <v>1</v>
      </c>
      <c r="S70" s="8">
        <v>1</v>
      </c>
      <c r="T70" s="8">
        <v>1</v>
      </c>
      <c r="U70" s="8">
        <v>1</v>
      </c>
      <c r="V70" s="8">
        <v>1</v>
      </c>
      <c r="W70" s="10">
        <v>1</v>
      </c>
      <c r="X70" s="8">
        <v>1</v>
      </c>
      <c r="Y70" s="43">
        <f t="shared" si="1"/>
        <v>6.6666666666666671E-3</v>
      </c>
      <c r="AA70" s="1">
        <v>1</v>
      </c>
      <c r="AB70" s="9">
        <v>1</v>
      </c>
      <c r="AC70" s="8">
        <v>1</v>
      </c>
      <c r="AD70" s="8">
        <v>1</v>
      </c>
      <c r="AE70" s="8">
        <v>1</v>
      </c>
      <c r="AF70" s="8">
        <v>1</v>
      </c>
      <c r="AG70" s="8">
        <v>1</v>
      </c>
      <c r="AH70" s="8">
        <v>1</v>
      </c>
      <c r="AI70" s="8">
        <v>1</v>
      </c>
      <c r="AJ70" s="10">
        <v>1</v>
      </c>
      <c r="AK70" s="8">
        <v>1</v>
      </c>
      <c r="AL70" s="43">
        <f t="shared" si="2"/>
        <v>6.6666666666666671E-3</v>
      </c>
    </row>
    <row r="71" spans="1:38" x14ac:dyDescent="0.2">
      <c r="A71" s="1">
        <v>52</v>
      </c>
      <c r="B71" s="9">
        <v>1</v>
      </c>
      <c r="C71" s="8">
        <v>1</v>
      </c>
      <c r="D71" s="8">
        <v>1</v>
      </c>
      <c r="E71" s="8">
        <v>1</v>
      </c>
      <c r="F71" s="8">
        <v>1</v>
      </c>
      <c r="G71" s="8">
        <v>1</v>
      </c>
      <c r="H71" s="8">
        <v>1</v>
      </c>
      <c r="I71" s="8">
        <v>1</v>
      </c>
      <c r="J71" s="10">
        <v>1</v>
      </c>
      <c r="K71" s="8">
        <v>1</v>
      </c>
      <c r="L71" s="43">
        <f t="shared" si="0"/>
        <v>6.6666666666666671E-3</v>
      </c>
      <c r="N71" s="1">
        <v>52</v>
      </c>
      <c r="O71" s="9">
        <v>1</v>
      </c>
      <c r="P71" s="8">
        <v>1</v>
      </c>
      <c r="Q71" s="8">
        <v>1</v>
      </c>
      <c r="R71" s="8">
        <v>1</v>
      </c>
      <c r="S71" s="8">
        <v>1</v>
      </c>
      <c r="T71" s="8">
        <v>1</v>
      </c>
      <c r="U71" s="8">
        <v>1</v>
      </c>
      <c r="V71" s="8">
        <v>1</v>
      </c>
      <c r="W71" s="10">
        <v>1</v>
      </c>
      <c r="X71" s="8">
        <v>1</v>
      </c>
      <c r="Y71" s="43">
        <f t="shared" si="1"/>
        <v>6.6666666666666671E-3</v>
      </c>
      <c r="AA71" s="1">
        <v>1</v>
      </c>
      <c r="AB71" s="9">
        <v>1</v>
      </c>
      <c r="AC71" s="8">
        <v>1</v>
      </c>
      <c r="AD71" s="8">
        <v>1</v>
      </c>
      <c r="AE71" s="8">
        <v>1</v>
      </c>
      <c r="AF71" s="8">
        <v>1</v>
      </c>
      <c r="AG71" s="8">
        <v>1</v>
      </c>
      <c r="AH71" s="8">
        <v>1</v>
      </c>
      <c r="AI71" s="8">
        <v>1</v>
      </c>
      <c r="AJ71" s="10">
        <v>1</v>
      </c>
      <c r="AK71" s="8">
        <v>1</v>
      </c>
      <c r="AL71" s="43">
        <f t="shared" si="2"/>
        <v>6.6666666666666671E-3</v>
      </c>
    </row>
    <row r="72" spans="1:38" x14ac:dyDescent="0.2">
      <c r="A72" s="1">
        <v>53</v>
      </c>
      <c r="B72" s="9">
        <v>1</v>
      </c>
      <c r="C72" s="8">
        <v>1</v>
      </c>
      <c r="D72" s="8">
        <v>1</v>
      </c>
      <c r="E72" s="8">
        <v>1</v>
      </c>
      <c r="F72" s="8">
        <v>1</v>
      </c>
      <c r="G72" s="8">
        <v>1</v>
      </c>
      <c r="H72" s="8">
        <v>1</v>
      </c>
      <c r="I72" s="8">
        <v>1</v>
      </c>
      <c r="J72" s="10">
        <v>1</v>
      </c>
      <c r="K72" s="8">
        <v>1</v>
      </c>
      <c r="L72" s="43">
        <f t="shared" si="0"/>
        <v>6.6666666666666671E-3</v>
      </c>
      <c r="N72" s="1">
        <v>53</v>
      </c>
      <c r="O72" s="9">
        <v>1</v>
      </c>
      <c r="P72" s="8">
        <v>1</v>
      </c>
      <c r="Q72" s="8">
        <v>1</v>
      </c>
      <c r="R72" s="8">
        <v>1</v>
      </c>
      <c r="S72" s="8">
        <v>1</v>
      </c>
      <c r="T72" s="8">
        <v>1</v>
      </c>
      <c r="U72" s="8">
        <v>1</v>
      </c>
      <c r="V72" s="8">
        <v>1</v>
      </c>
      <c r="W72" s="10">
        <v>1</v>
      </c>
      <c r="X72" s="8">
        <v>1</v>
      </c>
      <c r="Y72" s="43">
        <f t="shared" si="1"/>
        <v>6.6666666666666671E-3</v>
      </c>
      <c r="AA72" s="1">
        <v>1</v>
      </c>
      <c r="AB72" s="9">
        <v>1</v>
      </c>
      <c r="AC72" s="8">
        <v>1</v>
      </c>
      <c r="AD72" s="8">
        <v>1</v>
      </c>
      <c r="AE72" s="8">
        <v>1</v>
      </c>
      <c r="AF72" s="8">
        <v>1</v>
      </c>
      <c r="AG72" s="8">
        <v>1</v>
      </c>
      <c r="AH72" s="8">
        <v>1</v>
      </c>
      <c r="AI72" s="8">
        <v>1</v>
      </c>
      <c r="AJ72" s="10">
        <v>1</v>
      </c>
      <c r="AK72" s="8">
        <v>1</v>
      </c>
      <c r="AL72" s="43">
        <f t="shared" si="2"/>
        <v>6.6666666666666671E-3</v>
      </c>
    </row>
    <row r="73" spans="1:38" x14ac:dyDescent="0.2">
      <c r="A73" s="1">
        <v>54</v>
      </c>
      <c r="B73" s="9">
        <v>1</v>
      </c>
      <c r="C73" s="8">
        <v>1</v>
      </c>
      <c r="D73" s="8">
        <v>1</v>
      </c>
      <c r="E73" s="8">
        <v>1</v>
      </c>
      <c r="F73" s="8">
        <v>1</v>
      </c>
      <c r="G73" s="8">
        <v>1</v>
      </c>
      <c r="H73" s="8">
        <v>1</v>
      </c>
      <c r="I73" s="8">
        <v>1</v>
      </c>
      <c r="J73" s="10">
        <v>1</v>
      </c>
      <c r="K73" s="8">
        <v>1</v>
      </c>
      <c r="L73" s="43">
        <f t="shared" si="0"/>
        <v>6.6666666666666671E-3</v>
      </c>
      <c r="N73" s="1">
        <v>54</v>
      </c>
      <c r="O73" s="9">
        <v>1</v>
      </c>
      <c r="P73" s="8">
        <v>1</v>
      </c>
      <c r="Q73" s="8">
        <v>1</v>
      </c>
      <c r="R73" s="8">
        <v>1</v>
      </c>
      <c r="S73" s="8">
        <v>1</v>
      </c>
      <c r="T73" s="8">
        <v>1</v>
      </c>
      <c r="U73" s="8">
        <v>1</v>
      </c>
      <c r="V73" s="8">
        <v>1</v>
      </c>
      <c r="W73" s="10">
        <v>1</v>
      </c>
      <c r="X73" s="8">
        <v>1</v>
      </c>
      <c r="Y73" s="43">
        <f t="shared" si="1"/>
        <v>6.6666666666666671E-3</v>
      </c>
      <c r="AA73" s="1">
        <v>1</v>
      </c>
      <c r="AB73" s="9">
        <v>1</v>
      </c>
      <c r="AC73" s="8">
        <v>1</v>
      </c>
      <c r="AD73" s="8">
        <v>1</v>
      </c>
      <c r="AE73" s="8">
        <v>1</v>
      </c>
      <c r="AF73" s="8">
        <v>1</v>
      </c>
      <c r="AG73" s="8">
        <v>1</v>
      </c>
      <c r="AH73" s="8">
        <v>1</v>
      </c>
      <c r="AI73" s="8">
        <v>1</v>
      </c>
      <c r="AJ73" s="10">
        <v>1</v>
      </c>
      <c r="AK73" s="8">
        <v>1</v>
      </c>
      <c r="AL73" s="43">
        <f t="shared" si="2"/>
        <v>6.6666666666666671E-3</v>
      </c>
    </row>
    <row r="74" spans="1:38" x14ac:dyDescent="0.2">
      <c r="A74" s="1">
        <v>55</v>
      </c>
      <c r="B74" s="9">
        <v>1</v>
      </c>
      <c r="C74" s="8">
        <v>1</v>
      </c>
      <c r="D74" s="8">
        <v>1</v>
      </c>
      <c r="E74" s="8">
        <v>1</v>
      </c>
      <c r="F74" s="8">
        <v>1</v>
      </c>
      <c r="G74" s="8">
        <v>1</v>
      </c>
      <c r="H74" s="8">
        <v>1</v>
      </c>
      <c r="I74" s="8">
        <v>1</v>
      </c>
      <c r="J74" s="10">
        <v>1</v>
      </c>
      <c r="K74" s="8">
        <v>1</v>
      </c>
      <c r="L74" s="43">
        <f t="shared" si="0"/>
        <v>6.6666666666666671E-3</v>
      </c>
      <c r="N74" s="1">
        <v>55</v>
      </c>
      <c r="O74" s="9">
        <v>1</v>
      </c>
      <c r="P74" s="8">
        <v>1</v>
      </c>
      <c r="Q74" s="8">
        <v>1</v>
      </c>
      <c r="R74" s="8">
        <v>1</v>
      </c>
      <c r="S74" s="8">
        <v>1</v>
      </c>
      <c r="T74" s="8">
        <v>1</v>
      </c>
      <c r="U74" s="8">
        <v>1</v>
      </c>
      <c r="V74" s="8">
        <v>1</v>
      </c>
      <c r="W74" s="10">
        <v>1</v>
      </c>
      <c r="X74" s="8">
        <v>1</v>
      </c>
      <c r="Y74" s="43">
        <f t="shared" si="1"/>
        <v>6.6666666666666671E-3</v>
      </c>
      <c r="AA74" s="1">
        <v>1</v>
      </c>
      <c r="AB74" s="9">
        <v>1</v>
      </c>
      <c r="AC74" s="8">
        <v>1</v>
      </c>
      <c r="AD74" s="8">
        <v>1</v>
      </c>
      <c r="AE74" s="8">
        <v>1</v>
      </c>
      <c r="AF74" s="8">
        <v>1</v>
      </c>
      <c r="AG74" s="8">
        <v>1</v>
      </c>
      <c r="AH74" s="8">
        <v>1</v>
      </c>
      <c r="AI74" s="8">
        <v>1</v>
      </c>
      <c r="AJ74" s="10">
        <v>1</v>
      </c>
      <c r="AK74" s="8">
        <v>1</v>
      </c>
      <c r="AL74" s="43">
        <f t="shared" si="2"/>
        <v>6.6666666666666671E-3</v>
      </c>
    </row>
    <row r="75" spans="1:38" x14ac:dyDescent="0.2">
      <c r="A75" s="1">
        <v>56</v>
      </c>
      <c r="B75" s="9">
        <v>1</v>
      </c>
      <c r="C75" s="8">
        <v>1</v>
      </c>
      <c r="D75" s="8">
        <v>1</v>
      </c>
      <c r="E75" s="8">
        <v>1</v>
      </c>
      <c r="F75" s="8">
        <v>1</v>
      </c>
      <c r="G75" s="8">
        <v>1</v>
      </c>
      <c r="H75" s="8">
        <v>1</v>
      </c>
      <c r="I75" s="8">
        <v>1</v>
      </c>
      <c r="J75" s="10">
        <v>1</v>
      </c>
      <c r="K75" s="8">
        <v>1</v>
      </c>
      <c r="L75" s="43">
        <f t="shared" si="0"/>
        <v>6.6666666666666671E-3</v>
      </c>
      <c r="N75" s="1">
        <v>56</v>
      </c>
      <c r="O75" s="9">
        <v>1</v>
      </c>
      <c r="P75" s="8">
        <v>1</v>
      </c>
      <c r="Q75" s="8">
        <v>1</v>
      </c>
      <c r="R75" s="8">
        <v>1</v>
      </c>
      <c r="S75" s="8">
        <v>1</v>
      </c>
      <c r="T75" s="8">
        <v>1</v>
      </c>
      <c r="U75" s="8">
        <v>1</v>
      </c>
      <c r="V75" s="8">
        <v>1</v>
      </c>
      <c r="W75" s="10">
        <v>1</v>
      </c>
      <c r="X75" s="8">
        <v>1</v>
      </c>
      <c r="Y75" s="43">
        <f t="shared" si="1"/>
        <v>6.6666666666666671E-3</v>
      </c>
      <c r="AA75" s="1">
        <v>1</v>
      </c>
      <c r="AB75" s="9">
        <v>1</v>
      </c>
      <c r="AC75" s="8">
        <v>1</v>
      </c>
      <c r="AD75" s="8">
        <v>1</v>
      </c>
      <c r="AE75" s="8">
        <v>1</v>
      </c>
      <c r="AF75" s="8">
        <v>1</v>
      </c>
      <c r="AG75" s="8">
        <v>1</v>
      </c>
      <c r="AH75" s="8">
        <v>1</v>
      </c>
      <c r="AI75" s="8">
        <v>1</v>
      </c>
      <c r="AJ75" s="10">
        <v>1</v>
      </c>
      <c r="AK75" s="8">
        <v>1</v>
      </c>
      <c r="AL75" s="43">
        <f t="shared" si="2"/>
        <v>6.6666666666666671E-3</v>
      </c>
    </row>
    <row r="76" spans="1:38" x14ac:dyDescent="0.2">
      <c r="A76" s="1">
        <v>57</v>
      </c>
      <c r="B76" s="9">
        <v>1</v>
      </c>
      <c r="C76" s="8">
        <v>1</v>
      </c>
      <c r="D76" s="8">
        <v>1</v>
      </c>
      <c r="E76" s="8">
        <v>1</v>
      </c>
      <c r="F76" s="8">
        <v>1</v>
      </c>
      <c r="G76" s="8">
        <v>1</v>
      </c>
      <c r="H76" s="8">
        <v>1</v>
      </c>
      <c r="I76" s="8">
        <v>1</v>
      </c>
      <c r="J76" s="10">
        <v>1</v>
      </c>
      <c r="K76" s="8">
        <v>1</v>
      </c>
      <c r="L76" s="43">
        <f t="shared" si="0"/>
        <v>6.6666666666666671E-3</v>
      </c>
      <c r="N76" s="1">
        <v>57</v>
      </c>
      <c r="O76" s="9">
        <v>1</v>
      </c>
      <c r="P76" s="8">
        <v>1</v>
      </c>
      <c r="Q76" s="8">
        <v>1</v>
      </c>
      <c r="R76" s="8">
        <v>1</v>
      </c>
      <c r="S76" s="8">
        <v>1</v>
      </c>
      <c r="T76" s="8">
        <v>1</v>
      </c>
      <c r="U76" s="8">
        <v>1</v>
      </c>
      <c r="V76" s="8">
        <v>1</v>
      </c>
      <c r="W76" s="10">
        <v>1</v>
      </c>
      <c r="X76" s="8">
        <v>1</v>
      </c>
      <c r="Y76" s="43">
        <f t="shared" si="1"/>
        <v>6.6666666666666671E-3</v>
      </c>
      <c r="AA76" s="1">
        <v>1</v>
      </c>
      <c r="AB76" s="9">
        <v>1</v>
      </c>
      <c r="AC76" s="8">
        <v>1</v>
      </c>
      <c r="AD76" s="8">
        <v>1</v>
      </c>
      <c r="AE76" s="8">
        <v>1</v>
      </c>
      <c r="AF76" s="8">
        <v>1</v>
      </c>
      <c r="AG76" s="8">
        <v>1</v>
      </c>
      <c r="AH76" s="8">
        <v>1</v>
      </c>
      <c r="AI76" s="8">
        <v>1</v>
      </c>
      <c r="AJ76" s="10">
        <v>1</v>
      </c>
      <c r="AK76" s="8">
        <v>1</v>
      </c>
      <c r="AL76" s="43">
        <f t="shared" si="2"/>
        <v>6.6666666666666671E-3</v>
      </c>
    </row>
    <row r="77" spans="1:38" x14ac:dyDescent="0.2">
      <c r="A77" s="1">
        <v>58</v>
      </c>
      <c r="B77" s="9">
        <v>1</v>
      </c>
      <c r="C77" s="8">
        <v>1</v>
      </c>
      <c r="D77" s="8">
        <v>1</v>
      </c>
      <c r="E77" s="8">
        <v>1</v>
      </c>
      <c r="F77" s="8">
        <v>1</v>
      </c>
      <c r="G77" s="8">
        <v>1</v>
      </c>
      <c r="H77" s="8">
        <v>1</v>
      </c>
      <c r="I77" s="8">
        <v>1</v>
      </c>
      <c r="J77" s="10">
        <v>1</v>
      </c>
      <c r="K77" s="8">
        <v>1</v>
      </c>
      <c r="L77" s="43">
        <f t="shared" si="0"/>
        <v>6.6666666666666671E-3</v>
      </c>
      <c r="N77" s="1">
        <v>58</v>
      </c>
      <c r="O77" s="9">
        <v>1</v>
      </c>
      <c r="P77" s="8">
        <v>1</v>
      </c>
      <c r="Q77" s="8">
        <v>1</v>
      </c>
      <c r="R77" s="8">
        <v>1</v>
      </c>
      <c r="S77" s="8">
        <v>1</v>
      </c>
      <c r="T77" s="8">
        <v>1</v>
      </c>
      <c r="U77" s="8">
        <v>1</v>
      </c>
      <c r="V77" s="8">
        <v>1</v>
      </c>
      <c r="W77" s="10">
        <v>1</v>
      </c>
      <c r="X77" s="8">
        <v>1</v>
      </c>
      <c r="Y77" s="43">
        <f t="shared" si="1"/>
        <v>6.6666666666666671E-3</v>
      </c>
      <c r="AA77" s="1">
        <v>1</v>
      </c>
      <c r="AB77" s="9">
        <v>1</v>
      </c>
      <c r="AC77" s="8">
        <v>1</v>
      </c>
      <c r="AD77" s="8">
        <v>1</v>
      </c>
      <c r="AE77" s="8">
        <v>1</v>
      </c>
      <c r="AF77" s="8">
        <v>1</v>
      </c>
      <c r="AG77" s="8">
        <v>1</v>
      </c>
      <c r="AH77" s="8">
        <v>1</v>
      </c>
      <c r="AI77" s="8">
        <v>1</v>
      </c>
      <c r="AJ77" s="10">
        <v>1</v>
      </c>
      <c r="AK77" s="8">
        <v>1</v>
      </c>
      <c r="AL77" s="43">
        <f t="shared" si="2"/>
        <v>6.6666666666666671E-3</v>
      </c>
    </row>
    <row r="78" spans="1:38" x14ac:dyDescent="0.2">
      <c r="A78" s="1">
        <v>59</v>
      </c>
      <c r="B78" s="9">
        <v>1</v>
      </c>
      <c r="C78" s="8">
        <v>1</v>
      </c>
      <c r="D78" s="8">
        <v>1</v>
      </c>
      <c r="E78" s="8">
        <v>1</v>
      </c>
      <c r="F78" s="8">
        <v>1</v>
      </c>
      <c r="G78" s="8">
        <v>1</v>
      </c>
      <c r="H78" s="8">
        <v>1</v>
      </c>
      <c r="I78" s="8">
        <v>1</v>
      </c>
      <c r="J78" s="10">
        <v>1</v>
      </c>
      <c r="K78" s="8">
        <v>1</v>
      </c>
      <c r="L78" s="43">
        <f t="shared" si="0"/>
        <v>6.6666666666666671E-3</v>
      </c>
      <c r="N78" s="1">
        <v>59</v>
      </c>
      <c r="O78" s="9">
        <v>1</v>
      </c>
      <c r="P78" s="8">
        <v>1</v>
      </c>
      <c r="Q78" s="8">
        <v>1</v>
      </c>
      <c r="R78" s="8">
        <v>1</v>
      </c>
      <c r="S78" s="8">
        <v>1</v>
      </c>
      <c r="T78" s="8">
        <v>1</v>
      </c>
      <c r="U78" s="8">
        <v>1</v>
      </c>
      <c r="V78" s="8">
        <v>1</v>
      </c>
      <c r="W78" s="10">
        <v>1</v>
      </c>
      <c r="X78" s="8">
        <v>1</v>
      </c>
      <c r="Y78" s="43">
        <f t="shared" si="1"/>
        <v>6.6666666666666671E-3</v>
      </c>
      <c r="AA78" s="1">
        <v>1</v>
      </c>
      <c r="AB78" s="9">
        <v>1</v>
      </c>
      <c r="AC78" s="8">
        <v>1</v>
      </c>
      <c r="AD78" s="8">
        <v>1</v>
      </c>
      <c r="AE78" s="8">
        <v>1</v>
      </c>
      <c r="AF78" s="8">
        <v>1</v>
      </c>
      <c r="AG78" s="8">
        <v>1</v>
      </c>
      <c r="AH78" s="8">
        <v>1</v>
      </c>
      <c r="AI78" s="8">
        <v>1</v>
      </c>
      <c r="AJ78" s="10">
        <v>1</v>
      </c>
      <c r="AK78" s="8">
        <v>1</v>
      </c>
      <c r="AL78" s="43">
        <f t="shared" si="2"/>
        <v>6.6666666666666671E-3</v>
      </c>
    </row>
    <row r="79" spans="1:38" x14ac:dyDescent="0.2">
      <c r="A79" s="1">
        <v>60</v>
      </c>
      <c r="B79" s="9">
        <v>1</v>
      </c>
      <c r="C79" s="8">
        <v>1</v>
      </c>
      <c r="D79" s="8">
        <v>1</v>
      </c>
      <c r="E79" s="8">
        <v>1</v>
      </c>
      <c r="F79" s="8">
        <v>1</v>
      </c>
      <c r="G79" s="8">
        <v>1</v>
      </c>
      <c r="H79" s="8">
        <v>1</v>
      </c>
      <c r="I79" s="8">
        <v>1</v>
      </c>
      <c r="J79" s="10">
        <v>1</v>
      </c>
      <c r="K79" s="8">
        <v>1</v>
      </c>
      <c r="L79" s="43">
        <f t="shared" si="0"/>
        <v>6.6666666666666671E-3</v>
      </c>
      <c r="N79" s="1">
        <v>60</v>
      </c>
      <c r="O79" s="9">
        <v>1</v>
      </c>
      <c r="P79" s="8">
        <v>1</v>
      </c>
      <c r="Q79" s="8">
        <v>1</v>
      </c>
      <c r="R79" s="8">
        <v>1</v>
      </c>
      <c r="S79" s="8">
        <v>1</v>
      </c>
      <c r="T79" s="8">
        <v>1</v>
      </c>
      <c r="U79" s="8">
        <v>1</v>
      </c>
      <c r="V79" s="8">
        <v>1</v>
      </c>
      <c r="W79" s="10">
        <v>1</v>
      </c>
      <c r="X79" s="8">
        <v>1</v>
      </c>
      <c r="Y79" s="43">
        <f t="shared" si="1"/>
        <v>6.6666666666666671E-3</v>
      </c>
      <c r="AA79" s="1">
        <v>1</v>
      </c>
      <c r="AB79" s="9">
        <v>1</v>
      </c>
      <c r="AC79" s="8">
        <v>1</v>
      </c>
      <c r="AD79" s="8">
        <v>1</v>
      </c>
      <c r="AE79" s="8">
        <v>1</v>
      </c>
      <c r="AF79" s="8">
        <v>1</v>
      </c>
      <c r="AG79" s="8">
        <v>1</v>
      </c>
      <c r="AH79" s="8">
        <v>1</v>
      </c>
      <c r="AI79" s="8">
        <v>1</v>
      </c>
      <c r="AJ79" s="10">
        <v>1</v>
      </c>
      <c r="AK79" s="8">
        <v>1</v>
      </c>
      <c r="AL79" s="43">
        <f t="shared" si="2"/>
        <v>6.6666666666666671E-3</v>
      </c>
    </row>
    <row r="80" spans="1:38" x14ac:dyDescent="0.2">
      <c r="A80" s="1">
        <v>61</v>
      </c>
      <c r="B80" s="9">
        <v>1</v>
      </c>
      <c r="C80" s="8">
        <v>1</v>
      </c>
      <c r="D80" s="8">
        <v>1</v>
      </c>
      <c r="E80" s="8">
        <v>1</v>
      </c>
      <c r="F80" s="8">
        <v>1</v>
      </c>
      <c r="G80" s="8">
        <v>1</v>
      </c>
      <c r="H80" s="8">
        <v>1</v>
      </c>
      <c r="I80" s="8">
        <v>1</v>
      </c>
      <c r="J80" s="10">
        <v>1</v>
      </c>
      <c r="K80" s="8">
        <v>1</v>
      </c>
      <c r="L80" s="43">
        <f t="shared" si="0"/>
        <v>6.6666666666666671E-3</v>
      </c>
      <c r="N80" s="1">
        <v>61</v>
      </c>
      <c r="O80" s="9">
        <v>1</v>
      </c>
      <c r="P80" s="8">
        <v>1</v>
      </c>
      <c r="Q80" s="8">
        <v>1</v>
      </c>
      <c r="R80" s="8">
        <v>1</v>
      </c>
      <c r="S80" s="8">
        <v>1</v>
      </c>
      <c r="T80" s="8">
        <v>1</v>
      </c>
      <c r="U80" s="8">
        <v>1</v>
      </c>
      <c r="V80" s="8">
        <v>1</v>
      </c>
      <c r="W80" s="10">
        <v>1</v>
      </c>
      <c r="X80" s="8">
        <v>1</v>
      </c>
      <c r="Y80" s="43">
        <f t="shared" si="1"/>
        <v>6.6666666666666671E-3</v>
      </c>
      <c r="AA80" s="1">
        <v>1</v>
      </c>
      <c r="AB80" s="9">
        <v>1</v>
      </c>
      <c r="AC80" s="8">
        <v>1</v>
      </c>
      <c r="AD80" s="8">
        <v>1</v>
      </c>
      <c r="AE80" s="8">
        <v>1</v>
      </c>
      <c r="AF80" s="8">
        <v>1</v>
      </c>
      <c r="AG80" s="8">
        <v>1</v>
      </c>
      <c r="AH80" s="8">
        <v>1</v>
      </c>
      <c r="AI80" s="8">
        <v>1</v>
      </c>
      <c r="AJ80" s="10">
        <v>1</v>
      </c>
      <c r="AK80" s="8">
        <v>1</v>
      </c>
      <c r="AL80" s="43">
        <f t="shared" si="2"/>
        <v>6.6666666666666671E-3</v>
      </c>
    </row>
    <row r="81" spans="1:38" x14ac:dyDescent="0.2">
      <c r="A81" s="1">
        <v>62</v>
      </c>
      <c r="B81" s="9">
        <v>1</v>
      </c>
      <c r="C81" s="8">
        <v>1</v>
      </c>
      <c r="D81" s="8">
        <v>1</v>
      </c>
      <c r="E81" s="8">
        <v>1</v>
      </c>
      <c r="F81" s="8">
        <v>1</v>
      </c>
      <c r="G81" s="8">
        <v>1</v>
      </c>
      <c r="H81" s="8">
        <v>1</v>
      </c>
      <c r="I81" s="8">
        <v>1</v>
      </c>
      <c r="J81" s="10">
        <v>1</v>
      </c>
      <c r="K81" s="8">
        <v>1</v>
      </c>
      <c r="L81" s="43">
        <f t="shared" si="0"/>
        <v>6.6666666666666671E-3</v>
      </c>
      <c r="N81" s="1">
        <v>62</v>
      </c>
      <c r="O81" s="9">
        <v>1</v>
      </c>
      <c r="P81" s="8">
        <v>1</v>
      </c>
      <c r="Q81" s="8">
        <v>1</v>
      </c>
      <c r="R81" s="8">
        <v>1</v>
      </c>
      <c r="S81" s="8">
        <v>1</v>
      </c>
      <c r="T81" s="8">
        <v>1</v>
      </c>
      <c r="U81" s="8">
        <v>1</v>
      </c>
      <c r="V81" s="8">
        <v>1</v>
      </c>
      <c r="W81" s="10">
        <v>1</v>
      </c>
      <c r="X81" s="8">
        <v>1</v>
      </c>
      <c r="Y81" s="43">
        <f t="shared" si="1"/>
        <v>6.6666666666666671E-3</v>
      </c>
      <c r="AA81" s="1">
        <v>1</v>
      </c>
      <c r="AB81" s="9">
        <v>1</v>
      </c>
      <c r="AC81" s="8">
        <v>1</v>
      </c>
      <c r="AD81" s="8">
        <v>1</v>
      </c>
      <c r="AE81" s="8">
        <v>1</v>
      </c>
      <c r="AF81" s="8">
        <v>1</v>
      </c>
      <c r="AG81" s="8">
        <v>1</v>
      </c>
      <c r="AH81" s="8">
        <v>1</v>
      </c>
      <c r="AI81" s="8">
        <v>1</v>
      </c>
      <c r="AJ81" s="10">
        <v>1</v>
      </c>
      <c r="AK81" s="8">
        <v>1</v>
      </c>
      <c r="AL81" s="43">
        <f t="shared" si="2"/>
        <v>6.6666666666666671E-3</v>
      </c>
    </row>
    <row r="82" spans="1:38" x14ac:dyDescent="0.2">
      <c r="A82" s="1">
        <v>63</v>
      </c>
      <c r="B82" s="9">
        <v>1</v>
      </c>
      <c r="C82" s="8">
        <v>1</v>
      </c>
      <c r="D82" s="8">
        <v>1</v>
      </c>
      <c r="E82" s="8">
        <v>1</v>
      </c>
      <c r="F82" s="8">
        <v>1</v>
      </c>
      <c r="G82" s="8">
        <v>1</v>
      </c>
      <c r="H82" s="8">
        <v>1</v>
      </c>
      <c r="I82" s="8">
        <v>1</v>
      </c>
      <c r="J82" s="10">
        <v>1</v>
      </c>
      <c r="K82" s="8">
        <v>1</v>
      </c>
      <c r="L82" s="43">
        <f t="shared" si="0"/>
        <v>6.6666666666666671E-3</v>
      </c>
      <c r="N82" s="1">
        <v>63</v>
      </c>
      <c r="O82" s="9">
        <v>1</v>
      </c>
      <c r="P82" s="8">
        <v>1</v>
      </c>
      <c r="Q82" s="8">
        <v>1</v>
      </c>
      <c r="R82" s="8">
        <v>1</v>
      </c>
      <c r="S82" s="8">
        <v>1</v>
      </c>
      <c r="T82" s="8">
        <v>1</v>
      </c>
      <c r="U82" s="8">
        <v>1</v>
      </c>
      <c r="V82" s="8">
        <v>1</v>
      </c>
      <c r="W82" s="10">
        <v>1</v>
      </c>
      <c r="X82" s="8">
        <v>1</v>
      </c>
      <c r="Y82" s="43">
        <f t="shared" si="1"/>
        <v>6.6666666666666671E-3</v>
      </c>
      <c r="AA82" s="1">
        <v>1</v>
      </c>
      <c r="AB82" s="9">
        <v>1</v>
      </c>
      <c r="AC82" s="8">
        <v>1</v>
      </c>
      <c r="AD82" s="8">
        <v>1</v>
      </c>
      <c r="AE82" s="8">
        <v>1</v>
      </c>
      <c r="AF82" s="8">
        <v>1</v>
      </c>
      <c r="AG82" s="8">
        <v>1</v>
      </c>
      <c r="AH82" s="8">
        <v>1</v>
      </c>
      <c r="AI82" s="8">
        <v>1</v>
      </c>
      <c r="AJ82" s="10">
        <v>1</v>
      </c>
      <c r="AK82" s="8">
        <v>1</v>
      </c>
      <c r="AL82" s="43">
        <f t="shared" si="2"/>
        <v>6.6666666666666671E-3</v>
      </c>
    </row>
    <row r="83" spans="1:38" x14ac:dyDescent="0.2">
      <c r="A83" s="1">
        <v>64</v>
      </c>
      <c r="B83" s="9">
        <v>1</v>
      </c>
      <c r="C83" s="8">
        <v>1</v>
      </c>
      <c r="D83" s="8">
        <v>1</v>
      </c>
      <c r="E83" s="8">
        <v>1</v>
      </c>
      <c r="F83" s="8">
        <v>1</v>
      </c>
      <c r="G83" s="8">
        <v>1</v>
      </c>
      <c r="H83" s="8">
        <v>1</v>
      </c>
      <c r="I83" s="8">
        <v>1</v>
      </c>
      <c r="J83" s="10">
        <v>1</v>
      </c>
      <c r="K83" s="8">
        <v>1</v>
      </c>
      <c r="L83" s="43">
        <f t="shared" si="0"/>
        <v>6.6666666666666671E-3</v>
      </c>
      <c r="N83" s="1">
        <v>64</v>
      </c>
      <c r="O83" s="9">
        <v>1</v>
      </c>
      <c r="P83" s="8">
        <v>1</v>
      </c>
      <c r="Q83" s="8">
        <v>1</v>
      </c>
      <c r="R83" s="8">
        <v>1</v>
      </c>
      <c r="S83" s="8">
        <v>1</v>
      </c>
      <c r="T83" s="8">
        <v>1</v>
      </c>
      <c r="U83" s="8">
        <v>1</v>
      </c>
      <c r="V83" s="8">
        <v>1</v>
      </c>
      <c r="W83" s="10">
        <v>1</v>
      </c>
      <c r="X83" s="8">
        <v>1</v>
      </c>
      <c r="Y83" s="43">
        <f t="shared" si="1"/>
        <v>6.6666666666666671E-3</v>
      </c>
      <c r="AA83" s="1">
        <v>1</v>
      </c>
      <c r="AB83" s="9">
        <v>1</v>
      </c>
      <c r="AC83" s="8">
        <v>1</v>
      </c>
      <c r="AD83" s="8">
        <v>1</v>
      </c>
      <c r="AE83" s="8">
        <v>1</v>
      </c>
      <c r="AF83" s="8">
        <v>1</v>
      </c>
      <c r="AG83" s="8">
        <v>1</v>
      </c>
      <c r="AH83" s="8">
        <v>1</v>
      </c>
      <c r="AI83" s="8">
        <v>1</v>
      </c>
      <c r="AJ83" s="10">
        <v>1</v>
      </c>
      <c r="AK83" s="8">
        <v>1</v>
      </c>
      <c r="AL83" s="43">
        <f t="shared" si="2"/>
        <v>6.6666666666666671E-3</v>
      </c>
    </row>
    <row r="84" spans="1:38" x14ac:dyDescent="0.2">
      <c r="A84" s="1">
        <v>65</v>
      </c>
      <c r="B84" s="9">
        <v>1</v>
      </c>
      <c r="C84" s="8">
        <v>1</v>
      </c>
      <c r="D84" s="8">
        <v>1</v>
      </c>
      <c r="E84" s="8">
        <v>1</v>
      </c>
      <c r="F84" s="8">
        <v>1</v>
      </c>
      <c r="G84" s="8">
        <v>1</v>
      </c>
      <c r="H84" s="8">
        <v>1</v>
      </c>
      <c r="I84" s="8">
        <v>1</v>
      </c>
      <c r="J84" s="10">
        <v>1</v>
      </c>
      <c r="K84" s="8">
        <v>1</v>
      </c>
      <c r="L84" s="43">
        <f t="shared" si="0"/>
        <v>6.6666666666666671E-3</v>
      </c>
      <c r="N84" s="1">
        <v>65</v>
      </c>
      <c r="O84" s="9">
        <v>1</v>
      </c>
      <c r="P84" s="8">
        <v>1</v>
      </c>
      <c r="Q84" s="8">
        <v>1</v>
      </c>
      <c r="R84" s="8">
        <v>1</v>
      </c>
      <c r="S84" s="8">
        <v>1</v>
      </c>
      <c r="T84" s="8">
        <v>1</v>
      </c>
      <c r="U84" s="8">
        <v>1</v>
      </c>
      <c r="V84" s="8">
        <v>1</v>
      </c>
      <c r="W84" s="10">
        <v>1</v>
      </c>
      <c r="X84" s="8">
        <v>1</v>
      </c>
      <c r="Y84" s="43">
        <f t="shared" si="1"/>
        <v>6.6666666666666671E-3</v>
      </c>
      <c r="AA84" s="1">
        <v>1</v>
      </c>
      <c r="AB84" s="9">
        <v>1</v>
      </c>
      <c r="AC84" s="8">
        <v>1</v>
      </c>
      <c r="AD84" s="8">
        <v>1</v>
      </c>
      <c r="AE84" s="8">
        <v>1</v>
      </c>
      <c r="AF84" s="8">
        <v>1</v>
      </c>
      <c r="AG84" s="8">
        <v>1</v>
      </c>
      <c r="AH84" s="8">
        <v>1</v>
      </c>
      <c r="AI84" s="8">
        <v>1</v>
      </c>
      <c r="AJ84" s="10">
        <v>1</v>
      </c>
      <c r="AK84" s="8">
        <v>1</v>
      </c>
      <c r="AL84" s="43">
        <f t="shared" si="2"/>
        <v>6.6666666666666671E-3</v>
      </c>
    </row>
    <row r="85" spans="1:38" x14ac:dyDescent="0.2">
      <c r="A85" s="1">
        <v>66</v>
      </c>
      <c r="B85" s="9">
        <v>1</v>
      </c>
      <c r="C85" s="8">
        <v>1</v>
      </c>
      <c r="D85" s="8">
        <v>1</v>
      </c>
      <c r="E85" s="8">
        <v>1</v>
      </c>
      <c r="F85" s="8">
        <v>1</v>
      </c>
      <c r="G85" s="8">
        <v>1</v>
      </c>
      <c r="H85" s="8">
        <v>1</v>
      </c>
      <c r="I85" s="8">
        <v>1</v>
      </c>
      <c r="J85" s="10">
        <v>1</v>
      </c>
      <c r="K85" s="8">
        <v>1</v>
      </c>
      <c r="L85" s="43">
        <f t="shared" ref="L85:L148" si="3">K85/SUM(K$20:K$169)</f>
        <v>6.6666666666666671E-3</v>
      </c>
      <c r="N85" s="1">
        <v>66</v>
      </c>
      <c r="O85" s="9">
        <v>1</v>
      </c>
      <c r="P85" s="8">
        <v>1</v>
      </c>
      <c r="Q85" s="8">
        <v>1</v>
      </c>
      <c r="R85" s="8">
        <v>1</v>
      </c>
      <c r="S85" s="8">
        <v>1</v>
      </c>
      <c r="T85" s="8">
        <v>1</v>
      </c>
      <c r="U85" s="8">
        <v>1</v>
      </c>
      <c r="V85" s="8">
        <v>1</v>
      </c>
      <c r="W85" s="10">
        <v>1</v>
      </c>
      <c r="X85" s="8">
        <v>1</v>
      </c>
      <c r="Y85" s="43">
        <f t="shared" ref="Y85:Y148" si="4">X85/SUM(X$20:X$169)</f>
        <v>6.6666666666666671E-3</v>
      </c>
      <c r="AA85" s="1">
        <v>1</v>
      </c>
      <c r="AB85" s="9">
        <v>1</v>
      </c>
      <c r="AC85" s="8">
        <v>1</v>
      </c>
      <c r="AD85" s="8">
        <v>1</v>
      </c>
      <c r="AE85" s="8">
        <v>1</v>
      </c>
      <c r="AF85" s="8">
        <v>1</v>
      </c>
      <c r="AG85" s="8">
        <v>1</v>
      </c>
      <c r="AH85" s="8">
        <v>1</v>
      </c>
      <c r="AI85" s="8">
        <v>1</v>
      </c>
      <c r="AJ85" s="10">
        <v>1</v>
      </c>
      <c r="AK85" s="8">
        <v>1</v>
      </c>
      <c r="AL85" s="43">
        <f t="shared" ref="AL85:AL148" si="5">AK85/SUM(AK$20:AK$169)</f>
        <v>6.6666666666666671E-3</v>
      </c>
    </row>
    <row r="86" spans="1:38" x14ac:dyDescent="0.2">
      <c r="A86" s="1">
        <v>67</v>
      </c>
      <c r="B86" s="9">
        <v>1</v>
      </c>
      <c r="C86" s="8">
        <v>1</v>
      </c>
      <c r="D86" s="8">
        <v>1</v>
      </c>
      <c r="E86" s="8">
        <v>1</v>
      </c>
      <c r="F86" s="8">
        <v>1</v>
      </c>
      <c r="G86" s="8">
        <v>1</v>
      </c>
      <c r="H86" s="8">
        <v>1</v>
      </c>
      <c r="I86" s="8">
        <v>1</v>
      </c>
      <c r="J86" s="10">
        <v>1</v>
      </c>
      <c r="K86" s="8">
        <v>1</v>
      </c>
      <c r="L86" s="43">
        <f t="shared" si="3"/>
        <v>6.6666666666666671E-3</v>
      </c>
      <c r="N86" s="1">
        <v>67</v>
      </c>
      <c r="O86" s="9">
        <v>1</v>
      </c>
      <c r="P86" s="8">
        <v>1</v>
      </c>
      <c r="Q86" s="8">
        <v>1</v>
      </c>
      <c r="R86" s="8">
        <v>1</v>
      </c>
      <c r="S86" s="8">
        <v>1</v>
      </c>
      <c r="T86" s="8">
        <v>1</v>
      </c>
      <c r="U86" s="8">
        <v>1</v>
      </c>
      <c r="V86" s="8">
        <v>1</v>
      </c>
      <c r="W86" s="10">
        <v>1</v>
      </c>
      <c r="X86" s="8">
        <v>1</v>
      </c>
      <c r="Y86" s="43">
        <f t="shared" si="4"/>
        <v>6.6666666666666671E-3</v>
      </c>
      <c r="AA86" s="1">
        <v>1</v>
      </c>
      <c r="AB86" s="9">
        <v>1</v>
      </c>
      <c r="AC86" s="8">
        <v>1</v>
      </c>
      <c r="AD86" s="8">
        <v>1</v>
      </c>
      <c r="AE86" s="8">
        <v>1</v>
      </c>
      <c r="AF86" s="8">
        <v>1</v>
      </c>
      <c r="AG86" s="8">
        <v>1</v>
      </c>
      <c r="AH86" s="8">
        <v>1</v>
      </c>
      <c r="AI86" s="8">
        <v>1</v>
      </c>
      <c r="AJ86" s="10">
        <v>1</v>
      </c>
      <c r="AK86" s="8">
        <v>1</v>
      </c>
      <c r="AL86" s="43">
        <f t="shared" si="5"/>
        <v>6.6666666666666671E-3</v>
      </c>
    </row>
    <row r="87" spans="1:38" x14ac:dyDescent="0.2">
      <c r="A87" s="1">
        <v>68</v>
      </c>
      <c r="B87" s="9">
        <v>1</v>
      </c>
      <c r="C87" s="8">
        <v>1</v>
      </c>
      <c r="D87" s="8">
        <v>1</v>
      </c>
      <c r="E87" s="8">
        <v>1</v>
      </c>
      <c r="F87" s="8">
        <v>1</v>
      </c>
      <c r="G87" s="8">
        <v>1</v>
      </c>
      <c r="H87" s="8">
        <v>1</v>
      </c>
      <c r="I87" s="8">
        <v>1</v>
      </c>
      <c r="J87" s="10">
        <v>1</v>
      </c>
      <c r="K87" s="8">
        <v>1</v>
      </c>
      <c r="L87" s="43">
        <f t="shared" si="3"/>
        <v>6.6666666666666671E-3</v>
      </c>
      <c r="N87" s="1">
        <v>68</v>
      </c>
      <c r="O87" s="9">
        <v>1</v>
      </c>
      <c r="P87" s="8">
        <v>1</v>
      </c>
      <c r="Q87" s="8">
        <v>1</v>
      </c>
      <c r="R87" s="8">
        <v>1</v>
      </c>
      <c r="S87" s="8">
        <v>1</v>
      </c>
      <c r="T87" s="8">
        <v>1</v>
      </c>
      <c r="U87" s="8">
        <v>1</v>
      </c>
      <c r="V87" s="8">
        <v>1</v>
      </c>
      <c r="W87" s="10">
        <v>1</v>
      </c>
      <c r="X87" s="8">
        <v>1</v>
      </c>
      <c r="Y87" s="43">
        <f t="shared" si="4"/>
        <v>6.6666666666666671E-3</v>
      </c>
      <c r="AA87" s="1">
        <v>1</v>
      </c>
      <c r="AB87" s="9">
        <v>1</v>
      </c>
      <c r="AC87" s="8">
        <v>1</v>
      </c>
      <c r="AD87" s="8">
        <v>1</v>
      </c>
      <c r="AE87" s="8">
        <v>1</v>
      </c>
      <c r="AF87" s="8">
        <v>1</v>
      </c>
      <c r="AG87" s="8">
        <v>1</v>
      </c>
      <c r="AH87" s="8">
        <v>1</v>
      </c>
      <c r="AI87" s="8">
        <v>1</v>
      </c>
      <c r="AJ87" s="10">
        <v>1</v>
      </c>
      <c r="AK87" s="8">
        <v>1</v>
      </c>
      <c r="AL87" s="43">
        <f t="shared" si="5"/>
        <v>6.6666666666666671E-3</v>
      </c>
    </row>
    <row r="88" spans="1:38" x14ac:dyDescent="0.2">
      <c r="A88" s="1">
        <v>69</v>
      </c>
      <c r="B88" s="9">
        <v>1</v>
      </c>
      <c r="C88" s="8">
        <v>1</v>
      </c>
      <c r="D88" s="8">
        <v>1</v>
      </c>
      <c r="E88" s="8">
        <v>1</v>
      </c>
      <c r="F88" s="8">
        <v>1</v>
      </c>
      <c r="G88" s="8">
        <v>1</v>
      </c>
      <c r="H88" s="8">
        <v>1</v>
      </c>
      <c r="I88" s="8">
        <v>1</v>
      </c>
      <c r="J88" s="10">
        <v>1</v>
      </c>
      <c r="K88" s="8">
        <v>1</v>
      </c>
      <c r="L88" s="43">
        <f t="shared" si="3"/>
        <v>6.6666666666666671E-3</v>
      </c>
      <c r="N88" s="1">
        <v>69</v>
      </c>
      <c r="O88" s="9">
        <v>1</v>
      </c>
      <c r="P88" s="8">
        <v>1</v>
      </c>
      <c r="Q88" s="8">
        <v>1</v>
      </c>
      <c r="R88" s="8">
        <v>1</v>
      </c>
      <c r="S88" s="8">
        <v>1</v>
      </c>
      <c r="T88" s="8">
        <v>1</v>
      </c>
      <c r="U88" s="8">
        <v>1</v>
      </c>
      <c r="V88" s="8">
        <v>1</v>
      </c>
      <c r="W88" s="10">
        <v>1</v>
      </c>
      <c r="X88" s="8">
        <v>1</v>
      </c>
      <c r="Y88" s="43">
        <f t="shared" si="4"/>
        <v>6.6666666666666671E-3</v>
      </c>
      <c r="AA88" s="1">
        <v>1</v>
      </c>
      <c r="AB88" s="9">
        <v>1</v>
      </c>
      <c r="AC88" s="8">
        <v>1</v>
      </c>
      <c r="AD88" s="8">
        <v>1</v>
      </c>
      <c r="AE88" s="8">
        <v>1</v>
      </c>
      <c r="AF88" s="8">
        <v>1</v>
      </c>
      <c r="AG88" s="8">
        <v>1</v>
      </c>
      <c r="AH88" s="8">
        <v>1</v>
      </c>
      <c r="AI88" s="8">
        <v>1</v>
      </c>
      <c r="AJ88" s="10">
        <v>1</v>
      </c>
      <c r="AK88" s="8">
        <v>1</v>
      </c>
      <c r="AL88" s="43">
        <f t="shared" si="5"/>
        <v>6.6666666666666671E-3</v>
      </c>
    </row>
    <row r="89" spans="1:38" x14ac:dyDescent="0.2">
      <c r="A89" s="1">
        <v>70</v>
      </c>
      <c r="B89" s="9">
        <v>1</v>
      </c>
      <c r="C89" s="8">
        <v>1</v>
      </c>
      <c r="D89" s="8">
        <v>1</v>
      </c>
      <c r="E89" s="8">
        <v>1</v>
      </c>
      <c r="F89" s="8">
        <v>1</v>
      </c>
      <c r="G89" s="8">
        <v>1</v>
      </c>
      <c r="H89" s="8">
        <v>1</v>
      </c>
      <c r="I89" s="8">
        <v>1</v>
      </c>
      <c r="J89" s="10">
        <v>1</v>
      </c>
      <c r="K89" s="8">
        <v>1</v>
      </c>
      <c r="L89" s="43">
        <f t="shared" si="3"/>
        <v>6.6666666666666671E-3</v>
      </c>
      <c r="N89" s="1">
        <v>70</v>
      </c>
      <c r="O89" s="9">
        <v>1</v>
      </c>
      <c r="P89" s="8">
        <v>1</v>
      </c>
      <c r="Q89" s="8">
        <v>1</v>
      </c>
      <c r="R89" s="8">
        <v>1</v>
      </c>
      <c r="S89" s="8">
        <v>1</v>
      </c>
      <c r="T89" s="8">
        <v>1</v>
      </c>
      <c r="U89" s="8">
        <v>1</v>
      </c>
      <c r="V89" s="8">
        <v>1</v>
      </c>
      <c r="W89" s="10">
        <v>1</v>
      </c>
      <c r="X89" s="8">
        <v>1</v>
      </c>
      <c r="Y89" s="43">
        <f t="shared" si="4"/>
        <v>6.6666666666666671E-3</v>
      </c>
      <c r="AA89" s="1">
        <v>1</v>
      </c>
      <c r="AB89" s="9">
        <v>1</v>
      </c>
      <c r="AC89" s="8">
        <v>1</v>
      </c>
      <c r="AD89" s="8">
        <v>1</v>
      </c>
      <c r="AE89" s="8">
        <v>1</v>
      </c>
      <c r="AF89" s="8">
        <v>1</v>
      </c>
      <c r="AG89" s="8">
        <v>1</v>
      </c>
      <c r="AH89" s="8">
        <v>1</v>
      </c>
      <c r="AI89" s="8">
        <v>1</v>
      </c>
      <c r="AJ89" s="10">
        <v>1</v>
      </c>
      <c r="AK89" s="8">
        <v>1</v>
      </c>
      <c r="AL89" s="43">
        <f t="shared" si="5"/>
        <v>6.6666666666666671E-3</v>
      </c>
    </row>
    <row r="90" spans="1:38" x14ac:dyDescent="0.2">
      <c r="A90" s="1">
        <v>71</v>
      </c>
      <c r="B90" s="9">
        <v>1</v>
      </c>
      <c r="C90" s="8">
        <v>1</v>
      </c>
      <c r="D90" s="8">
        <v>1</v>
      </c>
      <c r="E90" s="8">
        <v>1</v>
      </c>
      <c r="F90" s="8">
        <v>1</v>
      </c>
      <c r="G90" s="8">
        <v>1</v>
      </c>
      <c r="H90" s="8">
        <v>1</v>
      </c>
      <c r="I90" s="8">
        <v>1</v>
      </c>
      <c r="J90" s="10">
        <v>1</v>
      </c>
      <c r="K90" s="8">
        <v>1</v>
      </c>
      <c r="L90" s="43">
        <f t="shared" si="3"/>
        <v>6.6666666666666671E-3</v>
      </c>
      <c r="N90" s="1">
        <v>71</v>
      </c>
      <c r="O90" s="9">
        <v>1</v>
      </c>
      <c r="P90" s="8">
        <v>1</v>
      </c>
      <c r="Q90" s="8">
        <v>1</v>
      </c>
      <c r="R90" s="8">
        <v>1</v>
      </c>
      <c r="S90" s="8">
        <v>1</v>
      </c>
      <c r="T90" s="8">
        <v>1</v>
      </c>
      <c r="U90" s="8">
        <v>1</v>
      </c>
      <c r="V90" s="8">
        <v>1</v>
      </c>
      <c r="W90" s="10">
        <v>1</v>
      </c>
      <c r="X90" s="8">
        <v>1</v>
      </c>
      <c r="Y90" s="43">
        <f t="shared" si="4"/>
        <v>6.6666666666666671E-3</v>
      </c>
      <c r="AA90" s="1">
        <v>1</v>
      </c>
      <c r="AB90" s="9">
        <v>1</v>
      </c>
      <c r="AC90" s="8">
        <v>1</v>
      </c>
      <c r="AD90" s="8">
        <v>1</v>
      </c>
      <c r="AE90" s="8">
        <v>1</v>
      </c>
      <c r="AF90" s="8">
        <v>1</v>
      </c>
      <c r="AG90" s="8">
        <v>1</v>
      </c>
      <c r="AH90" s="8">
        <v>1</v>
      </c>
      <c r="AI90" s="8">
        <v>1</v>
      </c>
      <c r="AJ90" s="10">
        <v>1</v>
      </c>
      <c r="AK90" s="8">
        <v>1</v>
      </c>
      <c r="AL90" s="43">
        <f t="shared" si="5"/>
        <v>6.6666666666666671E-3</v>
      </c>
    </row>
    <row r="91" spans="1:38" x14ac:dyDescent="0.2">
      <c r="A91" s="1">
        <v>72</v>
      </c>
      <c r="B91" s="9">
        <v>1</v>
      </c>
      <c r="C91" s="8">
        <v>1</v>
      </c>
      <c r="D91" s="8">
        <v>1</v>
      </c>
      <c r="E91" s="8">
        <v>1</v>
      </c>
      <c r="F91" s="8">
        <v>1</v>
      </c>
      <c r="G91" s="8">
        <v>1</v>
      </c>
      <c r="H91" s="8">
        <v>1</v>
      </c>
      <c r="I91" s="8">
        <v>1</v>
      </c>
      <c r="J91" s="10">
        <v>1</v>
      </c>
      <c r="K91" s="8">
        <v>1</v>
      </c>
      <c r="L91" s="43">
        <f t="shared" si="3"/>
        <v>6.6666666666666671E-3</v>
      </c>
      <c r="N91" s="1">
        <v>72</v>
      </c>
      <c r="O91" s="9">
        <v>1</v>
      </c>
      <c r="P91" s="8">
        <v>1</v>
      </c>
      <c r="Q91" s="8">
        <v>1</v>
      </c>
      <c r="R91" s="8">
        <v>1</v>
      </c>
      <c r="S91" s="8">
        <v>1</v>
      </c>
      <c r="T91" s="8">
        <v>1</v>
      </c>
      <c r="U91" s="8">
        <v>1</v>
      </c>
      <c r="V91" s="8">
        <v>1</v>
      </c>
      <c r="W91" s="10">
        <v>1</v>
      </c>
      <c r="X91" s="8">
        <v>1</v>
      </c>
      <c r="Y91" s="43">
        <f t="shared" si="4"/>
        <v>6.6666666666666671E-3</v>
      </c>
      <c r="AA91" s="1">
        <v>1</v>
      </c>
      <c r="AB91" s="9">
        <v>1</v>
      </c>
      <c r="AC91" s="8">
        <v>1</v>
      </c>
      <c r="AD91" s="8">
        <v>1</v>
      </c>
      <c r="AE91" s="8">
        <v>1</v>
      </c>
      <c r="AF91" s="8">
        <v>1</v>
      </c>
      <c r="AG91" s="8">
        <v>1</v>
      </c>
      <c r="AH91" s="8">
        <v>1</v>
      </c>
      <c r="AI91" s="8">
        <v>1</v>
      </c>
      <c r="AJ91" s="10">
        <v>1</v>
      </c>
      <c r="AK91" s="8">
        <v>1</v>
      </c>
      <c r="AL91" s="43">
        <f t="shared" si="5"/>
        <v>6.6666666666666671E-3</v>
      </c>
    </row>
    <row r="92" spans="1:38" x14ac:dyDescent="0.2">
      <c r="A92" s="1">
        <v>73</v>
      </c>
      <c r="B92" s="9">
        <v>1</v>
      </c>
      <c r="C92" s="8">
        <v>1</v>
      </c>
      <c r="D92" s="8">
        <v>1</v>
      </c>
      <c r="E92" s="8">
        <v>1</v>
      </c>
      <c r="F92" s="8">
        <v>1</v>
      </c>
      <c r="G92" s="8">
        <v>1</v>
      </c>
      <c r="H92" s="8">
        <v>1</v>
      </c>
      <c r="I92" s="8">
        <v>1</v>
      </c>
      <c r="J92" s="10">
        <v>1</v>
      </c>
      <c r="K92" s="8">
        <v>1</v>
      </c>
      <c r="L92" s="43">
        <f t="shared" si="3"/>
        <v>6.6666666666666671E-3</v>
      </c>
      <c r="N92" s="1">
        <v>73</v>
      </c>
      <c r="O92" s="9">
        <v>1</v>
      </c>
      <c r="P92" s="8">
        <v>1</v>
      </c>
      <c r="Q92" s="8">
        <v>1</v>
      </c>
      <c r="R92" s="8">
        <v>1</v>
      </c>
      <c r="S92" s="8">
        <v>1</v>
      </c>
      <c r="T92" s="8">
        <v>1</v>
      </c>
      <c r="U92" s="8">
        <v>1</v>
      </c>
      <c r="V92" s="8">
        <v>1</v>
      </c>
      <c r="W92" s="10">
        <v>1</v>
      </c>
      <c r="X92" s="8">
        <v>1</v>
      </c>
      <c r="Y92" s="43">
        <f t="shared" si="4"/>
        <v>6.6666666666666671E-3</v>
      </c>
      <c r="AA92" s="1">
        <v>1</v>
      </c>
      <c r="AB92" s="9">
        <v>1</v>
      </c>
      <c r="AC92" s="8">
        <v>1</v>
      </c>
      <c r="AD92" s="8">
        <v>1</v>
      </c>
      <c r="AE92" s="8">
        <v>1</v>
      </c>
      <c r="AF92" s="8">
        <v>1</v>
      </c>
      <c r="AG92" s="8">
        <v>1</v>
      </c>
      <c r="AH92" s="8">
        <v>1</v>
      </c>
      <c r="AI92" s="8">
        <v>1</v>
      </c>
      <c r="AJ92" s="10">
        <v>1</v>
      </c>
      <c r="AK92" s="8">
        <v>1</v>
      </c>
      <c r="AL92" s="43">
        <f t="shared" si="5"/>
        <v>6.6666666666666671E-3</v>
      </c>
    </row>
    <row r="93" spans="1:38" x14ac:dyDescent="0.2">
      <c r="A93" s="1">
        <v>74</v>
      </c>
      <c r="B93" s="9">
        <v>1</v>
      </c>
      <c r="C93" s="8">
        <v>1</v>
      </c>
      <c r="D93" s="8">
        <v>1</v>
      </c>
      <c r="E93" s="8">
        <v>1</v>
      </c>
      <c r="F93" s="8">
        <v>1</v>
      </c>
      <c r="G93" s="8">
        <v>1</v>
      </c>
      <c r="H93" s="8">
        <v>1</v>
      </c>
      <c r="I93" s="8">
        <v>1</v>
      </c>
      <c r="J93" s="10">
        <v>1</v>
      </c>
      <c r="K93" s="8">
        <v>1</v>
      </c>
      <c r="L93" s="43">
        <f t="shared" si="3"/>
        <v>6.6666666666666671E-3</v>
      </c>
      <c r="N93" s="1">
        <v>74</v>
      </c>
      <c r="O93" s="9">
        <v>1</v>
      </c>
      <c r="P93" s="8">
        <v>1</v>
      </c>
      <c r="Q93" s="8">
        <v>1</v>
      </c>
      <c r="R93" s="8">
        <v>1</v>
      </c>
      <c r="S93" s="8">
        <v>1</v>
      </c>
      <c r="T93" s="8">
        <v>1</v>
      </c>
      <c r="U93" s="8">
        <v>1</v>
      </c>
      <c r="V93" s="8">
        <v>1</v>
      </c>
      <c r="W93" s="10">
        <v>1</v>
      </c>
      <c r="X93" s="8">
        <v>1</v>
      </c>
      <c r="Y93" s="43">
        <f t="shared" si="4"/>
        <v>6.6666666666666671E-3</v>
      </c>
      <c r="AA93" s="1">
        <v>1</v>
      </c>
      <c r="AB93" s="9">
        <v>1</v>
      </c>
      <c r="AC93" s="8">
        <v>1</v>
      </c>
      <c r="AD93" s="8">
        <v>1</v>
      </c>
      <c r="AE93" s="8">
        <v>1</v>
      </c>
      <c r="AF93" s="8">
        <v>1</v>
      </c>
      <c r="AG93" s="8">
        <v>1</v>
      </c>
      <c r="AH93" s="8">
        <v>1</v>
      </c>
      <c r="AI93" s="8">
        <v>1</v>
      </c>
      <c r="AJ93" s="10">
        <v>1</v>
      </c>
      <c r="AK93" s="8">
        <v>1</v>
      </c>
      <c r="AL93" s="43">
        <f t="shared" si="5"/>
        <v>6.6666666666666671E-3</v>
      </c>
    </row>
    <row r="94" spans="1:38" x14ac:dyDescent="0.2">
      <c r="A94" s="1">
        <v>75</v>
      </c>
      <c r="B94" s="9">
        <v>1</v>
      </c>
      <c r="C94" s="8">
        <v>1</v>
      </c>
      <c r="D94" s="8">
        <v>1</v>
      </c>
      <c r="E94" s="8">
        <v>1</v>
      </c>
      <c r="F94" s="8">
        <v>1</v>
      </c>
      <c r="G94" s="8">
        <v>1</v>
      </c>
      <c r="H94" s="8">
        <v>1</v>
      </c>
      <c r="I94" s="8">
        <v>1</v>
      </c>
      <c r="J94" s="10">
        <v>1</v>
      </c>
      <c r="K94" s="8">
        <v>1</v>
      </c>
      <c r="L94" s="43">
        <f t="shared" si="3"/>
        <v>6.6666666666666671E-3</v>
      </c>
      <c r="N94" s="1">
        <v>75</v>
      </c>
      <c r="O94" s="9">
        <v>1</v>
      </c>
      <c r="P94" s="8">
        <v>1</v>
      </c>
      <c r="Q94" s="8">
        <v>1</v>
      </c>
      <c r="R94" s="8">
        <v>1</v>
      </c>
      <c r="S94" s="8">
        <v>1</v>
      </c>
      <c r="T94" s="8">
        <v>1</v>
      </c>
      <c r="U94" s="8">
        <v>1</v>
      </c>
      <c r="V94" s="8">
        <v>1</v>
      </c>
      <c r="W94" s="10">
        <v>1</v>
      </c>
      <c r="X94" s="8">
        <v>1</v>
      </c>
      <c r="Y94" s="43">
        <f t="shared" si="4"/>
        <v>6.6666666666666671E-3</v>
      </c>
      <c r="AA94" s="1">
        <v>1</v>
      </c>
      <c r="AB94" s="9">
        <v>1</v>
      </c>
      <c r="AC94" s="8">
        <v>1</v>
      </c>
      <c r="AD94" s="8">
        <v>1</v>
      </c>
      <c r="AE94" s="8">
        <v>1</v>
      </c>
      <c r="AF94" s="8">
        <v>1</v>
      </c>
      <c r="AG94" s="8">
        <v>1</v>
      </c>
      <c r="AH94" s="8">
        <v>1</v>
      </c>
      <c r="AI94" s="8">
        <v>1</v>
      </c>
      <c r="AJ94" s="10">
        <v>1</v>
      </c>
      <c r="AK94" s="8">
        <v>1</v>
      </c>
      <c r="AL94" s="43">
        <f t="shared" si="5"/>
        <v>6.6666666666666671E-3</v>
      </c>
    </row>
    <row r="95" spans="1:38" x14ac:dyDescent="0.2">
      <c r="A95" s="1">
        <v>76</v>
      </c>
      <c r="B95" s="9">
        <v>1</v>
      </c>
      <c r="C95" s="8">
        <v>1</v>
      </c>
      <c r="D95" s="8">
        <v>1</v>
      </c>
      <c r="E95" s="8">
        <v>1</v>
      </c>
      <c r="F95" s="8">
        <v>1</v>
      </c>
      <c r="G95" s="8">
        <v>1</v>
      </c>
      <c r="H95" s="8">
        <v>1</v>
      </c>
      <c r="I95" s="8">
        <v>1</v>
      </c>
      <c r="J95" s="10">
        <v>1</v>
      </c>
      <c r="K95" s="8">
        <v>1</v>
      </c>
      <c r="L95" s="43">
        <f t="shared" si="3"/>
        <v>6.6666666666666671E-3</v>
      </c>
      <c r="N95" s="1">
        <v>76</v>
      </c>
      <c r="O95" s="9">
        <v>1</v>
      </c>
      <c r="P95" s="8">
        <v>1</v>
      </c>
      <c r="Q95" s="8">
        <v>1</v>
      </c>
      <c r="R95" s="8">
        <v>1</v>
      </c>
      <c r="S95" s="8">
        <v>1</v>
      </c>
      <c r="T95" s="8">
        <v>1</v>
      </c>
      <c r="U95" s="8">
        <v>1</v>
      </c>
      <c r="V95" s="8">
        <v>1</v>
      </c>
      <c r="W95" s="10">
        <v>1</v>
      </c>
      <c r="X95" s="8">
        <v>1</v>
      </c>
      <c r="Y95" s="43">
        <f t="shared" si="4"/>
        <v>6.6666666666666671E-3</v>
      </c>
      <c r="AA95" s="1">
        <v>1</v>
      </c>
      <c r="AB95" s="9">
        <v>1</v>
      </c>
      <c r="AC95" s="8">
        <v>1</v>
      </c>
      <c r="AD95" s="8">
        <v>1</v>
      </c>
      <c r="AE95" s="8">
        <v>1</v>
      </c>
      <c r="AF95" s="8">
        <v>1</v>
      </c>
      <c r="AG95" s="8">
        <v>1</v>
      </c>
      <c r="AH95" s="8">
        <v>1</v>
      </c>
      <c r="AI95" s="8">
        <v>1</v>
      </c>
      <c r="AJ95" s="10">
        <v>1</v>
      </c>
      <c r="AK95" s="8">
        <v>1</v>
      </c>
      <c r="AL95" s="43">
        <f t="shared" si="5"/>
        <v>6.6666666666666671E-3</v>
      </c>
    </row>
    <row r="96" spans="1:38" x14ac:dyDescent="0.2">
      <c r="A96" s="1">
        <v>77</v>
      </c>
      <c r="B96" s="9">
        <v>1</v>
      </c>
      <c r="C96" s="8">
        <v>1</v>
      </c>
      <c r="D96" s="8">
        <v>1</v>
      </c>
      <c r="E96" s="8">
        <v>1</v>
      </c>
      <c r="F96" s="8">
        <v>1</v>
      </c>
      <c r="G96" s="8">
        <v>1</v>
      </c>
      <c r="H96" s="8">
        <v>1</v>
      </c>
      <c r="I96" s="8">
        <v>1</v>
      </c>
      <c r="J96" s="10">
        <v>1</v>
      </c>
      <c r="K96" s="8">
        <v>1</v>
      </c>
      <c r="L96" s="43">
        <f t="shared" si="3"/>
        <v>6.6666666666666671E-3</v>
      </c>
      <c r="N96" s="1">
        <v>77</v>
      </c>
      <c r="O96" s="9">
        <v>1</v>
      </c>
      <c r="P96" s="8">
        <v>1</v>
      </c>
      <c r="Q96" s="8">
        <v>1</v>
      </c>
      <c r="R96" s="8">
        <v>1</v>
      </c>
      <c r="S96" s="8">
        <v>1</v>
      </c>
      <c r="T96" s="8">
        <v>1</v>
      </c>
      <c r="U96" s="8">
        <v>1</v>
      </c>
      <c r="V96" s="8">
        <v>1</v>
      </c>
      <c r="W96" s="10">
        <v>1</v>
      </c>
      <c r="X96" s="8">
        <v>1</v>
      </c>
      <c r="Y96" s="43">
        <f t="shared" si="4"/>
        <v>6.6666666666666671E-3</v>
      </c>
      <c r="AA96" s="1">
        <v>1</v>
      </c>
      <c r="AB96" s="9">
        <v>1</v>
      </c>
      <c r="AC96" s="8">
        <v>1</v>
      </c>
      <c r="AD96" s="8">
        <v>1</v>
      </c>
      <c r="AE96" s="8">
        <v>1</v>
      </c>
      <c r="AF96" s="8">
        <v>1</v>
      </c>
      <c r="AG96" s="8">
        <v>1</v>
      </c>
      <c r="AH96" s="8">
        <v>1</v>
      </c>
      <c r="AI96" s="8">
        <v>1</v>
      </c>
      <c r="AJ96" s="10">
        <v>1</v>
      </c>
      <c r="AK96" s="8">
        <v>1</v>
      </c>
      <c r="AL96" s="43">
        <f t="shared" si="5"/>
        <v>6.6666666666666671E-3</v>
      </c>
    </row>
    <row r="97" spans="1:38" x14ac:dyDescent="0.2">
      <c r="A97" s="1">
        <v>78</v>
      </c>
      <c r="B97" s="9">
        <v>1</v>
      </c>
      <c r="C97" s="8">
        <v>1</v>
      </c>
      <c r="D97" s="8">
        <v>1</v>
      </c>
      <c r="E97" s="8">
        <v>1</v>
      </c>
      <c r="F97" s="8">
        <v>1</v>
      </c>
      <c r="G97" s="8">
        <v>1</v>
      </c>
      <c r="H97" s="8">
        <v>1</v>
      </c>
      <c r="I97" s="8">
        <v>1</v>
      </c>
      <c r="J97" s="10">
        <v>1</v>
      </c>
      <c r="K97" s="8">
        <v>1</v>
      </c>
      <c r="L97" s="43">
        <f t="shared" si="3"/>
        <v>6.6666666666666671E-3</v>
      </c>
      <c r="N97" s="1">
        <v>78</v>
      </c>
      <c r="O97" s="9">
        <v>1</v>
      </c>
      <c r="P97" s="8">
        <v>1</v>
      </c>
      <c r="Q97" s="8">
        <v>1</v>
      </c>
      <c r="R97" s="8">
        <v>1</v>
      </c>
      <c r="S97" s="8">
        <v>1</v>
      </c>
      <c r="T97" s="8">
        <v>1</v>
      </c>
      <c r="U97" s="8">
        <v>1</v>
      </c>
      <c r="V97" s="8">
        <v>1</v>
      </c>
      <c r="W97" s="10">
        <v>1</v>
      </c>
      <c r="X97" s="8">
        <v>1</v>
      </c>
      <c r="Y97" s="43">
        <f t="shared" si="4"/>
        <v>6.6666666666666671E-3</v>
      </c>
      <c r="AA97" s="1">
        <v>1</v>
      </c>
      <c r="AB97" s="9">
        <v>1</v>
      </c>
      <c r="AC97" s="8">
        <v>1</v>
      </c>
      <c r="AD97" s="8">
        <v>1</v>
      </c>
      <c r="AE97" s="8">
        <v>1</v>
      </c>
      <c r="AF97" s="8">
        <v>1</v>
      </c>
      <c r="AG97" s="8">
        <v>1</v>
      </c>
      <c r="AH97" s="8">
        <v>1</v>
      </c>
      <c r="AI97" s="8">
        <v>1</v>
      </c>
      <c r="AJ97" s="10">
        <v>1</v>
      </c>
      <c r="AK97" s="8">
        <v>1</v>
      </c>
      <c r="AL97" s="43">
        <f t="shared" si="5"/>
        <v>6.6666666666666671E-3</v>
      </c>
    </row>
    <row r="98" spans="1:38" x14ac:dyDescent="0.2">
      <c r="A98" s="1">
        <v>79</v>
      </c>
      <c r="B98" s="9">
        <v>1</v>
      </c>
      <c r="C98" s="8">
        <v>1</v>
      </c>
      <c r="D98" s="8">
        <v>1</v>
      </c>
      <c r="E98" s="8">
        <v>1</v>
      </c>
      <c r="F98" s="8">
        <v>1</v>
      </c>
      <c r="G98" s="8">
        <v>1</v>
      </c>
      <c r="H98" s="8">
        <v>1</v>
      </c>
      <c r="I98" s="8">
        <v>1</v>
      </c>
      <c r="J98" s="10">
        <v>1</v>
      </c>
      <c r="K98" s="8">
        <v>1</v>
      </c>
      <c r="L98" s="43">
        <f t="shared" si="3"/>
        <v>6.6666666666666671E-3</v>
      </c>
      <c r="N98" s="1">
        <v>79</v>
      </c>
      <c r="O98" s="9">
        <v>1</v>
      </c>
      <c r="P98" s="8">
        <v>1</v>
      </c>
      <c r="Q98" s="8">
        <v>1</v>
      </c>
      <c r="R98" s="8">
        <v>1</v>
      </c>
      <c r="S98" s="8">
        <v>1</v>
      </c>
      <c r="T98" s="8">
        <v>1</v>
      </c>
      <c r="U98" s="8">
        <v>1</v>
      </c>
      <c r="V98" s="8">
        <v>1</v>
      </c>
      <c r="W98" s="10">
        <v>1</v>
      </c>
      <c r="X98" s="8">
        <v>1</v>
      </c>
      <c r="Y98" s="43">
        <f t="shared" si="4"/>
        <v>6.6666666666666671E-3</v>
      </c>
      <c r="AA98" s="1">
        <v>1</v>
      </c>
      <c r="AB98" s="9">
        <v>1</v>
      </c>
      <c r="AC98" s="8">
        <v>1</v>
      </c>
      <c r="AD98" s="8">
        <v>1</v>
      </c>
      <c r="AE98" s="8">
        <v>1</v>
      </c>
      <c r="AF98" s="8">
        <v>1</v>
      </c>
      <c r="AG98" s="8">
        <v>1</v>
      </c>
      <c r="AH98" s="8">
        <v>1</v>
      </c>
      <c r="AI98" s="8">
        <v>1</v>
      </c>
      <c r="AJ98" s="10">
        <v>1</v>
      </c>
      <c r="AK98" s="8">
        <v>1</v>
      </c>
      <c r="AL98" s="43">
        <f t="shared" si="5"/>
        <v>6.6666666666666671E-3</v>
      </c>
    </row>
    <row r="99" spans="1:38" x14ac:dyDescent="0.2">
      <c r="A99" s="1">
        <v>80</v>
      </c>
      <c r="B99" s="9">
        <v>1</v>
      </c>
      <c r="C99" s="8">
        <v>1</v>
      </c>
      <c r="D99" s="8">
        <v>1</v>
      </c>
      <c r="E99" s="8">
        <v>1</v>
      </c>
      <c r="F99" s="8">
        <v>1</v>
      </c>
      <c r="G99" s="8">
        <v>1</v>
      </c>
      <c r="H99" s="8">
        <v>1</v>
      </c>
      <c r="I99" s="8">
        <v>1</v>
      </c>
      <c r="J99" s="10">
        <v>1</v>
      </c>
      <c r="K99" s="8">
        <v>1</v>
      </c>
      <c r="L99" s="43">
        <f t="shared" si="3"/>
        <v>6.6666666666666671E-3</v>
      </c>
      <c r="N99" s="1">
        <v>80</v>
      </c>
      <c r="O99" s="9">
        <v>1</v>
      </c>
      <c r="P99" s="8">
        <v>1</v>
      </c>
      <c r="Q99" s="8">
        <v>1</v>
      </c>
      <c r="R99" s="8">
        <v>1</v>
      </c>
      <c r="S99" s="8">
        <v>1</v>
      </c>
      <c r="T99" s="8">
        <v>1</v>
      </c>
      <c r="U99" s="8">
        <v>1</v>
      </c>
      <c r="V99" s="8">
        <v>1</v>
      </c>
      <c r="W99" s="10">
        <v>1</v>
      </c>
      <c r="X99" s="8">
        <v>1</v>
      </c>
      <c r="Y99" s="43">
        <f t="shared" si="4"/>
        <v>6.6666666666666671E-3</v>
      </c>
      <c r="AA99" s="1">
        <v>1</v>
      </c>
      <c r="AB99" s="9">
        <v>1</v>
      </c>
      <c r="AC99" s="8">
        <v>1</v>
      </c>
      <c r="AD99" s="8">
        <v>1</v>
      </c>
      <c r="AE99" s="8">
        <v>1</v>
      </c>
      <c r="AF99" s="8">
        <v>1</v>
      </c>
      <c r="AG99" s="8">
        <v>1</v>
      </c>
      <c r="AH99" s="8">
        <v>1</v>
      </c>
      <c r="AI99" s="8">
        <v>1</v>
      </c>
      <c r="AJ99" s="10">
        <v>1</v>
      </c>
      <c r="AK99" s="8">
        <v>1</v>
      </c>
      <c r="AL99" s="43">
        <f t="shared" si="5"/>
        <v>6.6666666666666671E-3</v>
      </c>
    </row>
    <row r="100" spans="1:38" x14ac:dyDescent="0.2">
      <c r="A100" s="1">
        <v>81</v>
      </c>
      <c r="B100" s="9">
        <v>1</v>
      </c>
      <c r="C100" s="8">
        <v>1</v>
      </c>
      <c r="D100" s="8">
        <v>1</v>
      </c>
      <c r="E100" s="8">
        <v>1</v>
      </c>
      <c r="F100" s="8">
        <v>1</v>
      </c>
      <c r="G100" s="8">
        <v>1</v>
      </c>
      <c r="H100" s="8">
        <v>1</v>
      </c>
      <c r="I100" s="8">
        <v>1</v>
      </c>
      <c r="J100" s="10">
        <v>1</v>
      </c>
      <c r="K100" s="8">
        <v>1</v>
      </c>
      <c r="L100" s="43">
        <f t="shared" si="3"/>
        <v>6.6666666666666671E-3</v>
      </c>
      <c r="N100" s="1">
        <v>81</v>
      </c>
      <c r="O100" s="9">
        <v>1</v>
      </c>
      <c r="P100" s="8">
        <v>1</v>
      </c>
      <c r="Q100" s="8">
        <v>1</v>
      </c>
      <c r="R100" s="8">
        <v>1</v>
      </c>
      <c r="S100" s="8">
        <v>1</v>
      </c>
      <c r="T100" s="8">
        <v>1</v>
      </c>
      <c r="U100" s="8">
        <v>1</v>
      </c>
      <c r="V100" s="8">
        <v>1</v>
      </c>
      <c r="W100" s="10">
        <v>1</v>
      </c>
      <c r="X100" s="8">
        <v>1</v>
      </c>
      <c r="Y100" s="43">
        <f t="shared" si="4"/>
        <v>6.6666666666666671E-3</v>
      </c>
      <c r="AA100" s="1">
        <v>1</v>
      </c>
      <c r="AB100" s="9">
        <v>1</v>
      </c>
      <c r="AC100" s="8">
        <v>1</v>
      </c>
      <c r="AD100" s="8">
        <v>1</v>
      </c>
      <c r="AE100" s="8">
        <v>1</v>
      </c>
      <c r="AF100" s="8">
        <v>1</v>
      </c>
      <c r="AG100" s="8">
        <v>1</v>
      </c>
      <c r="AH100" s="8">
        <v>1</v>
      </c>
      <c r="AI100" s="8">
        <v>1</v>
      </c>
      <c r="AJ100" s="10">
        <v>1</v>
      </c>
      <c r="AK100" s="8">
        <v>1</v>
      </c>
      <c r="AL100" s="43">
        <f t="shared" si="5"/>
        <v>6.6666666666666671E-3</v>
      </c>
    </row>
    <row r="101" spans="1:38" x14ac:dyDescent="0.2">
      <c r="A101" s="1">
        <v>82</v>
      </c>
      <c r="B101" s="9">
        <v>1</v>
      </c>
      <c r="C101" s="8">
        <v>1</v>
      </c>
      <c r="D101" s="8">
        <v>1</v>
      </c>
      <c r="E101" s="8">
        <v>1</v>
      </c>
      <c r="F101" s="8">
        <v>1</v>
      </c>
      <c r="G101" s="8">
        <v>1</v>
      </c>
      <c r="H101" s="8">
        <v>1</v>
      </c>
      <c r="I101" s="8">
        <v>1</v>
      </c>
      <c r="J101" s="10">
        <v>1</v>
      </c>
      <c r="K101" s="8">
        <v>1</v>
      </c>
      <c r="L101" s="43">
        <f t="shared" si="3"/>
        <v>6.6666666666666671E-3</v>
      </c>
      <c r="N101" s="1">
        <v>82</v>
      </c>
      <c r="O101" s="9">
        <v>1</v>
      </c>
      <c r="P101" s="8">
        <v>1</v>
      </c>
      <c r="Q101" s="8">
        <v>1</v>
      </c>
      <c r="R101" s="8">
        <v>1</v>
      </c>
      <c r="S101" s="8">
        <v>1</v>
      </c>
      <c r="T101" s="8">
        <v>1</v>
      </c>
      <c r="U101" s="8">
        <v>1</v>
      </c>
      <c r="V101" s="8">
        <v>1</v>
      </c>
      <c r="W101" s="10">
        <v>1</v>
      </c>
      <c r="X101" s="8">
        <v>1</v>
      </c>
      <c r="Y101" s="43">
        <f t="shared" si="4"/>
        <v>6.6666666666666671E-3</v>
      </c>
      <c r="AA101" s="1">
        <v>1</v>
      </c>
      <c r="AB101" s="9">
        <v>1</v>
      </c>
      <c r="AC101" s="8">
        <v>1</v>
      </c>
      <c r="AD101" s="8">
        <v>1</v>
      </c>
      <c r="AE101" s="8">
        <v>1</v>
      </c>
      <c r="AF101" s="8">
        <v>1</v>
      </c>
      <c r="AG101" s="8">
        <v>1</v>
      </c>
      <c r="AH101" s="8">
        <v>1</v>
      </c>
      <c r="AI101" s="8">
        <v>1</v>
      </c>
      <c r="AJ101" s="10">
        <v>1</v>
      </c>
      <c r="AK101" s="8">
        <v>1</v>
      </c>
      <c r="AL101" s="43">
        <f t="shared" si="5"/>
        <v>6.6666666666666671E-3</v>
      </c>
    </row>
    <row r="102" spans="1:38" x14ac:dyDescent="0.2">
      <c r="A102" s="1">
        <v>83</v>
      </c>
      <c r="B102" s="9">
        <v>1</v>
      </c>
      <c r="C102" s="8">
        <v>1</v>
      </c>
      <c r="D102" s="8">
        <v>1</v>
      </c>
      <c r="E102" s="8">
        <v>1</v>
      </c>
      <c r="F102" s="8">
        <v>1</v>
      </c>
      <c r="G102" s="8">
        <v>1</v>
      </c>
      <c r="H102" s="8">
        <v>1</v>
      </c>
      <c r="I102" s="8">
        <v>1</v>
      </c>
      <c r="J102" s="10">
        <v>1</v>
      </c>
      <c r="K102" s="8">
        <v>1</v>
      </c>
      <c r="L102" s="43">
        <f t="shared" si="3"/>
        <v>6.6666666666666671E-3</v>
      </c>
      <c r="N102" s="1">
        <v>83</v>
      </c>
      <c r="O102" s="9">
        <v>1</v>
      </c>
      <c r="P102" s="8">
        <v>1</v>
      </c>
      <c r="Q102" s="8">
        <v>1</v>
      </c>
      <c r="R102" s="8">
        <v>1</v>
      </c>
      <c r="S102" s="8">
        <v>1</v>
      </c>
      <c r="T102" s="8">
        <v>1</v>
      </c>
      <c r="U102" s="8">
        <v>1</v>
      </c>
      <c r="V102" s="8">
        <v>1</v>
      </c>
      <c r="W102" s="10">
        <v>1</v>
      </c>
      <c r="X102" s="8">
        <v>1</v>
      </c>
      <c r="Y102" s="43">
        <f t="shared" si="4"/>
        <v>6.6666666666666671E-3</v>
      </c>
      <c r="AA102" s="1">
        <v>1</v>
      </c>
      <c r="AB102" s="9">
        <v>1</v>
      </c>
      <c r="AC102" s="8">
        <v>1</v>
      </c>
      <c r="AD102" s="8">
        <v>1</v>
      </c>
      <c r="AE102" s="8">
        <v>1</v>
      </c>
      <c r="AF102" s="8">
        <v>1</v>
      </c>
      <c r="AG102" s="8">
        <v>1</v>
      </c>
      <c r="AH102" s="8">
        <v>1</v>
      </c>
      <c r="AI102" s="8">
        <v>1</v>
      </c>
      <c r="AJ102" s="10">
        <v>1</v>
      </c>
      <c r="AK102" s="8">
        <v>1</v>
      </c>
      <c r="AL102" s="43">
        <f t="shared" si="5"/>
        <v>6.6666666666666671E-3</v>
      </c>
    </row>
    <row r="103" spans="1:38" x14ac:dyDescent="0.2">
      <c r="A103" s="1">
        <v>84</v>
      </c>
      <c r="B103" s="9">
        <v>1</v>
      </c>
      <c r="C103" s="8">
        <v>1</v>
      </c>
      <c r="D103" s="8">
        <v>1</v>
      </c>
      <c r="E103" s="8">
        <v>1</v>
      </c>
      <c r="F103" s="8">
        <v>1</v>
      </c>
      <c r="G103" s="8">
        <v>1</v>
      </c>
      <c r="H103" s="8">
        <v>1</v>
      </c>
      <c r="I103" s="8">
        <v>1</v>
      </c>
      <c r="J103" s="10">
        <v>1</v>
      </c>
      <c r="K103" s="8">
        <v>1</v>
      </c>
      <c r="L103" s="43">
        <f t="shared" si="3"/>
        <v>6.6666666666666671E-3</v>
      </c>
      <c r="N103" s="1">
        <v>84</v>
      </c>
      <c r="O103" s="9">
        <v>1</v>
      </c>
      <c r="P103" s="8">
        <v>1</v>
      </c>
      <c r="Q103" s="8">
        <v>1</v>
      </c>
      <c r="R103" s="8">
        <v>1</v>
      </c>
      <c r="S103" s="8">
        <v>1</v>
      </c>
      <c r="T103" s="8">
        <v>1</v>
      </c>
      <c r="U103" s="8">
        <v>1</v>
      </c>
      <c r="V103" s="8">
        <v>1</v>
      </c>
      <c r="W103" s="10">
        <v>1</v>
      </c>
      <c r="X103" s="8">
        <v>1</v>
      </c>
      <c r="Y103" s="43">
        <f t="shared" si="4"/>
        <v>6.6666666666666671E-3</v>
      </c>
      <c r="AA103" s="1">
        <v>1</v>
      </c>
      <c r="AB103" s="9">
        <v>1</v>
      </c>
      <c r="AC103" s="8">
        <v>1</v>
      </c>
      <c r="AD103" s="8">
        <v>1</v>
      </c>
      <c r="AE103" s="8">
        <v>1</v>
      </c>
      <c r="AF103" s="8">
        <v>1</v>
      </c>
      <c r="AG103" s="8">
        <v>1</v>
      </c>
      <c r="AH103" s="8">
        <v>1</v>
      </c>
      <c r="AI103" s="8">
        <v>1</v>
      </c>
      <c r="AJ103" s="10">
        <v>1</v>
      </c>
      <c r="AK103" s="8">
        <v>1</v>
      </c>
      <c r="AL103" s="43">
        <f t="shared" si="5"/>
        <v>6.6666666666666671E-3</v>
      </c>
    </row>
    <row r="104" spans="1:38" x14ac:dyDescent="0.2">
      <c r="A104" s="1">
        <v>85</v>
      </c>
      <c r="B104" s="9">
        <v>1</v>
      </c>
      <c r="C104" s="8">
        <v>1</v>
      </c>
      <c r="D104" s="8">
        <v>1</v>
      </c>
      <c r="E104" s="8">
        <v>1</v>
      </c>
      <c r="F104" s="8">
        <v>1</v>
      </c>
      <c r="G104" s="8">
        <v>1</v>
      </c>
      <c r="H104" s="8">
        <v>1</v>
      </c>
      <c r="I104" s="8">
        <v>1</v>
      </c>
      <c r="J104" s="10">
        <v>1</v>
      </c>
      <c r="K104" s="8">
        <v>1</v>
      </c>
      <c r="L104" s="43">
        <f t="shared" si="3"/>
        <v>6.6666666666666671E-3</v>
      </c>
      <c r="N104" s="1">
        <v>85</v>
      </c>
      <c r="O104" s="9">
        <v>1</v>
      </c>
      <c r="P104" s="8">
        <v>1</v>
      </c>
      <c r="Q104" s="8">
        <v>1</v>
      </c>
      <c r="R104" s="8">
        <v>1</v>
      </c>
      <c r="S104" s="8">
        <v>1</v>
      </c>
      <c r="T104" s="8">
        <v>1</v>
      </c>
      <c r="U104" s="8">
        <v>1</v>
      </c>
      <c r="V104" s="8">
        <v>1</v>
      </c>
      <c r="W104" s="10">
        <v>1</v>
      </c>
      <c r="X104" s="8">
        <v>1</v>
      </c>
      <c r="Y104" s="43">
        <f t="shared" si="4"/>
        <v>6.6666666666666671E-3</v>
      </c>
      <c r="AA104" s="1">
        <v>1</v>
      </c>
      <c r="AB104" s="9">
        <v>1</v>
      </c>
      <c r="AC104" s="8">
        <v>1</v>
      </c>
      <c r="AD104" s="8">
        <v>1</v>
      </c>
      <c r="AE104" s="8">
        <v>1</v>
      </c>
      <c r="AF104" s="8">
        <v>1</v>
      </c>
      <c r="AG104" s="8">
        <v>1</v>
      </c>
      <c r="AH104" s="8">
        <v>1</v>
      </c>
      <c r="AI104" s="8">
        <v>1</v>
      </c>
      <c r="AJ104" s="10">
        <v>1</v>
      </c>
      <c r="AK104" s="8">
        <v>1</v>
      </c>
      <c r="AL104" s="43">
        <f t="shared" si="5"/>
        <v>6.6666666666666671E-3</v>
      </c>
    </row>
    <row r="105" spans="1:38" x14ac:dyDescent="0.2">
      <c r="A105" s="1">
        <v>86</v>
      </c>
      <c r="B105" s="9">
        <v>1</v>
      </c>
      <c r="C105" s="8">
        <v>1</v>
      </c>
      <c r="D105" s="8">
        <v>1</v>
      </c>
      <c r="E105" s="8">
        <v>1</v>
      </c>
      <c r="F105" s="8">
        <v>1</v>
      </c>
      <c r="G105" s="8">
        <v>1</v>
      </c>
      <c r="H105" s="8">
        <v>1</v>
      </c>
      <c r="I105" s="8">
        <v>1</v>
      </c>
      <c r="J105" s="10">
        <v>1</v>
      </c>
      <c r="K105" s="8">
        <v>1</v>
      </c>
      <c r="L105" s="43">
        <f t="shared" si="3"/>
        <v>6.6666666666666671E-3</v>
      </c>
      <c r="N105" s="1">
        <v>86</v>
      </c>
      <c r="O105" s="9">
        <v>1</v>
      </c>
      <c r="P105" s="8">
        <v>1</v>
      </c>
      <c r="Q105" s="8">
        <v>1</v>
      </c>
      <c r="R105" s="8">
        <v>1</v>
      </c>
      <c r="S105" s="8">
        <v>1</v>
      </c>
      <c r="T105" s="8">
        <v>1</v>
      </c>
      <c r="U105" s="8">
        <v>1</v>
      </c>
      <c r="V105" s="8">
        <v>1</v>
      </c>
      <c r="W105" s="10">
        <v>1</v>
      </c>
      <c r="X105" s="8">
        <v>1</v>
      </c>
      <c r="Y105" s="43">
        <f t="shared" si="4"/>
        <v>6.6666666666666671E-3</v>
      </c>
      <c r="AA105" s="1">
        <v>1</v>
      </c>
      <c r="AB105" s="9">
        <v>1</v>
      </c>
      <c r="AC105" s="8">
        <v>1</v>
      </c>
      <c r="AD105" s="8">
        <v>1</v>
      </c>
      <c r="AE105" s="8">
        <v>1</v>
      </c>
      <c r="AF105" s="8">
        <v>1</v>
      </c>
      <c r="AG105" s="8">
        <v>1</v>
      </c>
      <c r="AH105" s="8">
        <v>1</v>
      </c>
      <c r="AI105" s="8">
        <v>1</v>
      </c>
      <c r="AJ105" s="10">
        <v>1</v>
      </c>
      <c r="AK105" s="8">
        <v>1</v>
      </c>
      <c r="AL105" s="43">
        <f t="shared" si="5"/>
        <v>6.6666666666666671E-3</v>
      </c>
    </row>
    <row r="106" spans="1:38" x14ac:dyDescent="0.2">
      <c r="A106" s="1">
        <v>87</v>
      </c>
      <c r="B106" s="9">
        <v>1</v>
      </c>
      <c r="C106" s="8">
        <v>1</v>
      </c>
      <c r="D106" s="8">
        <v>1</v>
      </c>
      <c r="E106" s="8">
        <v>1</v>
      </c>
      <c r="F106" s="8">
        <v>1</v>
      </c>
      <c r="G106" s="8">
        <v>1</v>
      </c>
      <c r="H106" s="8">
        <v>1</v>
      </c>
      <c r="I106" s="8">
        <v>1</v>
      </c>
      <c r="J106" s="10">
        <v>1</v>
      </c>
      <c r="K106" s="8">
        <v>1</v>
      </c>
      <c r="L106" s="43">
        <f t="shared" si="3"/>
        <v>6.6666666666666671E-3</v>
      </c>
      <c r="N106" s="1">
        <v>87</v>
      </c>
      <c r="O106" s="9">
        <v>1</v>
      </c>
      <c r="P106" s="8">
        <v>1</v>
      </c>
      <c r="Q106" s="8">
        <v>1</v>
      </c>
      <c r="R106" s="8">
        <v>1</v>
      </c>
      <c r="S106" s="8">
        <v>1</v>
      </c>
      <c r="T106" s="8">
        <v>1</v>
      </c>
      <c r="U106" s="8">
        <v>1</v>
      </c>
      <c r="V106" s="8">
        <v>1</v>
      </c>
      <c r="W106" s="10">
        <v>1</v>
      </c>
      <c r="X106" s="8">
        <v>1</v>
      </c>
      <c r="Y106" s="43">
        <f t="shared" si="4"/>
        <v>6.6666666666666671E-3</v>
      </c>
      <c r="AA106" s="1">
        <v>1</v>
      </c>
      <c r="AB106" s="9">
        <v>1</v>
      </c>
      <c r="AC106" s="8">
        <v>1</v>
      </c>
      <c r="AD106" s="8">
        <v>1</v>
      </c>
      <c r="AE106" s="8">
        <v>1</v>
      </c>
      <c r="AF106" s="8">
        <v>1</v>
      </c>
      <c r="AG106" s="8">
        <v>1</v>
      </c>
      <c r="AH106" s="8">
        <v>1</v>
      </c>
      <c r="AI106" s="8">
        <v>1</v>
      </c>
      <c r="AJ106" s="10">
        <v>1</v>
      </c>
      <c r="AK106" s="8">
        <v>1</v>
      </c>
      <c r="AL106" s="43">
        <f t="shared" si="5"/>
        <v>6.6666666666666671E-3</v>
      </c>
    </row>
    <row r="107" spans="1:38" x14ac:dyDescent="0.2">
      <c r="A107" s="1">
        <v>88</v>
      </c>
      <c r="B107" s="9">
        <v>1</v>
      </c>
      <c r="C107" s="8">
        <v>1</v>
      </c>
      <c r="D107" s="8">
        <v>1</v>
      </c>
      <c r="E107" s="8">
        <v>1</v>
      </c>
      <c r="F107" s="8">
        <v>1</v>
      </c>
      <c r="G107" s="8">
        <v>1</v>
      </c>
      <c r="H107" s="8">
        <v>1</v>
      </c>
      <c r="I107" s="8">
        <v>1</v>
      </c>
      <c r="J107" s="10">
        <v>1</v>
      </c>
      <c r="K107" s="8">
        <v>1</v>
      </c>
      <c r="L107" s="43">
        <f t="shared" si="3"/>
        <v>6.6666666666666671E-3</v>
      </c>
      <c r="N107" s="1">
        <v>88</v>
      </c>
      <c r="O107" s="9">
        <v>1</v>
      </c>
      <c r="P107" s="8">
        <v>1</v>
      </c>
      <c r="Q107" s="8">
        <v>1</v>
      </c>
      <c r="R107" s="8">
        <v>1</v>
      </c>
      <c r="S107" s="8">
        <v>1</v>
      </c>
      <c r="T107" s="8">
        <v>1</v>
      </c>
      <c r="U107" s="8">
        <v>1</v>
      </c>
      <c r="V107" s="8">
        <v>1</v>
      </c>
      <c r="W107" s="10">
        <v>1</v>
      </c>
      <c r="X107" s="8">
        <v>1</v>
      </c>
      <c r="Y107" s="43">
        <f t="shared" si="4"/>
        <v>6.6666666666666671E-3</v>
      </c>
      <c r="AA107" s="1">
        <v>1</v>
      </c>
      <c r="AB107" s="9">
        <v>1</v>
      </c>
      <c r="AC107" s="8">
        <v>1</v>
      </c>
      <c r="AD107" s="8">
        <v>1</v>
      </c>
      <c r="AE107" s="8">
        <v>1</v>
      </c>
      <c r="AF107" s="8">
        <v>1</v>
      </c>
      <c r="AG107" s="8">
        <v>1</v>
      </c>
      <c r="AH107" s="8">
        <v>1</v>
      </c>
      <c r="AI107" s="8">
        <v>1</v>
      </c>
      <c r="AJ107" s="10">
        <v>1</v>
      </c>
      <c r="AK107" s="8">
        <v>1</v>
      </c>
      <c r="AL107" s="43">
        <f t="shared" si="5"/>
        <v>6.6666666666666671E-3</v>
      </c>
    </row>
    <row r="108" spans="1:38" x14ac:dyDescent="0.2">
      <c r="A108" s="1">
        <v>89</v>
      </c>
      <c r="B108" s="9">
        <v>1</v>
      </c>
      <c r="C108" s="8">
        <v>1</v>
      </c>
      <c r="D108" s="8">
        <v>1</v>
      </c>
      <c r="E108" s="8">
        <v>1</v>
      </c>
      <c r="F108" s="8">
        <v>1</v>
      </c>
      <c r="G108" s="8">
        <v>1</v>
      </c>
      <c r="H108" s="8">
        <v>1</v>
      </c>
      <c r="I108" s="8">
        <v>1</v>
      </c>
      <c r="J108" s="10">
        <v>1</v>
      </c>
      <c r="K108" s="8">
        <v>1</v>
      </c>
      <c r="L108" s="43">
        <f t="shared" si="3"/>
        <v>6.6666666666666671E-3</v>
      </c>
      <c r="N108" s="1">
        <v>89</v>
      </c>
      <c r="O108" s="9">
        <v>1</v>
      </c>
      <c r="P108" s="8">
        <v>1</v>
      </c>
      <c r="Q108" s="8">
        <v>1</v>
      </c>
      <c r="R108" s="8">
        <v>1</v>
      </c>
      <c r="S108" s="8">
        <v>1</v>
      </c>
      <c r="T108" s="8">
        <v>1</v>
      </c>
      <c r="U108" s="8">
        <v>1</v>
      </c>
      <c r="V108" s="8">
        <v>1</v>
      </c>
      <c r="W108" s="10">
        <v>1</v>
      </c>
      <c r="X108" s="8">
        <v>1</v>
      </c>
      <c r="Y108" s="43">
        <f t="shared" si="4"/>
        <v>6.6666666666666671E-3</v>
      </c>
      <c r="AA108" s="1">
        <v>1</v>
      </c>
      <c r="AB108" s="9">
        <v>1</v>
      </c>
      <c r="AC108" s="8">
        <v>1</v>
      </c>
      <c r="AD108" s="8">
        <v>1</v>
      </c>
      <c r="AE108" s="8">
        <v>1</v>
      </c>
      <c r="AF108" s="8">
        <v>1</v>
      </c>
      <c r="AG108" s="8">
        <v>1</v>
      </c>
      <c r="AH108" s="8">
        <v>1</v>
      </c>
      <c r="AI108" s="8">
        <v>1</v>
      </c>
      <c r="AJ108" s="10">
        <v>1</v>
      </c>
      <c r="AK108" s="8">
        <v>1</v>
      </c>
      <c r="AL108" s="43">
        <f t="shared" si="5"/>
        <v>6.6666666666666671E-3</v>
      </c>
    </row>
    <row r="109" spans="1:38" x14ac:dyDescent="0.2">
      <c r="A109" s="1">
        <v>90</v>
      </c>
      <c r="B109" s="9">
        <v>1</v>
      </c>
      <c r="C109" s="8">
        <v>1</v>
      </c>
      <c r="D109" s="8">
        <v>1</v>
      </c>
      <c r="E109" s="8">
        <v>1</v>
      </c>
      <c r="F109" s="8">
        <v>1</v>
      </c>
      <c r="G109" s="8">
        <v>1</v>
      </c>
      <c r="H109" s="8">
        <v>1</v>
      </c>
      <c r="I109" s="8">
        <v>1</v>
      </c>
      <c r="J109" s="10">
        <v>1</v>
      </c>
      <c r="K109" s="8">
        <v>1</v>
      </c>
      <c r="L109" s="43">
        <f t="shared" si="3"/>
        <v>6.6666666666666671E-3</v>
      </c>
      <c r="N109" s="1">
        <v>90</v>
      </c>
      <c r="O109" s="9">
        <v>1</v>
      </c>
      <c r="P109" s="8">
        <v>1</v>
      </c>
      <c r="Q109" s="8">
        <v>1</v>
      </c>
      <c r="R109" s="8">
        <v>1</v>
      </c>
      <c r="S109" s="8">
        <v>1</v>
      </c>
      <c r="T109" s="8">
        <v>1</v>
      </c>
      <c r="U109" s="8">
        <v>1</v>
      </c>
      <c r="V109" s="8">
        <v>1</v>
      </c>
      <c r="W109" s="10">
        <v>1</v>
      </c>
      <c r="X109" s="8">
        <v>1</v>
      </c>
      <c r="Y109" s="43">
        <f t="shared" si="4"/>
        <v>6.6666666666666671E-3</v>
      </c>
      <c r="AA109" s="1">
        <v>1</v>
      </c>
      <c r="AB109" s="9">
        <v>1</v>
      </c>
      <c r="AC109" s="8">
        <v>1</v>
      </c>
      <c r="AD109" s="8">
        <v>1</v>
      </c>
      <c r="AE109" s="8">
        <v>1</v>
      </c>
      <c r="AF109" s="8">
        <v>1</v>
      </c>
      <c r="AG109" s="8">
        <v>1</v>
      </c>
      <c r="AH109" s="8">
        <v>1</v>
      </c>
      <c r="AI109" s="8">
        <v>1</v>
      </c>
      <c r="AJ109" s="10">
        <v>1</v>
      </c>
      <c r="AK109" s="8">
        <v>1</v>
      </c>
      <c r="AL109" s="43">
        <f t="shared" si="5"/>
        <v>6.6666666666666671E-3</v>
      </c>
    </row>
    <row r="110" spans="1:38" x14ac:dyDescent="0.2">
      <c r="A110" s="1">
        <v>91</v>
      </c>
      <c r="B110" s="9">
        <v>1</v>
      </c>
      <c r="C110" s="8">
        <v>1</v>
      </c>
      <c r="D110" s="8">
        <v>1</v>
      </c>
      <c r="E110" s="8">
        <v>1</v>
      </c>
      <c r="F110" s="8">
        <v>1</v>
      </c>
      <c r="G110" s="8">
        <v>1</v>
      </c>
      <c r="H110" s="8">
        <v>1</v>
      </c>
      <c r="I110" s="8">
        <v>1</v>
      </c>
      <c r="J110" s="10">
        <v>1</v>
      </c>
      <c r="K110" s="8">
        <v>1</v>
      </c>
      <c r="L110" s="43">
        <f t="shared" si="3"/>
        <v>6.6666666666666671E-3</v>
      </c>
      <c r="N110" s="1">
        <v>91</v>
      </c>
      <c r="O110" s="9">
        <v>1</v>
      </c>
      <c r="P110" s="8">
        <v>1</v>
      </c>
      <c r="Q110" s="8">
        <v>1</v>
      </c>
      <c r="R110" s="8">
        <v>1</v>
      </c>
      <c r="S110" s="8">
        <v>1</v>
      </c>
      <c r="T110" s="8">
        <v>1</v>
      </c>
      <c r="U110" s="8">
        <v>1</v>
      </c>
      <c r="V110" s="8">
        <v>1</v>
      </c>
      <c r="W110" s="10">
        <v>1</v>
      </c>
      <c r="X110" s="8">
        <v>1</v>
      </c>
      <c r="Y110" s="43">
        <f t="shared" si="4"/>
        <v>6.6666666666666671E-3</v>
      </c>
      <c r="AA110" s="1">
        <v>1</v>
      </c>
      <c r="AB110" s="9">
        <v>1</v>
      </c>
      <c r="AC110" s="8">
        <v>1</v>
      </c>
      <c r="AD110" s="8">
        <v>1</v>
      </c>
      <c r="AE110" s="8">
        <v>1</v>
      </c>
      <c r="AF110" s="8">
        <v>1</v>
      </c>
      <c r="AG110" s="8">
        <v>1</v>
      </c>
      <c r="AH110" s="8">
        <v>1</v>
      </c>
      <c r="AI110" s="8">
        <v>1</v>
      </c>
      <c r="AJ110" s="10">
        <v>1</v>
      </c>
      <c r="AK110" s="8">
        <v>1</v>
      </c>
      <c r="AL110" s="43">
        <f t="shared" si="5"/>
        <v>6.6666666666666671E-3</v>
      </c>
    </row>
    <row r="111" spans="1:38" x14ac:dyDescent="0.2">
      <c r="A111" s="1">
        <v>92</v>
      </c>
      <c r="B111" s="9">
        <v>1</v>
      </c>
      <c r="C111" s="8">
        <v>1</v>
      </c>
      <c r="D111" s="8">
        <v>1</v>
      </c>
      <c r="E111" s="8">
        <v>1</v>
      </c>
      <c r="F111" s="8">
        <v>1</v>
      </c>
      <c r="G111" s="8">
        <v>1</v>
      </c>
      <c r="H111" s="8">
        <v>1</v>
      </c>
      <c r="I111" s="8">
        <v>1</v>
      </c>
      <c r="J111" s="10">
        <v>1</v>
      </c>
      <c r="K111" s="8">
        <v>1</v>
      </c>
      <c r="L111" s="43">
        <f t="shared" si="3"/>
        <v>6.6666666666666671E-3</v>
      </c>
      <c r="N111" s="1">
        <v>92</v>
      </c>
      <c r="O111" s="9">
        <v>1</v>
      </c>
      <c r="P111" s="8">
        <v>1</v>
      </c>
      <c r="Q111" s="8">
        <v>1</v>
      </c>
      <c r="R111" s="8">
        <v>1</v>
      </c>
      <c r="S111" s="8">
        <v>1</v>
      </c>
      <c r="T111" s="8">
        <v>1</v>
      </c>
      <c r="U111" s="8">
        <v>1</v>
      </c>
      <c r="V111" s="8">
        <v>1</v>
      </c>
      <c r="W111" s="10">
        <v>1</v>
      </c>
      <c r="X111" s="8">
        <v>1</v>
      </c>
      <c r="Y111" s="43">
        <f t="shared" si="4"/>
        <v>6.6666666666666671E-3</v>
      </c>
      <c r="AA111" s="1">
        <v>1</v>
      </c>
      <c r="AB111" s="9">
        <v>1</v>
      </c>
      <c r="AC111" s="8">
        <v>1</v>
      </c>
      <c r="AD111" s="8">
        <v>1</v>
      </c>
      <c r="AE111" s="8">
        <v>1</v>
      </c>
      <c r="AF111" s="8">
        <v>1</v>
      </c>
      <c r="AG111" s="8">
        <v>1</v>
      </c>
      <c r="AH111" s="8">
        <v>1</v>
      </c>
      <c r="AI111" s="8">
        <v>1</v>
      </c>
      <c r="AJ111" s="10">
        <v>1</v>
      </c>
      <c r="AK111" s="8">
        <v>1</v>
      </c>
      <c r="AL111" s="43">
        <f t="shared" si="5"/>
        <v>6.6666666666666671E-3</v>
      </c>
    </row>
    <row r="112" spans="1:38" x14ac:dyDescent="0.2">
      <c r="A112" s="1">
        <v>93</v>
      </c>
      <c r="B112" s="9">
        <v>1</v>
      </c>
      <c r="C112" s="8">
        <v>1</v>
      </c>
      <c r="D112" s="8">
        <v>1</v>
      </c>
      <c r="E112" s="8">
        <v>1</v>
      </c>
      <c r="F112" s="8">
        <v>1</v>
      </c>
      <c r="G112" s="8">
        <v>1</v>
      </c>
      <c r="H112" s="8">
        <v>1</v>
      </c>
      <c r="I112" s="8">
        <v>1</v>
      </c>
      <c r="J112" s="10">
        <v>1</v>
      </c>
      <c r="K112" s="8">
        <v>1</v>
      </c>
      <c r="L112" s="43">
        <f t="shared" si="3"/>
        <v>6.6666666666666671E-3</v>
      </c>
      <c r="N112" s="1">
        <v>93</v>
      </c>
      <c r="O112" s="9">
        <v>1</v>
      </c>
      <c r="P112" s="8">
        <v>1</v>
      </c>
      <c r="Q112" s="8">
        <v>1</v>
      </c>
      <c r="R112" s="8">
        <v>1</v>
      </c>
      <c r="S112" s="8">
        <v>1</v>
      </c>
      <c r="T112" s="8">
        <v>1</v>
      </c>
      <c r="U112" s="8">
        <v>1</v>
      </c>
      <c r="V112" s="8">
        <v>1</v>
      </c>
      <c r="W112" s="10">
        <v>1</v>
      </c>
      <c r="X112" s="8">
        <v>1</v>
      </c>
      <c r="Y112" s="43">
        <f t="shared" si="4"/>
        <v>6.6666666666666671E-3</v>
      </c>
      <c r="AA112" s="1">
        <v>1</v>
      </c>
      <c r="AB112" s="9">
        <v>1</v>
      </c>
      <c r="AC112" s="8">
        <v>1</v>
      </c>
      <c r="AD112" s="8">
        <v>1</v>
      </c>
      <c r="AE112" s="8">
        <v>1</v>
      </c>
      <c r="AF112" s="8">
        <v>1</v>
      </c>
      <c r="AG112" s="8">
        <v>1</v>
      </c>
      <c r="AH112" s="8">
        <v>1</v>
      </c>
      <c r="AI112" s="8">
        <v>1</v>
      </c>
      <c r="AJ112" s="10">
        <v>1</v>
      </c>
      <c r="AK112" s="8">
        <v>1</v>
      </c>
      <c r="AL112" s="43">
        <f t="shared" si="5"/>
        <v>6.6666666666666671E-3</v>
      </c>
    </row>
    <row r="113" spans="1:38" x14ac:dyDescent="0.2">
      <c r="A113" s="1">
        <v>94</v>
      </c>
      <c r="B113" s="9">
        <v>1</v>
      </c>
      <c r="C113" s="8">
        <v>1</v>
      </c>
      <c r="D113" s="8">
        <v>1</v>
      </c>
      <c r="E113" s="8">
        <v>1</v>
      </c>
      <c r="F113" s="8">
        <v>1</v>
      </c>
      <c r="G113" s="8">
        <v>1</v>
      </c>
      <c r="H113" s="8">
        <v>1</v>
      </c>
      <c r="I113" s="8">
        <v>1</v>
      </c>
      <c r="J113" s="10">
        <v>1</v>
      </c>
      <c r="K113" s="8">
        <v>1</v>
      </c>
      <c r="L113" s="43">
        <f t="shared" si="3"/>
        <v>6.6666666666666671E-3</v>
      </c>
      <c r="N113" s="1">
        <v>94</v>
      </c>
      <c r="O113" s="9">
        <v>1</v>
      </c>
      <c r="P113" s="8">
        <v>1</v>
      </c>
      <c r="Q113" s="8">
        <v>1</v>
      </c>
      <c r="R113" s="8">
        <v>1</v>
      </c>
      <c r="S113" s="8">
        <v>1</v>
      </c>
      <c r="T113" s="8">
        <v>1</v>
      </c>
      <c r="U113" s="8">
        <v>1</v>
      </c>
      <c r="V113" s="8">
        <v>1</v>
      </c>
      <c r="W113" s="10">
        <v>1</v>
      </c>
      <c r="X113" s="8">
        <v>1</v>
      </c>
      <c r="Y113" s="43">
        <f t="shared" si="4"/>
        <v>6.6666666666666671E-3</v>
      </c>
      <c r="AA113" s="1">
        <v>1</v>
      </c>
      <c r="AB113" s="9">
        <v>1</v>
      </c>
      <c r="AC113" s="8">
        <v>1</v>
      </c>
      <c r="AD113" s="8">
        <v>1</v>
      </c>
      <c r="AE113" s="8">
        <v>1</v>
      </c>
      <c r="AF113" s="8">
        <v>1</v>
      </c>
      <c r="AG113" s="8">
        <v>1</v>
      </c>
      <c r="AH113" s="8">
        <v>1</v>
      </c>
      <c r="AI113" s="8">
        <v>1</v>
      </c>
      <c r="AJ113" s="10">
        <v>1</v>
      </c>
      <c r="AK113" s="8">
        <v>1</v>
      </c>
      <c r="AL113" s="43">
        <f t="shared" si="5"/>
        <v>6.6666666666666671E-3</v>
      </c>
    </row>
    <row r="114" spans="1:38" x14ac:dyDescent="0.2">
      <c r="A114" s="1">
        <v>95</v>
      </c>
      <c r="B114" s="9">
        <v>1</v>
      </c>
      <c r="C114" s="8">
        <v>1</v>
      </c>
      <c r="D114" s="8">
        <v>1</v>
      </c>
      <c r="E114" s="8">
        <v>1</v>
      </c>
      <c r="F114" s="8">
        <v>1</v>
      </c>
      <c r="G114" s="8">
        <v>1</v>
      </c>
      <c r="H114" s="8">
        <v>1</v>
      </c>
      <c r="I114" s="8">
        <v>1</v>
      </c>
      <c r="J114" s="10">
        <v>1</v>
      </c>
      <c r="K114" s="8">
        <v>1</v>
      </c>
      <c r="L114" s="43">
        <f t="shared" si="3"/>
        <v>6.6666666666666671E-3</v>
      </c>
      <c r="N114" s="1">
        <v>95</v>
      </c>
      <c r="O114" s="9">
        <v>1</v>
      </c>
      <c r="P114" s="8">
        <v>1</v>
      </c>
      <c r="Q114" s="8">
        <v>1</v>
      </c>
      <c r="R114" s="8">
        <v>1</v>
      </c>
      <c r="S114" s="8">
        <v>1</v>
      </c>
      <c r="T114" s="8">
        <v>1</v>
      </c>
      <c r="U114" s="8">
        <v>1</v>
      </c>
      <c r="V114" s="8">
        <v>1</v>
      </c>
      <c r="W114" s="10">
        <v>1</v>
      </c>
      <c r="X114" s="8">
        <v>1</v>
      </c>
      <c r="Y114" s="43">
        <f t="shared" si="4"/>
        <v>6.6666666666666671E-3</v>
      </c>
      <c r="AA114" s="1">
        <v>1</v>
      </c>
      <c r="AB114" s="9">
        <v>1</v>
      </c>
      <c r="AC114" s="8">
        <v>1</v>
      </c>
      <c r="AD114" s="8">
        <v>1</v>
      </c>
      <c r="AE114" s="8">
        <v>1</v>
      </c>
      <c r="AF114" s="8">
        <v>1</v>
      </c>
      <c r="AG114" s="8">
        <v>1</v>
      </c>
      <c r="AH114" s="8">
        <v>1</v>
      </c>
      <c r="AI114" s="8">
        <v>1</v>
      </c>
      <c r="AJ114" s="10">
        <v>1</v>
      </c>
      <c r="AK114" s="8">
        <v>1</v>
      </c>
      <c r="AL114" s="43">
        <f t="shared" si="5"/>
        <v>6.6666666666666671E-3</v>
      </c>
    </row>
    <row r="115" spans="1:38" x14ac:dyDescent="0.2">
      <c r="A115" s="1">
        <v>96</v>
      </c>
      <c r="B115" s="9">
        <v>1</v>
      </c>
      <c r="C115" s="8">
        <v>1</v>
      </c>
      <c r="D115" s="8">
        <v>1</v>
      </c>
      <c r="E115" s="8">
        <v>1</v>
      </c>
      <c r="F115" s="8">
        <v>1</v>
      </c>
      <c r="G115" s="8">
        <v>1</v>
      </c>
      <c r="H115" s="8">
        <v>1</v>
      </c>
      <c r="I115" s="8">
        <v>1</v>
      </c>
      <c r="J115" s="10">
        <v>1</v>
      </c>
      <c r="K115" s="8">
        <v>1</v>
      </c>
      <c r="L115" s="43">
        <f t="shared" si="3"/>
        <v>6.6666666666666671E-3</v>
      </c>
      <c r="N115" s="1">
        <v>96</v>
      </c>
      <c r="O115" s="9">
        <v>1</v>
      </c>
      <c r="P115" s="8">
        <v>1</v>
      </c>
      <c r="Q115" s="8">
        <v>1</v>
      </c>
      <c r="R115" s="8">
        <v>1</v>
      </c>
      <c r="S115" s="8">
        <v>1</v>
      </c>
      <c r="T115" s="8">
        <v>1</v>
      </c>
      <c r="U115" s="8">
        <v>1</v>
      </c>
      <c r="V115" s="8">
        <v>1</v>
      </c>
      <c r="W115" s="10">
        <v>1</v>
      </c>
      <c r="X115" s="8">
        <v>1</v>
      </c>
      <c r="Y115" s="43">
        <f t="shared" si="4"/>
        <v>6.6666666666666671E-3</v>
      </c>
      <c r="AA115" s="1">
        <v>1</v>
      </c>
      <c r="AB115" s="9">
        <v>1</v>
      </c>
      <c r="AC115" s="8">
        <v>1</v>
      </c>
      <c r="AD115" s="8">
        <v>1</v>
      </c>
      <c r="AE115" s="8">
        <v>1</v>
      </c>
      <c r="AF115" s="8">
        <v>1</v>
      </c>
      <c r="AG115" s="8">
        <v>1</v>
      </c>
      <c r="AH115" s="8">
        <v>1</v>
      </c>
      <c r="AI115" s="8">
        <v>1</v>
      </c>
      <c r="AJ115" s="10">
        <v>1</v>
      </c>
      <c r="AK115" s="8">
        <v>1</v>
      </c>
      <c r="AL115" s="43">
        <f t="shared" si="5"/>
        <v>6.6666666666666671E-3</v>
      </c>
    </row>
    <row r="116" spans="1:38" x14ac:dyDescent="0.2">
      <c r="A116" s="1">
        <v>97</v>
      </c>
      <c r="B116" s="9">
        <v>1</v>
      </c>
      <c r="C116" s="8">
        <v>1</v>
      </c>
      <c r="D116" s="8">
        <v>1</v>
      </c>
      <c r="E116" s="8">
        <v>1</v>
      </c>
      <c r="F116" s="8">
        <v>1</v>
      </c>
      <c r="G116" s="8">
        <v>1</v>
      </c>
      <c r="H116" s="8">
        <v>1</v>
      </c>
      <c r="I116" s="8">
        <v>1</v>
      </c>
      <c r="J116" s="10">
        <v>1</v>
      </c>
      <c r="K116" s="8">
        <v>1</v>
      </c>
      <c r="L116" s="43">
        <f t="shared" si="3"/>
        <v>6.6666666666666671E-3</v>
      </c>
      <c r="N116" s="1">
        <v>97</v>
      </c>
      <c r="O116" s="9">
        <v>1</v>
      </c>
      <c r="P116" s="8">
        <v>1</v>
      </c>
      <c r="Q116" s="8">
        <v>1</v>
      </c>
      <c r="R116" s="8">
        <v>1</v>
      </c>
      <c r="S116" s="8">
        <v>1</v>
      </c>
      <c r="T116" s="8">
        <v>1</v>
      </c>
      <c r="U116" s="8">
        <v>1</v>
      </c>
      <c r="V116" s="8">
        <v>1</v>
      </c>
      <c r="W116" s="10">
        <v>1</v>
      </c>
      <c r="X116" s="8">
        <v>1</v>
      </c>
      <c r="Y116" s="43">
        <f t="shared" si="4"/>
        <v>6.6666666666666671E-3</v>
      </c>
      <c r="AA116" s="1">
        <v>1</v>
      </c>
      <c r="AB116" s="9">
        <v>1</v>
      </c>
      <c r="AC116" s="8">
        <v>1</v>
      </c>
      <c r="AD116" s="8">
        <v>1</v>
      </c>
      <c r="AE116" s="8">
        <v>1</v>
      </c>
      <c r="AF116" s="8">
        <v>1</v>
      </c>
      <c r="AG116" s="8">
        <v>1</v>
      </c>
      <c r="AH116" s="8">
        <v>1</v>
      </c>
      <c r="AI116" s="8">
        <v>1</v>
      </c>
      <c r="AJ116" s="10">
        <v>1</v>
      </c>
      <c r="AK116" s="8">
        <v>1</v>
      </c>
      <c r="AL116" s="43">
        <f t="shared" si="5"/>
        <v>6.6666666666666671E-3</v>
      </c>
    </row>
    <row r="117" spans="1:38" x14ac:dyDescent="0.2">
      <c r="A117" s="1">
        <v>98</v>
      </c>
      <c r="B117" s="9">
        <v>1</v>
      </c>
      <c r="C117" s="8">
        <v>1</v>
      </c>
      <c r="D117" s="8">
        <v>1</v>
      </c>
      <c r="E117" s="8">
        <v>1</v>
      </c>
      <c r="F117" s="8">
        <v>1</v>
      </c>
      <c r="G117" s="8">
        <v>1</v>
      </c>
      <c r="H117" s="8">
        <v>1</v>
      </c>
      <c r="I117" s="8">
        <v>1</v>
      </c>
      <c r="J117" s="10">
        <v>1</v>
      </c>
      <c r="K117" s="8">
        <v>1</v>
      </c>
      <c r="L117" s="43">
        <f t="shared" si="3"/>
        <v>6.6666666666666671E-3</v>
      </c>
      <c r="N117" s="1">
        <v>98</v>
      </c>
      <c r="O117" s="9">
        <v>1</v>
      </c>
      <c r="P117" s="8">
        <v>1</v>
      </c>
      <c r="Q117" s="8">
        <v>1</v>
      </c>
      <c r="R117" s="8">
        <v>1</v>
      </c>
      <c r="S117" s="8">
        <v>1</v>
      </c>
      <c r="T117" s="8">
        <v>1</v>
      </c>
      <c r="U117" s="8">
        <v>1</v>
      </c>
      <c r="V117" s="8">
        <v>1</v>
      </c>
      <c r="W117" s="10">
        <v>1</v>
      </c>
      <c r="X117" s="8">
        <v>1</v>
      </c>
      <c r="Y117" s="43">
        <f t="shared" si="4"/>
        <v>6.6666666666666671E-3</v>
      </c>
      <c r="AA117" s="1">
        <v>1</v>
      </c>
      <c r="AB117" s="9">
        <v>1</v>
      </c>
      <c r="AC117" s="8">
        <v>1</v>
      </c>
      <c r="AD117" s="8">
        <v>1</v>
      </c>
      <c r="AE117" s="8">
        <v>1</v>
      </c>
      <c r="AF117" s="8">
        <v>1</v>
      </c>
      <c r="AG117" s="8">
        <v>1</v>
      </c>
      <c r="AH117" s="8">
        <v>1</v>
      </c>
      <c r="AI117" s="8">
        <v>1</v>
      </c>
      <c r="AJ117" s="10">
        <v>1</v>
      </c>
      <c r="AK117" s="8">
        <v>1</v>
      </c>
      <c r="AL117" s="43">
        <f t="shared" si="5"/>
        <v>6.6666666666666671E-3</v>
      </c>
    </row>
    <row r="118" spans="1:38" x14ac:dyDescent="0.2">
      <c r="A118" s="1">
        <v>99</v>
      </c>
      <c r="B118" s="9">
        <v>1</v>
      </c>
      <c r="C118" s="8">
        <v>1</v>
      </c>
      <c r="D118" s="8">
        <v>1</v>
      </c>
      <c r="E118" s="8">
        <v>1</v>
      </c>
      <c r="F118" s="8">
        <v>1</v>
      </c>
      <c r="G118" s="8">
        <v>1</v>
      </c>
      <c r="H118" s="8">
        <v>1</v>
      </c>
      <c r="I118" s="8">
        <v>1</v>
      </c>
      <c r="J118" s="10">
        <v>1</v>
      </c>
      <c r="K118" s="8">
        <v>1</v>
      </c>
      <c r="L118" s="43">
        <f t="shared" si="3"/>
        <v>6.6666666666666671E-3</v>
      </c>
      <c r="N118" s="1">
        <v>99</v>
      </c>
      <c r="O118" s="9">
        <v>1</v>
      </c>
      <c r="P118" s="8">
        <v>1</v>
      </c>
      <c r="Q118" s="8">
        <v>1</v>
      </c>
      <c r="R118" s="8">
        <v>1</v>
      </c>
      <c r="S118" s="8">
        <v>1</v>
      </c>
      <c r="T118" s="8">
        <v>1</v>
      </c>
      <c r="U118" s="8">
        <v>1</v>
      </c>
      <c r="V118" s="8">
        <v>1</v>
      </c>
      <c r="W118" s="10">
        <v>1</v>
      </c>
      <c r="X118" s="8">
        <v>1</v>
      </c>
      <c r="Y118" s="43">
        <f t="shared" si="4"/>
        <v>6.6666666666666671E-3</v>
      </c>
      <c r="AA118" s="1">
        <v>1</v>
      </c>
      <c r="AB118" s="9">
        <v>1</v>
      </c>
      <c r="AC118" s="8">
        <v>1</v>
      </c>
      <c r="AD118" s="8">
        <v>1</v>
      </c>
      <c r="AE118" s="8">
        <v>1</v>
      </c>
      <c r="AF118" s="8">
        <v>1</v>
      </c>
      <c r="AG118" s="8">
        <v>1</v>
      </c>
      <c r="AH118" s="8">
        <v>1</v>
      </c>
      <c r="AI118" s="8">
        <v>1</v>
      </c>
      <c r="AJ118" s="10">
        <v>1</v>
      </c>
      <c r="AK118" s="8">
        <v>1</v>
      </c>
      <c r="AL118" s="43">
        <f t="shared" si="5"/>
        <v>6.6666666666666671E-3</v>
      </c>
    </row>
    <row r="119" spans="1:38" x14ac:dyDescent="0.2">
      <c r="A119" s="1">
        <v>100</v>
      </c>
      <c r="B119" s="9">
        <v>1</v>
      </c>
      <c r="C119" s="8">
        <v>1</v>
      </c>
      <c r="D119" s="8">
        <v>1</v>
      </c>
      <c r="E119" s="8">
        <v>1</v>
      </c>
      <c r="F119" s="8">
        <v>1</v>
      </c>
      <c r="G119" s="8">
        <v>1</v>
      </c>
      <c r="H119" s="8">
        <v>1</v>
      </c>
      <c r="I119" s="8">
        <v>1</v>
      </c>
      <c r="J119" s="10">
        <v>1</v>
      </c>
      <c r="K119" s="8">
        <v>1</v>
      </c>
      <c r="L119" s="43">
        <f t="shared" si="3"/>
        <v>6.6666666666666671E-3</v>
      </c>
      <c r="N119" s="1">
        <v>100</v>
      </c>
      <c r="O119" s="9">
        <v>1</v>
      </c>
      <c r="P119" s="8">
        <v>1</v>
      </c>
      <c r="Q119" s="8">
        <v>1</v>
      </c>
      <c r="R119" s="8">
        <v>1</v>
      </c>
      <c r="S119" s="8">
        <v>1</v>
      </c>
      <c r="T119" s="8">
        <v>1</v>
      </c>
      <c r="U119" s="8">
        <v>1</v>
      </c>
      <c r="V119" s="8">
        <v>1</v>
      </c>
      <c r="W119" s="10">
        <v>1</v>
      </c>
      <c r="X119" s="8">
        <v>1</v>
      </c>
      <c r="Y119" s="43">
        <f t="shared" si="4"/>
        <v>6.6666666666666671E-3</v>
      </c>
      <c r="AA119" s="1">
        <v>1</v>
      </c>
      <c r="AB119" s="9">
        <v>1</v>
      </c>
      <c r="AC119" s="8">
        <v>1</v>
      </c>
      <c r="AD119" s="8">
        <v>1</v>
      </c>
      <c r="AE119" s="8">
        <v>1</v>
      </c>
      <c r="AF119" s="8">
        <v>1</v>
      </c>
      <c r="AG119" s="8">
        <v>1</v>
      </c>
      <c r="AH119" s="8">
        <v>1</v>
      </c>
      <c r="AI119" s="8">
        <v>1</v>
      </c>
      <c r="AJ119" s="10">
        <v>1</v>
      </c>
      <c r="AK119" s="8">
        <v>1</v>
      </c>
      <c r="AL119" s="43">
        <f t="shared" si="5"/>
        <v>6.6666666666666671E-3</v>
      </c>
    </row>
    <row r="120" spans="1:38" x14ac:dyDescent="0.2">
      <c r="A120" s="1">
        <v>101</v>
      </c>
      <c r="B120" s="9">
        <v>1</v>
      </c>
      <c r="C120" s="8">
        <v>1</v>
      </c>
      <c r="D120" s="8">
        <v>1</v>
      </c>
      <c r="E120" s="8">
        <v>1</v>
      </c>
      <c r="F120" s="8">
        <v>1</v>
      </c>
      <c r="G120" s="8">
        <v>1</v>
      </c>
      <c r="H120" s="8">
        <v>1</v>
      </c>
      <c r="I120" s="8">
        <v>1</v>
      </c>
      <c r="J120" s="10">
        <v>1</v>
      </c>
      <c r="K120" s="8">
        <v>1</v>
      </c>
      <c r="L120" s="43">
        <f t="shared" si="3"/>
        <v>6.6666666666666671E-3</v>
      </c>
      <c r="N120" s="1">
        <v>101</v>
      </c>
      <c r="O120" s="9">
        <v>1</v>
      </c>
      <c r="P120" s="8">
        <v>1</v>
      </c>
      <c r="Q120" s="8">
        <v>1</v>
      </c>
      <c r="R120" s="8">
        <v>1</v>
      </c>
      <c r="S120" s="8">
        <v>1</v>
      </c>
      <c r="T120" s="8">
        <v>1</v>
      </c>
      <c r="U120" s="8">
        <v>1</v>
      </c>
      <c r="V120" s="8">
        <v>1</v>
      </c>
      <c r="W120" s="10">
        <v>1</v>
      </c>
      <c r="X120" s="8">
        <v>1</v>
      </c>
      <c r="Y120" s="43">
        <f t="shared" si="4"/>
        <v>6.6666666666666671E-3</v>
      </c>
      <c r="AA120" s="1">
        <v>1</v>
      </c>
      <c r="AB120" s="9">
        <v>1</v>
      </c>
      <c r="AC120" s="8">
        <v>1</v>
      </c>
      <c r="AD120" s="8">
        <v>1</v>
      </c>
      <c r="AE120" s="8">
        <v>1</v>
      </c>
      <c r="AF120" s="8">
        <v>1</v>
      </c>
      <c r="AG120" s="8">
        <v>1</v>
      </c>
      <c r="AH120" s="8">
        <v>1</v>
      </c>
      <c r="AI120" s="8">
        <v>1</v>
      </c>
      <c r="AJ120" s="10">
        <v>1</v>
      </c>
      <c r="AK120" s="8">
        <v>1</v>
      </c>
      <c r="AL120" s="43">
        <f t="shared" si="5"/>
        <v>6.6666666666666671E-3</v>
      </c>
    </row>
    <row r="121" spans="1:38" x14ac:dyDescent="0.2">
      <c r="A121" s="1">
        <v>102</v>
      </c>
      <c r="B121" s="9">
        <v>1</v>
      </c>
      <c r="C121" s="8">
        <v>1</v>
      </c>
      <c r="D121" s="8">
        <v>1</v>
      </c>
      <c r="E121" s="8">
        <v>1</v>
      </c>
      <c r="F121" s="8">
        <v>1</v>
      </c>
      <c r="G121" s="8">
        <v>1</v>
      </c>
      <c r="H121" s="8">
        <v>1</v>
      </c>
      <c r="I121" s="8">
        <v>1</v>
      </c>
      <c r="J121" s="10">
        <v>1</v>
      </c>
      <c r="K121" s="8">
        <v>1</v>
      </c>
      <c r="L121" s="43">
        <f t="shared" si="3"/>
        <v>6.6666666666666671E-3</v>
      </c>
      <c r="N121" s="1">
        <v>102</v>
      </c>
      <c r="O121" s="9">
        <v>1</v>
      </c>
      <c r="P121" s="8">
        <v>1</v>
      </c>
      <c r="Q121" s="8">
        <v>1</v>
      </c>
      <c r="R121" s="8">
        <v>1</v>
      </c>
      <c r="S121" s="8">
        <v>1</v>
      </c>
      <c r="T121" s="8">
        <v>1</v>
      </c>
      <c r="U121" s="8">
        <v>1</v>
      </c>
      <c r="V121" s="8">
        <v>1</v>
      </c>
      <c r="W121" s="10">
        <v>1</v>
      </c>
      <c r="X121" s="8">
        <v>1</v>
      </c>
      <c r="Y121" s="43">
        <f t="shared" si="4"/>
        <v>6.6666666666666671E-3</v>
      </c>
      <c r="AA121" s="1">
        <v>1</v>
      </c>
      <c r="AB121" s="9">
        <v>1</v>
      </c>
      <c r="AC121" s="8">
        <v>1</v>
      </c>
      <c r="AD121" s="8">
        <v>1</v>
      </c>
      <c r="AE121" s="8">
        <v>1</v>
      </c>
      <c r="AF121" s="8">
        <v>1</v>
      </c>
      <c r="AG121" s="8">
        <v>1</v>
      </c>
      <c r="AH121" s="8">
        <v>1</v>
      </c>
      <c r="AI121" s="8">
        <v>1</v>
      </c>
      <c r="AJ121" s="10">
        <v>1</v>
      </c>
      <c r="AK121" s="8">
        <v>1</v>
      </c>
      <c r="AL121" s="43">
        <f t="shared" si="5"/>
        <v>6.6666666666666671E-3</v>
      </c>
    </row>
    <row r="122" spans="1:38" x14ac:dyDescent="0.2">
      <c r="A122" s="1">
        <v>103</v>
      </c>
      <c r="B122" s="9">
        <v>1</v>
      </c>
      <c r="C122" s="8">
        <v>1</v>
      </c>
      <c r="D122" s="8">
        <v>1</v>
      </c>
      <c r="E122" s="8">
        <v>1</v>
      </c>
      <c r="F122" s="8">
        <v>1</v>
      </c>
      <c r="G122" s="8">
        <v>1</v>
      </c>
      <c r="H122" s="8">
        <v>1</v>
      </c>
      <c r="I122" s="8">
        <v>1</v>
      </c>
      <c r="J122" s="10">
        <v>1</v>
      </c>
      <c r="K122" s="8">
        <v>1</v>
      </c>
      <c r="L122" s="43">
        <f t="shared" si="3"/>
        <v>6.6666666666666671E-3</v>
      </c>
      <c r="N122" s="1">
        <v>103</v>
      </c>
      <c r="O122" s="9">
        <v>1</v>
      </c>
      <c r="P122" s="8">
        <v>1</v>
      </c>
      <c r="Q122" s="8">
        <v>1</v>
      </c>
      <c r="R122" s="8">
        <v>1</v>
      </c>
      <c r="S122" s="8">
        <v>1</v>
      </c>
      <c r="T122" s="8">
        <v>1</v>
      </c>
      <c r="U122" s="8">
        <v>1</v>
      </c>
      <c r="V122" s="8">
        <v>1</v>
      </c>
      <c r="W122" s="10">
        <v>1</v>
      </c>
      <c r="X122" s="8">
        <v>1</v>
      </c>
      <c r="Y122" s="43">
        <f t="shared" si="4"/>
        <v>6.6666666666666671E-3</v>
      </c>
      <c r="AA122" s="1">
        <v>1</v>
      </c>
      <c r="AB122" s="9">
        <v>1</v>
      </c>
      <c r="AC122" s="8">
        <v>1</v>
      </c>
      <c r="AD122" s="8">
        <v>1</v>
      </c>
      <c r="AE122" s="8">
        <v>1</v>
      </c>
      <c r="AF122" s="8">
        <v>1</v>
      </c>
      <c r="AG122" s="8">
        <v>1</v>
      </c>
      <c r="AH122" s="8">
        <v>1</v>
      </c>
      <c r="AI122" s="8">
        <v>1</v>
      </c>
      <c r="AJ122" s="10">
        <v>1</v>
      </c>
      <c r="AK122" s="8">
        <v>1</v>
      </c>
      <c r="AL122" s="43">
        <f t="shared" si="5"/>
        <v>6.6666666666666671E-3</v>
      </c>
    </row>
    <row r="123" spans="1:38" x14ac:dyDescent="0.2">
      <c r="A123" s="1">
        <v>104</v>
      </c>
      <c r="B123" s="9">
        <v>1</v>
      </c>
      <c r="C123" s="8">
        <v>1</v>
      </c>
      <c r="D123" s="8">
        <v>1</v>
      </c>
      <c r="E123" s="8">
        <v>1</v>
      </c>
      <c r="F123" s="8">
        <v>1</v>
      </c>
      <c r="G123" s="8">
        <v>1</v>
      </c>
      <c r="H123" s="8">
        <v>1</v>
      </c>
      <c r="I123" s="8">
        <v>1</v>
      </c>
      <c r="J123" s="10">
        <v>1</v>
      </c>
      <c r="K123" s="8">
        <v>1</v>
      </c>
      <c r="L123" s="43">
        <f t="shared" si="3"/>
        <v>6.6666666666666671E-3</v>
      </c>
      <c r="N123" s="1">
        <v>104</v>
      </c>
      <c r="O123" s="9">
        <v>1</v>
      </c>
      <c r="P123" s="8">
        <v>1</v>
      </c>
      <c r="Q123" s="8">
        <v>1</v>
      </c>
      <c r="R123" s="8">
        <v>1</v>
      </c>
      <c r="S123" s="8">
        <v>1</v>
      </c>
      <c r="T123" s="8">
        <v>1</v>
      </c>
      <c r="U123" s="8">
        <v>1</v>
      </c>
      <c r="V123" s="8">
        <v>1</v>
      </c>
      <c r="W123" s="10">
        <v>1</v>
      </c>
      <c r="X123" s="8">
        <v>1</v>
      </c>
      <c r="Y123" s="43">
        <f t="shared" si="4"/>
        <v>6.6666666666666671E-3</v>
      </c>
      <c r="AA123" s="1">
        <v>1</v>
      </c>
      <c r="AB123" s="9">
        <v>1</v>
      </c>
      <c r="AC123" s="8">
        <v>1</v>
      </c>
      <c r="AD123" s="8">
        <v>1</v>
      </c>
      <c r="AE123" s="8">
        <v>1</v>
      </c>
      <c r="AF123" s="8">
        <v>1</v>
      </c>
      <c r="AG123" s="8">
        <v>1</v>
      </c>
      <c r="AH123" s="8">
        <v>1</v>
      </c>
      <c r="AI123" s="8">
        <v>1</v>
      </c>
      <c r="AJ123" s="10">
        <v>1</v>
      </c>
      <c r="AK123" s="8">
        <v>1</v>
      </c>
      <c r="AL123" s="43">
        <f t="shared" si="5"/>
        <v>6.6666666666666671E-3</v>
      </c>
    </row>
    <row r="124" spans="1:38" x14ac:dyDescent="0.2">
      <c r="A124" s="1">
        <v>105</v>
      </c>
      <c r="B124" s="9">
        <v>1</v>
      </c>
      <c r="C124" s="8">
        <v>1</v>
      </c>
      <c r="D124" s="8">
        <v>1</v>
      </c>
      <c r="E124" s="8">
        <v>1</v>
      </c>
      <c r="F124" s="8">
        <v>1</v>
      </c>
      <c r="G124" s="8">
        <v>1</v>
      </c>
      <c r="H124" s="8">
        <v>1</v>
      </c>
      <c r="I124" s="8">
        <v>1</v>
      </c>
      <c r="J124" s="10">
        <v>1</v>
      </c>
      <c r="K124" s="8">
        <v>1</v>
      </c>
      <c r="L124" s="43">
        <f t="shared" si="3"/>
        <v>6.6666666666666671E-3</v>
      </c>
      <c r="N124" s="1">
        <v>105</v>
      </c>
      <c r="O124" s="9">
        <v>1</v>
      </c>
      <c r="P124" s="8">
        <v>1</v>
      </c>
      <c r="Q124" s="8">
        <v>1</v>
      </c>
      <c r="R124" s="8">
        <v>1</v>
      </c>
      <c r="S124" s="8">
        <v>1</v>
      </c>
      <c r="T124" s="8">
        <v>1</v>
      </c>
      <c r="U124" s="8">
        <v>1</v>
      </c>
      <c r="V124" s="8">
        <v>1</v>
      </c>
      <c r="W124" s="10">
        <v>1</v>
      </c>
      <c r="X124" s="8">
        <v>1</v>
      </c>
      <c r="Y124" s="43">
        <f t="shared" si="4"/>
        <v>6.6666666666666671E-3</v>
      </c>
      <c r="AA124" s="1">
        <v>1</v>
      </c>
      <c r="AB124" s="9">
        <v>1</v>
      </c>
      <c r="AC124" s="8">
        <v>1</v>
      </c>
      <c r="AD124" s="8">
        <v>1</v>
      </c>
      <c r="AE124" s="8">
        <v>1</v>
      </c>
      <c r="AF124" s="8">
        <v>1</v>
      </c>
      <c r="AG124" s="8">
        <v>1</v>
      </c>
      <c r="AH124" s="8">
        <v>1</v>
      </c>
      <c r="AI124" s="8">
        <v>1</v>
      </c>
      <c r="AJ124" s="10">
        <v>1</v>
      </c>
      <c r="AK124" s="8">
        <v>1</v>
      </c>
      <c r="AL124" s="43">
        <f t="shared" si="5"/>
        <v>6.6666666666666671E-3</v>
      </c>
    </row>
    <row r="125" spans="1:38" x14ac:dyDescent="0.2">
      <c r="A125" s="1">
        <v>106</v>
      </c>
      <c r="B125" s="9">
        <v>1</v>
      </c>
      <c r="C125" s="8">
        <v>1</v>
      </c>
      <c r="D125" s="8">
        <v>1</v>
      </c>
      <c r="E125" s="8">
        <v>1</v>
      </c>
      <c r="F125" s="8">
        <v>1</v>
      </c>
      <c r="G125" s="8">
        <v>1</v>
      </c>
      <c r="H125" s="8">
        <v>1</v>
      </c>
      <c r="I125" s="8">
        <v>1</v>
      </c>
      <c r="J125" s="10">
        <v>1</v>
      </c>
      <c r="K125" s="8">
        <v>1</v>
      </c>
      <c r="L125" s="43">
        <f t="shared" si="3"/>
        <v>6.6666666666666671E-3</v>
      </c>
      <c r="N125" s="1">
        <v>106</v>
      </c>
      <c r="O125" s="9">
        <v>1</v>
      </c>
      <c r="P125" s="8">
        <v>1</v>
      </c>
      <c r="Q125" s="8">
        <v>1</v>
      </c>
      <c r="R125" s="8">
        <v>1</v>
      </c>
      <c r="S125" s="8">
        <v>1</v>
      </c>
      <c r="T125" s="8">
        <v>1</v>
      </c>
      <c r="U125" s="8">
        <v>1</v>
      </c>
      <c r="V125" s="8">
        <v>1</v>
      </c>
      <c r="W125" s="10">
        <v>1</v>
      </c>
      <c r="X125" s="8">
        <v>1</v>
      </c>
      <c r="Y125" s="43">
        <f t="shared" si="4"/>
        <v>6.6666666666666671E-3</v>
      </c>
      <c r="AA125" s="1">
        <v>1</v>
      </c>
      <c r="AB125" s="9">
        <v>1</v>
      </c>
      <c r="AC125" s="8">
        <v>1</v>
      </c>
      <c r="AD125" s="8">
        <v>1</v>
      </c>
      <c r="AE125" s="8">
        <v>1</v>
      </c>
      <c r="AF125" s="8">
        <v>1</v>
      </c>
      <c r="AG125" s="8">
        <v>1</v>
      </c>
      <c r="AH125" s="8">
        <v>1</v>
      </c>
      <c r="AI125" s="8">
        <v>1</v>
      </c>
      <c r="AJ125" s="10">
        <v>1</v>
      </c>
      <c r="AK125" s="8">
        <v>1</v>
      </c>
      <c r="AL125" s="43">
        <f t="shared" si="5"/>
        <v>6.6666666666666671E-3</v>
      </c>
    </row>
    <row r="126" spans="1:38" x14ac:dyDescent="0.2">
      <c r="A126" s="1">
        <v>107</v>
      </c>
      <c r="B126" s="9">
        <v>1</v>
      </c>
      <c r="C126" s="8">
        <v>1</v>
      </c>
      <c r="D126" s="8">
        <v>1</v>
      </c>
      <c r="E126" s="8">
        <v>1</v>
      </c>
      <c r="F126" s="8">
        <v>1</v>
      </c>
      <c r="G126" s="8">
        <v>1</v>
      </c>
      <c r="H126" s="8">
        <v>1</v>
      </c>
      <c r="I126" s="8">
        <v>1</v>
      </c>
      <c r="J126" s="10">
        <v>1</v>
      </c>
      <c r="K126" s="8">
        <v>1</v>
      </c>
      <c r="L126" s="43">
        <f t="shared" si="3"/>
        <v>6.6666666666666671E-3</v>
      </c>
      <c r="N126" s="1">
        <v>107</v>
      </c>
      <c r="O126" s="9">
        <v>1</v>
      </c>
      <c r="P126" s="8">
        <v>1</v>
      </c>
      <c r="Q126" s="8">
        <v>1</v>
      </c>
      <c r="R126" s="8">
        <v>1</v>
      </c>
      <c r="S126" s="8">
        <v>1</v>
      </c>
      <c r="T126" s="8">
        <v>1</v>
      </c>
      <c r="U126" s="8">
        <v>1</v>
      </c>
      <c r="V126" s="8">
        <v>1</v>
      </c>
      <c r="W126" s="10">
        <v>1</v>
      </c>
      <c r="X126" s="8">
        <v>1</v>
      </c>
      <c r="Y126" s="43">
        <f t="shared" si="4"/>
        <v>6.6666666666666671E-3</v>
      </c>
      <c r="AA126" s="1">
        <v>1</v>
      </c>
      <c r="AB126" s="9">
        <v>1</v>
      </c>
      <c r="AC126" s="8">
        <v>1</v>
      </c>
      <c r="AD126" s="8">
        <v>1</v>
      </c>
      <c r="AE126" s="8">
        <v>1</v>
      </c>
      <c r="AF126" s="8">
        <v>1</v>
      </c>
      <c r="AG126" s="8">
        <v>1</v>
      </c>
      <c r="AH126" s="8">
        <v>1</v>
      </c>
      <c r="AI126" s="8">
        <v>1</v>
      </c>
      <c r="AJ126" s="10">
        <v>1</v>
      </c>
      <c r="AK126" s="8">
        <v>1</v>
      </c>
      <c r="AL126" s="43">
        <f t="shared" si="5"/>
        <v>6.6666666666666671E-3</v>
      </c>
    </row>
    <row r="127" spans="1:38" x14ac:dyDescent="0.2">
      <c r="A127" s="1">
        <v>108</v>
      </c>
      <c r="B127" s="9">
        <v>1</v>
      </c>
      <c r="C127" s="8">
        <v>1</v>
      </c>
      <c r="D127" s="8">
        <v>1</v>
      </c>
      <c r="E127" s="8">
        <v>1</v>
      </c>
      <c r="F127" s="8">
        <v>1</v>
      </c>
      <c r="G127" s="8">
        <v>1</v>
      </c>
      <c r="H127" s="8">
        <v>1</v>
      </c>
      <c r="I127" s="8">
        <v>1</v>
      </c>
      <c r="J127" s="10">
        <v>1</v>
      </c>
      <c r="K127" s="8">
        <v>1</v>
      </c>
      <c r="L127" s="43">
        <f t="shared" si="3"/>
        <v>6.6666666666666671E-3</v>
      </c>
      <c r="N127" s="1">
        <v>108</v>
      </c>
      <c r="O127" s="9">
        <v>1</v>
      </c>
      <c r="P127" s="8">
        <v>1</v>
      </c>
      <c r="Q127" s="8">
        <v>1</v>
      </c>
      <c r="R127" s="8">
        <v>1</v>
      </c>
      <c r="S127" s="8">
        <v>1</v>
      </c>
      <c r="T127" s="8">
        <v>1</v>
      </c>
      <c r="U127" s="8">
        <v>1</v>
      </c>
      <c r="V127" s="8">
        <v>1</v>
      </c>
      <c r="W127" s="10">
        <v>1</v>
      </c>
      <c r="X127" s="8">
        <v>1</v>
      </c>
      <c r="Y127" s="43">
        <f t="shared" si="4"/>
        <v>6.6666666666666671E-3</v>
      </c>
      <c r="AA127" s="1">
        <v>1</v>
      </c>
      <c r="AB127" s="9">
        <v>1</v>
      </c>
      <c r="AC127" s="8">
        <v>1</v>
      </c>
      <c r="AD127" s="8">
        <v>1</v>
      </c>
      <c r="AE127" s="8">
        <v>1</v>
      </c>
      <c r="AF127" s="8">
        <v>1</v>
      </c>
      <c r="AG127" s="8">
        <v>1</v>
      </c>
      <c r="AH127" s="8">
        <v>1</v>
      </c>
      <c r="AI127" s="8">
        <v>1</v>
      </c>
      <c r="AJ127" s="10">
        <v>1</v>
      </c>
      <c r="AK127" s="8">
        <v>1</v>
      </c>
      <c r="AL127" s="43">
        <f t="shared" si="5"/>
        <v>6.6666666666666671E-3</v>
      </c>
    </row>
    <row r="128" spans="1:38" x14ac:dyDescent="0.2">
      <c r="A128" s="1">
        <v>109</v>
      </c>
      <c r="B128" s="9">
        <v>1</v>
      </c>
      <c r="C128" s="8">
        <v>1</v>
      </c>
      <c r="D128" s="8">
        <v>1</v>
      </c>
      <c r="E128" s="8">
        <v>1</v>
      </c>
      <c r="F128" s="8">
        <v>1</v>
      </c>
      <c r="G128" s="8">
        <v>1</v>
      </c>
      <c r="H128" s="8">
        <v>1</v>
      </c>
      <c r="I128" s="8">
        <v>1</v>
      </c>
      <c r="J128" s="10">
        <v>1</v>
      </c>
      <c r="K128" s="8">
        <v>1</v>
      </c>
      <c r="L128" s="43">
        <f t="shared" si="3"/>
        <v>6.6666666666666671E-3</v>
      </c>
      <c r="N128" s="1">
        <v>109</v>
      </c>
      <c r="O128" s="9">
        <v>1</v>
      </c>
      <c r="P128" s="8">
        <v>1</v>
      </c>
      <c r="Q128" s="8">
        <v>1</v>
      </c>
      <c r="R128" s="8">
        <v>1</v>
      </c>
      <c r="S128" s="8">
        <v>1</v>
      </c>
      <c r="T128" s="8">
        <v>1</v>
      </c>
      <c r="U128" s="8">
        <v>1</v>
      </c>
      <c r="V128" s="8">
        <v>1</v>
      </c>
      <c r="W128" s="10">
        <v>1</v>
      </c>
      <c r="X128" s="8">
        <v>1</v>
      </c>
      <c r="Y128" s="43">
        <f t="shared" si="4"/>
        <v>6.6666666666666671E-3</v>
      </c>
      <c r="AA128" s="1">
        <v>1</v>
      </c>
      <c r="AB128" s="9">
        <v>1</v>
      </c>
      <c r="AC128" s="8">
        <v>1</v>
      </c>
      <c r="AD128" s="8">
        <v>1</v>
      </c>
      <c r="AE128" s="8">
        <v>1</v>
      </c>
      <c r="AF128" s="8">
        <v>1</v>
      </c>
      <c r="AG128" s="8">
        <v>1</v>
      </c>
      <c r="AH128" s="8">
        <v>1</v>
      </c>
      <c r="AI128" s="8">
        <v>1</v>
      </c>
      <c r="AJ128" s="10">
        <v>1</v>
      </c>
      <c r="AK128" s="8">
        <v>1</v>
      </c>
      <c r="AL128" s="43">
        <f t="shared" si="5"/>
        <v>6.6666666666666671E-3</v>
      </c>
    </row>
    <row r="129" spans="1:38" x14ac:dyDescent="0.2">
      <c r="A129" s="1">
        <v>110</v>
      </c>
      <c r="B129" s="9">
        <v>1</v>
      </c>
      <c r="C129" s="8">
        <v>1</v>
      </c>
      <c r="D129" s="8">
        <v>1</v>
      </c>
      <c r="E129" s="8">
        <v>1</v>
      </c>
      <c r="F129" s="8">
        <v>1</v>
      </c>
      <c r="G129" s="8">
        <v>1</v>
      </c>
      <c r="H129" s="8">
        <v>1</v>
      </c>
      <c r="I129" s="8">
        <v>1</v>
      </c>
      <c r="J129" s="10">
        <v>1</v>
      </c>
      <c r="K129" s="8">
        <v>1</v>
      </c>
      <c r="L129" s="43">
        <f t="shared" si="3"/>
        <v>6.6666666666666671E-3</v>
      </c>
      <c r="N129" s="1">
        <v>110</v>
      </c>
      <c r="O129" s="9">
        <v>1</v>
      </c>
      <c r="P129" s="8">
        <v>1</v>
      </c>
      <c r="Q129" s="8">
        <v>1</v>
      </c>
      <c r="R129" s="8">
        <v>1</v>
      </c>
      <c r="S129" s="8">
        <v>1</v>
      </c>
      <c r="T129" s="8">
        <v>1</v>
      </c>
      <c r="U129" s="8">
        <v>1</v>
      </c>
      <c r="V129" s="8">
        <v>1</v>
      </c>
      <c r="W129" s="10">
        <v>1</v>
      </c>
      <c r="X129" s="8">
        <v>1</v>
      </c>
      <c r="Y129" s="43">
        <f t="shared" si="4"/>
        <v>6.6666666666666671E-3</v>
      </c>
      <c r="AA129" s="1">
        <v>1</v>
      </c>
      <c r="AB129" s="9">
        <v>1</v>
      </c>
      <c r="AC129" s="8">
        <v>1</v>
      </c>
      <c r="AD129" s="8">
        <v>1</v>
      </c>
      <c r="AE129" s="8">
        <v>1</v>
      </c>
      <c r="AF129" s="8">
        <v>1</v>
      </c>
      <c r="AG129" s="8">
        <v>1</v>
      </c>
      <c r="AH129" s="8">
        <v>1</v>
      </c>
      <c r="AI129" s="8">
        <v>1</v>
      </c>
      <c r="AJ129" s="10">
        <v>1</v>
      </c>
      <c r="AK129" s="8">
        <v>1</v>
      </c>
      <c r="AL129" s="43">
        <f t="shared" si="5"/>
        <v>6.6666666666666671E-3</v>
      </c>
    </row>
    <row r="130" spans="1:38" x14ac:dyDescent="0.2">
      <c r="A130" s="1">
        <v>111</v>
      </c>
      <c r="B130" s="9">
        <v>1</v>
      </c>
      <c r="C130" s="8">
        <v>1</v>
      </c>
      <c r="D130" s="8">
        <v>1</v>
      </c>
      <c r="E130" s="8">
        <v>1</v>
      </c>
      <c r="F130" s="8">
        <v>1</v>
      </c>
      <c r="G130" s="8">
        <v>1</v>
      </c>
      <c r="H130" s="8">
        <v>1</v>
      </c>
      <c r="I130" s="8">
        <v>1</v>
      </c>
      <c r="J130" s="10">
        <v>1</v>
      </c>
      <c r="K130" s="8">
        <v>1</v>
      </c>
      <c r="L130" s="43">
        <f t="shared" si="3"/>
        <v>6.6666666666666671E-3</v>
      </c>
      <c r="N130" s="1">
        <v>111</v>
      </c>
      <c r="O130" s="9">
        <v>1</v>
      </c>
      <c r="P130" s="8">
        <v>1</v>
      </c>
      <c r="Q130" s="8">
        <v>1</v>
      </c>
      <c r="R130" s="8">
        <v>1</v>
      </c>
      <c r="S130" s="8">
        <v>1</v>
      </c>
      <c r="T130" s="8">
        <v>1</v>
      </c>
      <c r="U130" s="8">
        <v>1</v>
      </c>
      <c r="V130" s="8">
        <v>1</v>
      </c>
      <c r="W130" s="10">
        <v>1</v>
      </c>
      <c r="X130" s="8">
        <v>1</v>
      </c>
      <c r="Y130" s="43">
        <f t="shared" si="4"/>
        <v>6.6666666666666671E-3</v>
      </c>
      <c r="AA130" s="1">
        <v>1</v>
      </c>
      <c r="AB130" s="9">
        <v>1</v>
      </c>
      <c r="AC130" s="8">
        <v>1</v>
      </c>
      <c r="AD130" s="8">
        <v>1</v>
      </c>
      <c r="AE130" s="8">
        <v>1</v>
      </c>
      <c r="AF130" s="8">
        <v>1</v>
      </c>
      <c r="AG130" s="8">
        <v>1</v>
      </c>
      <c r="AH130" s="8">
        <v>1</v>
      </c>
      <c r="AI130" s="8">
        <v>1</v>
      </c>
      <c r="AJ130" s="10">
        <v>1</v>
      </c>
      <c r="AK130" s="8">
        <v>1</v>
      </c>
      <c r="AL130" s="43">
        <f t="shared" si="5"/>
        <v>6.6666666666666671E-3</v>
      </c>
    </row>
    <row r="131" spans="1:38" x14ac:dyDescent="0.2">
      <c r="A131" s="1">
        <v>112</v>
      </c>
      <c r="B131" s="9">
        <v>1</v>
      </c>
      <c r="C131" s="8">
        <v>1</v>
      </c>
      <c r="D131" s="8">
        <v>1</v>
      </c>
      <c r="E131" s="8">
        <v>1</v>
      </c>
      <c r="F131" s="8">
        <v>1</v>
      </c>
      <c r="G131" s="8">
        <v>1</v>
      </c>
      <c r="H131" s="8">
        <v>1</v>
      </c>
      <c r="I131" s="8">
        <v>1</v>
      </c>
      <c r="J131" s="10">
        <v>1</v>
      </c>
      <c r="K131" s="8">
        <v>1</v>
      </c>
      <c r="L131" s="43">
        <f t="shared" si="3"/>
        <v>6.6666666666666671E-3</v>
      </c>
      <c r="N131" s="1">
        <v>112</v>
      </c>
      <c r="O131" s="9">
        <v>1</v>
      </c>
      <c r="P131" s="8">
        <v>1</v>
      </c>
      <c r="Q131" s="8">
        <v>1</v>
      </c>
      <c r="R131" s="8">
        <v>1</v>
      </c>
      <c r="S131" s="8">
        <v>1</v>
      </c>
      <c r="T131" s="8">
        <v>1</v>
      </c>
      <c r="U131" s="8">
        <v>1</v>
      </c>
      <c r="V131" s="8">
        <v>1</v>
      </c>
      <c r="W131" s="10">
        <v>1</v>
      </c>
      <c r="X131" s="8">
        <v>1</v>
      </c>
      <c r="Y131" s="43">
        <f t="shared" si="4"/>
        <v>6.6666666666666671E-3</v>
      </c>
      <c r="AA131" s="1">
        <v>1</v>
      </c>
      <c r="AB131" s="9">
        <v>1</v>
      </c>
      <c r="AC131" s="8">
        <v>1</v>
      </c>
      <c r="AD131" s="8">
        <v>1</v>
      </c>
      <c r="AE131" s="8">
        <v>1</v>
      </c>
      <c r="AF131" s="8">
        <v>1</v>
      </c>
      <c r="AG131" s="8">
        <v>1</v>
      </c>
      <c r="AH131" s="8">
        <v>1</v>
      </c>
      <c r="AI131" s="8">
        <v>1</v>
      </c>
      <c r="AJ131" s="10">
        <v>1</v>
      </c>
      <c r="AK131" s="8">
        <v>1</v>
      </c>
      <c r="AL131" s="43">
        <f t="shared" si="5"/>
        <v>6.6666666666666671E-3</v>
      </c>
    </row>
    <row r="132" spans="1:38" x14ac:dyDescent="0.2">
      <c r="A132" s="1">
        <v>113</v>
      </c>
      <c r="B132" s="9">
        <v>1</v>
      </c>
      <c r="C132" s="8">
        <v>1</v>
      </c>
      <c r="D132" s="8">
        <v>1</v>
      </c>
      <c r="E132" s="8">
        <v>1</v>
      </c>
      <c r="F132" s="8">
        <v>1</v>
      </c>
      <c r="G132" s="8">
        <v>1</v>
      </c>
      <c r="H132" s="8">
        <v>1</v>
      </c>
      <c r="I132" s="8">
        <v>1</v>
      </c>
      <c r="J132" s="10">
        <v>1</v>
      </c>
      <c r="K132" s="8">
        <v>1</v>
      </c>
      <c r="L132" s="43">
        <f t="shared" si="3"/>
        <v>6.6666666666666671E-3</v>
      </c>
      <c r="N132" s="1">
        <v>113</v>
      </c>
      <c r="O132" s="9">
        <v>1</v>
      </c>
      <c r="P132" s="8">
        <v>1</v>
      </c>
      <c r="Q132" s="8">
        <v>1</v>
      </c>
      <c r="R132" s="8">
        <v>1</v>
      </c>
      <c r="S132" s="8">
        <v>1</v>
      </c>
      <c r="T132" s="8">
        <v>1</v>
      </c>
      <c r="U132" s="8">
        <v>1</v>
      </c>
      <c r="V132" s="8">
        <v>1</v>
      </c>
      <c r="W132" s="10">
        <v>1</v>
      </c>
      <c r="X132" s="8">
        <v>1</v>
      </c>
      <c r="Y132" s="43">
        <f t="shared" si="4"/>
        <v>6.6666666666666671E-3</v>
      </c>
      <c r="AA132" s="1">
        <v>1</v>
      </c>
      <c r="AB132" s="9">
        <v>1</v>
      </c>
      <c r="AC132" s="8">
        <v>1</v>
      </c>
      <c r="AD132" s="8">
        <v>1</v>
      </c>
      <c r="AE132" s="8">
        <v>1</v>
      </c>
      <c r="AF132" s="8">
        <v>1</v>
      </c>
      <c r="AG132" s="8">
        <v>1</v>
      </c>
      <c r="AH132" s="8">
        <v>1</v>
      </c>
      <c r="AI132" s="8">
        <v>1</v>
      </c>
      <c r="AJ132" s="10">
        <v>1</v>
      </c>
      <c r="AK132" s="8">
        <v>1</v>
      </c>
      <c r="AL132" s="43">
        <f t="shared" si="5"/>
        <v>6.6666666666666671E-3</v>
      </c>
    </row>
    <row r="133" spans="1:38" x14ac:dyDescent="0.2">
      <c r="A133" s="1">
        <v>114</v>
      </c>
      <c r="B133" s="9">
        <v>1</v>
      </c>
      <c r="C133" s="8">
        <v>1</v>
      </c>
      <c r="D133" s="8">
        <v>1</v>
      </c>
      <c r="E133" s="8">
        <v>1</v>
      </c>
      <c r="F133" s="8">
        <v>1</v>
      </c>
      <c r="G133" s="8">
        <v>1</v>
      </c>
      <c r="H133" s="8">
        <v>1</v>
      </c>
      <c r="I133" s="8">
        <v>1</v>
      </c>
      <c r="J133" s="10">
        <v>1</v>
      </c>
      <c r="K133" s="8">
        <v>1</v>
      </c>
      <c r="L133" s="43">
        <f t="shared" si="3"/>
        <v>6.6666666666666671E-3</v>
      </c>
      <c r="N133" s="1">
        <v>114</v>
      </c>
      <c r="O133" s="9">
        <v>1</v>
      </c>
      <c r="P133" s="8">
        <v>1</v>
      </c>
      <c r="Q133" s="8">
        <v>1</v>
      </c>
      <c r="R133" s="8">
        <v>1</v>
      </c>
      <c r="S133" s="8">
        <v>1</v>
      </c>
      <c r="T133" s="8">
        <v>1</v>
      </c>
      <c r="U133" s="8">
        <v>1</v>
      </c>
      <c r="V133" s="8">
        <v>1</v>
      </c>
      <c r="W133" s="10">
        <v>1</v>
      </c>
      <c r="X133" s="8">
        <v>1</v>
      </c>
      <c r="Y133" s="43">
        <f t="shared" si="4"/>
        <v>6.6666666666666671E-3</v>
      </c>
      <c r="AA133" s="1">
        <v>1</v>
      </c>
      <c r="AB133" s="9">
        <v>1</v>
      </c>
      <c r="AC133" s="8">
        <v>1</v>
      </c>
      <c r="AD133" s="8">
        <v>1</v>
      </c>
      <c r="AE133" s="8">
        <v>1</v>
      </c>
      <c r="AF133" s="8">
        <v>1</v>
      </c>
      <c r="AG133" s="8">
        <v>1</v>
      </c>
      <c r="AH133" s="8">
        <v>1</v>
      </c>
      <c r="AI133" s="8">
        <v>1</v>
      </c>
      <c r="AJ133" s="10">
        <v>1</v>
      </c>
      <c r="AK133" s="8">
        <v>1</v>
      </c>
      <c r="AL133" s="43">
        <f t="shared" si="5"/>
        <v>6.6666666666666671E-3</v>
      </c>
    </row>
    <row r="134" spans="1:38" x14ac:dyDescent="0.2">
      <c r="A134" s="1">
        <v>115</v>
      </c>
      <c r="B134" s="9">
        <v>1</v>
      </c>
      <c r="C134" s="8">
        <v>1</v>
      </c>
      <c r="D134" s="8">
        <v>1</v>
      </c>
      <c r="E134" s="8">
        <v>1</v>
      </c>
      <c r="F134" s="8">
        <v>1</v>
      </c>
      <c r="G134" s="8">
        <v>1</v>
      </c>
      <c r="H134" s="8">
        <v>1</v>
      </c>
      <c r="I134" s="8">
        <v>1</v>
      </c>
      <c r="J134" s="10">
        <v>1</v>
      </c>
      <c r="K134" s="8">
        <v>1</v>
      </c>
      <c r="L134" s="43">
        <f t="shared" si="3"/>
        <v>6.6666666666666671E-3</v>
      </c>
      <c r="N134" s="1">
        <v>115</v>
      </c>
      <c r="O134" s="9">
        <v>1</v>
      </c>
      <c r="P134" s="8">
        <v>1</v>
      </c>
      <c r="Q134" s="8">
        <v>1</v>
      </c>
      <c r="R134" s="8">
        <v>1</v>
      </c>
      <c r="S134" s="8">
        <v>1</v>
      </c>
      <c r="T134" s="8">
        <v>1</v>
      </c>
      <c r="U134" s="8">
        <v>1</v>
      </c>
      <c r="V134" s="8">
        <v>1</v>
      </c>
      <c r="W134" s="10">
        <v>1</v>
      </c>
      <c r="X134" s="8">
        <v>1</v>
      </c>
      <c r="Y134" s="43">
        <f t="shared" si="4"/>
        <v>6.6666666666666671E-3</v>
      </c>
      <c r="AA134" s="1">
        <v>1</v>
      </c>
      <c r="AB134" s="9">
        <v>1</v>
      </c>
      <c r="AC134" s="8">
        <v>1</v>
      </c>
      <c r="AD134" s="8">
        <v>1</v>
      </c>
      <c r="AE134" s="8">
        <v>1</v>
      </c>
      <c r="AF134" s="8">
        <v>1</v>
      </c>
      <c r="AG134" s="8">
        <v>1</v>
      </c>
      <c r="AH134" s="8">
        <v>1</v>
      </c>
      <c r="AI134" s="8">
        <v>1</v>
      </c>
      <c r="AJ134" s="10">
        <v>1</v>
      </c>
      <c r="AK134" s="8">
        <v>1</v>
      </c>
      <c r="AL134" s="43">
        <f t="shared" si="5"/>
        <v>6.6666666666666671E-3</v>
      </c>
    </row>
    <row r="135" spans="1:38" x14ac:dyDescent="0.2">
      <c r="A135" s="1">
        <v>116</v>
      </c>
      <c r="B135" s="9">
        <v>1</v>
      </c>
      <c r="C135" s="8">
        <v>1</v>
      </c>
      <c r="D135" s="8">
        <v>1</v>
      </c>
      <c r="E135" s="8">
        <v>1</v>
      </c>
      <c r="F135" s="8">
        <v>1</v>
      </c>
      <c r="G135" s="8">
        <v>1</v>
      </c>
      <c r="H135" s="8">
        <v>1</v>
      </c>
      <c r="I135" s="8">
        <v>1</v>
      </c>
      <c r="J135" s="10">
        <v>1</v>
      </c>
      <c r="K135" s="8">
        <v>1</v>
      </c>
      <c r="L135" s="43">
        <f t="shared" si="3"/>
        <v>6.6666666666666671E-3</v>
      </c>
      <c r="N135" s="1">
        <v>116</v>
      </c>
      <c r="O135" s="9">
        <v>1</v>
      </c>
      <c r="P135" s="8">
        <v>1</v>
      </c>
      <c r="Q135" s="8">
        <v>1</v>
      </c>
      <c r="R135" s="8">
        <v>1</v>
      </c>
      <c r="S135" s="8">
        <v>1</v>
      </c>
      <c r="T135" s="8">
        <v>1</v>
      </c>
      <c r="U135" s="8">
        <v>1</v>
      </c>
      <c r="V135" s="8">
        <v>1</v>
      </c>
      <c r="W135" s="10">
        <v>1</v>
      </c>
      <c r="X135" s="8">
        <v>1</v>
      </c>
      <c r="Y135" s="43">
        <f t="shared" si="4"/>
        <v>6.6666666666666671E-3</v>
      </c>
      <c r="AA135" s="1">
        <v>1</v>
      </c>
      <c r="AB135" s="9">
        <v>1</v>
      </c>
      <c r="AC135" s="8">
        <v>1</v>
      </c>
      <c r="AD135" s="8">
        <v>1</v>
      </c>
      <c r="AE135" s="8">
        <v>1</v>
      </c>
      <c r="AF135" s="8">
        <v>1</v>
      </c>
      <c r="AG135" s="8">
        <v>1</v>
      </c>
      <c r="AH135" s="8">
        <v>1</v>
      </c>
      <c r="AI135" s="8">
        <v>1</v>
      </c>
      <c r="AJ135" s="10">
        <v>1</v>
      </c>
      <c r="AK135" s="8">
        <v>1</v>
      </c>
      <c r="AL135" s="43">
        <f t="shared" si="5"/>
        <v>6.6666666666666671E-3</v>
      </c>
    </row>
    <row r="136" spans="1:38" x14ac:dyDescent="0.2">
      <c r="A136" s="1">
        <v>117</v>
      </c>
      <c r="B136" s="9">
        <v>1</v>
      </c>
      <c r="C136" s="8">
        <v>1</v>
      </c>
      <c r="D136" s="8">
        <v>1</v>
      </c>
      <c r="E136" s="8">
        <v>1</v>
      </c>
      <c r="F136" s="8">
        <v>1</v>
      </c>
      <c r="G136" s="8">
        <v>1</v>
      </c>
      <c r="H136" s="8">
        <v>1</v>
      </c>
      <c r="I136" s="8">
        <v>1</v>
      </c>
      <c r="J136" s="10">
        <v>1</v>
      </c>
      <c r="K136" s="8">
        <v>1</v>
      </c>
      <c r="L136" s="43">
        <f t="shared" si="3"/>
        <v>6.6666666666666671E-3</v>
      </c>
      <c r="N136" s="1">
        <v>117</v>
      </c>
      <c r="O136" s="9">
        <v>1</v>
      </c>
      <c r="P136" s="8">
        <v>1</v>
      </c>
      <c r="Q136" s="8">
        <v>1</v>
      </c>
      <c r="R136" s="8">
        <v>1</v>
      </c>
      <c r="S136" s="8">
        <v>1</v>
      </c>
      <c r="T136" s="8">
        <v>1</v>
      </c>
      <c r="U136" s="8">
        <v>1</v>
      </c>
      <c r="V136" s="8">
        <v>1</v>
      </c>
      <c r="W136" s="10">
        <v>1</v>
      </c>
      <c r="X136" s="8">
        <v>1</v>
      </c>
      <c r="Y136" s="43">
        <f t="shared" si="4"/>
        <v>6.6666666666666671E-3</v>
      </c>
      <c r="AA136" s="1">
        <v>1</v>
      </c>
      <c r="AB136" s="9">
        <v>1</v>
      </c>
      <c r="AC136" s="8">
        <v>1</v>
      </c>
      <c r="AD136" s="8">
        <v>1</v>
      </c>
      <c r="AE136" s="8">
        <v>1</v>
      </c>
      <c r="AF136" s="8">
        <v>1</v>
      </c>
      <c r="AG136" s="8">
        <v>1</v>
      </c>
      <c r="AH136" s="8">
        <v>1</v>
      </c>
      <c r="AI136" s="8">
        <v>1</v>
      </c>
      <c r="AJ136" s="10">
        <v>1</v>
      </c>
      <c r="AK136" s="8">
        <v>1</v>
      </c>
      <c r="AL136" s="43">
        <f t="shared" si="5"/>
        <v>6.6666666666666671E-3</v>
      </c>
    </row>
    <row r="137" spans="1:38" x14ac:dyDescent="0.2">
      <c r="A137" s="1">
        <v>118</v>
      </c>
      <c r="B137" s="9">
        <v>1</v>
      </c>
      <c r="C137" s="8">
        <v>1</v>
      </c>
      <c r="D137" s="8">
        <v>1</v>
      </c>
      <c r="E137" s="8">
        <v>1</v>
      </c>
      <c r="F137" s="8">
        <v>1</v>
      </c>
      <c r="G137" s="8">
        <v>1</v>
      </c>
      <c r="H137" s="8">
        <v>1</v>
      </c>
      <c r="I137" s="8">
        <v>1</v>
      </c>
      <c r="J137" s="10">
        <v>1</v>
      </c>
      <c r="K137" s="8">
        <v>1</v>
      </c>
      <c r="L137" s="43">
        <f t="shared" si="3"/>
        <v>6.6666666666666671E-3</v>
      </c>
      <c r="N137" s="1">
        <v>118</v>
      </c>
      <c r="O137" s="9">
        <v>1</v>
      </c>
      <c r="P137" s="8">
        <v>1</v>
      </c>
      <c r="Q137" s="8">
        <v>1</v>
      </c>
      <c r="R137" s="8">
        <v>1</v>
      </c>
      <c r="S137" s="8">
        <v>1</v>
      </c>
      <c r="T137" s="8">
        <v>1</v>
      </c>
      <c r="U137" s="8">
        <v>1</v>
      </c>
      <c r="V137" s="8">
        <v>1</v>
      </c>
      <c r="W137" s="10">
        <v>1</v>
      </c>
      <c r="X137" s="8">
        <v>1</v>
      </c>
      <c r="Y137" s="43">
        <f t="shared" si="4"/>
        <v>6.6666666666666671E-3</v>
      </c>
      <c r="AA137" s="1">
        <v>1</v>
      </c>
      <c r="AB137" s="9">
        <v>1</v>
      </c>
      <c r="AC137" s="8">
        <v>1</v>
      </c>
      <c r="AD137" s="8">
        <v>1</v>
      </c>
      <c r="AE137" s="8">
        <v>1</v>
      </c>
      <c r="AF137" s="8">
        <v>1</v>
      </c>
      <c r="AG137" s="8">
        <v>1</v>
      </c>
      <c r="AH137" s="8">
        <v>1</v>
      </c>
      <c r="AI137" s="8">
        <v>1</v>
      </c>
      <c r="AJ137" s="10">
        <v>1</v>
      </c>
      <c r="AK137" s="8">
        <v>1</v>
      </c>
      <c r="AL137" s="43">
        <f t="shared" si="5"/>
        <v>6.6666666666666671E-3</v>
      </c>
    </row>
    <row r="138" spans="1:38" x14ac:dyDescent="0.2">
      <c r="A138" s="1">
        <v>119</v>
      </c>
      <c r="B138" s="9">
        <v>1</v>
      </c>
      <c r="C138" s="8">
        <v>1</v>
      </c>
      <c r="D138" s="8">
        <v>1</v>
      </c>
      <c r="E138" s="8">
        <v>1</v>
      </c>
      <c r="F138" s="8">
        <v>1</v>
      </c>
      <c r="G138" s="8">
        <v>1</v>
      </c>
      <c r="H138" s="8">
        <v>1</v>
      </c>
      <c r="I138" s="8">
        <v>1</v>
      </c>
      <c r="J138" s="10">
        <v>1</v>
      </c>
      <c r="K138" s="8">
        <v>1</v>
      </c>
      <c r="L138" s="43">
        <f t="shared" si="3"/>
        <v>6.6666666666666671E-3</v>
      </c>
      <c r="N138" s="1">
        <v>119</v>
      </c>
      <c r="O138" s="9">
        <v>1</v>
      </c>
      <c r="P138" s="8">
        <v>1</v>
      </c>
      <c r="Q138" s="8">
        <v>1</v>
      </c>
      <c r="R138" s="8">
        <v>1</v>
      </c>
      <c r="S138" s="8">
        <v>1</v>
      </c>
      <c r="T138" s="8">
        <v>1</v>
      </c>
      <c r="U138" s="8">
        <v>1</v>
      </c>
      <c r="V138" s="8">
        <v>1</v>
      </c>
      <c r="W138" s="10">
        <v>1</v>
      </c>
      <c r="X138" s="8">
        <v>1</v>
      </c>
      <c r="Y138" s="43">
        <f t="shared" si="4"/>
        <v>6.6666666666666671E-3</v>
      </c>
      <c r="AA138" s="1">
        <v>1</v>
      </c>
      <c r="AB138" s="9">
        <v>1</v>
      </c>
      <c r="AC138" s="8">
        <v>1</v>
      </c>
      <c r="AD138" s="8">
        <v>1</v>
      </c>
      <c r="AE138" s="8">
        <v>1</v>
      </c>
      <c r="AF138" s="8">
        <v>1</v>
      </c>
      <c r="AG138" s="8">
        <v>1</v>
      </c>
      <c r="AH138" s="8">
        <v>1</v>
      </c>
      <c r="AI138" s="8">
        <v>1</v>
      </c>
      <c r="AJ138" s="10">
        <v>1</v>
      </c>
      <c r="AK138" s="8">
        <v>1</v>
      </c>
      <c r="AL138" s="43">
        <f t="shared" si="5"/>
        <v>6.6666666666666671E-3</v>
      </c>
    </row>
    <row r="139" spans="1:38" x14ac:dyDescent="0.2">
      <c r="A139" s="1">
        <v>120</v>
      </c>
      <c r="B139" s="9">
        <v>1</v>
      </c>
      <c r="C139" s="8">
        <v>1</v>
      </c>
      <c r="D139" s="8">
        <v>1</v>
      </c>
      <c r="E139" s="8">
        <v>1</v>
      </c>
      <c r="F139" s="8">
        <v>1</v>
      </c>
      <c r="G139" s="8">
        <v>1</v>
      </c>
      <c r="H139" s="8">
        <v>1</v>
      </c>
      <c r="I139" s="8">
        <v>1</v>
      </c>
      <c r="J139" s="10">
        <v>1</v>
      </c>
      <c r="K139" s="8">
        <v>1</v>
      </c>
      <c r="L139" s="43">
        <f t="shared" si="3"/>
        <v>6.6666666666666671E-3</v>
      </c>
      <c r="N139" s="1">
        <v>120</v>
      </c>
      <c r="O139" s="9">
        <v>1</v>
      </c>
      <c r="P139" s="8">
        <v>1</v>
      </c>
      <c r="Q139" s="8">
        <v>1</v>
      </c>
      <c r="R139" s="8">
        <v>1</v>
      </c>
      <c r="S139" s="8">
        <v>1</v>
      </c>
      <c r="T139" s="8">
        <v>1</v>
      </c>
      <c r="U139" s="8">
        <v>1</v>
      </c>
      <c r="V139" s="8">
        <v>1</v>
      </c>
      <c r="W139" s="10">
        <v>1</v>
      </c>
      <c r="X139" s="8">
        <v>1</v>
      </c>
      <c r="Y139" s="43">
        <f t="shared" si="4"/>
        <v>6.6666666666666671E-3</v>
      </c>
      <c r="AA139" s="1">
        <v>1</v>
      </c>
      <c r="AB139" s="9">
        <v>1</v>
      </c>
      <c r="AC139" s="8">
        <v>1</v>
      </c>
      <c r="AD139" s="8">
        <v>1</v>
      </c>
      <c r="AE139" s="8">
        <v>1</v>
      </c>
      <c r="AF139" s="8">
        <v>1</v>
      </c>
      <c r="AG139" s="8">
        <v>1</v>
      </c>
      <c r="AH139" s="8">
        <v>1</v>
      </c>
      <c r="AI139" s="8">
        <v>1</v>
      </c>
      <c r="AJ139" s="10">
        <v>1</v>
      </c>
      <c r="AK139" s="8">
        <v>1</v>
      </c>
      <c r="AL139" s="43">
        <f t="shared" si="5"/>
        <v>6.6666666666666671E-3</v>
      </c>
    </row>
    <row r="140" spans="1:38" x14ac:dyDescent="0.2">
      <c r="A140" s="1">
        <v>121</v>
      </c>
      <c r="B140" s="9">
        <v>1</v>
      </c>
      <c r="C140" s="8">
        <v>1</v>
      </c>
      <c r="D140" s="8">
        <v>1</v>
      </c>
      <c r="E140" s="8">
        <v>1</v>
      </c>
      <c r="F140" s="8">
        <v>1</v>
      </c>
      <c r="G140" s="8">
        <v>1</v>
      </c>
      <c r="H140" s="8">
        <v>1</v>
      </c>
      <c r="I140" s="8">
        <v>1</v>
      </c>
      <c r="J140" s="10">
        <v>1</v>
      </c>
      <c r="K140" s="8">
        <v>1</v>
      </c>
      <c r="L140" s="43">
        <f t="shared" si="3"/>
        <v>6.6666666666666671E-3</v>
      </c>
      <c r="N140" s="1">
        <v>121</v>
      </c>
      <c r="O140" s="9">
        <v>1</v>
      </c>
      <c r="P140" s="8">
        <v>1</v>
      </c>
      <c r="Q140" s="8">
        <v>1</v>
      </c>
      <c r="R140" s="8">
        <v>1</v>
      </c>
      <c r="S140" s="8">
        <v>1</v>
      </c>
      <c r="T140" s="8">
        <v>1</v>
      </c>
      <c r="U140" s="8">
        <v>1</v>
      </c>
      <c r="V140" s="8">
        <v>1</v>
      </c>
      <c r="W140" s="10">
        <v>1</v>
      </c>
      <c r="X140" s="8">
        <v>1</v>
      </c>
      <c r="Y140" s="43">
        <f t="shared" si="4"/>
        <v>6.6666666666666671E-3</v>
      </c>
      <c r="AA140" s="1">
        <v>1</v>
      </c>
      <c r="AB140" s="9">
        <v>1</v>
      </c>
      <c r="AC140" s="8">
        <v>1</v>
      </c>
      <c r="AD140" s="8">
        <v>1</v>
      </c>
      <c r="AE140" s="8">
        <v>1</v>
      </c>
      <c r="AF140" s="8">
        <v>1</v>
      </c>
      <c r="AG140" s="8">
        <v>1</v>
      </c>
      <c r="AH140" s="8">
        <v>1</v>
      </c>
      <c r="AI140" s="8">
        <v>1</v>
      </c>
      <c r="AJ140" s="10">
        <v>1</v>
      </c>
      <c r="AK140" s="8">
        <v>1</v>
      </c>
      <c r="AL140" s="43">
        <f t="shared" si="5"/>
        <v>6.6666666666666671E-3</v>
      </c>
    </row>
    <row r="141" spans="1:38" x14ac:dyDescent="0.2">
      <c r="A141" s="1">
        <v>122</v>
      </c>
      <c r="B141" s="9">
        <v>1</v>
      </c>
      <c r="C141" s="8">
        <v>1</v>
      </c>
      <c r="D141" s="8">
        <v>1</v>
      </c>
      <c r="E141" s="8">
        <v>1</v>
      </c>
      <c r="F141" s="8">
        <v>1</v>
      </c>
      <c r="G141" s="8">
        <v>1</v>
      </c>
      <c r="H141" s="8">
        <v>1</v>
      </c>
      <c r="I141" s="8">
        <v>1</v>
      </c>
      <c r="J141" s="10">
        <v>1</v>
      </c>
      <c r="K141" s="8">
        <v>1</v>
      </c>
      <c r="L141" s="43">
        <f t="shared" si="3"/>
        <v>6.6666666666666671E-3</v>
      </c>
      <c r="N141" s="1">
        <v>122</v>
      </c>
      <c r="O141" s="9">
        <v>1</v>
      </c>
      <c r="P141" s="8">
        <v>1</v>
      </c>
      <c r="Q141" s="8">
        <v>1</v>
      </c>
      <c r="R141" s="8">
        <v>1</v>
      </c>
      <c r="S141" s="8">
        <v>1</v>
      </c>
      <c r="T141" s="8">
        <v>1</v>
      </c>
      <c r="U141" s="8">
        <v>1</v>
      </c>
      <c r="V141" s="8">
        <v>1</v>
      </c>
      <c r="W141" s="10">
        <v>1</v>
      </c>
      <c r="X141" s="8">
        <v>1</v>
      </c>
      <c r="Y141" s="43">
        <f t="shared" si="4"/>
        <v>6.6666666666666671E-3</v>
      </c>
      <c r="AA141" s="1">
        <v>1</v>
      </c>
      <c r="AB141" s="9">
        <v>1</v>
      </c>
      <c r="AC141" s="8">
        <v>1</v>
      </c>
      <c r="AD141" s="8">
        <v>1</v>
      </c>
      <c r="AE141" s="8">
        <v>1</v>
      </c>
      <c r="AF141" s="8">
        <v>1</v>
      </c>
      <c r="AG141" s="8">
        <v>1</v>
      </c>
      <c r="AH141" s="8">
        <v>1</v>
      </c>
      <c r="AI141" s="8">
        <v>1</v>
      </c>
      <c r="AJ141" s="10">
        <v>1</v>
      </c>
      <c r="AK141" s="8">
        <v>1</v>
      </c>
      <c r="AL141" s="43">
        <f t="shared" si="5"/>
        <v>6.6666666666666671E-3</v>
      </c>
    </row>
    <row r="142" spans="1:38" x14ac:dyDescent="0.2">
      <c r="A142" s="1">
        <v>123</v>
      </c>
      <c r="B142" s="9">
        <v>1</v>
      </c>
      <c r="C142" s="8">
        <v>1</v>
      </c>
      <c r="D142" s="8">
        <v>1</v>
      </c>
      <c r="E142" s="8">
        <v>1</v>
      </c>
      <c r="F142" s="8">
        <v>1</v>
      </c>
      <c r="G142" s="8">
        <v>1</v>
      </c>
      <c r="H142" s="8">
        <v>1</v>
      </c>
      <c r="I142" s="8">
        <v>1</v>
      </c>
      <c r="J142" s="10">
        <v>1</v>
      </c>
      <c r="K142" s="8">
        <v>1</v>
      </c>
      <c r="L142" s="43">
        <f t="shared" si="3"/>
        <v>6.6666666666666671E-3</v>
      </c>
      <c r="N142" s="1">
        <v>123</v>
      </c>
      <c r="O142" s="9">
        <v>1</v>
      </c>
      <c r="P142" s="8">
        <v>1</v>
      </c>
      <c r="Q142" s="8">
        <v>1</v>
      </c>
      <c r="R142" s="8">
        <v>1</v>
      </c>
      <c r="S142" s="8">
        <v>1</v>
      </c>
      <c r="T142" s="8">
        <v>1</v>
      </c>
      <c r="U142" s="8">
        <v>1</v>
      </c>
      <c r="V142" s="8">
        <v>1</v>
      </c>
      <c r="W142" s="10">
        <v>1</v>
      </c>
      <c r="X142" s="8">
        <v>1</v>
      </c>
      <c r="Y142" s="43">
        <f t="shared" si="4"/>
        <v>6.6666666666666671E-3</v>
      </c>
      <c r="AA142" s="1">
        <v>1</v>
      </c>
      <c r="AB142" s="9">
        <v>1</v>
      </c>
      <c r="AC142" s="8">
        <v>1</v>
      </c>
      <c r="AD142" s="8">
        <v>1</v>
      </c>
      <c r="AE142" s="8">
        <v>1</v>
      </c>
      <c r="AF142" s="8">
        <v>1</v>
      </c>
      <c r="AG142" s="8">
        <v>1</v>
      </c>
      <c r="AH142" s="8">
        <v>1</v>
      </c>
      <c r="AI142" s="8">
        <v>1</v>
      </c>
      <c r="AJ142" s="10">
        <v>1</v>
      </c>
      <c r="AK142" s="8">
        <v>1</v>
      </c>
      <c r="AL142" s="43">
        <f t="shared" si="5"/>
        <v>6.6666666666666671E-3</v>
      </c>
    </row>
    <row r="143" spans="1:38" x14ac:dyDescent="0.2">
      <c r="A143" s="1">
        <v>124</v>
      </c>
      <c r="B143" s="9">
        <v>1</v>
      </c>
      <c r="C143" s="8">
        <v>1</v>
      </c>
      <c r="D143" s="8">
        <v>1</v>
      </c>
      <c r="E143" s="8">
        <v>1</v>
      </c>
      <c r="F143" s="8">
        <v>1</v>
      </c>
      <c r="G143" s="8">
        <v>1</v>
      </c>
      <c r="H143" s="8">
        <v>1</v>
      </c>
      <c r="I143" s="8">
        <v>1</v>
      </c>
      <c r="J143" s="10">
        <v>1</v>
      </c>
      <c r="K143" s="8">
        <v>1</v>
      </c>
      <c r="L143" s="43">
        <f t="shared" si="3"/>
        <v>6.6666666666666671E-3</v>
      </c>
      <c r="N143" s="1">
        <v>124</v>
      </c>
      <c r="O143" s="9">
        <v>1</v>
      </c>
      <c r="P143" s="8">
        <v>1</v>
      </c>
      <c r="Q143" s="8">
        <v>1</v>
      </c>
      <c r="R143" s="8">
        <v>1</v>
      </c>
      <c r="S143" s="8">
        <v>1</v>
      </c>
      <c r="T143" s="8">
        <v>1</v>
      </c>
      <c r="U143" s="8">
        <v>1</v>
      </c>
      <c r="V143" s="8">
        <v>1</v>
      </c>
      <c r="W143" s="10">
        <v>1</v>
      </c>
      <c r="X143" s="8">
        <v>1</v>
      </c>
      <c r="Y143" s="43">
        <f t="shared" si="4"/>
        <v>6.6666666666666671E-3</v>
      </c>
      <c r="AA143" s="1">
        <v>1</v>
      </c>
      <c r="AB143" s="9">
        <v>1</v>
      </c>
      <c r="AC143" s="8">
        <v>1</v>
      </c>
      <c r="AD143" s="8">
        <v>1</v>
      </c>
      <c r="AE143" s="8">
        <v>1</v>
      </c>
      <c r="AF143" s="8">
        <v>1</v>
      </c>
      <c r="AG143" s="8">
        <v>1</v>
      </c>
      <c r="AH143" s="8">
        <v>1</v>
      </c>
      <c r="AI143" s="8">
        <v>1</v>
      </c>
      <c r="AJ143" s="10">
        <v>1</v>
      </c>
      <c r="AK143" s="8">
        <v>1</v>
      </c>
      <c r="AL143" s="43">
        <f t="shared" si="5"/>
        <v>6.6666666666666671E-3</v>
      </c>
    </row>
    <row r="144" spans="1:38" x14ac:dyDescent="0.2">
      <c r="A144" s="1">
        <v>125</v>
      </c>
      <c r="B144" s="9">
        <v>1</v>
      </c>
      <c r="C144" s="8">
        <v>1</v>
      </c>
      <c r="D144" s="8">
        <v>1</v>
      </c>
      <c r="E144" s="8">
        <v>1</v>
      </c>
      <c r="F144" s="8">
        <v>1</v>
      </c>
      <c r="G144" s="8">
        <v>1</v>
      </c>
      <c r="H144" s="8">
        <v>1</v>
      </c>
      <c r="I144" s="8">
        <v>1</v>
      </c>
      <c r="J144" s="10">
        <v>1</v>
      </c>
      <c r="K144" s="8">
        <v>1</v>
      </c>
      <c r="L144" s="43">
        <f t="shared" si="3"/>
        <v>6.6666666666666671E-3</v>
      </c>
      <c r="N144" s="1">
        <v>125</v>
      </c>
      <c r="O144" s="9">
        <v>1</v>
      </c>
      <c r="P144" s="8">
        <v>1</v>
      </c>
      <c r="Q144" s="8">
        <v>1</v>
      </c>
      <c r="R144" s="8">
        <v>1</v>
      </c>
      <c r="S144" s="8">
        <v>1</v>
      </c>
      <c r="T144" s="8">
        <v>1</v>
      </c>
      <c r="U144" s="8">
        <v>1</v>
      </c>
      <c r="V144" s="8">
        <v>1</v>
      </c>
      <c r="W144" s="10">
        <v>1</v>
      </c>
      <c r="X144" s="8">
        <v>1</v>
      </c>
      <c r="Y144" s="43">
        <f t="shared" si="4"/>
        <v>6.6666666666666671E-3</v>
      </c>
      <c r="AA144" s="1">
        <v>1</v>
      </c>
      <c r="AB144" s="9">
        <v>1</v>
      </c>
      <c r="AC144" s="8">
        <v>1</v>
      </c>
      <c r="AD144" s="8">
        <v>1</v>
      </c>
      <c r="AE144" s="8">
        <v>1</v>
      </c>
      <c r="AF144" s="8">
        <v>1</v>
      </c>
      <c r="AG144" s="8">
        <v>1</v>
      </c>
      <c r="AH144" s="8">
        <v>1</v>
      </c>
      <c r="AI144" s="8">
        <v>1</v>
      </c>
      <c r="AJ144" s="10">
        <v>1</v>
      </c>
      <c r="AK144" s="8">
        <v>1</v>
      </c>
      <c r="AL144" s="43">
        <f t="shared" si="5"/>
        <v>6.6666666666666671E-3</v>
      </c>
    </row>
    <row r="145" spans="1:38" x14ac:dyDescent="0.2">
      <c r="A145" s="1">
        <v>126</v>
      </c>
      <c r="B145" s="9">
        <v>1</v>
      </c>
      <c r="C145" s="8">
        <v>1</v>
      </c>
      <c r="D145" s="8">
        <v>1</v>
      </c>
      <c r="E145" s="8">
        <v>1</v>
      </c>
      <c r="F145" s="8">
        <v>1</v>
      </c>
      <c r="G145" s="8">
        <v>1</v>
      </c>
      <c r="H145" s="8">
        <v>1</v>
      </c>
      <c r="I145" s="8">
        <v>1</v>
      </c>
      <c r="J145" s="10">
        <v>1</v>
      </c>
      <c r="K145" s="8">
        <v>1</v>
      </c>
      <c r="L145" s="43">
        <f t="shared" si="3"/>
        <v>6.6666666666666671E-3</v>
      </c>
      <c r="N145" s="1">
        <v>126</v>
      </c>
      <c r="O145" s="9">
        <v>1</v>
      </c>
      <c r="P145" s="8">
        <v>1</v>
      </c>
      <c r="Q145" s="8">
        <v>1</v>
      </c>
      <c r="R145" s="8">
        <v>1</v>
      </c>
      <c r="S145" s="8">
        <v>1</v>
      </c>
      <c r="T145" s="8">
        <v>1</v>
      </c>
      <c r="U145" s="8">
        <v>1</v>
      </c>
      <c r="V145" s="8">
        <v>1</v>
      </c>
      <c r="W145" s="10">
        <v>1</v>
      </c>
      <c r="X145" s="8">
        <v>1</v>
      </c>
      <c r="Y145" s="43">
        <f t="shared" si="4"/>
        <v>6.6666666666666671E-3</v>
      </c>
      <c r="AA145" s="1">
        <v>1</v>
      </c>
      <c r="AB145" s="9">
        <v>1</v>
      </c>
      <c r="AC145" s="8">
        <v>1</v>
      </c>
      <c r="AD145" s="8">
        <v>1</v>
      </c>
      <c r="AE145" s="8">
        <v>1</v>
      </c>
      <c r="AF145" s="8">
        <v>1</v>
      </c>
      <c r="AG145" s="8">
        <v>1</v>
      </c>
      <c r="AH145" s="8">
        <v>1</v>
      </c>
      <c r="AI145" s="8">
        <v>1</v>
      </c>
      <c r="AJ145" s="10">
        <v>1</v>
      </c>
      <c r="AK145" s="8">
        <v>1</v>
      </c>
      <c r="AL145" s="43">
        <f t="shared" si="5"/>
        <v>6.6666666666666671E-3</v>
      </c>
    </row>
    <row r="146" spans="1:38" x14ac:dyDescent="0.2">
      <c r="A146" s="1">
        <v>127</v>
      </c>
      <c r="B146" s="9">
        <v>1</v>
      </c>
      <c r="C146" s="8">
        <v>1</v>
      </c>
      <c r="D146" s="8">
        <v>1</v>
      </c>
      <c r="E146" s="8">
        <v>1</v>
      </c>
      <c r="F146" s="8">
        <v>1</v>
      </c>
      <c r="G146" s="8">
        <v>1</v>
      </c>
      <c r="H146" s="8">
        <v>1</v>
      </c>
      <c r="I146" s="8">
        <v>1</v>
      </c>
      <c r="J146" s="10">
        <v>1</v>
      </c>
      <c r="K146" s="8">
        <v>1</v>
      </c>
      <c r="L146" s="43">
        <f t="shared" si="3"/>
        <v>6.6666666666666671E-3</v>
      </c>
      <c r="N146" s="1">
        <v>127</v>
      </c>
      <c r="O146" s="9">
        <v>1</v>
      </c>
      <c r="P146" s="8">
        <v>1</v>
      </c>
      <c r="Q146" s="8">
        <v>1</v>
      </c>
      <c r="R146" s="8">
        <v>1</v>
      </c>
      <c r="S146" s="8">
        <v>1</v>
      </c>
      <c r="T146" s="8">
        <v>1</v>
      </c>
      <c r="U146" s="8">
        <v>1</v>
      </c>
      <c r="V146" s="8">
        <v>1</v>
      </c>
      <c r="W146" s="10">
        <v>1</v>
      </c>
      <c r="X146" s="8">
        <v>1</v>
      </c>
      <c r="Y146" s="43">
        <f t="shared" si="4"/>
        <v>6.6666666666666671E-3</v>
      </c>
      <c r="AA146" s="1">
        <v>1</v>
      </c>
      <c r="AB146" s="9">
        <v>1</v>
      </c>
      <c r="AC146" s="8">
        <v>1</v>
      </c>
      <c r="AD146" s="8">
        <v>1</v>
      </c>
      <c r="AE146" s="8">
        <v>1</v>
      </c>
      <c r="AF146" s="8">
        <v>1</v>
      </c>
      <c r="AG146" s="8">
        <v>1</v>
      </c>
      <c r="AH146" s="8">
        <v>1</v>
      </c>
      <c r="AI146" s="8">
        <v>1</v>
      </c>
      <c r="AJ146" s="10">
        <v>1</v>
      </c>
      <c r="AK146" s="8">
        <v>1</v>
      </c>
      <c r="AL146" s="43">
        <f t="shared" si="5"/>
        <v>6.6666666666666671E-3</v>
      </c>
    </row>
    <row r="147" spans="1:38" x14ac:dyDescent="0.2">
      <c r="A147" s="1">
        <v>128</v>
      </c>
      <c r="B147" s="9">
        <v>1</v>
      </c>
      <c r="C147" s="8">
        <v>1</v>
      </c>
      <c r="D147" s="8">
        <v>1</v>
      </c>
      <c r="E147" s="8">
        <v>1</v>
      </c>
      <c r="F147" s="8">
        <v>1</v>
      </c>
      <c r="G147" s="8">
        <v>1</v>
      </c>
      <c r="H147" s="8">
        <v>1</v>
      </c>
      <c r="I147" s="8">
        <v>1</v>
      </c>
      <c r="J147" s="10">
        <v>1</v>
      </c>
      <c r="K147" s="8">
        <v>1</v>
      </c>
      <c r="L147" s="43">
        <f t="shared" si="3"/>
        <v>6.6666666666666671E-3</v>
      </c>
      <c r="N147" s="1">
        <v>128</v>
      </c>
      <c r="O147" s="9">
        <v>1</v>
      </c>
      <c r="P147" s="8">
        <v>1</v>
      </c>
      <c r="Q147" s="8">
        <v>1</v>
      </c>
      <c r="R147" s="8">
        <v>1</v>
      </c>
      <c r="S147" s="8">
        <v>1</v>
      </c>
      <c r="T147" s="8">
        <v>1</v>
      </c>
      <c r="U147" s="8">
        <v>1</v>
      </c>
      <c r="V147" s="8">
        <v>1</v>
      </c>
      <c r="W147" s="10">
        <v>1</v>
      </c>
      <c r="X147" s="8">
        <v>1</v>
      </c>
      <c r="Y147" s="43">
        <f t="shared" si="4"/>
        <v>6.6666666666666671E-3</v>
      </c>
      <c r="AA147" s="1">
        <v>1</v>
      </c>
      <c r="AB147" s="9">
        <v>1</v>
      </c>
      <c r="AC147" s="8">
        <v>1</v>
      </c>
      <c r="AD147" s="8">
        <v>1</v>
      </c>
      <c r="AE147" s="8">
        <v>1</v>
      </c>
      <c r="AF147" s="8">
        <v>1</v>
      </c>
      <c r="AG147" s="8">
        <v>1</v>
      </c>
      <c r="AH147" s="8">
        <v>1</v>
      </c>
      <c r="AI147" s="8">
        <v>1</v>
      </c>
      <c r="AJ147" s="10">
        <v>1</v>
      </c>
      <c r="AK147" s="8">
        <v>1</v>
      </c>
      <c r="AL147" s="43">
        <f t="shared" si="5"/>
        <v>6.6666666666666671E-3</v>
      </c>
    </row>
    <row r="148" spans="1:38" x14ac:dyDescent="0.2">
      <c r="A148" s="1">
        <v>129</v>
      </c>
      <c r="B148" s="9">
        <v>1</v>
      </c>
      <c r="C148" s="8">
        <v>1</v>
      </c>
      <c r="D148" s="8">
        <v>1</v>
      </c>
      <c r="E148" s="8">
        <v>1</v>
      </c>
      <c r="F148" s="8">
        <v>1</v>
      </c>
      <c r="G148" s="8">
        <v>1</v>
      </c>
      <c r="H148" s="8">
        <v>1</v>
      </c>
      <c r="I148" s="8">
        <v>1</v>
      </c>
      <c r="J148" s="10">
        <v>1</v>
      </c>
      <c r="K148" s="8">
        <v>1</v>
      </c>
      <c r="L148" s="43">
        <f t="shared" si="3"/>
        <v>6.6666666666666671E-3</v>
      </c>
      <c r="N148" s="1">
        <v>129</v>
      </c>
      <c r="O148" s="9">
        <v>1</v>
      </c>
      <c r="P148" s="8">
        <v>1</v>
      </c>
      <c r="Q148" s="8">
        <v>1</v>
      </c>
      <c r="R148" s="8">
        <v>1</v>
      </c>
      <c r="S148" s="8">
        <v>1</v>
      </c>
      <c r="T148" s="8">
        <v>1</v>
      </c>
      <c r="U148" s="8">
        <v>1</v>
      </c>
      <c r="V148" s="8">
        <v>1</v>
      </c>
      <c r="W148" s="10">
        <v>1</v>
      </c>
      <c r="X148" s="8">
        <v>1</v>
      </c>
      <c r="Y148" s="43">
        <f t="shared" si="4"/>
        <v>6.6666666666666671E-3</v>
      </c>
      <c r="AA148" s="1">
        <v>1</v>
      </c>
      <c r="AB148" s="9">
        <v>1</v>
      </c>
      <c r="AC148" s="8">
        <v>1</v>
      </c>
      <c r="AD148" s="8">
        <v>1</v>
      </c>
      <c r="AE148" s="8">
        <v>1</v>
      </c>
      <c r="AF148" s="8">
        <v>1</v>
      </c>
      <c r="AG148" s="8">
        <v>1</v>
      </c>
      <c r="AH148" s="8">
        <v>1</v>
      </c>
      <c r="AI148" s="8">
        <v>1</v>
      </c>
      <c r="AJ148" s="10">
        <v>1</v>
      </c>
      <c r="AK148" s="8">
        <v>1</v>
      </c>
      <c r="AL148" s="43">
        <f t="shared" si="5"/>
        <v>6.6666666666666671E-3</v>
      </c>
    </row>
    <row r="149" spans="1:38" x14ac:dyDescent="0.2">
      <c r="A149" s="1">
        <v>130</v>
      </c>
      <c r="B149" s="9">
        <v>1</v>
      </c>
      <c r="C149" s="8">
        <v>1</v>
      </c>
      <c r="D149" s="8">
        <v>1</v>
      </c>
      <c r="E149" s="8">
        <v>1</v>
      </c>
      <c r="F149" s="8">
        <v>1</v>
      </c>
      <c r="G149" s="8">
        <v>1</v>
      </c>
      <c r="H149" s="8">
        <v>1</v>
      </c>
      <c r="I149" s="8">
        <v>1</v>
      </c>
      <c r="J149" s="10">
        <v>1</v>
      </c>
      <c r="K149" s="8">
        <v>1</v>
      </c>
      <c r="L149" s="43">
        <f t="shared" ref="L149:L169" si="6">K149/SUM(K$20:K$169)</f>
        <v>6.6666666666666671E-3</v>
      </c>
      <c r="N149" s="1">
        <v>130</v>
      </c>
      <c r="O149" s="9">
        <v>1</v>
      </c>
      <c r="P149" s="8">
        <v>1</v>
      </c>
      <c r="Q149" s="8">
        <v>1</v>
      </c>
      <c r="R149" s="8">
        <v>1</v>
      </c>
      <c r="S149" s="8">
        <v>1</v>
      </c>
      <c r="T149" s="8">
        <v>1</v>
      </c>
      <c r="U149" s="8">
        <v>1</v>
      </c>
      <c r="V149" s="8">
        <v>1</v>
      </c>
      <c r="W149" s="10">
        <v>1</v>
      </c>
      <c r="X149" s="8">
        <v>1</v>
      </c>
      <c r="Y149" s="43">
        <f t="shared" ref="Y149:Y169" si="7">X149/SUM(X$20:X$169)</f>
        <v>6.6666666666666671E-3</v>
      </c>
      <c r="AA149" s="1">
        <v>1</v>
      </c>
      <c r="AB149" s="9">
        <v>1</v>
      </c>
      <c r="AC149" s="8">
        <v>1</v>
      </c>
      <c r="AD149" s="8">
        <v>1</v>
      </c>
      <c r="AE149" s="8">
        <v>1</v>
      </c>
      <c r="AF149" s="8">
        <v>1</v>
      </c>
      <c r="AG149" s="8">
        <v>1</v>
      </c>
      <c r="AH149" s="8">
        <v>1</v>
      </c>
      <c r="AI149" s="8">
        <v>1</v>
      </c>
      <c r="AJ149" s="10">
        <v>1</v>
      </c>
      <c r="AK149" s="8">
        <v>1</v>
      </c>
      <c r="AL149" s="43">
        <f t="shared" ref="AL149:AL169" si="8">AK149/SUM(AK$20:AK$169)</f>
        <v>6.6666666666666671E-3</v>
      </c>
    </row>
    <row r="150" spans="1:38" x14ac:dyDescent="0.2">
      <c r="A150" s="1">
        <v>131</v>
      </c>
      <c r="B150" s="9">
        <v>1</v>
      </c>
      <c r="C150" s="8">
        <v>1</v>
      </c>
      <c r="D150" s="8">
        <v>1</v>
      </c>
      <c r="E150" s="8">
        <v>1</v>
      </c>
      <c r="F150" s="8">
        <v>1</v>
      </c>
      <c r="G150" s="8">
        <v>1</v>
      </c>
      <c r="H150" s="8">
        <v>1</v>
      </c>
      <c r="I150" s="8">
        <v>1</v>
      </c>
      <c r="J150" s="10">
        <v>1</v>
      </c>
      <c r="K150" s="8">
        <v>1</v>
      </c>
      <c r="L150" s="43">
        <f t="shared" si="6"/>
        <v>6.6666666666666671E-3</v>
      </c>
      <c r="N150" s="1">
        <v>131</v>
      </c>
      <c r="O150" s="9">
        <v>1</v>
      </c>
      <c r="P150" s="8">
        <v>1</v>
      </c>
      <c r="Q150" s="8">
        <v>1</v>
      </c>
      <c r="R150" s="8">
        <v>1</v>
      </c>
      <c r="S150" s="8">
        <v>1</v>
      </c>
      <c r="T150" s="8">
        <v>1</v>
      </c>
      <c r="U150" s="8">
        <v>1</v>
      </c>
      <c r="V150" s="8">
        <v>1</v>
      </c>
      <c r="W150" s="10">
        <v>1</v>
      </c>
      <c r="X150" s="8">
        <v>1</v>
      </c>
      <c r="Y150" s="43">
        <f t="shared" si="7"/>
        <v>6.6666666666666671E-3</v>
      </c>
      <c r="AA150" s="1">
        <v>1</v>
      </c>
      <c r="AB150" s="9">
        <v>1</v>
      </c>
      <c r="AC150" s="8">
        <v>1</v>
      </c>
      <c r="AD150" s="8">
        <v>1</v>
      </c>
      <c r="AE150" s="8">
        <v>1</v>
      </c>
      <c r="AF150" s="8">
        <v>1</v>
      </c>
      <c r="AG150" s="8">
        <v>1</v>
      </c>
      <c r="AH150" s="8">
        <v>1</v>
      </c>
      <c r="AI150" s="8">
        <v>1</v>
      </c>
      <c r="AJ150" s="10">
        <v>1</v>
      </c>
      <c r="AK150" s="8">
        <v>1</v>
      </c>
      <c r="AL150" s="43">
        <f t="shared" si="8"/>
        <v>6.6666666666666671E-3</v>
      </c>
    </row>
    <row r="151" spans="1:38" x14ac:dyDescent="0.2">
      <c r="A151" s="1">
        <v>132</v>
      </c>
      <c r="B151" s="9">
        <v>1</v>
      </c>
      <c r="C151" s="8">
        <v>1</v>
      </c>
      <c r="D151" s="8">
        <v>1</v>
      </c>
      <c r="E151" s="8">
        <v>1</v>
      </c>
      <c r="F151" s="8">
        <v>1</v>
      </c>
      <c r="G151" s="8">
        <v>1</v>
      </c>
      <c r="H151" s="8">
        <v>1</v>
      </c>
      <c r="I151" s="8">
        <v>1</v>
      </c>
      <c r="J151" s="10">
        <v>1</v>
      </c>
      <c r="K151" s="8">
        <v>1</v>
      </c>
      <c r="L151" s="43">
        <f t="shared" si="6"/>
        <v>6.6666666666666671E-3</v>
      </c>
      <c r="N151" s="1">
        <v>132</v>
      </c>
      <c r="O151" s="9">
        <v>1</v>
      </c>
      <c r="P151" s="8">
        <v>1</v>
      </c>
      <c r="Q151" s="8">
        <v>1</v>
      </c>
      <c r="R151" s="8">
        <v>1</v>
      </c>
      <c r="S151" s="8">
        <v>1</v>
      </c>
      <c r="T151" s="8">
        <v>1</v>
      </c>
      <c r="U151" s="8">
        <v>1</v>
      </c>
      <c r="V151" s="8">
        <v>1</v>
      </c>
      <c r="W151" s="10">
        <v>1</v>
      </c>
      <c r="X151" s="8">
        <v>1</v>
      </c>
      <c r="Y151" s="43">
        <f t="shared" si="7"/>
        <v>6.6666666666666671E-3</v>
      </c>
      <c r="AA151" s="1">
        <v>1</v>
      </c>
      <c r="AB151" s="9">
        <v>1</v>
      </c>
      <c r="AC151" s="8">
        <v>1</v>
      </c>
      <c r="AD151" s="8">
        <v>1</v>
      </c>
      <c r="AE151" s="8">
        <v>1</v>
      </c>
      <c r="AF151" s="8">
        <v>1</v>
      </c>
      <c r="AG151" s="8">
        <v>1</v>
      </c>
      <c r="AH151" s="8">
        <v>1</v>
      </c>
      <c r="AI151" s="8">
        <v>1</v>
      </c>
      <c r="AJ151" s="10">
        <v>1</v>
      </c>
      <c r="AK151" s="8">
        <v>1</v>
      </c>
      <c r="AL151" s="43">
        <f t="shared" si="8"/>
        <v>6.6666666666666671E-3</v>
      </c>
    </row>
    <row r="152" spans="1:38" x14ac:dyDescent="0.2">
      <c r="A152" s="1">
        <v>133</v>
      </c>
      <c r="B152" s="9">
        <v>1</v>
      </c>
      <c r="C152" s="8">
        <v>1</v>
      </c>
      <c r="D152" s="8">
        <v>1</v>
      </c>
      <c r="E152" s="8">
        <v>1</v>
      </c>
      <c r="F152" s="8">
        <v>1</v>
      </c>
      <c r="G152" s="8">
        <v>1</v>
      </c>
      <c r="H152" s="8">
        <v>1</v>
      </c>
      <c r="I152" s="8">
        <v>1</v>
      </c>
      <c r="J152" s="10">
        <v>1</v>
      </c>
      <c r="K152" s="8">
        <v>1</v>
      </c>
      <c r="L152" s="43">
        <f t="shared" si="6"/>
        <v>6.6666666666666671E-3</v>
      </c>
      <c r="N152" s="1">
        <v>133</v>
      </c>
      <c r="O152" s="9">
        <v>1</v>
      </c>
      <c r="P152" s="8">
        <v>1</v>
      </c>
      <c r="Q152" s="8">
        <v>1</v>
      </c>
      <c r="R152" s="8">
        <v>1</v>
      </c>
      <c r="S152" s="8">
        <v>1</v>
      </c>
      <c r="T152" s="8">
        <v>1</v>
      </c>
      <c r="U152" s="8">
        <v>1</v>
      </c>
      <c r="V152" s="8">
        <v>1</v>
      </c>
      <c r="W152" s="10">
        <v>1</v>
      </c>
      <c r="X152" s="8">
        <v>1</v>
      </c>
      <c r="Y152" s="43">
        <f t="shared" si="7"/>
        <v>6.6666666666666671E-3</v>
      </c>
      <c r="AA152" s="1">
        <v>1</v>
      </c>
      <c r="AB152" s="9">
        <v>1</v>
      </c>
      <c r="AC152" s="8">
        <v>1</v>
      </c>
      <c r="AD152" s="8">
        <v>1</v>
      </c>
      <c r="AE152" s="8">
        <v>1</v>
      </c>
      <c r="AF152" s="8">
        <v>1</v>
      </c>
      <c r="AG152" s="8">
        <v>1</v>
      </c>
      <c r="AH152" s="8">
        <v>1</v>
      </c>
      <c r="AI152" s="8">
        <v>1</v>
      </c>
      <c r="AJ152" s="10">
        <v>1</v>
      </c>
      <c r="AK152" s="8">
        <v>1</v>
      </c>
      <c r="AL152" s="43">
        <f t="shared" si="8"/>
        <v>6.6666666666666671E-3</v>
      </c>
    </row>
    <row r="153" spans="1:38" x14ac:dyDescent="0.2">
      <c r="A153" s="1">
        <v>134</v>
      </c>
      <c r="B153" s="9">
        <v>1</v>
      </c>
      <c r="C153" s="8">
        <v>1</v>
      </c>
      <c r="D153" s="8">
        <v>1</v>
      </c>
      <c r="E153" s="8">
        <v>1</v>
      </c>
      <c r="F153" s="8">
        <v>1</v>
      </c>
      <c r="G153" s="8">
        <v>1</v>
      </c>
      <c r="H153" s="8">
        <v>1</v>
      </c>
      <c r="I153" s="8">
        <v>1</v>
      </c>
      <c r="J153" s="10">
        <v>1</v>
      </c>
      <c r="K153" s="8">
        <v>1</v>
      </c>
      <c r="L153" s="43">
        <f t="shared" si="6"/>
        <v>6.6666666666666671E-3</v>
      </c>
      <c r="N153" s="1">
        <v>134</v>
      </c>
      <c r="O153" s="9">
        <v>1</v>
      </c>
      <c r="P153" s="8">
        <v>1</v>
      </c>
      <c r="Q153" s="8">
        <v>1</v>
      </c>
      <c r="R153" s="8">
        <v>1</v>
      </c>
      <c r="S153" s="8">
        <v>1</v>
      </c>
      <c r="T153" s="8">
        <v>1</v>
      </c>
      <c r="U153" s="8">
        <v>1</v>
      </c>
      <c r="V153" s="8">
        <v>1</v>
      </c>
      <c r="W153" s="10">
        <v>1</v>
      </c>
      <c r="X153" s="8">
        <v>1</v>
      </c>
      <c r="Y153" s="43">
        <f t="shared" si="7"/>
        <v>6.6666666666666671E-3</v>
      </c>
      <c r="AA153" s="1">
        <v>1</v>
      </c>
      <c r="AB153" s="9">
        <v>1</v>
      </c>
      <c r="AC153" s="8">
        <v>1</v>
      </c>
      <c r="AD153" s="8">
        <v>1</v>
      </c>
      <c r="AE153" s="8">
        <v>1</v>
      </c>
      <c r="AF153" s="8">
        <v>1</v>
      </c>
      <c r="AG153" s="8">
        <v>1</v>
      </c>
      <c r="AH153" s="8">
        <v>1</v>
      </c>
      <c r="AI153" s="8">
        <v>1</v>
      </c>
      <c r="AJ153" s="10">
        <v>1</v>
      </c>
      <c r="AK153" s="8">
        <v>1</v>
      </c>
      <c r="AL153" s="43">
        <f t="shared" si="8"/>
        <v>6.6666666666666671E-3</v>
      </c>
    </row>
    <row r="154" spans="1:38" x14ac:dyDescent="0.2">
      <c r="A154" s="1">
        <v>135</v>
      </c>
      <c r="B154" s="9">
        <v>1</v>
      </c>
      <c r="C154" s="8">
        <v>1</v>
      </c>
      <c r="D154" s="8">
        <v>1</v>
      </c>
      <c r="E154" s="8">
        <v>1</v>
      </c>
      <c r="F154" s="8">
        <v>1</v>
      </c>
      <c r="G154" s="8">
        <v>1</v>
      </c>
      <c r="H154" s="8">
        <v>1</v>
      </c>
      <c r="I154" s="8">
        <v>1</v>
      </c>
      <c r="J154" s="10">
        <v>1</v>
      </c>
      <c r="K154" s="8">
        <v>1</v>
      </c>
      <c r="L154" s="43">
        <f t="shared" si="6"/>
        <v>6.6666666666666671E-3</v>
      </c>
      <c r="N154" s="1">
        <v>135</v>
      </c>
      <c r="O154" s="9">
        <v>1</v>
      </c>
      <c r="P154" s="8">
        <v>1</v>
      </c>
      <c r="Q154" s="8">
        <v>1</v>
      </c>
      <c r="R154" s="8">
        <v>1</v>
      </c>
      <c r="S154" s="8">
        <v>1</v>
      </c>
      <c r="T154" s="8">
        <v>1</v>
      </c>
      <c r="U154" s="8">
        <v>1</v>
      </c>
      <c r="V154" s="8">
        <v>1</v>
      </c>
      <c r="W154" s="10">
        <v>1</v>
      </c>
      <c r="X154" s="8">
        <v>1</v>
      </c>
      <c r="Y154" s="43">
        <f t="shared" si="7"/>
        <v>6.6666666666666671E-3</v>
      </c>
      <c r="AA154" s="1">
        <v>1</v>
      </c>
      <c r="AB154" s="9">
        <v>1</v>
      </c>
      <c r="AC154" s="8">
        <v>1</v>
      </c>
      <c r="AD154" s="8">
        <v>1</v>
      </c>
      <c r="AE154" s="8">
        <v>1</v>
      </c>
      <c r="AF154" s="8">
        <v>1</v>
      </c>
      <c r="AG154" s="8">
        <v>1</v>
      </c>
      <c r="AH154" s="8">
        <v>1</v>
      </c>
      <c r="AI154" s="8">
        <v>1</v>
      </c>
      <c r="AJ154" s="10">
        <v>1</v>
      </c>
      <c r="AK154" s="8">
        <v>1</v>
      </c>
      <c r="AL154" s="43">
        <f t="shared" si="8"/>
        <v>6.6666666666666671E-3</v>
      </c>
    </row>
    <row r="155" spans="1:38" x14ac:dyDescent="0.2">
      <c r="A155" s="1">
        <v>136</v>
      </c>
      <c r="B155" s="9">
        <v>1</v>
      </c>
      <c r="C155" s="8">
        <v>1</v>
      </c>
      <c r="D155" s="8">
        <v>1</v>
      </c>
      <c r="E155" s="8">
        <v>1</v>
      </c>
      <c r="F155" s="8">
        <v>1</v>
      </c>
      <c r="G155" s="8">
        <v>1</v>
      </c>
      <c r="H155" s="8">
        <v>1</v>
      </c>
      <c r="I155" s="8">
        <v>1</v>
      </c>
      <c r="J155" s="10">
        <v>1</v>
      </c>
      <c r="K155" s="8">
        <v>1</v>
      </c>
      <c r="L155" s="43">
        <f t="shared" si="6"/>
        <v>6.6666666666666671E-3</v>
      </c>
      <c r="N155" s="1">
        <v>136</v>
      </c>
      <c r="O155" s="9">
        <v>1</v>
      </c>
      <c r="P155" s="8">
        <v>1</v>
      </c>
      <c r="Q155" s="8">
        <v>1</v>
      </c>
      <c r="R155" s="8">
        <v>1</v>
      </c>
      <c r="S155" s="8">
        <v>1</v>
      </c>
      <c r="T155" s="8">
        <v>1</v>
      </c>
      <c r="U155" s="8">
        <v>1</v>
      </c>
      <c r="V155" s="8">
        <v>1</v>
      </c>
      <c r="W155" s="10">
        <v>1</v>
      </c>
      <c r="X155" s="8">
        <v>1</v>
      </c>
      <c r="Y155" s="43">
        <f t="shared" si="7"/>
        <v>6.6666666666666671E-3</v>
      </c>
      <c r="AA155" s="1">
        <v>1</v>
      </c>
      <c r="AB155" s="9">
        <v>1</v>
      </c>
      <c r="AC155" s="8">
        <v>1</v>
      </c>
      <c r="AD155" s="8">
        <v>1</v>
      </c>
      <c r="AE155" s="8">
        <v>1</v>
      </c>
      <c r="AF155" s="8">
        <v>1</v>
      </c>
      <c r="AG155" s="8">
        <v>1</v>
      </c>
      <c r="AH155" s="8">
        <v>1</v>
      </c>
      <c r="AI155" s="8">
        <v>1</v>
      </c>
      <c r="AJ155" s="10">
        <v>1</v>
      </c>
      <c r="AK155" s="8">
        <v>1</v>
      </c>
      <c r="AL155" s="43">
        <f t="shared" si="8"/>
        <v>6.6666666666666671E-3</v>
      </c>
    </row>
    <row r="156" spans="1:38" x14ac:dyDescent="0.2">
      <c r="A156" s="1">
        <v>137</v>
      </c>
      <c r="B156" s="9">
        <v>1</v>
      </c>
      <c r="C156" s="8">
        <v>1</v>
      </c>
      <c r="D156" s="8">
        <v>1</v>
      </c>
      <c r="E156" s="8">
        <v>1</v>
      </c>
      <c r="F156" s="8">
        <v>1</v>
      </c>
      <c r="G156" s="8">
        <v>1</v>
      </c>
      <c r="H156" s="8">
        <v>1</v>
      </c>
      <c r="I156" s="8">
        <v>1</v>
      </c>
      <c r="J156" s="10">
        <v>1</v>
      </c>
      <c r="K156" s="8">
        <v>1</v>
      </c>
      <c r="L156" s="43">
        <f t="shared" si="6"/>
        <v>6.6666666666666671E-3</v>
      </c>
      <c r="N156" s="1">
        <v>137</v>
      </c>
      <c r="O156" s="9">
        <v>1</v>
      </c>
      <c r="P156" s="8">
        <v>1</v>
      </c>
      <c r="Q156" s="8">
        <v>1</v>
      </c>
      <c r="R156" s="8">
        <v>1</v>
      </c>
      <c r="S156" s="8">
        <v>1</v>
      </c>
      <c r="T156" s="8">
        <v>1</v>
      </c>
      <c r="U156" s="8">
        <v>1</v>
      </c>
      <c r="V156" s="8">
        <v>1</v>
      </c>
      <c r="W156" s="10">
        <v>1</v>
      </c>
      <c r="X156" s="8">
        <v>1</v>
      </c>
      <c r="Y156" s="43">
        <f t="shared" si="7"/>
        <v>6.6666666666666671E-3</v>
      </c>
      <c r="AA156" s="1">
        <v>1</v>
      </c>
      <c r="AB156" s="9">
        <v>1</v>
      </c>
      <c r="AC156" s="8">
        <v>1</v>
      </c>
      <c r="AD156" s="8">
        <v>1</v>
      </c>
      <c r="AE156" s="8">
        <v>1</v>
      </c>
      <c r="AF156" s="8">
        <v>1</v>
      </c>
      <c r="AG156" s="8">
        <v>1</v>
      </c>
      <c r="AH156" s="8">
        <v>1</v>
      </c>
      <c r="AI156" s="8">
        <v>1</v>
      </c>
      <c r="AJ156" s="10">
        <v>1</v>
      </c>
      <c r="AK156" s="8">
        <v>1</v>
      </c>
      <c r="AL156" s="43">
        <f t="shared" si="8"/>
        <v>6.6666666666666671E-3</v>
      </c>
    </row>
    <row r="157" spans="1:38" x14ac:dyDescent="0.2">
      <c r="A157" s="1">
        <v>138</v>
      </c>
      <c r="B157" s="9">
        <v>1</v>
      </c>
      <c r="C157" s="8">
        <v>1</v>
      </c>
      <c r="D157" s="8">
        <v>1</v>
      </c>
      <c r="E157" s="8">
        <v>1</v>
      </c>
      <c r="F157" s="8">
        <v>1</v>
      </c>
      <c r="G157" s="8">
        <v>1</v>
      </c>
      <c r="H157" s="8">
        <v>1</v>
      </c>
      <c r="I157" s="8">
        <v>1</v>
      </c>
      <c r="J157" s="10">
        <v>1</v>
      </c>
      <c r="K157" s="8">
        <v>1</v>
      </c>
      <c r="L157" s="43">
        <f t="shared" si="6"/>
        <v>6.6666666666666671E-3</v>
      </c>
      <c r="N157" s="1">
        <v>138</v>
      </c>
      <c r="O157" s="9">
        <v>1</v>
      </c>
      <c r="P157" s="8">
        <v>1</v>
      </c>
      <c r="Q157" s="8">
        <v>1</v>
      </c>
      <c r="R157" s="8">
        <v>1</v>
      </c>
      <c r="S157" s="8">
        <v>1</v>
      </c>
      <c r="T157" s="8">
        <v>1</v>
      </c>
      <c r="U157" s="8">
        <v>1</v>
      </c>
      <c r="V157" s="8">
        <v>1</v>
      </c>
      <c r="W157" s="10">
        <v>1</v>
      </c>
      <c r="X157" s="8">
        <v>1</v>
      </c>
      <c r="Y157" s="43">
        <f t="shared" si="7"/>
        <v>6.6666666666666671E-3</v>
      </c>
      <c r="AA157" s="1">
        <v>1</v>
      </c>
      <c r="AB157" s="9">
        <v>1</v>
      </c>
      <c r="AC157" s="8">
        <v>1</v>
      </c>
      <c r="AD157" s="8">
        <v>1</v>
      </c>
      <c r="AE157" s="8">
        <v>1</v>
      </c>
      <c r="AF157" s="8">
        <v>1</v>
      </c>
      <c r="AG157" s="8">
        <v>1</v>
      </c>
      <c r="AH157" s="8">
        <v>1</v>
      </c>
      <c r="AI157" s="8">
        <v>1</v>
      </c>
      <c r="AJ157" s="10">
        <v>1</v>
      </c>
      <c r="AK157" s="8">
        <v>1</v>
      </c>
      <c r="AL157" s="43">
        <f t="shared" si="8"/>
        <v>6.6666666666666671E-3</v>
      </c>
    </row>
    <row r="158" spans="1:38" x14ac:dyDescent="0.2">
      <c r="A158" s="1">
        <v>139</v>
      </c>
      <c r="B158" s="9">
        <v>1</v>
      </c>
      <c r="C158" s="8">
        <v>1</v>
      </c>
      <c r="D158" s="8">
        <v>1</v>
      </c>
      <c r="E158" s="8">
        <v>1</v>
      </c>
      <c r="F158" s="8">
        <v>1</v>
      </c>
      <c r="G158" s="8">
        <v>1</v>
      </c>
      <c r="H158" s="8">
        <v>1</v>
      </c>
      <c r="I158" s="8">
        <v>1</v>
      </c>
      <c r="J158" s="10">
        <v>1</v>
      </c>
      <c r="K158" s="8">
        <v>1</v>
      </c>
      <c r="L158" s="43">
        <f t="shared" si="6"/>
        <v>6.6666666666666671E-3</v>
      </c>
      <c r="N158" s="1">
        <v>139</v>
      </c>
      <c r="O158" s="9">
        <v>1</v>
      </c>
      <c r="P158" s="8">
        <v>1</v>
      </c>
      <c r="Q158" s="8">
        <v>1</v>
      </c>
      <c r="R158" s="8">
        <v>1</v>
      </c>
      <c r="S158" s="8">
        <v>1</v>
      </c>
      <c r="T158" s="8">
        <v>1</v>
      </c>
      <c r="U158" s="8">
        <v>1</v>
      </c>
      <c r="V158" s="8">
        <v>1</v>
      </c>
      <c r="W158" s="10">
        <v>1</v>
      </c>
      <c r="X158" s="8">
        <v>1</v>
      </c>
      <c r="Y158" s="43">
        <f t="shared" si="7"/>
        <v>6.6666666666666671E-3</v>
      </c>
      <c r="AA158" s="1">
        <v>1</v>
      </c>
      <c r="AB158" s="9">
        <v>1</v>
      </c>
      <c r="AC158" s="8">
        <v>1</v>
      </c>
      <c r="AD158" s="8">
        <v>1</v>
      </c>
      <c r="AE158" s="8">
        <v>1</v>
      </c>
      <c r="AF158" s="8">
        <v>1</v>
      </c>
      <c r="AG158" s="8">
        <v>1</v>
      </c>
      <c r="AH158" s="8">
        <v>1</v>
      </c>
      <c r="AI158" s="8">
        <v>1</v>
      </c>
      <c r="AJ158" s="10">
        <v>1</v>
      </c>
      <c r="AK158" s="8">
        <v>1</v>
      </c>
      <c r="AL158" s="43">
        <f t="shared" si="8"/>
        <v>6.6666666666666671E-3</v>
      </c>
    </row>
    <row r="159" spans="1:38" x14ac:dyDescent="0.2">
      <c r="A159" s="1">
        <v>140</v>
      </c>
      <c r="B159" s="9">
        <v>1</v>
      </c>
      <c r="C159" s="8">
        <v>1</v>
      </c>
      <c r="D159" s="8">
        <v>1</v>
      </c>
      <c r="E159" s="8">
        <v>1</v>
      </c>
      <c r="F159" s="8">
        <v>1</v>
      </c>
      <c r="G159" s="8">
        <v>1</v>
      </c>
      <c r="H159" s="8">
        <v>1</v>
      </c>
      <c r="I159" s="8">
        <v>1</v>
      </c>
      <c r="J159" s="10">
        <v>1</v>
      </c>
      <c r="K159" s="8">
        <v>1</v>
      </c>
      <c r="L159" s="43">
        <f t="shared" si="6"/>
        <v>6.6666666666666671E-3</v>
      </c>
      <c r="N159" s="1">
        <v>140</v>
      </c>
      <c r="O159" s="9">
        <v>1</v>
      </c>
      <c r="P159" s="8">
        <v>1</v>
      </c>
      <c r="Q159" s="8">
        <v>1</v>
      </c>
      <c r="R159" s="8">
        <v>1</v>
      </c>
      <c r="S159" s="8">
        <v>1</v>
      </c>
      <c r="T159" s="8">
        <v>1</v>
      </c>
      <c r="U159" s="8">
        <v>1</v>
      </c>
      <c r="V159" s="8">
        <v>1</v>
      </c>
      <c r="W159" s="10">
        <v>1</v>
      </c>
      <c r="X159" s="8">
        <v>1</v>
      </c>
      <c r="Y159" s="43">
        <f t="shared" si="7"/>
        <v>6.6666666666666671E-3</v>
      </c>
      <c r="AA159" s="1">
        <v>1</v>
      </c>
      <c r="AB159" s="9">
        <v>1</v>
      </c>
      <c r="AC159" s="8">
        <v>1</v>
      </c>
      <c r="AD159" s="8">
        <v>1</v>
      </c>
      <c r="AE159" s="8">
        <v>1</v>
      </c>
      <c r="AF159" s="8">
        <v>1</v>
      </c>
      <c r="AG159" s="8">
        <v>1</v>
      </c>
      <c r="AH159" s="8">
        <v>1</v>
      </c>
      <c r="AI159" s="8">
        <v>1</v>
      </c>
      <c r="AJ159" s="10">
        <v>1</v>
      </c>
      <c r="AK159" s="8">
        <v>1</v>
      </c>
      <c r="AL159" s="43">
        <f t="shared" si="8"/>
        <v>6.6666666666666671E-3</v>
      </c>
    </row>
    <row r="160" spans="1:38" x14ac:dyDescent="0.2">
      <c r="A160" s="1">
        <v>141</v>
      </c>
      <c r="B160" s="9">
        <v>1</v>
      </c>
      <c r="C160" s="8">
        <v>1</v>
      </c>
      <c r="D160" s="8">
        <v>1</v>
      </c>
      <c r="E160" s="8">
        <v>1</v>
      </c>
      <c r="F160" s="8">
        <v>1</v>
      </c>
      <c r="G160" s="8">
        <v>1</v>
      </c>
      <c r="H160" s="8">
        <v>1</v>
      </c>
      <c r="I160" s="8">
        <v>1</v>
      </c>
      <c r="J160" s="10">
        <v>1</v>
      </c>
      <c r="K160" s="8">
        <v>1</v>
      </c>
      <c r="L160" s="43">
        <f t="shared" si="6"/>
        <v>6.6666666666666671E-3</v>
      </c>
      <c r="N160" s="1">
        <v>141</v>
      </c>
      <c r="O160" s="9">
        <v>1</v>
      </c>
      <c r="P160" s="8">
        <v>1</v>
      </c>
      <c r="Q160" s="8">
        <v>1</v>
      </c>
      <c r="R160" s="8">
        <v>1</v>
      </c>
      <c r="S160" s="8">
        <v>1</v>
      </c>
      <c r="T160" s="8">
        <v>1</v>
      </c>
      <c r="U160" s="8">
        <v>1</v>
      </c>
      <c r="V160" s="8">
        <v>1</v>
      </c>
      <c r="W160" s="10">
        <v>1</v>
      </c>
      <c r="X160" s="8">
        <v>1</v>
      </c>
      <c r="Y160" s="43">
        <f t="shared" si="7"/>
        <v>6.6666666666666671E-3</v>
      </c>
      <c r="AA160" s="1">
        <v>1</v>
      </c>
      <c r="AB160" s="9">
        <v>1</v>
      </c>
      <c r="AC160" s="8">
        <v>1</v>
      </c>
      <c r="AD160" s="8">
        <v>1</v>
      </c>
      <c r="AE160" s="8">
        <v>1</v>
      </c>
      <c r="AF160" s="8">
        <v>1</v>
      </c>
      <c r="AG160" s="8">
        <v>1</v>
      </c>
      <c r="AH160" s="8">
        <v>1</v>
      </c>
      <c r="AI160" s="8">
        <v>1</v>
      </c>
      <c r="AJ160" s="10">
        <v>1</v>
      </c>
      <c r="AK160" s="8">
        <v>1</v>
      </c>
      <c r="AL160" s="43">
        <f t="shared" si="8"/>
        <v>6.6666666666666671E-3</v>
      </c>
    </row>
    <row r="161" spans="1:38" x14ac:dyDescent="0.2">
      <c r="A161" s="1">
        <v>142</v>
      </c>
      <c r="B161" s="9">
        <v>1</v>
      </c>
      <c r="C161" s="8">
        <v>1</v>
      </c>
      <c r="D161" s="8">
        <v>1</v>
      </c>
      <c r="E161" s="8">
        <v>1</v>
      </c>
      <c r="F161" s="8">
        <v>1</v>
      </c>
      <c r="G161" s="8">
        <v>1</v>
      </c>
      <c r="H161" s="8">
        <v>1</v>
      </c>
      <c r="I161" s="8">
        <v>1</v>
      </c>
      <c r="J161" s="10">
        <v>1</v>
      </c>
      <c r="K161" s="8">
        <v>1</v>
      </c>
      <c r="L161" s="43">
        <f t="shared" si="6"/>
        <v>6.6666666666666671E-3</v>
      </c>
      <c r="N161" s="1">
        <v>142</v>
      </c>
      <c r="O161" s="9">
        <v>1</v>
      </c>
      <c r="P161" s="8">
        <v>1</v>
      </c>
      <c r="Q161" s="8">
        <v>1</v>
      </c>
      <c r="R161" s="8">
        <v>1</v>
      </c>
      <c r="S161" s="8">
        <v>1</v>
      </c>
      <c r="T161" s="8">
        <v>1</v>
      </c>
      <c r="U161" s="8">
        <v>1</v>
      </c>
      <c r="V161" s="8">
        <v>1</v>
      </c>
      <c r="W161" s="10">
        <v>1</v>
      </c>
      <c r="X161" s="8">
        <v>1</v>
      </c>
      <c r="Y161" s="43">
        <f t="shared" si="7"/>
        <v>6.6666666666666671E-3</v>
      </c>
      <c r="AA161" s="1">
        <v>1</v>
      </c>
      <c r="AB161" s="9">
        <v>1</v>
      </c>
      <c r="AC161" s="8">
        <v>1</v>
      </c>
      <c r="AD161" s="8">
        <v>1</v>
      </c>
      <c r="AE161" s="8">
        <v>1</v>
      </c>
      <c r="AF161" s="8">
        <v>1</v>
      </c>
      <c r="AG161" s="8">
        <v>1</v>
      </c>
      <c r="AH161" s="8">
        <v>1</v>
      </c>
      <c r="AI161" s="8">
        <v>1</v>
      </c>
      <c r="AJ161" s="10">
        <v>1</v>
      </c>
      <c r="AK161" s="8">
        <v>1</v>
      </c>
      <c r="AL161" s="43">
        <f t="shared" si="8"/>
        <v>6.6666666666666671E-3</v>
      </c>
    </row>
    <row r="162" spans="1:38" x14ac:dyDescent="0.2">
      <c r="A162" s="1">
        <v>143</v>
      </c>
      <c r="B162" s="9">
        <v>1</v>
      </c>
      <c r="C162" s="8">
        <v>1</v>
      </c>
      <c r="D162" s="8">
        <v>1</v>
      </c>
      <c r="E162" s="8">
        <v>1</v>
      </c>
      <c r="F162" s="8">
        <v>1</v>
      </c>
      <c r="G162" s="8">
        <v>1</v>
      </c>
      <c r="H162" s="8">
        <v>1</v>
      </c>
      <c r="I162" s="8">
        <v>1</v>
      </c>
      <c r="J162" s="10">
        <v>1</v>
      </c>
      <c r="K162" s="8">
        <v>1</v>
      </c>
      <c r="L162" s="43">
        <f t="shared" si="6"/>
        <v>6.6666666666666671E-3</v>
      </c>
      <c r="N162" s="1">
        <v>143</v>
      </c>
      <c r="O162" s="9">
        <v>1</v>
      </c>
      <c r="P162" s="8">
        <v>1</v>
      </c>
      <c r="Q162" s="8">
        <v>1</v>
      </c>
      <c r="R162" s="8">
        <v>1</v>
      </c>
      <c r="S162" s="8">
        <v>1</v>
      </c>
      <c r="T162" s="8">
        <v>1</v>
      </c>
      <c r="U162" s="8">
        <v>1</v>
      </c>
      <c r="V162" s="8">
        <v>1</v>
      </c>
      <c r="W162" s="10">
        <v>1</v>
      </c>
      <c r="X162" s="8">
        <v>1</v>
      </c>
      <c r="Y162" s="43">
        <f t="shared" si="7"/>
        <v>6.6666666666666671E-3</v>
      </c>
      <c r="AA162" s="1">
        <v>1</v>
      </c>
      <c r="AB162" s="9">
        <v>1</v>
      </c>
      <c r="AC162" s="8">
        <v>1</v>
      </c>
      <c r="AD162" s="8">
        <v>1</v>
      </c>
      <c r="AE162" s="8">
        <v>1</v>
      </c>
      <c r="AF162" s="8">
        <v>1</v>
      </c>
      <c r="AG162" s="8">
        <v>1</v>
      </c>
      <c r="AH162" s="8">
        <v>1</v>
      </c>
      <c r="AI162" s="8">
        <v>1</v>
      </c>
      <c r="AJ162" s="10">
        <v>1</v>
      </c>
      <c r="AK162" s="8">
        <v>1</v>
      </c>
      <c r="AL162" s="43">
        <f t="shared" si="8"/>
        <v>6.6666666666666671E-3</v>
      </c>
    </row>
    <row r="163" spans="1:38" x14ac:dyDescent="0.2">
      <c r="A163" s="1">
        <v>144</v>
      </c>
      <c r="B163" s="9">
        <v>1</v>
      </c>
      <c r="C163" s="8">
        <v>1</v>
      </c>
      <c r="D163" s="8">
        <v>1</v>
      </c>
      <c r="E163" s="8">
        <v>1</v>
      </c>
      <c r="F163" s="8">
        <v>1</v>
      </c>
      <c r="G163" s="8">
        <v>1</v>
      </c>
      <c r="H163" s="8">
        <v>1</v>
      </c>
      <c r="I163" s="8">
        <v>1</v>
      </c>
      <c r="J163" s="10">
        <v>1</v>
      </c>
      <c r="K163" s="8">
        <v>1</v>
      </c>
      <c r="L163" s="43">
        <f t="shared" si="6"/>
        <v>6.6666666666666671E-3</v>
      </c>
      <c r="N163" s="1">
        <v>144</v>
      </c>
      <c r="O163" s="9">
        <v>1</v>
      </c>
      <c r="P163" s="8">
        <v>1</v>
      </c>
      <c r="Q163" s="8">
        <v>1</v>
      </c>
      <c r="R163" s="8">
        <v>1</v>
      </c>
      <c r="S163" s="8">
        <v>1</v>
      </c>
      <c r="T163" s="8">
        <v>1</v>
      </c>
      <c r="U163" s="8">
        <v>1</v>
      </c>
      <c r="V163" s="8">
        <v>1</v>
      </c>
      <c r="W163" s="10">
        <v>1</v>
      </c>
      <c r="X163" s="8">
        <v>1</v>
      </c>
      <c r="Y163" s="43">
        <f t="shared" si="7"/>
        <v>6.6666666666666671E-3</v>
      </c>
      <c r="AA163" s="1">
        <v>1</v>
      </c>
      <c r="AB163" s="9">
        <v>1</v>
      </c>
      <c r="AC163" s="8">
        <v>1</v>
      </c>
      <c r="AD163" s="8">
        <v>1</v>
      </c>
      <c r="AE163" s="8">
        <v>1</v>
      </c>
      <c r="AF163" s="8">
        <v>1</v>
      </c>
      <c r="AG163" s="8">
        <v>1</v>
      </c>
      <c r="AH163" s="8">
        <v>1</v>
      </c>
      <c r="AI163" s="8">
        <v>1</v>
      </c>
      <c r="AJ163" s="10">
        <v>1</v>
      </c>
      <c r="AK163" s="8">
        <v>1</v>
      </c>
      <c r="AL163" s="43">
        <f t="shared" si="8"/>
        <v>6.6666666666666671E-3</v>
      </c>
    </row>
    <row r="164" spans="1:38" x14ac:dyDescent="0.2">
      <c r="A164" s="1">
        <v>145</v>
      </c>
      <c r="B164" s="9">
        <v>1</v>
      </c>
      <c r="C164" s="8">
        <v>1</v>
      </c>
      <c r="D164" s="8">
        <v>1</v>
      </c>
      <c r="E164" s="8">
        <v>1</v>
      </c>
      <c r="F164" s="8">
        <v>1</v>
      </c>
      <c r="G164" s="8">
        <v>1</v>
      </c>
      <c r="H164" s="8">
        <v>1</v>
      </c>
      <c r="I164" s="8">
        <v>1</v>
      </c>
      <c r="J164" s="10">
        <v>1</v>
      </c>
      <c r="K164" s="8">
        <v>1</v>
      </c>
      <c r="L164" s="43">
        <f t="shared" si="6"/>
        <v>6.6666666666666671E-3</v>
      </c>
      <c r="N164" s="1">
        <v>145</v>
      </c>
      <c r="O164" s="9">
        <v>1</v>
      </c>
      <c r="P164" s="8">
        <v>1</v>
      </c>
      <c r="Q164" s="8">
        <v>1</v>
      </c>
      <c r="R164" s="8">
        <v>1</v>
      </c>
      <c r="S164" s="8">
        <v>1</v>
      </c>
      <c r="T164" s="8">
        <v>1</v>
      </c>
      <c r="U164" s="8">
        <v>1</v>
      </c>
      <c r="V164" s="8">
        <v>1</v>
      </c>
      <c r="W164" s="10">
        <v>1</v>
      </c>
      <c r="X164" s="8">
        <v>1</v>
      </c>
      <c r="Y164" s="43">
        <f t="shared" si="7"/>
        <v>6.6666666666666671E-3</v>
      </c>
      <c r="AA164" s="1">
        <v>1</v>
      </c>
      <c r="AB164" s="9">
        <v>1</v>
      </c>
      <c r="AC164" s="8">
        <v>1</v>
      </c>
      <c r="AD164" s="8">
        <v>1</v>
      </c>
      <c r="AE164" s="8">
        <v>1</v>
      </c>
      <c r="AF164" s="8">
        <v>1</v>
      </c>
      <c r="AG164" s="8">
        <v>1</v>
      </c>
      <c r="AH164" s="8">
        <v>1</v>
      </c>
      <c r="AI164" s="8">
        <v>1</v>
      </c>
      <c r="AJ164" s="10">
        <v>1</v>
      </c>
      <c r="AK164" s="8">
        <v>1</v>
      </c>
      <c r="AL164" s="43">
        <f t="shared" si="8"/>
        <v>6.6666666666666671E-3</v>
      </c>
    </row>
    <row r="165" spans="1:38" x14ac:dyDescent="0.2">
      <c r="A165" s="1">
        <v>146</v>
      </c>
      <c r="B165" s="9">
        <v>1</v>
      </c>
      <c r="C165" s="8">
        <v>1</v>
      </c>
      <c r="D165" s="8">
        <v>1</v>
      </c>
      <c r="E165" s="8">
        <v>1</v>
      </c>
      <c r="F165" s="8">
        <v>1</v>
      </c>
      <c r="G165" s="8">
        <v>1</v>
      </c>
      <c r="H165" s="8">
        <v>1</v>
      </c>
      <c r="I165" s="8">
        <v>1</v>
      </c>
      <c r="J165" s="10">
        <v>1</v>
      </c>
      <c r="K165" s="8">
        <v>1</v>
      </c>
      <c r="L165" s="43">
        <f t="shared" si="6"/>
        <v>6.6666666666666671E-3</v>
      </c>
      <c r="N165" s="1">
        <v>146</v>
      </c>
      <c r="O165" s="9">
        <v>1</v>
      </c>
      <c r="P165" s="8">
        <v>1</v>
      </c>
      <c r="Q165" s="8">
        <v>1</v>
      </c>
      <c r="R165" s="8">
        <v>1</v>
      </c>
      <c r="S165" s="8">
        <v>1</v>
      </c>
      <c r="T165" s="8">
        <v>1</v>
      </c>
      <c r="U165" s="8">
        <v>1</v>
      </c>
      <c r="V165" s="8">
        <v>1</v>
      </c>
      <c r="W165" s="10">
        <v>1</v>
      </c>
      <c r="X165" s="8">
        <v>1</v>
      </c>
      <c r="Y165" s="43">
        <f t="shared" si="7"/>
        <v>6.6666666666666671E-3</v>
      </c>
      <c r="AA165" s="1">
        <v>1</v>
      </c>
      <c r="AB165" s="9">
        <v>1</v>
      </c>
      <c r="AC165" s="8">
        <v>1</v>
      </c>
      <c r="AD165" s="8">
        <v>1</v>
      </c>
      <c r="AE165" s="8">
        <v>1</v>
      </c>
      <c r="AF165" s="8">
        <v>1</v>
      </c>
      <c r="AG165" s="8">
        <v>1</v>
      </c>
      <c r="AH165" s="8">
        <v>1</v>
      </c>
      <c r="AI165" s="8">
        <v>1</v>
      </c>
      <c r="AJ165" s="10">
        <v>1</v>
      </c>
      <c r="AK165" s="8">
        <v>1</v>
      </c>
      <c r="AL165" s="43">
        <f t="shared" si="8"/>
        <v>6.6666666666666671E-3</v>
      </c>
    </row>
    <row r="166" spans="1:38" x14ac:dyDescent="0.2">
      <c r="A166" s="1">
        <v>147</v>
      </c>
      <c r="B166" s="9">
        <v>1</v>
      </c>
      <c r="C166" s="8">
        <v>1</v>
      </c>
      <c r="D166" s="8">
        <v>1</v>
      </c>
      <c r="E166" s="8">
        <v>1</v>
      </c>
      <c r="F166" s="8">
        <v>1</v>
      </c>
      <c r="G166" s="8">
        <v>1</v>
      </c>
      <c r="H166" s="8">
        <v>1</v>
      </c>
      <c r="I166" s="8">
        <v>1</v>
      </c>
      <c r="J166" s="10">
        <v>1</v>
      </c>
      <c r="K166" s="8">
        <v>1</v>
      </c>
      <c r="L166" s="43">
        <f t="shared" si="6"/>
        <v>6.6666666666666671E-3</v>
      </c>
      <c r="N166" s="1">
        <v>147</v>
      </c>
      <c r="O166" s="9">
        <v>1</v>
      </c>
      <c r="P166" s="8">
        <v>1</v>
      </c>
      <c r="Q166" s="8">
        <v>1</v>
      </c>
      <c r="R166" s="8">
        <v>1</v>
      </c>
      <c r="S166" s="8">
        <v>1</v>
      </c>
      <c r="T166" s="8">
        <v>1</v>
      </c>
      <c r="U166" s="8">
        <v>1</v>
      </c>
      <c r="V166" s="8">
        <v>1</v>
      </c>
      <c r="W166" s="10">
        <v>1</v>
      </c>
      <c r="X166" s="8">
        <v>1</v>
      </c>
      <c r="Y166" s="43">
        <f t="shared" si="7"/>
        <v>6.6666666666666671E-3</v>
      </c>
      <c r="AA166" s="1">
        <v>1</v>
      </c>
      <c r="AB166" s="9">
        <v>1</v>
      </c>
      <c r="AC166" s="8">
        <v>1</v>
      </c>
      <c r="AD166" s="8">
        <v>1</v>
      </c>
      <c r="AE166" s="8">
        <v>1</v>
      </c>
      <c r="AF166" s="8">
        <v>1</v>
      </c>
      <c r="AG166" s="8">
        <v>1</v>
      </c>
      <c r="AH166" s="8">
        <v>1</v>
      </c>
      <c r="AI166" s="8">
        <v>1</v>
      </c>
      <c r="AJ166" s="10">
        <v>1</v>
      </c>
      <c r="AK166" s="8">
        <v>1</v>
      </c>
      <c r="AL166" s="43">
        <f t="shared" si="8"/>
        <v>6.6666666666666671E-3</v>
      </c>
    </row>
    <row r="167" spans="1:38" x14ac:dyDescent="0.2">
      <c r="A167" s="1">
        <v>148</v>
      </c>
      <c r="B167" s="9">
        <v>1</v>
      </c>
      <c r="C167" s="8">
        <v>1</v>
      </c>
      <c r="D167" s="8">
        <v>1</v>
      </c>
      <c r="E167" s="8">
        <v>1</v>
      </c>
      <c r="F167" s="8">
        <v>1</v>
      </c>
      <c r="G167" s="8">
        <v>1</v>
      </c>
      <c r="H167" s="8">
        <v>1</v>
      </c>
      <c r="I167" s="8">
        <v>1</v>
      </c>
      <c r="J167" s="10">
        <v>1</v>
      </c>
      <c r="K167" s="8">
        <v>1</v>
      </c>
      <c r="L167" s="43">
        <f t="shared" si="6"/>
        <v>6.6666666666666671E-3</v>
      </c>
      <c r="N167" s="1">
        <v>148</v>
      </c>
      <c r="O167" s="9">
        <v>1</v>
      </c>
      <c r="P167" s="8">
        <v>1</v>
      </c>
      <c r="Q167" s="8">
        <v>1</v>
      </c>
      <c r="R167" s="8">
        <v>1</v>
      </c>
      <c r="S167" s="8">
        <v>1</v>
      </c>
      <c r="T167" s="8">
        <v>1</v>
      </c>
      <c r="U167" s="8">
        <v>1</v>
      </c>
      <c r="V167" s="8">
        <v>1</v>
      </c>
      <c r="W167" s="10">
        <v>1</v>
      </c>
      <c r="X167" s="8">
        <v>1</v>
      </c>
      <c r="Y167" s="43">
        <f t="shared" si="7"/>
        <v>6.6666666666666671E-3</v>
      </c>
      <c r="AA167" s="1">
        <v>1</v>
      </c>
      <c r="AB167" s="9">
        <v>1</v>
      </c>
      <c r="AC167" s="8">
        <v>1</v>
      </c>
      <c r="AD167" s="8">
        <v>1</v>
      </c>
      <c r="AE167" s="8">
        <v>1</v>
      </c>
      <c r="AF167" s="8">
        <v>1</v>
      </c>
      <c r="AG167" s="8">
        <v>1</v>
      </c>
      <c r="AH167" s="8">
        <v>1</v>
      </c>
      <c r="AI167" s="8">
        <v>1</v>
      </c>
      <c r="AJ167" s="10">
        <v>1</v>
      </c>
      <c r="AK167" s="8">
        <v>1</v>
      </c>
      <c r="AL167" s="43">
        <f t="shared" si="8"/>
        <v>6.6666666666666671E-3</v>
      </c>
    </row>
    <row r="168" spans="1:38" x14ac:dyDescent="0.2">
      <c r="A168" s="1">
        <v>149</v>
      </c>
      <c r="B168" s="9">
        <v>1</v>
      </c>
      <c r="C168" s="8">
        <v>1</v>
      </c>
      <c r="D168" s="8">
        <v>1</v>
      </c>
      <c r="E168" s="8">
        <v>1</v>
      </c>
      <c r="F168" s="8">
        <v>1</v>
      </c>
      <c r="G168" s="8">
        <v>1</v>
      </c>
      <c r="H168" s="8">
        <v>1</v>
      </c>
      <c r="I168" s="8">
        <v>1</v>
      </c>
      <c r="J168" s="10">
        <v>1</v>
      </c>
      <c r="K168" s="8">
        <v>1</v>
      </c>
      <c r="L168" s="43">
        <f t="shared" si="6"/>
        <v>6.6666666666666671E-3</v>
      </c>
      <c r="N168" s="1">
        <v>149</v>
      </c>
      <c r="O168" s="9">
        <v>1</v>
      </c>
      <c r="P168" s="8">
        <v>1</v>
      </c>
      <c r="Q168" s="8">
        <v>1</v>
      </c>
      <c r="R168" s="8">
        <v>1</v>
      </c>
      <c r="S168" s="8">
        <v>1</v>
      </c>
      <c r="T168" s="8">
        <v>1</v>
      </c>
      <c r="U168" s="8">
        <v>1</v>
      </c>
      <c r="V168" s="8">
        <v>1</v>
      </c>
      <c r="W168" s="10">
        <v>1</v>
      </c>
      <c r="X168" s="8">
        <v>1</v>
      </c>
      <c r="Y168" s="43">
        <f t="shared" si="7"/>
        <v>6.6666666666666671E-3</v>
      </c>
      <c r="AA168" s="1">
        <v>1</v>
      </c>
      <c r="AB168" s="9">
        <v>1</v>
      </c>
      <c r="AC168" s="8">
        <v>1</v>
      </c>
      <c r="AD168" s="8">
        <v>1</v>
      </c>
      <c r="AE168" s="8">
        <v>1</v>
      </c>
      <c r="AF168" s="8">
        <v>1</v>
      </c>
      <c r="AG168" s="8">
        <v>1</v>
      </c>
      <c r="AH168" s="8">
        <v>1</v>
      </c>
      <c r="AI168" s="8">
        <v>1</v>
      </c>
      <c r="AJ168" s="10">
        <v>1</v>
      </c>
      <c r="AK168" s="8">
        <v>1</v>
      </c>
      <c r="AL168" s="43">
        <f t="shared" si="8"/>
        <v>6.6666666666666671E-3</v>
      </c>
    </row>
    <row r="169" spans="1:38" x14ac:dyDescent="0.2">
      <c r="A169" s="1">
        <v>150</v>
      </c>
      <c r="B169" s="11">
        <v>1</v>
      </c>
      <c r="C169" s="12">
        <v>1</v>
      </c>
      <c r="D169" s="12">
        <v>1</v>
      </c>
      <c r="E169" s="12">
        <v>1</v>
      </c>
      <c r="F169" s="12">
        <v>1</v>
      </c>
      <c r="G169" s="12">
        <v>1</v>
      </c>
      <c r="H169" s="12">
        <v>1</v>
      </c>
      <c r="I169" s="12">
        <v>1</v>
      </c>
      <c r="J169" s="13">
        <v>1</v>
      </c>
      <c r="K169" s="8">
        <v>1</v>
      </c>
      <c r="L169" s="43">
        <f t="shared" si="6"/>
        <v>6.6666666666666671E-3</v>
      </c>
      <c r="N169" s="1">
        <v>150</v>
      </c>
      <c r="O169" s="11">
        <v>1</v>
      </c>
      <c r="P169" s="12">
        <v>1</v>
      </c>
      <c r="Q169" s="12">
        <v>1</v>
      </c>
      <c r="R169" s="12">
        <v>1</v>
      </c>
      <c r="S169" s="12">
        <v>1</v>
      </c>
      <c r="T169" s="12">
        <v>1</v>
      </c>
      <c r="U169" s="12">
        <v>1</v>
      </c>
      <c r="V169" s="12">
        <v>1</v>
      </c>
      <c r="W169" s="13">
        <v>1</v>
      </c>
      <c r="X169" s="8">
        <v>1</v>
      </c>
      <c r="Y169" s="43">
        <f t="shared" si="7"/>
        <v>6.6666666666666671E-3</v>
      </c>
      <c r="AA169" s="1">
        <v>1</v>
      </c>
      <c r="AB169" s="11">
        <v>1</v>
      </c>
      <c r="AC169" s="12">
        <v>1</v>
      </c>
      <c r="AD169" s="12">
        <v>1</v>
      </c>
      <c r="AE169" s="12">
        <v>1</v>
      </c>
      <c r="AF169" s="12">
        <v>1</v>
      </c>
      <c r="AG169" s="12">
        <v>1</v>
      </c>
      <c r="AH169" s="12">
        <v>1</v>
      </c>
      <c r="AI169" s="12">
        <v>1</v>
      </c>
      <c r="AJ169" s="13">
        <v>1</v>
      </c>
      <c r="AK169" s="8">
        <v>1</v>
      </c>
      <c r="AL169" s="43">
        <f t="shared" si="8"/>
        <v>6.6666666666666671E-3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/>
  </sheetPr>
  <dimension ref="A1:DL17"/>
  <sheetViews>
    <sheetView workbookViewId="0">
      <selection activeCell="CV25" sqref="CV25"/>
    </sheetView>
  </sheetViews>
  <sheetFormatPr defaultColWidth="9.140625" defaultRowHeight="12.75" x14ac:dyDescent="0.2"/>
  <cols>
    <col min="1" max="1" width="18.28515625" style="1" customWidth="1"/>
    <col min="2" max="2" width="9.140625" style="1"/>
    <col min="3" max="3" width="25.42578125" style="1" customWidth="1"/>
    <col min="4" max="4" width="22.85546875" style="1" customWidth="1"/>
    <col min="5" max="98" width="0" style="1" hidden="1" customWidth="1"/>
    <col min="99" max="99" width="3.28515625" style="1" hidden="1" customWidth="1"/>
    <col min="100" max="100" width="28" style="1" customWidth="1"/>
    <col min="101" max="115" width="0" style="1" hidden="1" customWidth="1"/>
    <col min="116" max="116" width="11.7109375" style="1" customWidth="1"/>
    <col min="117" max="16384" width="9.140625" style="1"/>
  </cols>
  <sheetData>
    <row r="1" spans="1:116" x14ac:dyDescent="0.2">
      <c r="A1" s="2" t="s">
        <v>409</v>
      </c>
    </row>
    <row r="2" spans="1:116" x14ac:dyDescent="0.2">
      <c r="A2" s="2" t="s">
        <v>410</v>
      </c>
    </row>
    <row r="3" spans="1:116" ht="15" x14ac:dyDescent="0.25">
      <c r="B3" t="s">
        <v>182</v>
      </c>
      <c r="C3" t="s">
        <v>183</v>
      </c>
      <c r="D3" t="s">
        <v>184</v>
      </c>
      <c r="E3" t="s">
        <v>185</v>
      </c>
      <c r="F3" t="s">
        <v>186</v>
      </c>
      <c r="G3" t="s">
        <v>187</v>
      </c>
      <c r="H3" t="s">
        <v>188</v>
      </c>
      <c r="I3" t="s">
        <v>189</v>
      </c>
      <c r="J3" t="s">
        <v>190</v>
      </c>
      <c r="K3" t="s">
        <v>191</v>
      </c>
      <c r="L3" t="s">
        <v>192</v>
      </c>
      <c r="M3" t="s">
        <v>193</v>
      </c>
      <c r="N3" t="s">
        <v>194</v>
      </c>
      <c r="O3" t="s">
        <v>195</v>
      </c>
      <c r="P3" t="s">
        <v>196</v>
      </c>
      <c r="Q3" t="s">
        <v>197</v>
      </c>
      <c r="R3" t="s">
        <v>198</v>
      </c>
      <c r="S3" t="s">
        <v>199</v>
      </c>
      <c r="T3" t="s">
        <v>200</v>
      </c>
      <c r="U3" t="s">
        <v>201</v>
      </c>
      <c r="V3" t="s">
        <v>202</v>
      </c>
      <c r="W3" t="s">
        <v>203</v>
      </c>
      <c r="X3" t="s">
        <v>204</v>
      </c>
      <c r="Y3" t="s">
        <v>205</v>
      </c>
      <c r="Z3" t="s">
        <v>206</v>
      </c>
      <c r="AA3" t="s">
        <v>207</v>
      </c>
      <c r="AB3" t="s">
        <v>208</v>
      </c>
      <c r="AC3" t="s">
        <v>209</v>
      </c>
      <c r="AD3" t="s">
        <v>210</v>
      </c>
      <c r="AE3" t="s">
        <v>211</v>
      </c>
      <c r="AF3" t="s">
        <v>212</v>
      </c>
      <c r="AG3" t="s">
        <v>213</v>
      </c>
      <c r="AH3" t="s">
        <v>214</v>
      </c>
      <c r="AI3" t="s">
        <v>215</v>
      </c>
      <c r="AJ3" t="s">
        <v>216</v>
      </c>
      <c r="AK3" t="s">
        <v>217</v>
      </c>
      <c r="AL3" t="s">
        <v>218</v>
      </c>
      <c r="AM3" t="s">
        <v>219</v>
      </c>
      <c r="AN3" t="s">
        <v>220</v>
      </c>
      <c r="AO3" t="s">
        <v>221</v>
      </c>
      <c r="AP3" t="s">
        <v>222</v>
      </c>
      <c r="AQ3" t="s">
        <v>223</v>
      </c>
      <c r="AR3" t="s">
        <v>224</v>
      </c>
      <c r="AS3" t="s">
        <v>225</v>
      </c>
      <c r="AT3" t="s">
        <v>226</v>
      </c>
      <c r="AU3" t="s">
        <v>227</v>
      </c>
      <c r="AV3" t="s">
        <v>228</v>
      </c>
      <c r="AW3" t="s">
        <v>229</v>
      </c>
      <c r="AX3" t="s">
        <v>230</v>
      </c>
      <c r="AY3" t="s">
        <v>231</v>
      </c>
      <c r="AZ3" t="s">
        <v>232</v>
      </c>
      <c r="BA3" t="s">
        <v>233</v>
      </c>
      <c r="BB3" t="s">
        <v>234</v>
      </c>
      <c r="BC3" t="s">
        <v>235</v>
      </c>
      <c r="BD3" t="s">
        <v>236</v>
      </c>
      <c r="BE3" t="s">
        <v>237</v>
      </c>
      <c r="BF3" t="s">
        <v>238</v>
      </c>
      <c r="BG3" t="s">
        <v>239</v>
      </c>
      <c r="BH3" t="s">
        <v>240</v>
      </c>
      <c r="BI3" t="s">
        <v>241</v>
      </c>
      <c r="BJ3" t="s">
        <v>242</v>
      </c>
      <c r="BK3" t="s">
        <v>243</v>
      </c>
      <c r="BL3" t="s">
        <v>244</v>
      </c>
      <c r="BM3" t="s">
        <v>245</v>
      </c>
      <c r="BN3" t="s">
        <v>246</v>
      </c>
      <c r="BO3" t="s">
        <v>247</v>
      </c>
      <c r="BP3" t="s">
        <v>248</v>
      </c>
      <c r="BQ3" t="s">
        <v>249</v>
      </c>
      <c r="BR3" t="s">
        <v>250</v>
      </c>
      <c r="BS3" t="s">
        <v>251</v>
      </c>
      <c r="BT3" t="s">
        <v>252</v>
      </c>
      <c r="BU3" t="s">
        <v>253</v>
      </c>
      <c r="BV3" t="s">
        <v>254</v>
      </c>
      <c r="BW3" t="s">
        <v>255</v>
      </c>
      <c r="BX3" t="s">
        <v>256</v>
      </c>
      <c r="BY3" t="s">
        <v>257</v>
      </c>
      <c r="BZ3" t="s">
        <v>258</v>
      </c>
      <c r="CA3" t="s">
        <v>259</v>
      </c>
      <c r="CB3" t="s">
        <v>260</v>
      </c>
      <c r="CC3" t="s">
        <v>261</v>
      </c>
      <c r="CD3" t="s">
        <v>262</v>
      </c>
      <c r="CE3" t="s">
        <v>263</v>
      </c>
      <c r="CF3" t="s">
        <v>264</v>
      </c>
      <c r="CG3" t="s">
        <v>265</v>
      </c>
      <c r="CH3" t="s">
        <v>266</v>
      </c>
      <c r="CI3" t="s">
        <v>267</v>
      </c>
      <c r="CJ3" t="s">
        <v>268</v>
      </c>
      <c r="CK3" t="s">
        <v>269</v>
      </c>
      <c r="CL3" t="s">
        <v>270</v>
      </c>
      <c r="CM3" t="s">
        <v>271</v>
      </c>
      <c r="CN3" t="s">
        <v>272</v>
      </c>
      <c r="CO3" t="s">
        <v>273</v>
      </c>
      <c r="CP3" t="s">
        <v>274</v>
      </c>
      <c r="CQ3" t="s">
        <v>275</v>
      </c>
      <c r="CR3" t="s">
        <v>276</v>
      </c>
      <c r="CS3" t="s">
        <v>277</v>
      </c>
      <c r="CT3" t="s">
        <v>278</v>
      </c>
      <c r="CU3" t="s">
        <v>279</v>
      </c>
      <c r="CV3" t="s">
        <v>280</v>
      </c>
      <c r="CW3" t="s">
        <v>281</v>
      </c>
      <c r="CX3" t="s">
        <v>282</v>
      </c>
      <c r="CY3" t="s">
        <v>283</v>
      </c>
      <c r="CZ3" t="s">
        <v>284</v>
      </c>
      <c r="DA3" t="s">
        <v>285</v>
      </c>
      <c r="DB3" t="s">
        <v>286</v>
      </c>
      <c r="DC3" t="s">
        <v>287</v>
      </c>
      <c r="DD3" t="s">
        <v>288</v>
      </c>
      <c r="DE3" t="s">
        <v>289</v>
      </c>
      <c r="DF3" t="s">
        <v>290</v>
      </c>
      <c r="DG3" t="s">
        <v>291</v>
      </c>
      <c r="DH3" t="s">
        <v>292</v>
      </c>
      <c r="DI3" t="s">
        <v>293</v>
      </c>
      <c r="DJ3" t="s">
        <v>294</v>
      </c>
      <c r="DK3" t="s">
        <v>295</v>
      </c>
    </row>
    <row r="4" spans="1:116" ht="15" x14ac:dyDescent="0.25">
      <c r="B4" t="s">
        <v>53</v>
      </c>
      <c r="C4" t="s">
        <v>296</v>
      </c>
      <c r="D4" t="s">
        <v>297</v>
      </c>
      <c r="E4" t="s">
        <v>298</v>
      </c>
      <c r="F4" t="s">
        <v>299</v>
      </c>
      <c r="G4" t="s">
        <v>300</v>
      </c>
      <c r="H4" t="s">
        <v>301</v>
      </c>
      <c r="I4" t="s">
        <v>302</v>
      </c>
      <c r="J4" t="s">
        <v>303</v>
      </c>
      <c r="K4" t="s">
        <v>304</v>
      </c>
      <c r="L4" t="s">
        <v>305</v>
      </c>
      <c r="M4" t="s">
        <v>306</v>
      </c>
      <c r="N4" t="s">
        <v>307</v>
      </c>
      <c r="O4" t="s">
        <v>308</v>
      </c>
      <c r="P4" t="s">
        <v>309</v>
      </c>
      <c r="Q4" t="s">
        <v>310</v>
      </c>
      <c r="R4" t="s">
        <v>311</v>
      </c>
      <c r="S4" t="s">
        <v>312</v>
      </c>
      <c r="T4" t="s">
        <v>313</v>
      </c>
      <c r="U4" t="s">
        <v>314</v>
      </c>
      <c r="V4" t="s">
        <v>315</v>
      </c>
      <c r="W4" t="s">
        <v>316</v>
      </c>
      <c r="X4" t="s">
        <v>317</v>
      </c>
      <c r="Y4" t="s">
        <v>318</v>
      </c>
      <c r="Z4" t="s">
        <v>319</v>
      </c>
      <c r="AA4" t="s">
        <v>320</v>
      </c>
      <c r="AB4" t="s">
        <v>321</v>
      </c>
      <c r="AC4" t="s">
        <v>322</v>
      </c>
      <c r="AD4" t="s">
        <v>323</v>
      </c>
      <c r="AE4" t="s">
        <v>324</v>
      </c>
      <c r="AF4" t="s">
        <v>325</v>
      </c>
      <c r="AG4" t="s">
        <v>326</v>
      </c>
      <c r="AH4" t="s">
        <v>327</v>
      </c>
      <c r="AI4" t="s">
        <v>328</v>
      </c>
      <c r="AJ4" t="s">
        <v>329</v>
      </c>
      <c r="AK4" t="s">
        <v>330</v>
      </c>
      <c r="AL4" t="s">
        <v>331</v>
      </c>
      <c r="AM4" t="s">
        <v>332</v>
      </c>
      <c r="AN4" t="s">
        <v>333</v>
      </c>
      <c r="AO4" t="s">
        <v>334</v>
      </c>
      <c r="AP4" t="s">
        <v>335</v>
      </c>
      <c r="AQ4" t="s">
        <v>336</v>
      </c>
      <c r="AR4" t="s">
        <v>337</v>
      </c>
      <c r="AS4" t="s">
        <v>338</v>
      </c>
      <c r="AT4" t="s">
        <v>339</v>
      </c>
      <c r="AU4" t="s">
        <v>340</v>
      </c>
      <c r="AV4" t="s">
        <v>341</v>
      </c>
      <c r="AW4" t="s">
        <v>342</v>
      </c>
      <c r="AX4" t="s">
        <v>343</v>
      </c>
      <c r="AY4" t="s">
        <v>344</v>
      </c>
      <c r="AZ4" t="s">
        <v>345</v>
      </c>
      <c r="BA4" t="s">
        <v>346</v>
      </c>
      <c r="BB4" t="s">
        <v>347</v>
      </c>
      <c r="BC4" t="s">
        <v>348</v>
      </c>
      <c r="BD4" t="s">
        <v>349</v>
      </c>
      <c r="BE4" t="s">
        <v>350</v>
      </c>
      <c r="BF4" t="s">
        <v>351</v>
      </c>
      <c r="BG4" t="s">
        <v>352</v>
      </c>
      <c r="BH4" t="s">
        <v>353</v>
      </c>
      <c r="BI4" t="s">
        <v>354</v>
      </c>
      <c r="BJ4" t="s">
        <v>355</v>
      </c>
      <c r="BK4" t="s">
        <v>356</v>
      </c>
      <c r="BL4" t="s">
        <v>357</v>
      </c>
      <c r="BM4" t="s">
        <v>358</v>
      </c>
      <c r="BN4" t="s">
        <v>359</v>
      </c>
      <c r="BO4" t="s">
        <v>360</v>
      </c>
      <c r="BP4" t="s">
        <v>361</v>
      </c>
      <c r="BQ4" t="s">
        <v>362</v>
      </c>
      <c r="BR4" t="s">
        <v>363</v>
      </c>
      <c r="BS4" t="s">
        <v>364</v>
      </c>
      <c r="BT4" t="s">
        <v>365</v>
      </c>
      <c r="BU4" t="s">
        <v>366</v>
      </c>
      <c r="BV4" t="s">
        <v>367</v>
      </c>
      <c r="BW4" t="s">
        <v>368</v>
      </c>
      <c r="BX4" t="s">
        <v>369</v>
      </c>
      <c r="BY4" t="s">
        <v>370</v>
      </c>
      <c r="BZ4" t="s">
        <v>371</v>
      </c>
      <c r="CA4" t="s">
        <v>372</v>
      </c>
      <c r="CB4" t="s">
        <v>373</v>
      </c>
      <c r="CC4" t="s">
        <v>374</v>
      </c>
      <c r="CD4" t="s">
        <v>375</v>
      </c>
      <c r="CE4" t="s">
        <v>376</v>
      </c>
      <c r="CF4" t="s">
        <v>377</v>
      </c>
      <c r="CG4" t="s">
        <v>378</v>
      </c>
      <c r="CH4" t="s">
        <v>379</v>
      </c>
      <c r="CI4" t="s">
        <v>380</v>
      </c>
      <c r="CJ4" t="s">
        <v>381</v>
      </c>
      <c r="CK4" t="s">
        <v>382</v>
      </c>
      <c r="CL4" t="s">
        <v>383</v>
      </c>
      <c r="CM4" t="s">
        <v>384</v>
      </c>
      <c r="CN4" t="s">
        <v>385</v>
      </c>
      <c r="CO4" t="s">
        <v>386</v>
      </c>
      <c r="CP4" t="s">
        <v>387</v>
      </c>
      <c r="CQ4" t="s">
        <v>388</v>
      </c>
      <c r="CR4" t="s">
        <v>389</v>
      </c>
      <c r="CS4" t="s">
        <v>390</v>
      </c>
      <c r="CT4" t="s">
        <v>391</v>
      </c>
      <c r="CU4" t="s">
        <v>392</v>
      </c>
      <c r="CV4" t="s">
        <v>393</v>
      </c>
      <c r="CW4" t="s">
        <v>394</v>
      </c>
      <c r="CX4" t="s">
        <v>395</v>
      </c>
      <c r="CY4" t="s">
        <v>396</v>
      </c>
      <c r="CZ4" t="s">
        <v>397</v>
      </c>
      <c r="DA4" t="s">
        <v>398</v>
      </c>
      <c r="DB4" t="s">
        <v>399</v>
      </c>
      <c r="DC4" t="s">
        <v>400</v>
      </c>
      <c r="DD4" t="s">
        <v>401</v>
      </c>
      <c r="DE4" t="s">
        <v>402</v>
      </c>
      <c r="DF4" t="s">
        <v>403</v>
      </c>
      <c r="DG4" t="s">
        <v>404</v>
      </c>
      <c r="DH4" t="s">
        <v>405</v>
      </c>
      <c r="DI4" t="s">
        <v>406</v>
      </c>
      <c r="DJ4" t="s">
        <v>407</v>
      </c>
      <c r="DK4" t="s">
        <v>408</v>
      </c>
      <c r="DL4" s="26" t="s">
        <v>57</v>
      </c>
    </row>
    <row r="5" spans="1:116" ht="15" x14ac:dyDescent="0.25">
      <c r="B5" t="s">
        <v>52</v>
      </c>
      <c r="C5" t="s">
        <v>51</v>
      </c>
      <c r="D5">
        <v>811846</v>
      </c>
      <c r="E5">
        <v>12462</v>
      </c>
      <c r="F5">
        <v>19247</v>
      </c>
      <c r="G5">
        <v>2279</v>
      </c>
      <c r="H5">
        <v>55022</v>
      </c>
      <c r="I5">
        <v>3693</v>
      </c>
      <c r="J5">
        <v>378013</v>
      </c>
      <c r="K5">
        <v>7738</v>
      </c>
      <c r="L5">
        <v>171352</v>
      </c>
      <c r="M5">
        <v>6191</v>
      </c>
      <c r="N5">
        <v>77443</v>
      </c>
      <c r="O5">
        <v>3878</v>
      </c>
      <c r="P5">
        <v>59568</v>
      </c>
      <c r="Q5">
        <v>3533</v>
      </c>
      <c r="R5">
        <v>51201</v>
      </c>
      <c r="S5">
        <v>2674</v>
      </c>
      <c r="T5">
        <v>474188</v>
      </c>
      <c r="U5">
        <v>11472</v>
      </c>
      <c r="V5">
        <v>8700</v>
      </c>
      <c r="W5">
        <v>1659</v>
      </c>
      <c r="X5">
        <v>30253</v>
      </c>
      <c r="Y5">
        <v>3050</v>
      </c>
      <c r="Z5">
        <v>213166</v>
      </c>
      <c r="AA5">
        <v>7866</v>
      </c>
      <c r="AB5">
        <v>105860</v>
      </c>
      <c r="AC5">
        <v>5588</v>
      </c>
      <c r="AD5">
        <v>48753</v>
      </c>
      <c r="AE5">
        <v>3993</v>
      </c>
      <c r="AF5">
        <v>37458</v>
      </c>
      <c r="AG5">
        <v>2876</v>
      </c>
      <c r="AH5">
        <v>29998</v>
      </c>
      <c r="AI5">
        <v>2156</v>
      </c>
      <c r="AJ5">
        <v>81196</v>
      </c>
      <c r="AK5">
        <v>5573</v>
      </c>
      <c r="AL5">
        <v>2831</v>
      </c>
      <c r="AM5">
        <v>968</v>
      </c>
      <c r="AN5">
        <v>7244</v>
      </c>
      <c r="AO5">
        <v>1667</v>
      </c>
      <c r="AP5">
        <v>37557</v>
      </c>
      <c r="AQ5">
        <v>3730</v>
      </c>
      <c r="AR5">
        <v>16590</v>
      </c>
      <c r="AS5">
        <v>2396</v>
      </c>
      <c r="AT5">
        <v>6481</v>
      </c>
      <c r="AU5">
        <v>1554</v>
      </c>
      <c r="AV5">
        <v>6783</v>
      </c>
      <c r="AW5">
        <v>1508</v>
      </c>
      <c r="AX5">
        <v>3710</v>
      </c>
      <c r="AY5">
        <v>928</v>
      </c>
      <c r="AZ5">
        <v>34316</v>
      </c>
      <c r="BA5">
        <v>3345</v>
      </c>
      <c r="BB5">
        <v>1413</v>
      </c>
      <c r="BC5">
        <v>800</v>
      </c>
      <c r="BD5">
        <v>3722</v>
      </c>
      <c r="BE5">
        <v>894</v>
      </c>
      <c r="BF5">
        <v>16645</v>
      </c>
      <c r="BG5">
        <v>2092</v>
      </c>
      <c r="BH5">
        <v>4922</v>
      </c>
      <c r="BI5">
        <v>1289</v>
      </c>
      <c r="BJ5">
        <v>2980</v>
      </c>
      <c r="BK5">
        <v>1125</v>
      </c>
      <c r="BL5">
        <v>2235</v>
      </c>
      <c r="BM5">
        <v>1095</v>
      </c>
      <c r="BN5">
        <v>2399</v>
      </c>
      <c r="BO5">
        <v>863</v>
      </c>
      <c r="BP5">
        <v>26621</v>
      </c>
      <c r="BQ5">
        <v>2817</v>
      </c>
      <c r="BR5">
        <v>3351</v>
      </c>
      <c r="BS5">
        <v>787</v>
      </c>
      <c r="BT5">
        <v>5587</v>
      </c>
      <c r="BU5">
        <v>1572</v>
      </c>
      <c r="BV5">
        <v>10296</v>
      </c>
      <c r="BW5">
        <v>1821</v>
      </c>
      <c r="BX5">
        <v>2892</v>
      </c>
      <c r="BY5">
        <v>1093</v>
      </c>
      <c r="BZ5">
        <v>1293</v>
      </c>
      <c r="CA5">
        <v>495</v>
      </c>
      <c r="CB5">
        <v>1647</v>
      </c>
      <c r="CC5">
        <v>560</v>
      </c>
      <c r="CD5">
        <v>1555</v>
      </c>
      <c r="CE5">
        <v>582</v>
      </c>
      <c r="CF5">
        <v>27243</v>
      </c>
      <c r="CG5">
        <v>3817</v>
      </c>
      <c r="CH5">
        <v>1586</v>
      </c>
      <c r="CI5">
        <v>761</v>
      </c>
      <c r="CJ5">
        <v>2920</v>
      </c>
      <c r="CK5">
        <v>1070</v>
      </c>
      <c r="CL5">
        <v>12598</v>
      </c>
      <c r="CM5">
        <v>2156</v>
      </c>
      <c r="CN5">
        <v>4591</v>
      </c>
      <c r="CO5">
        <v>1468</v>
      </c>
      <c r="CP5">
        <v>1822</v>
      </c>
      <c r="CQ5">
        <v>843</v>
      </c>
      <c r="CR5">
        <v>1487</v>
      </c>
      <c r="CS5">
        <v>745</v>
      </c>
      <c r="CT5">
        <v>2239</v>
      </c>
      <c r="CU5">
        <v>855</v>
      </c>
      <c r="CV5">
        <v>168282</v>
      </c>
      <c r="CW5">
        <v>8059</v>
      </c>
      <c r="CX5">
        <v>1366</v>
      </c>
      <c r="CY5">
        <v>652</v>
      </c>
      <c r="CZ5">
        <v>5296</v>
      </c>
      <c r="DA5">
        <v>1126</v>
      </c>
      <c r="DB5">
        <v>87751</v>
      </c>
      <c r="DC5">
        <v>5163</v>
      </c>
      <c r="DD5">
        <v>36497</v>
      </c>
      <c r="DE5">
        <v>3967</v>
      </c>
      <c r="DF5">
        <v>16114</v>
      </c>
      <c r="DG5">
        <v>2405</v>
      </c>
      <c r="DH5">
        <v>9958</v>
      </c>
      <c r="DI5">
        <v>1598</v>
      </c>
      <c r="DJ5">
        <v>11300</v>
      </c>
      <c r="DK5">
        <v>1773</v>
      </c>
      <c r="DL5" s="27">
        <f>CV5/D5</f>
        <v>0.20728315468697264</v>
      </c>
    </row>
    <row r="6" spans="1:116" ht="15" x14ac:dyDescent="0.25">
      <c r="B6" t="s">
        <v>50</v>
      </c>
      <c r="C6" t="s">
        <v>49</v>
      </c>
      <c r="D6">
        <v>430434</v>
      </c>
      <c r="E6">
        <v>9093</v>
      </c>
      <c r="F6">
        <v>14323</v>
      </c>
      <c r="G6">
        <v>2141</v>
      </c>
      <c r="H6">
        <v>32943</v>
      </c>
      <c r="I6">
        <v>3220</v>
      </c>
      <c r="J6">
        <v>178628</v>
      </c>
      <c r="K6">
        <v>6731</v>
      </c>
      <c r="L6">
        <v>92512</v>
      </c>
      <c r="M6">
        <v>4201</v>
      </c>
      <c r="N6">
        <v>40752</v>
      </c>
      <c r="O6">
        <v>3789</v>
      </c>
      <c r="P6">
        <v>38483</v>
      </c>
      <c r="Q6">
        <v>3468</v>
      </c>
      <c r="R6">
        <v>32793</v>
      </c>
      <c r="S6">
        <v>2729</v>
      </c>
      <c r="T6">
        <v>260910</v>
      </c>
      <c r="U6">
        <v>8328</v>
      </c>
      <c r="V6">
        <v>8466</v>
      </c>
      <c r="W6">
        <v>1614</v>
      </c>
      <c r="X6">
        <v>21775</v>
      </c>
      <c r="Y6">
        <v>2480</v>
      </c>
      <c r="Z6">
        <v>109025</v>
      </c>
      <c r="AA6">
        <v>5450</v>
      </c>
      <c r="AB6">
        <v>54093</v>
      </c>
      <c r="AC6">
        <v>3818</v>
      </c>
      <c r="AD6">
        <v>25865</v>
      </c>
      <c r="AE6">
        <v>2827</v>
      </c>
      <c r="AF6">
        <v>23294</v>
      </c>
      <c r="AG6">
        <v>2826</v>
      </c>
      <c r="AH6">
        <v>18392</v>
      </c>
      <c r="AI6">
        <v>2056</v>
      </c>
      <c r="AJ6">
        <v>42741</v>
      </c>
      <c r="AK6">
        <v>5054</v>
      </c>
      <c r="AL6">
        <v>2847</v>
      </c>
      <c r="AM6">
        <v>1079</v>
      </c>
      <c r="AN6">
        <v>5032</v>
      </c>
      <c r="AO6">
        <v>1399</v>
      </c>
      <c r="AP6">
        <v>17542</v>
      </c>
      <c r="AQ6">
        <v>3147</v>
      </c>
      <c r="AR6">
        <v>8221</v>
      </c>
      <c r="AS6">
        <v>1729</v>
      </c>
      <c r="AT6">
        <v>3574</v>
      </c>
      <c r="AU6">
        <v>1386</v>
      </c>
      <c r="AV6">
        <v>3025</v>
      </c>
      <c r="AW6">
        <v>961</v>
      </c>
      <c r="AX6">
        <v>2500</v>
      </c>
      <c r="AY6">
        <v>814</v>
      </c>
      <c r="AZ6">
        <v>6632</v>
      </c>
      <c r="BA6">
        <v>1648</v>
      </c>
      <c r="BB6">
        <v>461</v>
      </c>
      <c r="BC6">
        <v>379</v>
      </c>
      <c r="BD6">
        <v>569</v>
      </c>
      <c r="BE6">
        <v>420</v>
      </c>
      <c r="BF6">
        <v>2609</v>
      </c>
      <c r="BG6">
        <v>1093</v>
      </c>
      <c r="BH6">
        <v>836</v>
      </c>
      <c r="BI6">
        <v>453</v>
      </c>
      <c r="BJ6">
        <v>702</v>
      </c>
      <c r="BK6">
        <v>563</v>
      </c>
      <c r="BL6">
        <v>300</v>
      </c>
      <c r="BM6">
        <v>297</v>
      </c>
      <c r="BN6">
        <v>1155</v>
      </c>
      <c r="BO6">
        <v>739</v>
      </c>
      <c r="BP6">
        <v>10236</v>
      </c>
      <c r="BQ6">
        <v>1897</v>
      </c>
      <c r="BR6">
        <v>926</v>
      </c>
      <c r="BS6">
        <v>498</v>
      </c>
      <c r="BT6">
        <v>826</v>
      </c>
      <c r="BU6">
        <v>520</v>
      </c>
      <c r="BV6">
        <v>3346</v>
      </c>
      <c r="BW6">
        <v>1085</v>
      </c>
      <c r="BX6">
        <v>2273</v>
      </c>
      <c r="BY6">
        <v>986</v>
      </c>
      <c r="BZ6">
        <v>1005</v>
      </c>
      <c r="CA6">
        <v>614</v>
      </c>
      <c r="CB6">
        <v>1094</v>
      </c>
      <c r="CC6">
        <v>418</v>
      </c>
      <c r="CD6">
        <v>766</v>
      </c>
      <c r="CE6">
        <v>528</v>
      </c>
      <c r="CF6">
        <v>10544</v>
      </c>
      <c r="CG6">
        <v>1810</v>
      </c>
      <c r="CH6">
        <v>534</v>
      </c>
      <c r="CI6">
        <v>431</v>
      </c>
      <c r="CJ6">
        <v>1907</v>
      </c>
      <c r="CK6">
        <v>1286</v>
      </c>
      <c r="CL6">
        <v>3947</v>
      </c>
      <c r="CM6">
        <v>1032</v>
      </c>
      <c r="CN6">
        <v>2043</v>
      </c>
      <c r="CO6">
        <v>754</v>
      </c>
      <c r="CP6">
        <v>455</v>
      </c>
      <c r="CQ6">
        <v>274</v>
      </c>
      <c r="CR6">
        <v>817</v>
      </c>
      <c r="CS6">
        <v>564</v>
      </c>
      <c r="CT6">
        <v>841</v>
      </c>
      <c r="CU6">
        <v>475</v>
      </c>
      <c r="CV6">
        <v>99371</v>
      </c>
      <c r="CW6">
        <v>5645</v>
      </c>
      <c r="CX6">
        <v>1089</v>
      </c>
      <c r="CY6">
        <v>523</v>
      </c>
      <c r="CZ6">
        <v>2834</v>
      </c>
      <c r="DA6">
        <v>1007</v>
      </c>
      <c r="DB6">
        <v>42159</v>
      </c>
      <c r="DC6">
        <v>3065</v>
      </c>
      <c r="DD6">
        <v>25046</v>
      </c>
      <c r="DE6">
        <v>2522</v>
      </c>
      <c r="DF6">
        <v>9151</v>
      </c>
      <c r="DG6">
        <v>1766</v>
      </c>
      <c r="DH6">
        <v>9953</v>
      </c>
      <c r="DI6">
        <v>1682</v>
      </c>
      <c r="DJ6">
        <v>9139</v>
      </c>
      <c r="DK6">
        <v>1540</v>
      </c>
      <c r="DL6" s="27">
        <f t="shared" ref="DL6:DL14" si="0">CV6/D6</f>
        <v>0.23086233894162636</v>
      </c>
    </row>
    <row r="7" spans="1:116" ht="15" x14ac:dyDescent="0.25">
      <c r="B7" t="s">
        <v>48</v>
      </c>
      <c r="C7" t="s">
        <v>47</v>
      </c>
      <c r="D7">
        <v>126860</v>
      </c>
      <c r="E7">
        <v>5350</v>
      </c>
      <c r="F7">
        <v>4210</v>
      </c>
      <c r="G7">
        <v>1161</v>
      </c>
      <c r="H7">
        <v>9250</v>
      </c>
      <c r="I7">
        <v>1840</v>
      </c>
      <c r="J7">
        <v>41766</v>
      </c>
      <c r="K7">
        <v>3435</v>
      </c>
      <c r="L7">
        <v>29268</v>
      </c>
      <c r="M7">
        <v>2312</v>
      </c>
      <c r="N7">
        <v>15050</v>
      </c>
      <c r="O7">
        <v>1900</v>
      </c>
      <c r="P7">
        <v>10668</v>
      </c>
      <c r="Q7">
        <v>1777</v>
      </c>
      <c r="R7">
        <v>16648</v>
      </c>
      <c r="S7">
        <v>1702</v>
      </c>
      <c r="T7">
        <v>73800</v>
      </c>
      <c r="U7">
        <v>5376</v>
      </c>
      <c r="V7">
        <v>2236</v>
      </c>
      <c r="W7">
        <v>827</v>
      </c>
      <c r="X7">
        <v>5313</v>
      </c>
      <c r="Y7">
        <v>1280</v>
      </c>
      <c r="Z7">
        <v>25830</v>
      </c>
      <c r="AA7">
        <v>3590</v>
      </c>
      <c r="AB7">
        <v>16819</v>
      </c>
      <c r="AC7">
        <v>2280</v>
      </c>
      <c r="AD7">
        <v>9049</v>
      </c>
      <c r="AE7">
        <v>1412</v>
      </c>
      <c r="AF7">
        <v>5478</v>
      </c>
      <c r="AG7">
        <v>1074</v>
      </c>
      <c r="AH7">
        <v>9075</v>
      </c>
      <c r="AI7">
        <v>1413</v>
      </c>
      <c r="AJ7">
        <v>9436</v>
      </c>
      <c r="AK7">
        <v>2162</v>
      </c>
      <c r="AL7">
        <v>782</v>
      </c>
      <c r="AM7">
        <v>566</v>
      </c>
      <c r="AN7">
        <v>1544</v>
      </c>
      <c r="AO7">
        <v>950</v>
      </c>
      <c r="AP7">
        <v>3509</v>
      </c>
      <c r="AQ7">
        <v>1163</v>
      </c>
      <c r="AR7">
        <v>1922</v>
      </c>
      <c r="AS7">
        <v>659</v>
      </c>
      <c r="AT7">
        <v>634</v>
      </c>
      <c r="AU7">
        <v>441</v>
      </c>
      <c r="AV7">
        <v>739</v>
      </c>
      <c r="AW7">
        <v>547</v>
      </c>
      <c r="AX7">
        <v>306</v>
      </c>
      <c r="AY7">
        <v>251</v>
      </c>
      <c r="AZ7">
        <v>2823</v>
      </c>
      <c r="BA7">
        <v>954</v>
      </c>
      <c r="BB7">
        <v>0</v>
      </c>
      <c r="BC7">
        <v>210</v>
      </c>
      <c r="BD7">
        <v>93</v>
      </c>
      <c r="BE7">
        <v>160</v>
      </c>
      <c r="BF7">
        <v>1149</v>
      </c>
      <c r="BG7">
        <v>640</v>
      </c>
      <c r="BH7">
        <v>640</v>
      </c>
      <c r="BI7">
        <v>413</v>
      </c>
      <c r="BJ7">
        <v>495</v>
      </c>
      <c r="BK7">
        <v>387</v>
      </c>
      <c r="BL7">
        <v>252</v>
      </c>
      <c r="BM7">
        <v>223</v>
      </c>
      <c r="BN7">
        <v>194</v>
      </c>
      <c r="BO7">
        <v>148</v>
      </c>
      <c r="BP7">
        <v>5578</v>
      </c>
      <c r="BQ7">
        <v>1578</v>
      </c>
      <c r="BR7">
        <v>999</v>
      </c>
      <c r="BS7">
        <v>686</v>
      </c>
      <c r="BT7">
        <v>923</v>
      </c>
      <c r="BU7">
        <v>704</v>
      </c>
      <c r="BV7">
        <v>828</v>
      </c>
      <c r="BW7">
        <v>432</v>
      </c>
      <c r="BX7">
        <v>950</v>
      </c>
      <c r="BY7">
        <v>521</v>
      </c>
      <c r="BZ7">
        <v>273</v>
      </c>
      <c r="CA7">
        <v>272</v>
      </c>
      <c r="CB7">
        <v>822</v>
      </c>
      <c r="CC7">
        <v>962</v>
      </c>
      <c r="CD7">
        <v>783</v>
      </c>
      <c r="CE7">
        <v>423</v>
      </c>
      <c r="CF7">
        <v>3348</v>
      </c>
      <c r="CG7">
        <v>1079</v>
      </c>
      <c r="CH7">
        <v>0</v>
      </c>
      <c r="CI7">
        <v>210</v>
      </c>
      <c r="CJ7">
        <v>181</v>
      </c>
      <c r="CK7">
        <v>239</v>
      </c>
      <c r="CL7">
        <v>1182</v>
      </c>
      <c r="CM7">
        <v>647</v>
      </c>
      <c r="CN7">
        <v>1206</v>
      </c>
      <c r="CO7">
        <v>605</v>
      </c>
      <c r="CP7">
        <v>240</v>
      </c>
      <c r="CQ7">
        <v>249</v>
      </c>
      <c r="CR7">
        <v>228</v>
      </c>
      <c r="CS7">
        <v>200</v>
      </c>
      <c r="CT7">
        <v>311</v>
      </c>
      <c r="CU7">
        <v>220</v>
      </c>
      <c r="CV7">
        <v>31875</v>
      </c>
      <c r="CW7">
        <v>2945</v>
      </c>
      <c r="CX7">
        <v>193</v>
      </c>
      <c r="CY7">
        <v>227</v>
      </c>
      <c r="CZ7">
        <v>1196</v>
      </c>
      <c r="DA7">
        <v>580</v>
      </c>
      <c r="DB7">
        <v>9268</v>
      </c>
      <c r="DC7">
        <v>1631</v>
      </c>
      <c r="DD7">
        <v>7731</v>
      </c>
      <c r="DE7">
        <v>1430</v>
      </c>
      <c r="DF7">
        <v>4359</v>
      </c>
      <c r="DG7">
        <v>1184</v>
      </c>
      <c r="DH7">
        <v>3149</v>
      </c>
      <c r="DI7">
        <v>861</v>
      </c>
      <c r="DJ7">
        <v>5979</v>
      </c>
      <c r="DK7">
        <v>1049</v>
      </c>
      <c r="DL7" s="27">
        <f t="shared" si="0"/>
        <v>0.25126123285511587</v>
      </c>
    </row>
    <row r="8" spans="1:116" ht="15" x14ac:dyDescent="0.25">
      <c r="B8" t="s">
        <v>46</v>
      </c>
      <c r="C8" t="s">
        <v>45</v>
      </c>
      <c r="D8">
        <v>80661</v>
      </c>
      <c r="E8">
        <v>4045</v>
      </c>
      <c r="F8">
        <v>2293</v>
      </c>
      <c r="G8">
        <v>753</v>
      </c>
      <c r="H8">
        <v>6594</v>
      </c>
      <c r="I8">
        <v>1172</v>
      </c>
      <c r="J8">
        <v>35407</v>
      </c>
      <c r="K8">
        <v>2724</v>
      </c>
      <c r="L8">
        <v>16761</v>
      </c>
      <c r="M8">
        <v>1656</v>
      </c>
      <c r="N8">
        <v>6452</v>
      </c>
      <c r="O8">
        <v>1180</v>
      </c>
      <c r="P8">
        <v>6759</v>
      </c>
      <c r="Q8">
        <v>1290</v>
      </c>
      <c r="R8">
        <v>6395</v>
      </c>
      <c r="S8">
        <v>1285</v>
      </c>
      <c r="T8">
        <v>58117</v>
      </c>
      <c r="U8">
        <v>3849</v>
      </c>
      <c r="V8">
        <v>1246</v>
      </c>
      <c r="W8">
        <v>539</v>
      </c>
      <c r="X8">
        <v>4573</v>
      </c>
      <c r="Y8">
        <v>1013</v>
      </c>
      <c r="Z8">
        <v>25802</v>
      </c>
      <c r="AA8">
        <v>2527</v>
      </c>
      <c r="AB8">
        <v>12348</v>
      </c>
      <c r="AC8">
        <v>1487</v>
      </c>
      <c r="AD8">
        <v>4231</v>
      </c>
      <c r="AE8">
        <v>891</v>
      </c>
      <c r="AF8">
        <v>4992</v>
      </c>
      <c r="AG8">
        <v>1022</v>
      </c>
      <c r="AH8">
        <v>4925</v>
      </c>
      <c r="AI8">
        <v>1206</v>
      </c>
      <c r="AJ8">
        <v>8245</v>
      </c>
      <c r="AK8">
        <v>2250</v>
      </c>
      <c r="AL8">
        <v>220</v>
      </c>
      <c r="AM8">
        <v>233</v>
      </c>
      <c r="AN8">
        <v>1243</v>
      </c>
      <c r="AO8">
        <v>822</v>
      </c>
      <c r="AP8">
        <v>4807</v>
      </c>
      <c r="AQ8">
        <v>1653</v>
      </c>
      <c r="AR8">
        <v>1044</v>
      </c>
      <c r="AS8">
        <v>512</v>
      </c>
      <c r="AT8">
        <v>506</v>
      </c>
      <c r="AU8">
        <v>390</v>
      </c>
      <c r="AV8">
        <v>348</v>
      </c>
      <c r="AW8">
        <v>328</v>
      </c>
      <c r="AX8">
        <v>77</v>
      </c>
      <c r="AY8">
        <v>96</v>
      </c>
      <c r="AZ8">
        <v>266</v>
      </c>
      <c r="BA8">
        <v>271</v>
      </c>
      <c r="BB8">
        <v>0</v>
      </c>
      <c r="BC8">
        <v>210</v>
      </c>
      <c r="BD8">
        <v>0</v>
      </c>
      <c r="BE8">
        <v>210</v>
      </c>
      <c r="BF8">
        <v>154</v>
      </c>
      <c r="BG8">
        <v>241</v>
      </c>
      <c r="BH8">
        <v>70</v>
      </c>
      <c r="BI8">
        <v>120</v>
      </c>
      <c r="BJ8">
        <v>0</v>
      </c>
      <c r="BK8">
        <v>210</v>
      </c>
      <c r="BL8">
        <v>0</v>
      </c>
      <c r="BM8">
        <v>210</v>
      </c>
      <c r="BN8">
        <v>42</v>
      </c>
      <c r="BO8">
        <v>5</v>
      </c>
      <c r="BP8">
        <v>3712</v>
      </c>
      <c r="BQ8">
        <v>1252</v>
      </c>
      <c r="BR8">
        <v>827</v>
      </c>
      <c r="BS8">
        <v>718</v>
      </c>
      <c r="BT8">
        <v>324</v>
      </c>
      <c r="BU8">
        <v>181</v>
      </c>
      <c r="BV8">
        <v>1206</v>
      </c>
      <c r="BW8">
        <v>752</v>
      </c>
      <c r="BX8">
        <v>200</v>
      </c>
      <c r="BY8">
        <v>252</v>
      </c>
      <c r="BZ8">
        <v>256</v>
      </c>
      <c r="CA8">
        <v>241</v>
      </c>
      <c r="CB8">
        <v>513</v>
      </c>
      <c r="CC8">
        <v>446</v>
      </c>
      <c r="CD8">
        <v>386</v>
      </c>
      <c r="CE8">
        <v>354</v>
      </c>
      <c r="CF8">
        <v>1561</v>
      </c>
      <c r="CG8">
        <v>783</v>
      </c>
      <c r="CH8">
        <v>0</v>
      </c>
      <c r="CI8">
        <v>210</v>
      </c>
      <c r="CJ8">
        <v>235</v>
      </c>
      <c r="CK8">
        <v>307</v>
      </c>
      <c r="CL8">
        <v>406</v>
      </c>
      <c r="CM8">
        <v>399</v>
      </c>
      <c r="CN8">
        <v>466</v>
      </c>
      <c r="CO8">
        <v>496</v>
      </c>
      <c r="CP8">
        <v>224</v>
      </c>
      <c r="CQ8">
        <v>191</v>
      </c>
      <c r="CR8">
        <v>169</v>
      </c>
      <c r="CS8">
        <v>181</v>
      </c>
      <c r="CT8">
        <v>61</v>
      </c>
      <c r="CU8">
        <v>121</v>
      </c>
      <c r="CV8">
        <v>8760</v>
      </c>
      <c r="CW8">
        <v>1640</v>
      </c>
      <c r="CX8">
        <v>0</v>
      </c>
      <c r="CY8">
        <v>210</v>
      </c>
      <c r="CZ8">
        <v>219</v>
      </c>
      <c r="DA8">
        <v>157</v>
      </c>
      <c r="DB8">
        <v>3032</v>
      </c>
      <c r="DC8">
        <v>982</v>
      </c>
      <c r="DD8">
        <v>2633</v>
      </c>
      <c r="DE8">
        <v>800</v>
      </c>
      <c r="DF8">
        <v>1235</v>
      </c>
      <c r="DG8">
        <v>462</v>
      </c>
      <c r="DH8">
        <v>737</v>
      </c>
      <c r="DI8">
        <v>471</v>
      </c>
      <c r="DJ8">
        <v>904</v>
      </c>
      <c r="DK8">
        <v>376</v>
      </c>
      <c r="DL8" s="27">
        <f t="shared" si="0"/>
        <v>0.10860267043552646</v>
      </c>
    </row>
    <row r="9" spans="1:116" ht="15" x14ac:dyDescent="0.25">
      <c r="B9" t="s">
        <v>44</v>
      </c>
      <c r="C9" t="s">
        <v>43</v>
      </c>
      <c r="D9">
        <v>639133</v>
      </c>
      <c r="E9">
        <v>13016</v>
      </c>
      <c r="F9">
        <v>7500</v>
      </c>
      <c r="G9">
        <v>1303</v>
      </c>
      <c r="H9">
        <v>39017</v>
      </c>
      <c r="I9">
        <v>3035</v>
      </c>
      <c r="J9">
        <v>335321</v>
      </c>
      <c r="K9">
        <v>8317</v>
      </c>
      <c r="L9">
        <v>123760</v>
      </c>
      <c r="M9">
        <v>4834</v>
      </c>
      <c r="N9">
        <v>52415</v>
      </c>
      <c r="O9">
        <v>3708</v>
      </c>
      <c r="P9">
        <v>41115</v>
      </c>
      <c r="Q9">
        <v>3340</v>
      </c>
      <c r="R9">
        <v>40005</v>
      </c>
      <c r="S9">
        <v>3529</v>
      </c>
      <c r="T9">
        <v>228535</v>
      </c>
      <c r="U9">
        <v>9918</v>
      </c>
      <c r="V9">
        <v>1441</v>
      </c>
      <c r="W9">
        <v>625</v>
      </c>
      <c r="X9">
        <v>10708</v>
      </c>
      <c r="Y9">
        <v>2043</v>
      </c>
      <c r="Z9">
        <v>108858</v>
      </c>
      <c r="AA9">
        <v>6134</v>
      </c>
      <c r="AB9">
        <v>51183</v>
      </c>
      <c r="AC9">
        <v>3816</v>
      </c>
      <c r="AD9">
        <v>23240</v>
      </c>
      <c r="AE9">
        <v>2930</v>
      </c>
      <c r="AF9">
        <v>16732</v>
      </c>
      <c r="AG9">
        <v>2590</v>
      </c>
      <c r="AH9">
        <v>16373</v>
      </c>
      <c r="AI9">
        <v>2386</v>
      </c>
      <c r="AJ9">
        <v>50143</v>
      </c>
      <c r="AK9">
        <v>4661</v>
      </c>
      <c r="AL9">
        <v>1143</v>
      </c>
      <c r="AM9">
        <v>611</v>
      </c>
      <c r="AN9">
        <v>2412</v>
      </c>
      <c r="AO9">
        <v>923</v>
      </c>
      <c r="AP9">
        <v>24210</v>
      </c>
      <c r="AQ9">
        <v>2734</v>
      </c>
      <c r="AR9">
        <v>10665</v>
      </c>
      <c r="AS9">
        <v>1992</v>
      </c>
      <c r="AT9">
        <v>5073</v>
      </c>
      <c r="AU9">
        <v>1421</v>
      </c>
      <c r="AV9">
        <v>3638</v>
      </c>
      <c r="AW9">
        <v>1142</v>
      </c>
      <c r="AX9">
        <v>3002</v>
      </c>
      <c r="AY9">
        <v>869</v>
      </c>
      <c r="AZ9">
        <v>166996</v>
      </c>
      <c r="BA9">
        <v>8295</v>
      </c>
      <c r="BB9">
        <v>2165</v>
      </c>
      <c r="BC9">
        <v>834</v>
      </c>
      <c r="BD9">
        <v>14355</v>
      </c>
      <c r="BE9">
        <v>2116</v>
      </c>
      <c r="BF9">
        <v>90785</v>
      </c>
      <c r="BG9">
        <v>6345</v>
      </c>
      <c r="BH9">
        <v>28050</v>
      </c>
      <c r="BI9">
        <v>3018</v>
      </c>
      <c r="BJ9">
        <v>11169</v>
      </c>
      <c r="BK9">
        <v>1727</v>
      </c>
      <c r="BL9">
        <v>10874</v>
      </c>
      <c r="BM9">
        <v>1826</v>
      </c>
      <c r="BN9">
        <v>9598</v>
      </c>
      <c r="BO9">
        <v>1669</v>
      </c>
      <c r="BP9">
        <v>46920</v>
      </c>
      <c r="BQ9">
        <v>3850</v>
      </c>
      <c r="BR9">
        <v>1701</v>
      </c>
      <c r="BS9">
        <v>656</v>
      </c>
      <c r="BT9">
        <v>4573</v>
      </c>
      <c r="BU9">
        <v>1176</v>
      </c>
      <c r="BV9">
        <v>27250</v>
      </c>
      <c r="BW9">
        <v>3137</v>
      </c>
      <c r="BX9">
        <v>7377</v>
      </c>
      <c r="BY9">
        <v>1682</v>
      </c>
      <c r="BZ9">
        <v>2710</v>
      </c>
      <c r="CA9">
        <v>828</v>
      </c>
      <c r="CB9">
        <v>2271</v>
      </c>
      <c r="CC9">
        <v>731</v>
      </c>
      <c r="CD9">
        <v>1038</v>
      </c>
      <c r="CE9">
        <v>380</v>
      </c>
      <c r="CF9">
        <v>34197</v>
      </c>
      <c r="CG9">
        <v>3634</v>
      </c>
      <c r="CH9">
        <v>493</v>
      </c>
      <c r="CI9">
        <v>305</v>
      </c>
      <c r="CJ9">
        <v>1974</v>
      </c>
      <c r="CK9">
        <v>885</v>
      </c>
      <c r="CL9">
        <v>19145</v>
      </c>
      <c r="CM9">
        <v>2616</v>
      </c>
      <c r="CN9">
        <v>6646</v>
      </c>
      <c r="CO9">
        <v>1404</v>
      </c>
      <c r="CP9">
        <v>2157</v>
      </c>
      <c r="CQ9">
        <v>687</v>
      </c>
      <c r="CR9">
        <v>1545</v>
      </c>
      <c r="CS9">
        <v>698</v>
      </c>
      <c r="CT9">
        <v>2237</v>
      </c>
      <c r="CU9">
        <v>904</v>
      </c>
      <c r="CV9">
        <v>112342</v>
      </c>
      <c r="CW9">
        <v>5579</v>
      </c>
      <c r="CX9">
        <v>557</v>
      </c>
      <c r="CY9">
        <v>367</v>
      </c>
      <c r="CZ9">
        <v>4995</v>
      </c>
      <c r="DA9">
        <v>1032</v>
      </c>
      <c r="DB9">
        <v>65073</v>
      </c>
      <c r="DC9">
        <v>4632</v>
      </c>
      <c r="DD9">
        <v>19839</v>
      </c>
      <c r="DE9">
        <v>2155</v>
      </c>
      <c r="DF9">
        <v>8066</v>
      </c>
      <c r="DG9">
        <v>1556</v>
      </c>
      <c r="DH9">
        <v>6055</v>
      </c>
      <c r="DI9">
        <v>1238</v>
      </c>
      <c r="DJ9">
        <v>7757</v>
      </c>
      <c r="DK9">
        <v>1368</v>
      </c>
      <c r="DL9" s="27">
        <f t="shared" si="0"/>
        <v>0.17577249179748189</v>
      </c>
    </row>
    <row r="10" spans="1:116" ht="15" x14ac:dyDescent="0.25">
      <c r="B10" t="s">
        <v>42</v>
      </c>
      <c r="C10" t="s">
        <v>41</v>
      </c>
      <c r="D10">
        <v>420844</v>
      </c>
      <c r="E10">
        <v>9498</v>
      </c>
      <c r="F10">
        <v>7729</v>
      </c>
      <c r="G10">
        <v>1638</v>
      </c>
      <c r="H10">
        <v>27348</v>
      </c>
      <c r="I10">
        <v>2608</v>
      </c>
      <c r="J10">
        <v>199772</v>
      </c>
      <c r="K10">
        <v>7463</v>
      </c>
      <c r="L10">
        <v>87009</v>
      </c>
      <c r="M10">
        <v>4160</v>
      </c>
      <c r="N10">
        <v>37601</v>
      </c>
      <c r="O10">
        <v>2639</v>
      </c>
      <c r="P10">
        <v>34196</v>
      </c>
      <c r="Q10">
        <v>3289</v>
      </c>
      <c r="R10">
        <v>27189</v>
      </c>
      <c r="S10">
        <v>2181</v>
      </c>
      <c r="T10">
        <v>260040</v>
      </c>
      <c r="U10">
        <v>9719</v>
      </c>
      <c r="V10">
        <v>3747</v>
      </c>
      <c r="W10">
        <v>1014</v>
      </c>
      <c r="X10">
        <v>16847</v>
      </c>
      <c r="Y10">
        <v>2443</v>
      </c>
      <c r="Z10">
        <v>123977</v>
      </c>
      <c r="AA10">
        <v>6589</v>
      </c>
      <c r="AB10">
        <v>53947</v>
      </c>
      <c r="AC10">
        <v>3972</v>
      </c>
      <c r="AD10">
        <v>24622</v>
      </c>
      <c r="AE10">
        <v>2394</v>
      </c>
      <c r="AF10">
        <v>21588</v>
      </c>
      <c r="AG10">
        <v>2726</v>
      </c>
      <c r="AH10">
        <v>15312</v>
      </c>
      <c r="AI10">
        <v>1744</v>
      </c>
      <c r="AJ10">
        <v>41825</v>
      </c>
      <c r="AK10">
        <v>4564</v>
      </c>
      <c r="AL10">
        <v>1045</v>
      </c>
      <c r="AM10">
        <v>532</v>
      </c>
      <c r="AN10">
        <v>3057</v>
      </c>
      <c r="AO10">
        <v>1024</v>
      </c>
      <c r="AP10">
        <v>19501</v>
      </c>
      <c r="AQ10">
        <v>2747</v>
      </c>
      <c r="AR10">
        <v>8953</v>
      </c>
      <c r="AS10">
        <v>1693</v>
      </c>
      <c r="AT10">
        <v>3264</v>
      </c>
      <c r="AU10">
        <v>911</v>
      </c>
      <c r="AV10">
        <v>4052</v>
      </c>
      <c r="AW10">
        <v>1272</v>
      </c>
      <c r="AX10">
        <v>1953</v>
      </c>
      <c r="AY10">
        <v>697</v>
      </c>
      <c r="AZ10">
        <v>25513</v>
      </c>
      <c r="BA10">
        <v>3475</v>
      </c>
      <c r="BB10">
        <v>632</v>
      </c>
      <c r="BC10">
        <v>462</v>
      </c>
      <c r="BD10">
        <v>2716</v>
      </c>
      <c r="BE10">
        <v>1069</v>
      </c>
      <c r="BF10">
        <v>14108</v>
      </c>
      <c r="BG10">
        <v>2373</v>
      </c>
      <c r="BH10">
        <v>3358</v>
      </c>
      <c r="BI10">
        <v>1112</v>
      </c>
      <c r="BJ10">
        <v>863</v>
      </c>
      <c r="BK10">
        <v>433</v>
      </c>
      <c r="BL10">
        <v>1617</v>
      </c>
      <c r="BM10">
        <v>702</v>
      </c>
      <c r="BN10">
        <v>2219</v>
      </c>
      <c r="BO10">
        <v>752</v>
      </c>
      <c r="BP10">
        <v>9435</v>
      </c>
      <c r="BQ10">
        <v>1781</v>
      </c>
      <c r="BR10">
        <v>648</v>
      </c>
      <c r="BS10">
        <v>429</v>
      </c>
      <c r="BT10">
        <v>1219</v>
      </c>
      <c r="BU10">
        <v>588</v>
      </c>
      <c r="BV10">
        <v>3836</v>
      </c>
      <c r="BW10">
        <v>1111</v>
      </c>
      <c r="BX10">
        <v>1900</v>
      </c>
      <c r="BY10">
        <v>585</v>
      </c>
      <c r="BZ10">
        <v>1202</v>
      </c>
      <c r="CA10">
        <v>738</v>
      </c>
      <c r="CB10">
        <v>309</v>
      </c>
      <c r="CC10">
        <v>248</v>
      </c>
      <c r="CD10">
        <v>321</v>
      </c>
      <c r="CE10">
        <v>224</v>
      </c>
      <c r="CF10">
        <v>14103</v>
      </c>
      <c r="CG10">
        <v>2427</v>
      </c>
      <c r="CH10">
        <v>1051</v>
      </c>
      <c r="CI10">
        <v>730</v>
      </c>
      <c r="CJ10">
        <v>1460</v>
      </c>
      <c r="CK10">
        <v>844</v>
      </c>
      <c r="CL10">
        <v>5662</v>
      </c>
      <c r="CM10">
        <v>1550</v>
      </c>
      <c r="CN10">
        <v>2403</v>
      </c>
      <c r="CO10">
        <v>948</v>
      </c>
      <c r="CP10">
        <v>1542</v>
      </c>
      <c r="CQ10">
        <v>618</v>
      </c>
      <c r="CR10">
        <v>1077</v>
      </c>
      <c r="CS10">
        <v>760</v>
      </c>
      <c r="CT10">
        <v>908</v>
      </c>
      <c r="CU10">
        <v>473</v>
      </c>
      <c r="CV10">
        <v>69928</v>
      </c>
      <c r="CW10">
        <v>4207</v>
      </c>
      <c r="CX10">
        <v>606</v>
      </c>
      <c r="CY10">
        <v>531</v>
      </c>
      <c r="CZ10">
        <v>2049</v>
      </c>
      <c r="DA10">
        <v>880</v>
      </c>
      <c r="DB10">
        <v>32688</v>
      </c>
      <c r="DC10">
        <v>3647</v>
      </c>
      <c r="DD10">
        <v>16448</v>
      </c>
      <c r="DE10">
        <v>2103</v>
      </c>
      <c r="DF10">
        <v>6108</v>
      </c>
      <c r="DG10">
        <v>1359</v>
      </c>
      <c r="DH10">
        <v>5553</v>
      </c>
      <c r="DI10">
        <v>1057</v>
      </c>
      <c r="DJ10">
        <v>6476</v>
      </c>
      <c r="DK10">
        <v>1099</v>
      </c>
      <c r="DL10" s="27">
        <f t="shared" si="0"/>
        <v>0.166161332940472</v>
      </c>
    </row>
    <row r="11" spans="1:116" ht="15" x14ac:dyDescent="0.25">
      <c r="B11" t="s">
        <v>40</v>
      </c>
      <c r="C11" t="s">
        <v>39</v>
      </c>
      <c r="D11">
        <v>1122756</v>
      </c>
      <c r="E11">
        <v>15721</v>
      </c>
      <c r="F11">
        <v>29783</v>
      </c>
      <c r="G11">
        <v>3476</v>
      </c>
      <c r="H11">
        <v>81944</v>
      </c>
      <c r="I11">
        <v>4993</v>
      </c>
      <c r="J11">
        <v>540512</v>
      </c>
      <c r="K11">
        <v>9888</v>
      </c>
      <c r="L11">
        <v>230067</v>
      </c>
      <c r="M11">
        <v>5318</v>
      </c>
      <c r="N11">
        <v>97082</v>
      </c>
      <c r="O11">
        <v>4737</v>
      </c>
      <c r="P11">
        <v>79221</v>
      </c>
      <c r="Q11">
        <v>4809</v>
      </c>
      <c r="R11">
        <v>64147</v>
      </c>
      <c r="S11">
        <v>3804</v>
      </c>
      <c r="T11">
        <v>750636</v>
      </c>
      <c r="U11">
        <v>15488</v>
      </c>
      <c r="V11">
        <v>18001</v>
      </c>
      <c r="W11">
        <v>3005</v>
      </c>
      <c r="X11">
        <v>50408</v>
      </c>
      <c r="Y11">
        <v>3959</v>
      </c>
      <c r="Z11">
        <v>358236</v>
      </c>
      <c r="AA11">
        <v>8607</v>
      </c>
      <c r="AB11">
        <v>159310</v>
      </c>
      <c r="AC11">
        <v>5677</v>
      </c>
      <c r="AD11">
        <v>66240</v>
      </c>
      <c r="AE11">
        <v>4284</v>
      </c>
      <c r="AF11">
        <v>55618</v>
      </c>
      <c r="AG11">
        <v>3847</v>
      </c>
      <c r="AH11">
        <v>42823</v>
      </c>
      <c r="AI11">
        <v>3546</v>
      </c>
      <c r="AJ11">
        <v>120014</v>
      </c>
      <c r="AK11">
        <v>7118</v>
      </c>
      <c r="AL11">
        <v>5772</v>
      </c>
      <c r="AM11">
        <v>1652</v>
      </c>
      <c r="AN11">
        <v>11276</v>
      </c>
      <c r="AO11">
        <v>2245</v>
      </c>
      <c r="AP11">
        <v>58016</v>
      </c>
      <c r="AQ11">
        <v>4027</v>
      </c>
      <c r="AR11">
        <v>22708</v>
      </c>
      <c r="AS11">
        <v>2847</v>
      </c>
      <c r="AT11">
        <v>9891</v>
      </c>
      <c r="AU11">
        <v>1798</v>
      </c>
      <c r="AV11">
        <v>6562</v>
      </c>
      <c r="AW11">
        <v>1541</v>
      </c>
      <c r="AX11">
        <v>5789</v>
      </c>
      <c r="AY11">
        <v>1239</v>
      </c>
      <c r="AZ11">
        <v>37853</v>
      </c>
      <c r="BA11">
        <v>3760</v>
      </c>
      <c r="BB11">
        <v>912</v>
      </c>
      <c r="BC11">
        <v>555</v>
      </c>
      <c r="BD11">
        <v>4745</v>
      </c>
      <c r="BE11">
        <v>1298</v>
      </c>
      <c r="BF11">
        <v>21159</v>
      </c>
      <c r="BG11">
        <v>3168</v>
      </c>
      <c r="BH11">
        <v>5888</v>
      </c>
      <c r="BI11">
        <v>1325</v>
      </c>
      <c r="BJ11">
        <v>1974</v>
      </c>
      <c r="BK11">
        <v>810</v>
      </c>
      <c r="BL11">
        <v>1749</v>
      </c>
      <c r="BM11">
        <v>686</v>
      </c>
      <c r="BN11">
        <v>1426</v>
      </c>
      <c r="BO11">
        <v>514</v>
      </c>
      <c r="BP11">
        <v>21803</v>
      </c>
      <c r="BQ11">
        <v>3070</v>
      </c>
      <c r="BR11">
        <v>2375</v>
      </c>
      <c r="BS11">
        <v>823</v>
      </c>
      <c r="BT11">
        <v>3437</v>
      </c>
      <c r="BU11">
        <v>1396</v>
      </c>
      <c r="BV11">
        <v>8875</v>
      </c>
      <c r="BW11">
        <v>2042</v>
      </c>
      <c r="BX11">
        <v>3316</v>
      </c>
      <c r="BY11">
        <v>1094</v>
      </c>
      <c r="BZ11">
        <v>1648</v>
      </c>
      <c r="CA11">
        <v>831</v>
      </c>
      <c r="CB11">
        <v>1218</v>
      </c>
      <c r="CC11">
        <v>473</v>
      </c>
      <c r="CD11">
        <v>934</v>
      </c>
      <c r="CE11">
        <v>433</v>
      </c>
      <c r="CF11">
        <v>31764</v>
      </c>
      <c r="CG11">
        <v>3434</v>
      </c>
      <c r="CH11">
        <v>1216</v>
      </c>
      <c r="CI11">
        <v>533</v>
      </c>
      <c r="CJ11">
        <v>3697</v>
      </c>
      <c r="CK11">
        <v>1130</v>
      </c>
      <c r="CL11">
        <v>16349</v>
      </c>
      <c r="CM11">
        <v>2374</v>
      </c>
      <c r="CN11">
        <v>4788</v>
      </c>
      <c r="CO11">
        <v>1256</v>
      </c>
      <c r="CP11">
        <v>2368</v>
      </c>
      <c r="CQ11">
        <v>782</v>
      </c>
      <c r="CR11">
        <v>1723</v>
      </c>
      <c r="CS11">
        <v>597</v>
      </c>
      <c r="CT11">
        <v>1623</v>
      </c>
      <c r="CU11">
        <v>1066</v>
      </c>
      <c r="CV11">
        <v>160686</v>
      </c>
      <c r="CW11">
        <v>7281</v>
      </c>
      <c r="CX11">
        <v>1507</v>
      </c>
      <c r="CY11">
        <v>738</v>
      </c>
      <c r="CZ11">
        <v>8381</v>
      </c>
      <c r="DA11">
        <v>1808</v>
      </c>
      <c r="DB11">
        <v>77877</v>
      </c>
      <c r="DC11">
        <v>5236</v>
      </c>
      <c r="DD11">
        <v>34057</v>
      </c>
      <c r="DE11">
        <v>2898</v>
      </c>
      <c r="DF11">
        <v>14961</v>
      </c>
      <c r="DG11">
        <v>2021</v>
      </c>
      <c r="DH11">
        <v>12351</v>
      </c>
      <c r="DI11">
        <v>1852</v>
      </c>
      <c r="DJ11">
        <v>11552</v>
      </c>
      <c r="DK11">
        <v>1401</v>
      </c>
      <c r="DL11" s="27">
        <f t="shared" si="0"/>
        <v>0.14311747165011809</v>
      </c>
    </row>
    <row r="12" spans="1:116" ht="15" x14ac:dyDescent="0.25">
      <c r="B12" t="s">
        <v>38</v>
      </c>
      <c r="C12" t="s">
        <v>37</v>
      </c>
      <c r="D12">
        <v>162420</v>
      </c>
      <c r="E12">
        <v>7329</v>
      </c>
      <c r="F12">
        <v>8751</v>
      </c>
      <c r="G12">
        <v>1382</v>
      </c>
      <c r="H12">
        <v>14439</v>
      </c>
      <c r="I12">
        <v>1982</v>
      </c>
      <c r="J12">
        <v>71200</v>
      </c>
      <c r="K12">
        <v>4888</v>
      </c>
      <c r="L12">
        <v>32643</v>
      </c>
      <c r="M12">
        <v>2599</v>
      </c>
      <c r="N12">
        <v>14576</v>
      </c>
      <c r="O12">
        <v>1867</v>
      </c>
      <c r="P12">
        <v>10625</v>
      </c>
      <c r="Q12">
        <v>1373</v>
      </c>
      <c r="R12">
        <v>10186</v>
      </c>
      <c r="S12">
        <v>1579</v>
      </c>
      <c r="T12">
        <v>118210</v>
      </c>
      <c r="U12">
        <v>6309</v>
      </c>
      <c r="V12">
        <v>7241</v>
      </c>
      <c r="W12">
        <v>1370</v>
      </c>
      <c r="X12">
        <v>9416</v>
      </c>
      <c r="Y12">
        <v>1672</v>
      </c>
      <c r="Z12">
        <v>51524</v>
      </c>
      <c r="AA12">
        <v>4121</v>
      </c>
      <c r="AB12">
        <v>24641</v>
      </c>
      <c r="AC12">
        <v>2564</v>
      </c>
      <c r="AD12">
        <v>10957</v>
      </c>
      <c r="AE12">
        <v>1750</v>
      </c>
      <c r="AF12">
        <v>7537</v>
      </c>
      <c r="AG12">
        <v>1294</v>
      </c>
      <c r="AH12">
        <v>6894</v>
      </c>
      <c r="AI12">
        <v>1435</v>
      </c>
      <c r="AJ12">
        <v>15404</v>
      </c>
      <c r="AK12">
        <v>2674</v>
      </c>
      <c r="AL12">
        <v>653</v>
      </c>
      <c r="AM12">
        <v>316</v>
      </c>
      <c r="AN12">
        <v>2961</v>
      </c>
      <c r="AO12">
        <v>1077</v>
      </c>
      <c r="AP12">
        <v>6538</v>
      </c>
      <c r="AQ12">
        <v>1838</v>
      </c>
      <c r="AR12">
        <v>2321</v>
      </c>
      <c r="AS12">
        <v>933</v>
      </c>
      <c r="AT12">
        <v>1114</v>
      </c>
      <c r="AU12">
        <v>563</v>
      </c>
      <c r="AV12">
        <v>1063</v>
      </c>
      <c r="AW12">
        <v>595</v>
      </c>
      <c r="AX12">
        <v>754</v>
      </c>
      <c r="AY12">
        <v>635</v>
      </c>
      <c r="AZ12">
        <v>1089</v>
      </c>
      <c r="BA12">
        <v>794</v>
      </c>
      <c r="BB12">
        <v>118</v>
      </c>
      <c r="BC12">
        <v>198</v>
      </c>
      <c r="BD12">
        <v>388</v>
      </c>
      <c r="BE12">
        <v>495</v>
      </c>
      <c r="BF12">
        <v>351</v>
      </c>
      <c r="BG12">
        <v>395</v>
      </c>
      <c r="BH12">
        <v>57</v>
      </c>
      <c r="BI12">
        <v>95</v>
      </c>
      <c r="BJ12">
        <v>107</v>
      </c>
      <c r="BK12">
        <v>179</v>
      </c>
      <c r="BL12">
        <v>68</v>
      </c>
      <c r="BM12">
        <v>112</v>
      </c>
      <c r="BN12">
        <v>0</v>
      </c>
      <c r="BO12">
        <v>210</v>
      </c>
      <c r="BP12">
        <v>2376</v>
      </c>
      <c r="BQ12">
        <v>775</v>
      </c>
      <c r="BR12">
        <v>264</v>
      </c>
      <c r="BS12">
        <v>285</v>
      </c>
      <c r="BT12">
        <v>225</v>
      </c>
      <c r="BU12">
        <v>284</v>
      </c>
      <c r="BV12">
        <v>972</v>
      </c>
      <c r="BW12">
        <v>597</v>
      </c>
      <c r="BX12">
        <v>442</v>
      </c>
      <c r="BY12">
        <v>263</v>
      </c>
      <c r="BZ12">
        <v>223</v>
      </c>
      <c r="CA12">
        <v>205</v>
      </c>
      <c r="CB12">
        <v>199</v>
      </c>
      <c r="CC12">
        <v>192</v>
      </c>
      <c r="CD12">
        <v>51</v>
      </c>
      <c r="CE12">
        <v>57</v>
      </c>
      <c r="CF12">
        <v>2294</v>
      </c>
      <c r="CG12">
        <v>824</v>
      </c>
      <c r="CH12">
        <v>43</v>
      </c>
      <c r="CI12">
        <v>72</v>
      </c>
      <c r="CJ12">
        <v>591</v>
      </c>
      <c r="CK12">
        <v>334</v>
      </c>
      <c r="CL12">
        <v>667</v>
      </c>
      <c r="CM12">
        <v>432</v>
      </c>
      <c r="CN12">
        <v>508</v>
      </c>
      <c r="CO12">
        <v>357</v>
      </c>
      <c r="CP12">
        <v>149</v>
      </c>
      <c r="CQ12">
        <v>198</v>
      </c>
      <c r="CR12">
        <v>42</v>
      </c>
      <c r="CS12">
        <v>69</v>
      </c>
      <c r="CT12">
        <v>294</v>
      </c>
      <c r="CU12">
        <v>406</v>
      </c>
      <c r="CV12">
        <v>23047</v>
      </c>
      <c r="CW12">
        <v>2741</v>
      </c>
      <c r="CX12">
        <v>432</v>
      </c>
      <c r="CY12">
        <v>344</v>
      </c>
      <c r="CZ12">
        <v>858</v>
      </c>
      <c r="DA12">
        <v>595</v>
      </c>
      <c r="DB12">
        <v>11148</v>
      </c>
      <c r="DC12">
        <v>1837</v>
      </c>
      <c r="DD12">
        <v>4674</v>
      </c>
      <c r="DE12">
        <v>1247</v>
      </c>
      <c r="DF12">
        <v>2026</v>
      </c>
      <c r="DG12">
        <v>689</v>
      </c>
      <c r="DH12">
        <v>1716</v>
      </c>
      <c r="DI12">
        <v>603</v>
      </c>
      <c r="DJ12">
        <v>2193</v>
      </c>
      <c r="DK12">
        <v>751</v>
      </c>
      <c r="DL12" s="27">
        <f t="shared" si="0"/>
        <v>0.14189754956286171</v>
      </c>
    </row>
    <row r="13" spans="1:116" ht="15" x14ac:dyDescent="0.25">
      <c r="B13" t="s">
        <v>36</v>
      </c>
      <c r="C13" t="s">
        <v>35</v>
      </c>
      <c r="D13">
        <v>231243</v>
      </c>
      <c r="E13">
        <v>6142</v>
      </c>
      <c r="F13">
        <v>7049</v>
      </c>
      <c r="G13">
        <v>1210</v>
      </c>
      <c r="H13">
        <v>19754</v>
      </c>
      <c r="I13">
        <v>1478</v>
      </c>
      <c r="J13">
        <v>92036</v>
      </c>
      <c r="K13">
        <v>3899</v>
      </c>
      <c r="L13">
        <v>46702</v>
      </c>
      <c r="M13">
        <v>2343</v>
      </c>
      <c r="N13">
        <v>21460</v>
      </c>
      <c r="O13">
        <v>2151</v>
      </c>
      <c r="P13">
        <v>20354</v>
      </c>
      <c r="Q13">
        <v>1994</v>
      </c>
      <c r="R13">
        <v>23888</v>
      </c>
      <c r="S13">
        <v>2499</v>
      </c>
      <c r="T13">
        <v>157506</v>
      </c>
      <c r="U13">
        <v>6109</v>
      </c>
      <c r="V13">
        <v>4500</v>
      </c>
      <c r="W13">
        <v>1082</v>
      </c>
      <c r="X13">
        <v>13479</v>
      </c>
      <c r="Y13">
        <v>2008</v>
      </c>
      <c r="Z13">
        <v>64762</v>
      </c>
      <c r="AA13">
        <v>3409</v>
      </c>
      <c r="AB13">
        <v>30220</v>
      </c>
      <c r="AC13">
        <v>2712</v>
      </c>
      <c r="AD13">
        <v>14990</v>
      </c>
      <c r="AE13">
        <v>2059</v>
      </c>
      <c r="AF13">
        <v>14267</v>
      </c>
      <c r="AG13">
        <v>1682</v>
      </c>
      <c r="AH13">
        <v>15288</v>
      </c>
      <c r="AI13">
        <v>2059</v>
      </c>
      <c r="AJ13">
        <v>25771</v>
      </c>
      <c r="AK13">
        <v>3726</v>
      </c>
      <c r="AL13">
        <v>1328</v>
      </c>
      <c r="AM13">
        <v>602</v>
      </c>
      <c r="AN13">
        <v>3558</v>
      </c>
      <c r="AO13">
        <v>1222</v>
      </c>
      <c r="AP13">
        <v>10912</v>
      </c>
      <c r="AQ13">
        <v>2288</v>
      </c>
      <c r="AR13">
        <v>6378</v>
      </c>
      <c r="AS13">
        <v>1740</v>
      </c>
      <c r="AT13">
        <v>1170</v>
      </c>
      <c r="AU13">
        <v>712</v>
      </c>
      <c r="AV13">
        <v>1492</v>
      </c>
      <c r="AW13">
        <v>645</v>
      </c>
      <c r="AX13">
        <v>933</v>
      </c>
      <c r="AY13">
        <v>614</v>
      </c>
      <c r="AZ13">
        <v>1443</v>
      </c>
      <c r="BA13">
        <v>791</v>
      </c>
      <c r="BB13">
        <v>97</v>
      </c>
      <c r="BC13">
        <v>115</v>
      </c>
      <c r="BD13">
        <v>401</v>
      </c>
      <c r="BE13">
        <v>502</v>
      </c>
      <c r="BF13">
        <v>441</v>
      </c>
      <c r="BG13">
        <v>364</v>
      </c>
      <c r="BH13">
        <v>197</v>
      </c>
      <c r="BI13">
        <v>188</v>
      </c>
      <c r="BJ13">
        <v>75</v>
      </c>
      <c r="BK13">
        <v>122</v>
      </c>
      <c r="BL13">
        <v>232</v>
      </c>
      <c r="BM13">
        <v>238</v>
      </c>
      <c r="BN13">
        <v>0</v>
      </c>
      <c r="BO13">
        <v>210</v>
      </c>
      <c r="BP13">
        <v>5805</v>
      </c>
      <c r="BQ13">
        <v>1462</v>
      </c>
      <c r="BR13">
        <v>433</v>
      </c>
      <c r="BS13">
        <v>315</v>
      </c>
      <c r="BT13">
        <v>346</v>
      </c>
      <c r="BU13">
        <v>269</v>
      </c>
      <c r="BV13">
        <v>2469</v>
      </c>
      <c r="BW13">
        <v>978</v>
      </c>
      <c r="BX13">
        <v>720</v>
      </c>
      <c r="BY13">
        <v>385</v>
      </c>
      <c r="BZ13">
        <v>1080</v>
      </c>
      <c r="CA13">
        <v>673</v>
      </c>
      <c r="CB13">
        <v>358</v>
      </c>
      <c r="CC13">
        <v>244</v>
      </c>
      <c r="CD13">
        <v>399</v>
      </c>
      <c r="CE13">
        <v>229</v>
      </c>
      <c r="CF13">
        <v>3821</v>
      </c>
      <c r="CG13">
        <v>1242</v>
      </c>
      <c r="CH13">
        <v>207</v>
      </c>
      <c r="CI13">
        <v>161</v>
      </c>
      <c r="CJ13">
        <v>250</v>
      </c>
      <c r="CK13">
        <v>316</v>
      </c>
      <c r="CL13">
        <v>1538</v>
      </c>
      <c r="CM13">
        <v>780</v>
      </c>
      <c r="CN13">
        <v>707</v>
      </c>
      <c r="CO13">
        <v>423</v>
      </c>
      <c r="CP13">
        <v>212</v>
      </c>
      <c r="CQ13">
        <v>189</v>
      </c>
      <c r="CR13">
        <v>518</v>
      </c>
      <c r="CS13">
        <v>297</v>
      </c>
      <c r="CT13">
        <v>389</v>
      </c>
      <c r="CU13">
        <v>332</v>
      </c>
      <c r="CV13">
        <v>36897</v>
      </c>
      <c r="CW13">
        <v>3605</v>
      </c>
      <c r="CX13">
        <v>484</v>
      </c>
      <c r="CY13">
        <v>444</v>
      </c>
      <c r="CZ13">
        <v>1720</v>
      </c>
      <c r="DA13">
        <v>742</v>
      </c>
      <c r="DB13">
        <v>11914</v>
      </c>
      <c r="DC13">
        <v>2081</v>
      </c>
      <c r="DD13">
        <v>8480</v>
      </c>
      <c r="DE13">
        <v>1527</v>
      </c>
      <c r="DF13">
        <v>3933</v>
      </c>
      <c r="DG13">
        <v>1115</v>
      </c>
      <c r="DH13">
        <v>3487</v>
      </c>
      <c r="DI13">
        <v>845</v>
      </c>
      <c r="DJ13">
        <v>6879</v>
      </c>
      <c r="DK13">
        <v>1356</v>
      </c>
      <c r="DL13" s="27">
        <f t="shared" si="0"/>
        <v>0.15955942450149843</v>
      </c>
    </row>
    <row r="14" spans="1:116" x14ac:dyDescent="0.2">
      <c r="A14" s="26"/>
      <c r="B14" s="26"/>
      <c r="C14" s="28" t="s">
        <v>56</v>
      </c>
      <c r="D14" s="29">
        <f>SUM(D5:D13)</f>
        <v>4026197</v>
      </c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  <c r="BE14" s="28"/>
      <c r="BF14" s="28"/>
      <c r="BG14" s="28"/>
      <c r="BH14" s="28"/>
      <c r="BI14" s="28"/>
      <c r="BJ14" s="28"/>
      <c r="BK14" s="28"/>
      <c r="BL14" s="28"/>
      <c r="BM14" s="28"/>
      <c r="BN14" s="28"/>
      <c r="BO14" s="28"/>
      <c r="BP14" s="28"/>
      <c r="BQ14" s="28"/>
      <c r="BR14" s="28"/>
      <c r="BS14" s="28"/>
      <c r="BT14" s="28"/>
      <c r="BU14" s="28"/>
      <c r="BV14" s="28"/>
      <c r="BW14" s="28"/>
      <c r="BX14" s="28"/>
      <c r="BY14" s="28"/>
      <c r="BZ14" s="28"/>
      <c r="CA14" s="28"/>
      <c r="CB14" s="28"/>
      <c r="CC14" s="28"/>
      <c r="CD14" s="28"/>
      <c r="CE14" s="28"/>
      <c r="CF14" s="28"/>
      <c r="CG14" s="28"/>
      <c r="CH14" s="28"/>
      <c r="CI14" s="28"/>
      <c r="CJ14" s="28"/>
      <c r="CK14" s="28"/>
      <c r="CL14" s="28"/>
      <c r="CM14" s="28"/>
      <c r="CN14" s="28"/>
      <c r="CO14" s="28"/>
      <c r="CP14" s="28"/>
      <c r="CQ14" s="28"/>
      <c r="CR14" s="28"/>
      <c r="CS14" s="28"/>
      <c r="CT14" s="28"/>
      <c r="CU14" s="28"/>
      <c r="CV14" s="29">
        <f>SUM(CV5:CV13)</f>
        <v>711188</v>
      </c>
      <c r="DL14" s="27">
        <f t="shared" si="0"/>
        <v>0.17664013956594771</v>
      </c>
    </row>
    <row r="17" spans="1:14" ht="75" customHeight="1" x14ac:dyDescent="0.2">
      <c r="A17" s="263" t="s">
        <v>54</v>
      </c>
      <c r="B17" s="263"/>
      <c r="C17" s="263"/>
      <c r="D17" s="263"/>
      <c r="E17" s="263"/>
      <c r="F17" s="263"/>
      <c r="G17" s="263"/>
      <c r="H17" s="263"/>
      <c r="I17" s="263"/>
      <c r="J17" s="263"/>
      <c r="K17" s="263"/>
      <c r="L17" s="263"/>
      <c r="M17" s="263"/>
      <c r="N17" s="263"/>
    </row>
  </sheetData>
  <mergeCells count="1">
    <mergeCell ref="A17:N17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EB41A-F671-4202-BDA2-ABDCA01852BC}">
  <sheetPr>
    <tabColor theme="8"/>
  </sheetPr>
  <dimension ref="A1:P45"/>
  <sheetViews>
    <sheetView workbookViewId="0">
      <selection activeCell="A94" sqref="A46:XFD94"/>
    </sheetView>
  </sheetViews>
  <sheetFormatPr defaultRowHeight="15" x14ac:dyDescent="0.25"/>
  <cols>
    <col min="1" max="1" width="18.140625" bestFit="1" customWidth="1"/>
    <col min="2" max="2" width="23.28515625" bestFit="1" customWidth="1"/>
    <col min="3" max="11" width="9.28515625" customWidth="1"/>
    <col min="12" max="12" width="13.28515625" customWidth="1"/>
    <col min="13" max="15" width="9.28515625" customWidth="1"/>
    <col min="16" max="16" width="12.85546875" customWidth="1"/>
  </cols>
  <sheetData>
    <row r="1" spans="1:16" x14ac:dyDescent="0.25">
      <c r="A1" s="236" t="s">
        <v>503</v>
      </c>
    </row>
    <row r="3" spans="1:16" x14ac:dyDescent="0.25">
      <c r="A3" s="238" t="s">
        <v>504</v>
      </c>
    </row>
    <row r="4" spans="1:16" x14ac:dyDescent="0.25">
      <c r="A4" t="s">
        <v>510</v>
      </c>
    </row>
    <row r="5" spans="1:16" x14ac:dyDescent="0.25">
      <c r="A5" s="237" t="s">
        <v>505</v>
      </c>
    </row>
    <row r="6" spans="1:16" x14ac:dyDescent="0.25">
      <c r="A6" s="237" t="s">
        <v>506</v>
      </c>
    </row>
    <row r="7" spans="1:16" x14ac:dyDescent="0.25">
      <c r="A7" s="207" t="s">
        <v>497</v>
      </c>
    </row>
    <row r="8" spans="1:16" x14ac:dyDescent="0.25">
      <c r="B8" s="186"/>
      <c r="C8" s="276" t="s">
        <v>181</v>
      </c>
      <c r="D8" s="265"/>
      <c r="E8" s="265"/>
      <c r="F8" s="265"/>
      <c r="G8" s="265"/>
      <c r="H8" s="265"/>
      <c r="I8" s="265"/>
      <c r="J8" s="265"/>
      <c r="K8" s="265"/>
      <c r="L8" s="265"/>
      <c r="M8" s="265"/>
      <c r="N8" s="265"/>
      <c r="O8" s="265"/>
      <c r="P8" s="265"/>
    </row>
    <row r="9" spans="1:16" x14ac:dyDescent="0.25">
      <c r="A9" s="186"/>
      <c r="B9" s="186"/>
      <c r="C9" s="268" t="s">
        <v>56</v>
      </c>
      <c r="D9" s="265"/>
      <c r="E9" s="265"/>
      <c r="F9" s="265"/>
      <c r="G9" s="265"/>
      <c r="H9" s="265"/>
      <c r="I9" s="265"/>
      <c r="J9" s="265"/>
      <c r="K9" s="265"/>
      <c r="L9" s="265"/>
      <c r="M9" s="269" t="s">
        <v>179</v>
      </c>
      <c r="N9" s="265"/>
      <c r="O9" s="270"/>
      <c r="P9" s="277" t="s">
        <v>9</v>
      </c>
    </row>
    <row r="10" spans="1:16" ht="39" x14ac:dyDescent="0.25">
      <c r="A10" s="206" t="s">
        <v>180</v>
      </c>
      <c r="B10" s="206" t="s">
        <v>170</v>
      </c>
      <c r="C10" s="209" t="s">
        <v>16</v>
      </c>
      <c r="D10" s="209" t="s">
        <v>17</v>
      </c>
      <c r="E10" s="209" t="s">
        <v>21</v>
      </c>
      <c r="F10" s="209" t="s">
        <v>19</v>
      </c>
      <c r="G10" s="209" t="s">
        <v>13</v>
      </c>
      <c r="H10" s="209" t="s">
        <v>14</v>
      </c>
      <c r="I10" s="209" t="s">
        <v>15</v>
      </c>
      <c r="J10" s="209" t="s">
        <v>18</v>
      </c>
      <c r="K10" s="209" t="s">
        <v>20</v>
      </c>
      <c r="L10" s="209" t="s">
        <v>59</v>
      </c>
      <c r="M10" s="208" t="s">
        <v>178</v>
      </c>
      <c r="N10" s="209" t="s">
        <v>177</v>
      </c>
      <c r="O10" s="205" t="s">
        <v>59</v>
      </c>
      <c r="P10" s="278"/>
    </row>
    <row r="11" spans="1:16" x14ac:dyDescent="0.25">
      <c r="A11" s="264" t="s">
        <v>56</v>
      </c>
      <c r="B11" s="201" t="s">
        <v>102</v>
      </c>
      <c r="C11" s="204">
        <v>576150</v>
      </c>
      <c r="D11" s="196">
        <v>32252</v>
      </c>
      <c r="E11" s="196">
        <v>2466</v>
      </c>
      <c r="F11" s="196">
        <v>392</v>
      </c>
      <c r="G11" s="196">
        <v>82221</v>
      </c>
      <c r="H11" s="196">
        <v>43309</v>
      </c>
      <c r="I11" s="196">
        <v>80111</v>
      </c>
      <c r="J11" s="196">
        <v>897</v>
      </c>
      <c r="K11" s="203">
        <v>1292</v>
      </c>
      <c r="L11" s="196">
        <v>819090</v>
      </c>
      <c r="M11" s="204">
        <v>7746</v>
      </c>
      <c r="N11" s="203">
        <v>28431</v>
      </c>
      <c r="O11" s="203">
        <v>36177</v>
      </c>
      <c r="P11" s="196">
        <v>855267</v>
      </c>
    </row>
    <row r="12" spans="1:16" x14ac:dyDescent="0.25">
      <c r="A12" s="265"/>
      <c r="B12" s="187" t="s">
        <v>101</v>
      </c>
      <c r="C12" s="184">
        <v>92583</v>
      </c>
      <c r="D12" s="182">
        <v>349321</v>
      </c>
      <c r="E12" s="182">
        <v>7738</v>
      </c>
      <c r="F12" s="182">
        <v>1631</v>
      </c>
      <c r="G12" s="182">
        <v>51969</v>
      </c>
      <c r="H12" s="182">
        <v>14566</v>
      </c>
      <c r="I12" s="182">
        <v>20000</v>
      </c>
      <c r="J12" s="182">
        <v>9318</v>
      </c>
      <c r="K12" s="183">
        <v>1909</v>
      </c>
      <c r="L12" s="182">
        <v>549035</v>
      </c>
      <c r="M12" s="184">
        <v>7334</v>
      </c>
      <c r="N12" s="183">
        <v>20117</v>
      </c>
      <c r="O12" s="183">
        <v>27451</v>
      </c>
      <c r="P12" s="182">
        <v>576486</v>
      </c>
    </row>
    <row r="13" spans="1:16" x14ac:dyDescent="0.25">
      <c r="A13" s="265"/>
      <c r="B13" s="187" t="s">
        <v>100</v>
      </c>
      <c r="C13" s="184">
        <v>3155</v>
      </c>
      <c r="D13" s="182">
        <v>548</v>
      </c>
      <c r="E13" s="182">
        <v>90856</v>
      </c>
      <c r="F13" s="182">
        <v>69</v>
      </c>
      <c r="G13" s="182">
        <v>16350</v>
      </c>
      <c r="H13" s="182">
        <v>4848</v>
      </c>
      <c r="I13" s="182">
        <v>1189</v>
      </c>
      <c r="J13" s="182">
        <v>40</v>
      </c>
      <c r="K13" s="183">
        <v>3689</v>
      </c>
      <c r="L13" s="182">
        <v>120744</v>
      </c>
      <c r="M13" s="184">
        <v>222</v>
      </c>
      <c r="N13" s="183">
        <v>2498</v>
      </c>
      <c r="O13" s="183">
        <v>2720</v>
      </c>
      <c r="P13" s="182">
        <v>123464</v>
      </c>
    </row>
    <row r="14" spans="1:16" x14ac:dyDescent="0.25">
      <c r="A14" s="265"/>
      <c r="B14" s="187" t="s">
        <v>99</v>
      </c>
      <c r="C14" s="184">
        <v>774</v>
      </c>
      <c r="D14" s="182">
        <v>1244</v>
      </c>
      <c r="E14" s="182">
        <v>750</v>
      </c>
      <c r="F14" s="182">
        <v>52146</v>
      </c>
      <c r="G14" s="182">
        <v>1893</v>
      </c>
      <c r="H14" s="182">
        <v>306</v>
      </c>
      <c r="I14" s="182">
        <v>450</v>
      </c>
      <c r="J14" s="182">
        <v>5014</v>
      </c>
      <c r="K14" s="183">
        <v>1631</v>
      </c>
      <c r="L14" s="182">
        <v>64208</v>
      </c>
      <c r="M14" s="184">
        <v>1307</v>
      </c>
      <c r="N14" s="183">
        <v>2495</v>
      </c>
      <c r="O14" s="183">
        <v>3802</v>
      </c>
      <c r="P14" s="182">
        <v>68010</v>
      </c>
    </row>
    <row r="15" spans="1:16" x14ac:dyDescent="0.25">
      <c r="A15" s="265"/>
      <c r="B15" s="187" t="s">
        <v>98</v>
      </c>
      <c r="C15" s="184">
        <v>13807</v>
      </c>
      <c r="D15" s="182">
        <v>2115</v>
      </c>
      <c r="E15" s="182">
        <v>4277</v>
      </c>
      <c r="F15" s="182">
        <v>60</v>
      </c>
      <c r="G15" s="182">
        <v>369101</v>
      </c>
      <c r="H15" s="182">
        <v>41499</v>
      </c>
      <c r="I15" s="182">
        <v>22512</v>
      </c>
      <c r="J15" s="186"/>
      <c r="K15" s="183">
        <v>904</v>
      </c>
      <c r="L15" s="182">
        <v>454275</v>
      </c>
      <c r="M15" s="184">
        <v>1703</v>
      </c>
      <c r="N15" s="183">
        <v>12259</v>
      </c>
      <c r="O15" s="183">
        <v>13962</v>
      </c>
      <c r="P15" s="182">
        <v>468237</v>
      </c>
    </row>
    <row r="16" spans="1:16" x14ac:dyDescent="0.25">
      <c r="A16" s="265"/>
      <c r="B16" s="187" t="s">
        <v>97</v>
      </c>
      <c r="C16" s="184">
        <v>12155</v>
      </c>
      <c r="D16" s="182">
        <v>1410</v>
      </c>
      <c r="E16" s="182">
        <v>173</v>
      </c>
      <c r="F16" s="186"/>
      <c r="G16" s="182">
        <v>59990</v>
      </c>
      <c r="H16" s="182">
        <v>246821</v>
      </c>
      <c r="I16" s="182">
        <v>51936</v>
      </c>
      <c r="J16" s="182">
        <v>121</v>
      </c>
      <c r="K16" s="194"/>
      <c r="L16" s="182">
        <v>372606</v>
      </c>
      <c r="M16" s="184">
        <v>1304</v>
      </c>
      <c r="N16" s="183">
        <v>10453</v>
      </c>
      <c r="O16" s="183">
        <v>11757</v>
      </c>
      <c r="P16" s="182">
        <v>384363</v>
      </c>
    </row>
    <row r="17" spans="1:16" x14ac:dyDescent="0.25">
      <c r="A17" s="265"/>
      <c r="B17" s="187" t="s">
        <v>96</v>
      </c>
      <c r="C17" s="184">
        <v>42925</v>
      </c>
      <c r="D17" s="182">
        <v>1581</v>
      </c>
      <c r="E17" s="182">
        <v>255</v>
      </c>
      <c r="F17" s="182">
        <v>132</v>
      </c>
      <c r="G17" s="182">
        <v>18442</v>
      </c>
      <c r="H17" s="182">
        <v>48994</v>
      </c>
      <c r="I17" s="182">
        <v>857762</v>
      </c>
      <c r="J17" s="182">
        <v>193</v>
      </c>
      <c r="K17" s="183">
        <v>44</v>
      </c>
      <c r="L17" s="182">
        <v>970328</v>
      </c>
      <c r="M17" s="184">
        <v>8918</v>
      </c>
      <c r="N17" s="183">
        <v>33907</v>
      </c>
      <c r="O17" s="183">
        <v>42825</v>
      </c>
      <c r="P17" s="182">
        <v>1013153</v>
      </c>
    </row>
    <row r="18" spans="1:16" x14ac:dyDescent="0.25">
      <c r="A18" s="265"/>
      <c r="B18" s="187" t="s">
        <v>95</v>
      </c>
      <c r="C18" s="184">
        <v>11982</v>
      </c>
      <c r="D18" s="182">
        <v>22084</v>
      </c>
      <c r="E18" s="182">
        <v>3797</v>
      </c>
      <c r="F18" s="182">
        <v>16717</v>
      </c>
      <c r="G18" s="182">
        <v>7202</v>
      </c>
      <c r="H18" s="182">
        <v>3236</v>
      </c>
      <c r="I18" s="182">
        <v>2961</v>
      </c>
      <c r="J18" s="182">
        <v>127465</v>
      </c>
      <c r="K18" s="183">
        <v>2022</v>
      </c>
      <c r="L18" s="182">
        <v>197466</v>
      </c>
      <c r="M18" s="184">
        <v>9946</v>
      </c>
      <c r="N18" s="183">
        <v>8343</v>
      </c>
      <c r="O18" s="183">
        <v>18289</v>
      </c>
      <c r="P18" s="182">
        <v>215755</v>
      </c>
    </row>
    <row r="19" spans="1:16" x14ac:dyDescent="0.25">
      <c r="A19" s="265"/>
      <c r="B19" s="193" t="s">
        <v>94</v>
      </c>
      <c r="C19" s="202">
        <v>1479</v>
      </c>
      <c r="D19" s="188">
        <v>1006</v>
      </c>
      <c r="E19" s="188">
        <v>13056</v>
      </c>
      <c r="F19" s="188">
        <v>3986</v>
      </c>
      <c r="G19" s="188">
        <v>5790</v>
      </c>
      <c r="H19" s="188">
        <v>1323</v>
      </c>
      <c r="I19" s="188">
        <v>669</v>
      </c>
      <c r="J19" s="188">
        <v>330</v>
      </c>
      <c r="K19" s="188">
        <v>216397</v>
      </c>
      <c r="L19" s="185">
        <v>244036</v>
      </c>
      <c r="M19" s="184">
        <v>2478</v>
      </c>
      <c r="N19" s="183">
        <v>7565</v>
      </c>
      <c r="O19" s="183">
        <v>10043</v>
      </c>
      <c r="P19" s="182">
        <v>254079</v>
      </c>
    </row>
    <row r="20" spans="1:16" x14ac:dyDescent="0.25">
      <c r="A20" s="266"/>
      <c r="B20" s="193" t="s">
        <v>59</v>
      </c>
      <c r="C20" s="188">
        <v>755010</v>
      </c>
      <c r="D20" s="188">
        <v>411561</v>
      </c>
      <c r="E20" s="188">
        <v>123368</v>
      </c>
      <c r="F20" s="188">
        <v>75133</v>
      </c>
      <c r="G20" s="188">
        <v>612958</v>
      </c>
      <c r="H20" s="188">
        <v>404902</v>
      </c>
      <c r="I20" s="188">
        <v>1037590</v>
      </c>
      <c r="J20" s="188">
        <v>143378</v>
      </c>
      <c r="K20" s="188">
        <v>227888</v>
      </c>
      <c r="L20" s="210">
        <v>3791788</v>
      </c>
      <c r="M20" s="211">
        <v>40958</v>
      </c>
      <c r="N20" s="212">
        <v>126068</v>
      </c>
      <c r="O20" s="212">
        <v>167026</v>
      </c>
      <c r="P20" s="213">
        <v>3958814</v>
      </c>
    </row>
    <row r="21" spans="1:16" x14ac:dyDescent="0.25">
      <c r="A21" s="264" t="s">
        <v>179</v>
      </c>
      <c r="B21" s="201" t="s">
        <v>178</v>
      </c>
      <c r="C21" s="196">
        <v>59070</v>
      </c>
      <c r="D21" s="196">
        <v>12849</v>
      </c>
      <c r="E21" s="196">
        <v>1143</v>
      </c>
      <c r="F21" s="196">
        <v>3194</v>
      </c>
      <c r="G21" s="196">
        <v>13679</v>
      </c>
      <c r="H21" s="196">
        <v>14974</v>
      </c>
      <c r="I21" s="196">
        <v>73749</v>
      </c>
      <c r="J21" s="196">
        <v>18099</v>
      </c>
      <c r="K21" s="196">
        <v>5890</v>
      </c>
      <c r="L21" s="200">
        <v>202647</v>
      </c>
      <c r="M21" s="199"/>
      <c r="N21" s="198"/>
      <c r="O21" s="197"/>
      <c r="P21" s="196">
        <v>202647</v>
      </c>
    </row>
    <row r="22" spans="1:16" x14ac:dyDescent="0.25">
      <c r="A22" s="265"/>
      <c r="B22" s="193" t="s">
        <v>177</v>
      </c>
      <c r="C22" s="188">
        <v>3093</v>
      </c>
      <c r="D22" s="188">
        <v>2613</v>
      </c>
      <c r="E22" s="188">
        <v>371</v>
      </c>
      <c r="F22" s="188">
        <v>198</v>
      </c>
      <c r="G22" s="188">
        <v>9509</v>
      </c>
      <c r="H22" s="188">
        <v>4631</v>
      </c>
      <c r="I22" s="188">
        <v>6721</v>
      </c>
      <c r="J22" s="188">
        <v>139</v>
      </c>
      <c r="K22" s="188">
        <v>946</v>
      </c>
      <c r="L22" s="192">
        <v>28221</v>
      </c>
      <c r="M22" s="195"/>
      <c r="N22" s="186"/>
      <c r="O22" s="194"/>
      <c r="P22" s="182">
        <v>28221</v>
      </c>
    </row>
    <row r="23" spans="1:16" x14ac:dyDescent="0.25">
      <c r="A23" s="266"/>
      <c r="B23" s="193" t="s">
        <v>59</v>
      </c>
      <c r="C23" s="188">
        <v>62163</v>
      </c>
      <c r="D23" s="188">
        <v>15462</v>
      </c>
      <c r="E23" s="188">
        <v>1514</v>
      </c>
      <c r="F23" s="188">
        <v>3392</v>
      </c>
      <c r="G23" s="188">
        <v>23188</v>
      </c>
      <c r="H23" s="188">
        <v>19605</v>
      </c>
      <c r="I23" s="188">
        <v>80470</v>
      </c>
      <c r="J23" s="188">
        <v>18238</v>
      </c>
      <c r="K23" s="188">
        <v>6836</v>
      </c>
      <c r="L23" s="192">
        <v>230868</v>
      </c>
      <c r="M23" s="191"/>
      <c r="N23" s="190"/>
      <c r="O23" s="189"/>
      <c r="P23" s="188">
        <v>230868</v>
      </c>
    </row>
    <row r="24" spans="1:16" x14ac:dyDescent="0.25">
      <c r="A24" s="267" t="s">
        <v>9</v>
      </c>
      <c r="B24" s="265"/>
      <c r="C24" s="182">
        <v>817173</v>
      </c>
      <c r="D24" s="182">
        <v>427023</v>
      </c>
      <c r="E24" s="182">
        <v>124882</v>
      </c>
      <c r="F24" s="182">
        <v>78525</v>
      </c>
      <c r="G24" s="182">
        <v>636146</v>
      </c>
      <c r="H24" s="182">
        <v>424507</v>
      </c>
      <c r="I24" s="182">
        <v>1118060</v>
      </c>
      <c r="J24" s="182">
        <v>161616</v>
      </c>
      <c r="K24" s="182">
        <v>234724</v>
      </c>
      <c r="L24" s="185">
        <v>4022656</v>
      </c>
      <c r="M24" s="184">
        <v>40958</v>
      </c>
      <c r="N24" s="182">
        <v>126068</v>
      </c>
      <c r="O24" s="183">
        <v>167026</v>
      </c>
      <c r="P24" s="182">
        <v>4189682</v>
      </c>
    </row>
    <row r="28" spans="1:16" x14ac:dyDescent="0.25">
      <c r="A28" s="238" t="s">
        <v>507</v>
      </c>
    </row>
    <row r="29" spans="1:16" x14ac:dyDescent="0.25">
      <c r="A29" t="s">
        <v>509</v>
      </c>
    </row>
    <row r="30" spans="1:16" x14ac:dyDescent="0.25">
      <c r="A30" s="237" t="s">
        <v>508</v>
      </c>
    </row>
    <row r="31" spans="1:16" x14ac:dyDescent="0.25">
      <c r="A31" s="2" t="s">
        <v>498</v>
      </c>
    </row>
    <row r="32" spans="1:16" s="1" customFormat="1" ht="12.75" x14ac:dyDescent="0.2">
      <c r="B32" s="239"/>
      <c r="C32" s="275" t="s">
        <v>181</v>
      </c>
      <c r="D32" s="275"/>
      <c r="E32" s="275"/>
      <c r="F32" s="275"/>
      <c r="G32" s="275"/>
      <c r="H32" s="275"/>
      <c r="I32" s="275"/>
      <c r="J32" s="275"/>
      <c r="K32" s="275"/>
      <c r="L32" s="275"/>
      <c r="M32" s="275"/>
      <c r="N32" s="275"/>
      <c r="O32" s="275"/>
      <c r="P32" s="275"/>
    </row>
    <row r="33" spans="2:16" s="1" customFormat="1" ht="12.75" x14ac:dyDescent="0.2">
      <c r="B33" s="239"/>
      <c r="C33" s="271" t="s">
        <v>56</v>
      </c>
      <c r="D33" s="272"/>
      <c r="E33" s="272"/>
      <c r="F33" s="272"/>
      <c r="G33" s="272"/>
      <c r="H33" s="272"/>
      <c r="I33" s="272"/>
      <c r="J33" s="272"/>
      <c r="K33" s="272"/>
      <c r="L33" s="273"/>
      <c r="M33" s="271" t="s">
        <v>171</v>
      </c>
      <c r="N33" s="272"/>
      <c r="O33" s="272"/>
      <c r="P33" s="271" t="s">
        <v>9</v>
      </c>
    </row>
    <row r="34" spans="2:16" s="3" customFormat="1" ht="27.6" customHeight="1" x14ac:dyDescent="0.2">
      <c r="B34" s="242" t="s">
        <v>511</v>
      </c>
      <c r="C34" s="244" t="s">
        <v>16</v>
      </c>
      <c r="D34" s="243" t="s">
        <v>17</v>
      </c>
      <c r="E34" s="243" t="s">
        <v>21</v>
      </c>
      <c r="F34" s="243" t="s">
        <v>19</v>
      </c>
      <c r="G34" s="243" t="s">
        <v>13</v>
      </c>
      <c r="H34" s="243" t="s">
        <v>14</v>
      </c>
      <c r="I34" s="243" t="s">
        <v>15</v>
      </c>
      <c r="J34" s="243" t="s">
        <v>18</v>
      </c>
      <c r="K34" s="243" t="s">
        <v>20</v>
      </c>
      <c r="L34" s="250" t="s">
        <v>59</v>
      </c>
      <c r="M34" s="244" t="s">
        <v>512</v>
      </c>
      <c r="N34" s="243" t="s">
        <v>513</v>
      </c>
      <c r="O34" s="243" t="s">
        <v>59</v>
      </c>
      <c r="P34" s="274" t="s">
        <v>59</v>
      </c>
    </row>
    <row r="35" spans="2:16" s="1" customFormat="1" ht="12.75" x14ac:dyDescent="0.2">
      <c r="B35" s="240" t="s">
        <v>16</v>
      </c>
      <c r="C35" s="245">
        <v>406669</v>
      </c>
      <c r="D35" s="246">
        <v>32252</v>
      </c>
      <c r="E35" s="246">
        <v>2466</v>
      </c>
      <c r="F35" s="246">
        <v>392</v>
      </c>
      <c r="G35" s="246">
        <v>82221</v>
      </c>
      <c r="H35" s="246">
        <v>43309</v>
      </c>
      <c r="I35" s="246">
        <v>80111</v>
      </c>
      <c r="J35" s="246">
        <v>897</v>
      </c>
      <c r="K35" s="246">
        <v>1292</v>
      </c>
      <c r="L35" s="251">
        <v>649609</v>
      </c>
      <c r="M35" s="245">
        <v>7998</v>
      </c>
      <c r="N35" s="246">
        <v>1392</v>
      </c>
      <c r="O35" s="246">
        <v>9390</v>
      </c>
      <c r="P35" s="245">
        <v>658999</v>
      </c>
    </row>
    <row r="36" spans="2:16" s="1" customFormat="1" ht="12.75" x14ac:dyDescent="0.2">
      <c r="B36" s="240" t="s">
        <v>17</v>
      </c>
      <c r="C36" s="245">
        <v>92863</v>
      </c>
      <c r="D36" s="246">
        <v>250323</v>
      </c>
      <c r="E36" s="246">
        <v>7831</v>
      </c>
      <c r="F36" s="246">
        <v>1631</v>
      </c>
      <c r="G36" s="246">
        <v>51969</v>
      </c>
      <c r="H36" s="246">
        <v>14566</v>
      </c>
      <c r="I36" s="246">
        <v>20000</v>
      </c>
      <c r="J36" s="246">
        <v>9318</v>
      </c>
      <c r="K36" s="246">
        <v>1909</v>
      </c>
      <c r="L36" s="251">
        <v>450410</v>
      </c>
      <c r="M36" s="245">
        <v>7429</v>
      </c>
      <c r="N36" s="246">
        <v>1679</v>
      </c>
      <c r="O36" s="246">
        <v>9108</v>
      </c>
      <c r="P36" s="245">
        <v>459518</v>
      </c>
    </row>
    <row r="37" spans="2:16" s="1" customFormat="1" ht="12.75" x14ac:dyDescent="0.2">
      <c r="B37" s="240" t="s">
        <v>21</v>
      </c>
      <c r="C37" s="245">
        <v>3155</v>
      </c>
      <c r="D37" s="246">
        <v>548</v>
      </c>
      <c r="E37" s="246">
        <v>58302</v>
      </c>
      <c r="F37" s="246">
        <v>69</v>
      </c>
      <c r="G37" s="246">
        <v>16350</v>
      </c>
      <c r="H37" s="246">
        <v>4848</v>
      </c>
      <c r="I37" s="246">
        <v>1189</v>
      </c>
      <c r="J37" s="246">
        <v>40</v>
      </c>
      <c r="K37" s="246">
        <v>3744</v>
      </c>
      <c r="L37" s="251">
        <v>88245</v>
      </c>
      <c r="M37" s="245">
        <v>222</v>
      </c>
      <c r="N37" s="246">
        <v>200</v>
      </c>
      <c r="O37" s="246">
        <v>422</v>
      </c>
      <c r="P37" s="245">
        <v>88667</v>
      </c>
    </row>
    <row r="38" spans="2:16" s="1" customFormat="1" ht="12.75" x14ac:dyDescent="0.2">
      <c r="B38" s="240" t="s">
        <v>19</v>
      </c>
      <c r="C38" s="245">
        <v>853</v>
      </c>
      <c r="D38" s="246">
        <v>1244</v>
      </c>
      <c r="E38" s="246">
        <v>750</v>
      </c>
      <c r="F38" s="246">
        <v>43830</v>
      </c>
      <c r="G38" s="246">
        <v>1893</v>
      </c>
      <c r="H38" s="246">
        <v>306</v>
      </c>
      <c r="I38" s="246">
        <v>450</v>
      </c>
      <c r="J38" s="246">
        <v>5014</v>
      </c>
      <c r="K38" s="246">
        <v>1631</v>
      </c>
      <c r="L38" s="251">
        <v>55971</v>
      </c>
      <c r="M38" s="245">
        <v>1349</v>
      </c>
      <c r="N38" s="246">
        <v>133</v>
      </c>
      <c r="O38" s="246">
        <v>1482</v>
      </c>
      <c r="P38" s="245">
        <v>57453</v>
      </c>
    </row>
    <row r="39" spans="2:16" s="1" customFormat="1" ht="12.75" x14ac:dyDescent="0.2">
      <c r="B39" s="240" t="s">
        <v>13</v>
      </c>
      <c r="C39" s="245">
        <v>13848</v>
      </c>
      <c r="D39" s="246">
        <v>2115</v>
      </c>
      <c r="E39" s="246">
        <v>4761</v>
      </c>
      <c r="F39" s="246">
        <v>60</v>
      </c>
      <c r="G39" s="246">
        <v>259646</v>
      </c>
      <c r="H39" s="246">
        <v>41499</v>
      </c>
      <c r="I39" s="246">
        <v>22512</v>
      </c>
      <c r="J39" s="247"/>
      <c r="K39" s="246">
        <v>904</v>
      </c>
      <c r="L39" s="251">
        <v>345345</v>
      </c>
      <c r="M39" s="245">
        <v>3102</v>
      </c>
      <c r="N39" s="246">
        <v>746</v>
      </c>
      <c r="O39" s="246">
        <v>3848</v>
      </c>
      <c r="P39" s="245">
        <v>349193</v>
      </c>
    </row>
    <row r="40" spans="2:16" s="1" customFormat="1" ht="12.75" x14ac:dyDescent="0.2">
      <c r="B40" s="240" t="s">
        <v>14</v>
      </c>
      <c r="C40" s="245">
        <v>12811</v>
      </c>
      <c r="D40" s="246">
        <v>1410</v>
      </c>
      <c r="E40" s="246">
        <v>173</v>
      </c>
      <c r="F40" s="247"/>
      <c r="G40" s="246">
        <v>59990</v>
      </c>
      <c r="H40" s="246">
        <v>175395</v>
      </c>
      <c r="I40" s="246">
        <v>51936</v>
      </c>
      <c r="J40" s="246">
        <v>121</v>
      </c>
      <c r="K40" s="247"/>
      <c r="L40" s="251">
        <v>301836</v>
      </c>
      <c r="M40" s="245">
        <v>1809</v>
      </c>
      <c r="N40" s="246">
        <v>195</v>
      </c>
      <c r="O40" s="246">
        <v>2004</v>
      </c>
      <c r="P40" s="245">
        <v>303840</v>
      </c>
    </row>
    <row r="41" spans="2:16" s="1" customFormat="1" ht="12.75" x14ac:dyDescent="0.2">
      <c r="B41" s="240" t="s">
        <v>15</v>
      </c>
      <c r="C41" s="245">
        <v>42925</v>
      </c>
      <c r="D41" s="246">
        <v>1581</v>
      </c>
      <c r="E41" s="246">
        <v>386</v>
      </c>
      <c r="F41" s="246">
        <v>132</v>
      </c>
      <c r="G41" s="246">
        <v>18442</v>
      </c>
      <c r="H41" s="246">
        <v>48994</v>
      </c>
      <c r="I41" s="246">
        <v>697234</v>
      </c>
      <c r="J41" s="246">
        <v>193</v>
      </c>
      <c r="K41" s="246">
        <v>44</v>
      </c>
      <c r="L41" s="251">
        <v>809931</v>
      </c>
      <c r="M41" s="245">
        <v>9944</v>
      </c>
      <c r="N41" s="246">
        <v>1460</v>
      </c>
      <c r="O41" s="246">
        <v>11404</v>
      </c>
      <c r="P41" s="245">
        <v>821335</v>
      </c>
    </row>
    <row r="42" spans="2:16" s="1" customFormat="1" ht="12.75" x14ac:dyDescent="0.2">
      <c r="B42" s="240" t="s">
        <v>18</v>
      </c>
      <c r="C42" s="245">
        <v>12035</v>
      </c>
      <c r="D42" s="246">
        <v>22109</v>
      </c>
      <c r="E42" s="246">
        <v>3797</v>
      </c>
      <c r="F42" s="246">
        <v>16717</v>
      </c>
      <c r="G42" s="246">
        <v>7202</v>
      </c>
      <c r="H42" s="246">
        <v>3236</v>
      </c>
      <c r="I42" s="246">
        <v>2961</v>
      </c>
      <c r="J42" s="246">
        <v>105868</v>
      </c>
      <c r="K42" s="246">
        <v>2022</v>
      </c>
      <c r="L42" s="251">
        <v>175947</v>
      </c>
      <c r="M42" s="245">
        <v>10088</v>
      </c>
      <c r="N42" s="246">
        <v>252</v>
      </c>
      <c r="O42" s="246">
        <v>10340</v>
      </c>
      <c r="P42" s="245">
        <v>186287</v>
      </c>
    </row>
    <row r="43" spans="2:16" s="1" customFormat="1" ht="12.75" x14ac:dyDescent="0.2">
      <c r="B43" s="241" t="s">
        <v>20</v>
      </c>
      <c r="C43" s="248">
        <v>1479</v>
      </c>
      <c r="D43" s="249">
        <v>1006</v>
      </c>
      <c r="E43" s="249">
        <v>13056</v>
      </c>
      <c r="F43" s="249">
        <v>3986</v>
      </c>
      <c r="G43" s="249">
        <v>5790</v>
      </c>
      <c r="H43" s="249">
        <v>1323</v>
      </c>
      <c r="I43" s="249">
        <v>669</v>
      </c>
      <c r="J43" s="249">
        <v>330</v>
      </c>
      <c r="K43" s="249">
        <v>178929</v>
      </c>
      <c r="L43" s="252">
        <v>206568</v>
      </c>
      <c r="M43" s="248">
        <v>2911</v>
      </c>
      <c r="N43" s="249">
        <v>58</v>
      </c>
      <c r="O43" s="249">
        <v>2969</v>
      </c>
      <c r="P43" s="248">
        <v>209537</v>
      </c>
    </row>
    <row r="44" spans="2:16" s="1" customFormat="1" ht="12.75" x14ac:dyDescent="0.2">
      <c r="B44" s="240" t="s">
        <v>9</v>
      </c>
      <c r="C44" s="245">
        <v>586638</v>
      </c>
      <c r="D44" s="246">
        <v>312588</v>
      </c>
      <c r="E44" s="246">
        <v>91522</v>
      </c>
      <c r="F44" s="246">
        <v>66817</v>
      </c>
      <c r="G44" s="246">
        <v>503503</v>
      </c>
      <c r="H44" s="246">
        <v>333476</v>
      </c>
      <c r="I44" s="246">
        <v>877062</v>
      </c>
      <c r="J44" s="246">
        <v>121781</v>
      </c>
      <c r="K44" s="246">
        <v>190475</v>
      </c>
      <c r="L44" s="251">
        <v>3083862</v>
      </c>
      <c r="M44" s="245">
        <v>44852</v>
      </c>
      <c r="N44" s="246">
        <v>6115</v>
      </c>
      <c r="O44" s="246">
        <v>50967</v>
      </c>
      <c r="P44" s="245">
        <v>3134829</v>
      </c>
    </row>
    <row r="45" spans="2:16" s="1" customFormat="1" ht="12.75" x14ac:dyDescent="0.2"/>
  </sheetData>
  <mergeCells count="11">
    <mergeCell ref="C33:L33"/>
    <mergeCell ref="M33:O33"/>
    <mergeCell ref="P33:P34"/>
    <mergeCell ref="C32:P32"/>
    <mergeCell ref="C8:P8"/>
    <mergeCell ref="P9:P10"/>
    <mergeCell ref="A11:A20"/>
    <mergeCell ref="A21:A23"/>
    <mergeCell ref="A24:B24"/>
    <mergeCell ref="C9:L9"/>
    <mergeCell ref="M9:O9"/>
  </mergeCells>
  <hyperlinks>
    <hyperlink ref="A1" r:id="rId1" location="/site/metropolitantransportationcommission/views/CountyToCountyCommuterFlows_PUMS2023/Dashboard1?:iid=1" xr:uid="{01E22C0E-E9DA-4D69-B462-57E6580E934D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8"/>
  </sheetPr>
  <dimension ref="B2:AM56"/>
  <sheetViews>
    <sheetView topLeftCell="A18" workbookViewId="0">
      <selection activeCell="K3" sqref="K3"/>
    </sheetView>
  </sheetViews>
  <sheetFormatPr defaultColWidth="9.140625" defaultRowHeight="12.75" x14ac:dyDescent="0.2"/>
  <cols>
    <col min="1" max="1" width="4.42578125" style="1" customWidth="1"/>
    <col min="2" max="2" width="9.140625" style="1"/>
    <col min="3" max="11" width="9.28515625" style="1" bestFit="1" customWidth="1"/>
    <col min="12" max="12" width="9.42578125" style="1" bestFit="1" customWidth="1"/>
    <col min="13" max="13" width="9.42578125" style="1" customWidth="1"/>
    <col min="14" max="16384" width="9.140625" style="1"/>
  </cols>
  <sheetData>
    <row r="2" spans="2:39" x14ac:dyDescent="0.2">
      <c r="B2" s="2" t="s">
        <v>521</v>
      </c>
      <c r="O2" s="2" t="s">
        <v>522</v>
      </c>
      <c r="AB2" s="2" t="s">
        <v>523</v>
      </c>
    </row>
    <row r="3" spans="2:39" x14ac:dyDescent="0.2">
      <c r="B3" s="16" t="s">
        <v>517</v>
      </c>
      <c r="O3" s="16" t="s">
        <v>518</v>
      </c>
      <c r="AB3" s="16" t="s">
        <v>519</v>
      </c>
    </row>
    <row r="4" spans="2:39" ht="25.5" x14ac:dyDescent="0.2">
      <c r="B4" s="1" t="s">
        <v>58</v>
      </c>
      <c r="C4" s="1" t="s">
        <v>16</v>
      </c>
      <c r="D4" s="1" t="s">
        <v>17</v>
      </c>
      <c r="E4" s="1" t="s">
        <v>21</v>
      </c>
      <c r="F4" s="1" t="s">
        <v>19</v>
      </c>
      <c r="G4" s="1" t="s">
        <v>13</v>
      </c>
      <c r="H4" s="1" t="s">
        <v>14</v>
      </c>
      <c r="I4" s="1" t="s">
        <v>15</v>
      </c>
      <c r="J4" s="1" t="s">
        <v>18</v>
      </c>
      <c r="K4" s="1" t="s">
        <v>20</v>
      </c>
      <c r="L4" s="1" t="s">
        <v>59</v>
      </c>
      <c r="M4" s="30" t="s">
        <v>60</v>
      </c>
      <c r="O4" s="1" t="s">
        <v>58</v>
      </c>
      <c r="P4" s="1" t="s">
        <v>16</v>
      </c>
      <c r="Q4" s="1" t="s">
        <v>17</v>
      </c>
      <c r="R4" s="1" t="s">
        <v>21</v>
      </c>
      <c r="S4" s="1" t="s">
        <v>19</v>
      </c>
      <c r="T4" s="1" t="s">
        <v>13</v>
      </c>
      <c r="U4" s="1" t="s">
        <v>14</v>
      </c>
      <c r="V4" s="1" t="s">
        <v>15</v>
      </c>
      <c r="W4" s="1" t="s">
        <v>18</v>
      </c>
      <c r="X4" s="1" t="s">
        <v>20</v>
      </c>
      <c r="Y4" s="1" t="s">
        <v>59</v>
      </c>
      <c r="Z4" s="30" t="s">
        <v>60</v>
      </c>
      <c r="AB4" s="1" t="s">
        <v>58</v>
      </c>
      <c r="AC4" s="1" t="s">
        <v>16</v>
      </c>
      <c r="AD4" s="1" t="s">
        <v>17</v>
      </c>
      <c r="AE4" s="1" t="s">
        <v>21</v>
      </c>
      <c r="AF4" s="1" t="s">
        <v>19</v>
      </c>
      <c r="AG4" s="1" t="s">
        <v>13</v>
      </c>
      <c r="AH4" s="1" t="s">
        <v>14</v>
      </c>
      <c r="AI4" s="1" t="s">
        <v>15</v>
      </c>
      <c r="AJ4" s="1" t="s">
        <v>18</v>
      </c>
      <c r="AK4" s="1" t="s">
        <v>20</v>
      </c>
      <c r="AL4" s="1" t="s">
        <v>59</v>
      </c>
      <c r="AM4" s="30" t="s">
        <v>60</v>
      </c>
    </row>
    <row r="5" spans="2:39" x14ac:dyDescent="0.2">
      <c r="B5" s="1">
        <v>1</v>
      </c>
      <c r="C5" s="5">
        <v>40581.465286376842</v>
      </c>
      <c r="D5" s="6">
        <v>25703.818844924637</v>
      </c>
      <c r="E5" s="6">
        <v>260.84622211853707</v>
      </c>
      <c r="F5" s="6">
        <v>5839.5081131828374</v>
      </c>
      <c r="G5" s="6">
        <v>61521.894785717384</v>
      </c>
      <c r="H5" s="6">
        <v>14482.583078674097</v>
      </c>
      <c r="I5" s="6">
        <v>37503.930522518269</v>
      </c>
      <c r="J5" s="6">
        <v>19592.931798147143</v>
      </c>
      <c r="K5" s="6">
        <v>21301.083303419371</v>
      </c>
      <c r="L5" s="7">
        <v>226788.06195507906</v>
      </c>
      <c r="M5" s="27">
        <f>L5/L$56</f>
        <v>6.9392787160115446E-2</v>
      </c>
      <c r="O5" s="1">
        <v>1</v>
      </c>
      <c r="P5" s="5">
        <v>7025.971441516439</v>
      </c>
      <c r="Q5" s="6">
        <v>107.23489610148256</v>
      </c>
      <c r="R5" s="6">
        <v>0</v>
      </c>
      <c r="S5" s="6">
        <v>0</v>
      </c>
      <c r="T5" s="6">
        <v>7343.0366949828967</v>
      </c>
      <c r="U5" s="6">
        <v>0</v>
      </c>
      <c r="V5" s="6">
        <v>16529.65059696517</v>
      </c>
      <c r="W5" s="6">
        <v>6691.7342330486772</v>
      </c>
      <c r="X5" s="6">
        <v>0</v>
      </c>
      <c r="Y5" s="7">
        <v>37697.627862614681</v>
      </c>
      <c r="Z5" s="27">
        <f>Y5/Y$56</f>
        <v>0.11145628900984729</v>
      </c>
      <c r="AB5" s="1">
        <v>1</v>
      </c>
      <c r="AC5" s="5">
        <v>24047.06937677944</v>
      </c>
      <c r="AD5" s="6">
        <v>67950.148065955203</v>
      </c>
      <c r="AE5" s="6">
        <v>0</v>
      </c>
      <c r="AF5" s="6">
        <v>0</v>
      </c>
      <c r="AG5" s="6">
        <v>12807.829020370327</v>
      </c>
      <c r="AH5" s="6">
        <v>12812.750759468827</v>
      </c>
      <c r="AI5" s="6">
        <v>48371.186815074281</v>
      </c>
      <c r="AJ5" s="6">
        <v>15059.554269146531</v>
      </c>
      <c r="AK5" s="6">
        <v>397.89572713025541</v>
      </c>
      <c r="AL5" s="7">
        <v>181446.43403392474</v>
      </c>
      <c r="AM5" s="27">
        <f>AL5/AL$56</f>
        <v>0.22671883244926289</v>
      </c>
    </row>
    <row r="6" spans="2:39" x14ac:dyDescent="0.2">
      <c r="B6" s="1">
        <v>2</v>
      </c>
      <c r="C6" s="9">
        <v>27234.041698461384</v>
      </c>
      <c r="D6" s="8">
        <v>37095.121226882897</v>
      </c>
      <c r="E6" s="8">
        <v>10127.795303745828</v>
      </c>
      <c r="F6" s="8">
        <v>9503.8549893273994</v>
      </c>
      <c r="G6" s="8">
        <v>48549.378011540255</v>
      </c>
      <c r="H6" s="8">
        <v>21127.84636253817</v>
      </c>
      <c r="I6" s="8">
        <v>47622.320240549911</v>
      </c>
      <c r="J6" s="8">
        <v>9525.9630581647034</v>
      </c>
      <c r="K6" s="8">
        <v>22031.629425775696</v>
      </c>
      <c r="L6" s="10">
        <v>232817.95031698592</v>
      </c>
      <c r="M6" s="27">
        <f t="shared" ref="M6:M56" si="0">L6/L$56</f>
        <v>7.1237817079635377E-2</v>
      </c>
      <c r="O6" s="1">
        <v>2</v>
      </c>
      <c r="P6" s="9">
        <v>35385.950039632458</v>
      </c>
      <c r="Q6" s="8">
        <v>4189.2988160068435</v>
      </c>
      <c r="R6" s="8">
        <v>0</v>
      </c>
      <c r="S6" s="8">
        <v>96.209730915253871</v>
      </c>
      <c r="T6" s="8">
        <v>8022.4900603300885</v>
      </c>
      <c r="U6" s="8">
        <v>0</v>
      </c>
      <c r="V6" s="8">
        <v>35995.213300525073</v>
      </c>
      <c r="W6" s="8">
        <v>56.979849281870884</v>
      </c>
      <c r="X6" s="8">
        <v>570.6001174517047</v>
      </c>
      <c r="Y6" s="10">
        <v>84316.741914142956</v>
      </c>
      <c r="Z6" s="27">
        <f t="shared" ref="Z6:Z56" si="1">Y6/Y$56</f>
        <v>0.2492897216079529</v>
      </c>
      <c r="AB6" s="1">
        <v>2</v>
      </c>
      <c r="AC6" s="9">
        <v>37355.242397963972</v>
      </c>
      <c r="AD6" s="8">
        <v>13739.976520839133</v>
      </c>
      <c r="AE6" s="8">
        <v>2938.4541056329754</v>
      </c>
      <c r="AF6" s="8">
        <v>7805.2011017695349</v>
      </c>
      <c r="AG6" s="8">
        <v>13525.771616493761</v>
      </c>
      <c r="AH6" s="8">
        <v>28266.839392256443</v>
      </c>
      <c r="AI6" s="8">
        <v>49432.131537538837</v>
      </c>
      <c r="AJ6" s="8">
        <v>3779.7836052416569</v>
      </c>
      <c r="AK6" s="8">
        <v>11845.906980148004</v>
      </c>
      <c r="AL6" s="10">
        <v>168689.30725788404</v>
      </c>
      <c r="AM6" s="27">
        <f t="shared" ref="AM6:AM56" si="2">AL6/AL$56</f>
        <v>0.21077869615796266</v>
      </c>
    </row>
    <row r="7" spans="2:39" x14ac:dyDescent="0.2">
      <c r="B7" s="1">
        <v>3</v>
      </c>
      <c r="C7" s="9">
        <v>46390.259364216414</v>
      </c>
      <c r="D7" s="8">
        <v>34955.80011455639</v>
      </c>
      <c r="E7" s="8">
        <v>5719.7792983520958</v>
      </c>
      <c r="F7" s="8">
        <v>4010.7744394017573</v>
      </c>
      <c r="G7" s="8">
        <v>47859.116396918456</v>
      </c>
      <c r="H7" s="8">
        <v>21035.034538270076</v>
      </c>
      <c r="I7" s="8">
        <v>47497.673298394802</v>
      </c>
      <c r="J7" s="8">
        <v>28281.855054825231</v>
      </c>
      <c r="K7" s="8">
        <v>25355.624842746278</v>
      </c>
      <c r="L7" s="10">
        <v>261105.91734767723</v>
      </c>
      <c r="M7" s="27">
        <f t="shared" si="0"/>
        <v>7.9893391180100776E-2</v>
      </c>
      <c r="O7" s="1">
        <v>3</v>
      </c>
      <c r="P7" s="9">
        <v>3542.9776551070754</v>
      </c>
      <c r="Q7" s="8">
        <v>185.98489603582584</v>
      </c>
      <c r="R7" s="8">
        <v>0</v>
      </c>
      <c r="S7" s="8">
        <v>1030.3594382959689</v>
      </c>
      <c r="T7" s="8">
        <v>2923.3795568526912</v>
      </c>
      <c r="U7" s="8">
        <v>174.59977707379764</v>
      </c>
      <c r="V7" s="8">
        <v>3510.2148594677928</v>
      </c>
      <c r="W7" s="8">
        <v>135.80401603312021</v>
      </c>
      <c r="X7" s="8">
        <v>1567.0264079110179</v>
      </c>
      <c r="Y7" s="10">
        <v>13070.346606777457</v>
      </c>
      <c r="Z7" s="27">
        <f t="shared" si="1"/>
        <v>3.864360734242827E-2</v>
      </c>
      <c r="AB7" s="1">
        <v>3</v>
      </c>
      <c r="AC7" s="9">
        <v>50319.134723105788</v>
      </c>
      <c r="AD7" s="8">
        <v>34668.180417691634</v>
      </c>
      <c r="AE7" s="8">
        <v>6143.6378306237812</v>
      </c>
      <c r="AF7" s="8">
        <v>2330.7590676226719</v>
      </c>
      <c r="AG7" s="8">
        <v>7423.4638675189854</v>
      </c>
      <c r="AH7" s="8">
        <v>7269.5533649581412</v>
      </c>
      <c r="AI7" s="8">
        <v>52928.385306936179</v>
      </c>
      <c r="AJ7" s="8">
        <v>5373.5063351058743</v>
      </c>
      <c r="AK7" s="8">
        <v>7093.8277954493442</v>
      </c>
      <c r="AL7" s="10">
        <v>173550.44870901114</v>
      </c>
      <c r="AM7" s="27">
        <f t="shared" si="2"/>
        <v>0.21685273293933136</v>
      </c>
    </row>
    <row r="8" spans="2:39" x14ac:dyDescent="0.2">
      <c r="B8" s="1">
        <v>4</v>
      </c>
      <c r="C8" s="9">
        <v>42598.48611134282</v>
      </c>
      <c r="D8" s="8">
        <v>24273.423967346476</v>
      </c>
      <c r="E8" s="8">
        <v>258.24395727343108</v>
      </c>
      <c r="F8" s="8">
        <v>810.84344963506737</v>
      </c>
      <c r="G8" s="8">
        <v>34543.128193998476</v>
      </c>
      <c r="H8" s="8">
        <v>31200.474522576304</v>
      </c>
      <c r="I8" s="8">
        <v>54247.623940102523</v>
      </c>
      <c r="J8" s="8">
        <v>11736.582445025117</v>
      </c>
      <c r="K8" s="8">
        <v>27390.9065575641</v>
      </c>
      <c r="L8" s="10">
        <v>227059.71314487339</v>
      </c>
      <c r="M8" s="27">
        <f t="shared" si="0"/>
        <v>6.9475907201940773E-2</v>
      </c>
      <c r="O8" s="1">
        <v>4</v>
      </c>
      <c r="P8" s="9">
        <v>1768.397558440869</v>
      </c>
      <c r="Q8" s="8">
        <v>82.802125695384348</v>
      </c>
      <c r="R8" s="8">
        <v>0</v>
      </c>
      <c r="S8" s="8">
        <v>0</v>
      </c>
      <c r="T8" s="8">
        <v>3351.556679774767</v>
      </c>
      <c r="U8" s="8">
        <v>0</v>
      </c>
      <c r="V8" s="8">
        <v>1437.4810201457658</v>
      </c>
      <c r="W8" s="8">
        <v>3586.4758326697311</v>
      </c>
      <c r="X8" s="8">
        <v>5306.8050583389559</v>
      </c>
      <c r="Y8" s="10">
        <v>15533.518275065784</v>
      </c>
      <c r="Z8" s="27">
        <f t="shared" si="1"/>
        <v>4.5926186881441469E-2</v>
      </c>
      <c r="AB8" s="1">
        <v>4</v>
      </c>
      <c r="AC8" s="9">
        <v>8934.171664375026</v>
      </c>
      <c r="AD8" s="8">
        <v>23959.121584188775</v>
      </c>
      <c r="AE8" s="8">
        <v>128.53910062337491</v>
      </c>
      <c r="AF8" s="8">
        <v>6004.9250752045409</v>
      </c>
      <c r="AG8" s="8">
        <v>10152.642983508544</v>
      </c>
      <c r="AH8" s="8">
        <v>7942.2841227000463</v>
      </c>
      <c r="AI8" s="8">
        <v>13486.985497729329</v>
      </c>
      <c r="AJ8" s="8">
        <v>13991.475399336225</v>
      </c>
      <c r="AK8" s="8">
        <v>138.08339485573015</v>
      </c>
      <c r="AL8" s="10">
        <v>84738.228822521341</v>
      </c>
      <c r="AM8" s="27">
        <f t="shared" si="2"/>
        <v>0.10588112356547347</v>
      </c>
    </row>
    <row r="9" spans="2:39" x14ac:dyDescent="0.2">
      <c r="B9" s="1">
        <v>5</v>
      </c>
      <c r="C9" s="9">
        <v>29013.041051403212</v>
      </c>
      <c r="D9" s="8">
        <v>15074.144790365783</v>
      </c>
      <c r="E9" s="8">
        <v>7218.9581379312058</v>
      </c>
      <c r="F9" s="8">
        <v>103.17804631286708</v>
      </c>
      <c r="G9" s="8">
        <v>31907.693561175314</v>
      </c>
      <c r="H9" s="8">
        <v>25923.481941920181</v>
      </c>
      <c r="I9" s="8">
        <v>70925.742516873259</v>
      </c>
      <c r="J9" s="8">
        <v>13594.039534761745</v>
      </c>
      <c r="K9" s="8">
        <v>5666.7562343894679</v>
      </c>
      <c r="L9" s="10">
        <v>199427.03581513558</v>
      </c>
      <c r="M9" s="27">
        <f t="shared" si="0"/>
        <v>6.1020839152607323E-2</v>
      </c>
      <c r="O9" s="1">
        <v>5</v>
      </c>
      <c r="P9" s="9">
        <v>5028.1638257797385</v>
      </c>
      <c r="Q9" s="8">
        <v>165.90774634650825</v>
      </c>
      <c r="R9" s="8">
        <v>0</v>
      </c>
      <c r="S9" s="8">
        <v>0</v>
      </c>
      <c r="T9" s="8">
        <v>1861.6901559978105</v>
      </c>
      <c r="U9" s="8">
        <v>0</v>
      </c>
      <c r="V9" s="8">
        <v>4475.3122162730142</v>
      </c>
      <c r="W9" s="8">
        <v>254.27576792312539</v>
      </c>
      <c r="X9" s="8">
        <v>3437.5480928249235</v>
      </c>
      <c r="Y9" s="10">
        <v>15222.897805144603</v>
      </c>
      <c r="Z9" s="27">
        <f t="shared" si="1"/>
        <v>4.5007810664399878E-2</v>
      </c>
      <c r="AB9" s="1">
        <v>5</v>
      </c>
      <c r="AC9" s="9">
        <v>3533.3618588847166</v>
      </c>
      <c r="AD9" s="8">
        <v>10015.725123823911</v>
      </c>
      <c r="AE9" s="8">
        <v>0</v>
      </c>
      <c r="AF9" s="8">
        <v>0</v>
      </c>
      <c r="AG9" s="8">
        <v>10436.39354003287</v>
      </c>
      <c r="AH9" s="8">
        <v>714.4383961368585</v>
      </c>
      <c r="AI9" s="8">
        <v>133.10561594436876</v>
      </c>
      <c r="AJ9" s="8">
        <v>177.53394561562163</v>
      </c>
      <c r="AK9" s="8">
        <v>1417.8687985675351</v>
      </c>
      <c r="AL9" s="10">
        <v>26428.427279005875</v>
      </c>
      <c r="AM9" s="27">
        <f t="shared" si="2"/>
        <v>3.3022540277899207E-2</v>
      </c>
    </row>
    <row r="10" spans="2:39" x14ac:dyDescent="0.2">
      <c r="B10" s="1">
        <v>6</v>
      </c>
      <c r="C10" s="9">
        <v>29125.027823821845</v>
      </c>
      <c r="D10" s="8">
        <v>23139.16923718428</v>
      </c>
      <c r="E10" s="8">
        <v>3763.1727967753468</v>
      </c>
      <c r="F10" s="8">
        <v>14053.637174573101</v>
      </c>
      <c r="G10" s="8">
        <v>47255.997067873919</v>
      </c>
      <c r="H10" s="8">
        <v>19878.305588006915</v>
      </c>
      <c r="I10" s="8">
        <v>107417.40666294747</v>
      </c>
      <c r="J10" s="8">
        <v>5584.2740765750204</v>
      </c>
      <c r="K10" s="8">
        <v>10709.735432304951</v>
      </c>
      <c r="L10" s="10">
        <v>260926.72586006625</v>
      </c>
      <c r="M10" s="27">
        <f t="shared" si="0"/>
        <v>7.9838562029688281E-2</v>
      </c>
      <c r="O10" s="1">
        <v>6</v>
      </c>
      <c r="P10" s="9">
        <v>5650.8974799450807</v>
      </c>
      <c r="Q10" s="8">
        <v>4234.9009846509471</v>
      </c>
      <c r="R10" s="8">
        <v>0</v>
      </c>
      <c r="S10" s="8">
        <v>0</v>
      </c>
      <c r="T10" s="8">
        <v>3721.3005139856359</v>
      </c>
      <c r="U10" s="8">
        <v>13851.225252009719</v>
      </c>
      <c r="V10" s="8">
        <v>2349.3001872086825</v>
      </c>
      <c r="W10" s="8">
        <v>0</v>
      </c>
      <c r="X10" s="8">
        <v>4753.5306056295449</v>
      </c>
      <c r="Y10" s="10">
        <v>34561.155023429834</v>
      </c>
      <c r="Z10" s="27">
        <f t="shared" si="1"/>
        <v>0.10218303647232076</v>
      </c>
      <c r="AB10" s="1">
        <v>6</v>
      </c>
      <c r="AC10" s="9">
        <v>20029.626464825516</v>
      </c>
      <c r="AD10" s="8">
        <v>9337.7607203685329</v>
      </c>
      <c r="AE10" s="8">
        <v>0</v>
      </c>
      <c r="AF10" s="8">
        <v>0</v>
      </c>
      <c r="AG10" s="8">
        <v>11444.001597660688</v>
      </c>
      <c r="AH10" s="8">
        <v>1637.5879858994958</v>
      </c>
      <c r="AI10" s="8">
        <v>27558.375065155677</v>
      </c>
      <c r="AJ10" s="8">
        <v>8947.0034941368503</v>
      </c>
      <c r="AK10" s="8">
        <v>8695.0668831708645</v>
      </c>
      <c r="AL10" s="10">
        <v>87649.422211217694</v>
      </c>
      <c r="AM10" s="27">
        <f t="shared" si="2"/>
        <v>0.10951868398176605</v>
      </c>
    </row>
    <row r="11" spans="2:39" x14ac:dyDescent="0.2">
      <c r="B11" s="1">
        <v>7</v>
      </c>
      <c r="C11" s="9">
        <v>16192.137611501588</v>
      </c>
      <c r="D11" s="8">
        <v>16822.837232743652</v>
      </c>
      <c r="E11" s="8">
        <v>0</v>
      </c>
      <c r="F11" s="8">
        <v>103.61088584621757</v>
      </c>
      <c r="G11" s="8">
        <v>20406.77048495505</v>
      </c>
      <c r="H11" s="8">
        <v>8120.0579516886792</v>
      </c>
      <c r="I11" s="8">
        <v>42572.990481313143</v>
      </c>
      <c r="J11" s="8">
        <v>328.87283569383726</v>
      </c>
      <c r="K11" s="8">
        <v>554.72111243246763</v>
      </c>
      <c r="L11" s="10">
        <v>105101.99859617488</v>
      </c>
      <c r="M11" s="27">
        <f t="shared" si="0"/>
        <v>3.2159191078284084E-2</v>
      </c>
      <c r="O11" s="1">
        <v>7</v>
      </c>
      <c r="P11" s="9">
        <v>1516.8028954473848</v>
      </c>
      <c r="Q11" s="8">
        <v>7041.8420143145704</v>
      </c>
      <c r="R11" s="8">
        <v>0</v>
      </c>
      <c r="S11" s="8">
        <v>0</v>
      </c>
      <c r="T11" s="8">
        <v>280.99982316030946</v>
      </c>
      <c r="U11" s="8">
        <v>539.13987533165709</v>
      </c>
      <c r="V11" s="8">
        <v>350.16674514449551</v>
      </c>
      <c r="W11" s="8">
        <v>0</v>
      </c>
      <c r="X11" s="8">
        <v>0</v>
      </c>
      <c r="Y11" s="10">
        <v>9728.9513533984136</v>
      </c>
      <c r="Z11" s="27">
        <f t="shared" si="1"/>
        <v>2.8764484008355549E-2</v>
      </c>
      <c r="AB11" s="1">
        <v>7</v>
      </c>
      <c r="AC11" s="9">
        <v>1522.5245897358982</v>
      </c>
      <c r="AD11" s="8">
        <v>11997.516997033992</v>
      </c>
      <c r="AE11" s="8">
        <v>0</v>
      </c>
      <c r="AF11" s="8">
        <v>5031.4177340152073</v>
      </c>
      <c r="AG11" s="8">
        <v>3819.2776884957129</v>
      </c>
      <c r="AH11" s="8">
        <v>171.93836814010865</v>
      </c>
      <c r="AI11" s="8">
        <v>395.2031910084188</v>
      </c>
      <c r="AJ11" s="8">
        <v>125.78905892025796</v>
      </c>
      <c r="AK11" s="8">
        <v>0</v>
      </c>
      <c r="AL11" s="10">
        <v>23063.667627349612</v>
      </c>
      <c r="AM11" s="27">
        <f t="shared" si="2"/>
        <v>2.8818245033644E-2</v>
      </c>
    </row>
    <row r="12" spans="2:39" x14ac:dyDescent="0.2">
      <c r="B12" s="1">
        <v>8</v>
      </c>
      <c r="C12" s="9">
        <v>20913.475624399289</v>
      </c>
      <c r="D12" s="8">
        <v>14626.565471509413</v>
      </c>
      <c r="E12" s="8">
        <v>4873.7187557521611</v>
      </c>
      <c r="F12" s="8">
        <v>514.96082460644539</v>
      </c>
      <c r="G12" s="8">
        <v>13439.525469317392</v>
      </c>
      <c r="H12" s="8">
        <v>908.52657803182956</v>
      </c>
      <c r="I12" s="8">
        <v>94844.270892036089</v>
      </c>
      <c r="J12" s="8">
        <v>396.26361580648518</v>
      </c>
      <c r="K12" s="8">
        <v>5575.1600355579285</v>
      </c>
      <c r="L12" s="10">
        <v>156092.4672670234</v>
      </c>
      <c r="M12" s="27">
        <f t="shared" si="0"/>
        <v>4.7761294245299936E-2</v>
      </c>
      <c r="O12" s="1">
        <v>8</v>
      </c>
      <c r="P12" s="9">
        <v>3036.7289087660101</v>
      </c>
      <c r="Q12" s="8">
        <v>164.75352588416717</v>
      </c>
      <c r="R12" s="8">
        <v>0</v>
      </c>
      <c r="S12" s="8">
        <v>122.00692032210895</v>
      </c>
      <c r="T12" s="8">
        <v>159.02141605440556</v>
      </c>
      <c r="U12" s="8">
        <v>145.95180351069757</v>
      </c>
      <c r="V12" s="8">
        <v>1600.3565349149067</v>
      </c>
      <c r="W12" s="8">
        <v>0</v>
      </c>
      <c r="X12" s="8">
        <v>0</v>
      </c>
      <c r="Y12" s="10">
        <v>5228.8191094526264</v>
      </c>
      <c r="Z12" s="27">
        <f t="shared" si="1"/>
        <v>1.545945479559792E-2</v>
      </c>
      <c r="AB12" s="1">
        <v>8</v>
      </c>
      <c r="AC12" s="9">
        <v>8352.2723475077655</v>
      </c>
      <c r="AD12" s="8">
        <v>83.028861470229458</v>
      </c>
      <c r="AE12" s="8">
        <v>541.99695103971317</v>
      </c>
      <c r="AF12" s="8">
        <v>0</v>
      </c>
      <c r="AG12" s="8">
        <v>98.269834420701955</v>
      </c>
      <c r="AH12" s="8">
        <v>0</v>
      </c>
      <c r="AI12" s="8">
        <v>1235.2050438174047</v>
      </c>
      <c r="AJ12" s="8">
        <v>7287.3135350426237</v>
      </c>
      <c r="AK12" s="8">
        <v>395.03200030774315</v>
      </c>
      <c r="AL12" s="10">
        <v>17993.118573606363</v>
      </c>
      <c r="AM12" s="27">
        <f t="shared" si="2"/>
        <v>2.2482551706507863E-2</v>
      </c>
    </row>
    <row r="13" spans="2:39" x14ac:dyDescent="0.2">
      <c r="B13" s="1">
        <v>9</v>
      </c>
      <c r="C13" s="9">
        <v>7985.9864192206296</v>
      </c>
      <c r="D13" s="8">
        <v>20849.799973058485</v>
      </c>
      <c r="E13" s="8">
        <v>46.096272339826101</v>
      </c>
      <c r="F13" s="8">
        <v>103.17804631286708</v>
      </c>
      <c r="G13" s="8">
        <v>3683.1974344876362</v>
      </c>
      <c r="H13" s="8">
        <v>14077.699549560173</v>
      </c>
      <c r="I13" s="8">
        <v>45305.712526766292</v>
      </c>
      <c r="J13" s="8">
        <v>615.91040615852398</v>
      </c>
      <c r="K13" s="8">
        <v>9452.6769456952461</v>
      </c>
      <c r="L13" s="10">
        <v>102120.25757360412</v>
      </c>
      <c r="M13" s="27">
        <f t="shared" si="0"/>
        <v>3.124683564668812E-2</v>
      </c>
      <c r="O13" s="1">
        <v>9</v>
      </c>
      <c r="P13" s="9">
        <v>92.058770378149347</v>
      </c>
      <c r="Q13" s="8">
        <v>0</v>
      </c>
      <c r="R13" s="8">
        <v>0</v>
      </c>
      <c r="S13" s="8">
        <v>0</v>
      </c>
      <c r="T13" s="8">
        <v>0</v>
      </c>
      <c r="U13" s="8">
        <v>755.90222601648748</v>
      </c>
      <c r="V13" s="8">
        <v>0</v>
      </c>
      <c r="W13" s="8">
        <v>0</v>
      </c>
      <c r="X13" s="8">
        <v>120.69290854070277</v>
      </c>
      <c r="Y13" s="10">
        <v>968.65390493546147</v>
      </c>
      <c r="Z13" s="27">
        <f t="shared" si="1"/>
        <v>2.8639088372473453E-3</v>
      </c>
      <c r="AB13" s="1">
        <v>9</v>
      </c>
      <c r="AC13" s="9">
        <v>827.60278667806415</v>
      </c>
      <c r="AD13" s="8">
        <v>93.329135610489175</v>
      </c>
      <c r="AE13" s="8">
        <v>0</v>
      </c>
      <c r="AF13" s="8">
        <v>126.99592124765331</v>
      </c>
      <c r="AG13" s="8">
        <v>0</v>
      </c>
      <c r="AH13" s="8">
        <v>302.55918322094658</v>
      </c>
      <c r="AI13" s="8">
        <v>2708.4465073014144</v>
      </c>
      <c r="AJ13" s="8">
        <v>0</v>
      </c>
      <c r="AK13" s="8">
        <v>5091.040696558528</v>
      </c>
      <c r="AL13" s="10">
        <v>9149.9742306175176</v>
      </c>
      <c r="AM13" s="27">
        <f t="shared" si="2"/>
        <v>1.1432969104912724E-2</v>
      </c>
    </row>
    <row r="14" spans="2:39" x14ac:dyDescent="0.2">
      <c r="B14" s="1">
        <v>10</v>
      </c>
      <c r="C14" s="9">
        <v>27109.71227750578</v>
      </c>
      <c r="D14" s="8">
        <v>16945.997331889201</v>
      </c>
      <c r="E14" s="8">
        <v>92.628366537592228</v>
      </c>
      <c r="F14" s="8">
        <v>7361.3509090383086</v>
      </c>
      <c r="G14" s="8">
        <v>7421.894697543059</v>
      </c>
      <c r="H14" s="8">
        <v>1917.7759152815561</v>
      </c>
      <c r="I14" s="8">
        <v>27786.340344417491</v>
      </c>
      <c r="J14" s="8">
        <v>332.39937437126355</v>
      </c>
      <c r="K14" s="8">
        <v>6832.102990336949</v>
      </c>
      <c r="L14" s="10">
        <v>95800.2022069206</v>
      </c>
      <c r="M14" s="27">
        <f t="shared" si="0"/>
        <v>2.9313020201908301E-2</v>
      </c>
      <c r="O14" s="1">
        <v>10</v>
      </c>
      <c r="P14" s="9">
        <v>0</v>
      </c>
      <c r="Q14" s="8">
        <v>0</v>
      </c>
      <c r="R14" s="8">
        <v>0</v>
      </c>
      <c r="S14" s="8">
        <v>0</v>
      </c>
      <c r="T14" s="8">
        <v>260.8004662426647</v>
      </c>
      <c r="U14" s="8">
        <v>129.2593857453212</v>
      </c>
      <c r="V14" s="8">
        <v>249.17962647275999</v>
      </c>
      <c r="W14" s="8">
        <v>0</v>
      </c>
      <c r="X14" s="8">
        <v>0</v>
      </c>
      <c r="Y14" s="10">
        <v>639.23947846074589</v>
      </c>
      <c r="Z14" s="27">
        <f t="shared" si="1"/>
        <v>1.8899666662708491E-3</v>
      </c>
      <c r="AB14" s="1">
        <v>10</v>
      </c>
      <c r="AC14" s="9">
        <v>6022.2699158666655</v>
      </c>
      <c r="AD14" s="8">
        <v>94.527984102023765</v>
      </c>
      <c r="AE14" s="8">
        <v>101.38411259158602</v>
      </c>
      <c r="AF14" s="8">
        <v>0</v>
      </c>
      <c r="AG14" s="8">
        <v>0</v>
      </c>
      <c r="AH14" s="8">
        <v>0</v>
      </c>
      <c r="AI14" s="8">
        <v>3554.0200134297775</v>
      </c>
      <c r="AJ14" s="8">
        <v>1053.457992008618</v>
      </c>
      <c r="AK14" s="8">
        <v>0</v>
      </c>
      <c r="AL14" s="10">
        <v>10825.660017999704</v>
      </c>
      <c r="AM14" s="27">
        <f t="shared" si="2"/>
        <v>1.3526752470178982E-2</v>
      </c>
    </row>
    <row r="15" spans="2:39" x14ac:dyDescent="0.2">
      <c r="B15" s="1">
        <v>11</v>
      </c>
      <c r="C15" s="9">
        <v>12405.281253977621</v>
      </c>
      <c r="D15" s="8">
        <v>9286.7034180285991</v>
      </c>
      <c r="E15" s="8">
        <v>589.87141884676021</v>
      </c>
      <c r="F15" s="8">
        <v>605.69024375415756</v>
      </c>
      <c r="G15" s="8">
        <v>4056.2766758256475</v>
      </c>
      <c r="H15" s="8">
        <v>43539.197632934985</v>
      </c>
      <c r="I15" s="8">
        <v>41875.488022213569</v>
      </c>
      <c r="J15" s="8">
        <v>6003.7578140456899</v>
      </c>
      <c r="K15" s="8">
        <v>11483.302413540805</v>
      </c>
      <c r="L15" s="10">
        <v>129845.56889318163</v>
      </c>
      <c r="M15" s="27">
        <f t="shared" si="0"/>
        <v>3.9730247916106715E-2</v>
      </c>
      <c r="O15" s="1">
        <v>11</v>
      </c>
      <c r="P15" s="9">
        <v>180.25834296616085</v>
      </c>
      <c r="Q15" s="8">
        <v>0</v>
      </c>
      <c r="R15" s="8">
        <v>0</v>
      </c>
      <c r="S15" s="8">
        <v>0</v>
      </c>
      <c r="T15" s="8">
        <v>21.742006845262949</v>
      </c>
      <c r="U15" s="8">
        <v>0</v>
      </c>
      <c r="V15" s="8">
        <v>9549.8250728404091</v>
      </c>
      <c r="W15" s="8">
        <v>422.62019555195002</v>
      </c>
      <c r="X15" s="8">
        <v>0</v>
      </c>
      <c r="Y15" s="10">
        <v>10174.44561820419</v>
      </c>
      <c r="Z15" s="27">
        <f t="shared" si="1"/>
        <v>3.0081626235749222E-2</v>
      </c>
      <c r="AB15" s="1">
        <v>11</v>
      </c>
      <c r="AC15" s="9">
        <v>6225.7392225764925</v>
      </c>
      <c r="AD15" s="8">
        <v>83.609006644808687</v>
      </c>
      <c r="AE15" s="8">
        <v>0</v>
      </c>
      <c r="AF15" s="8">
        <v>0</v>
      </c>
      <c r="AG15" s="8">
        <v>0</v>
      </c>
      <c r="AH15" s="8">
        <v>0</v>
      </c>
      <c r="AI15" s="8">
        <v>0</v>
      </c>
      <c r="AJ15" s="8">
        <v>0</v>
      </c>
      <c r="AK15" s="8">
        <v>0</v>
      </c>
      <c r="AL15" s="10">
        <v>6309.3482292210683</v>
      </c>
      <c r="AM15" s="27">
        <f t="shared" si="2"/>
        <v>7.8835832275291583E-3</v>
      </c>
    </row>
    <row r="16" spans="2:39" x14ac:dyDescent="0.2">
      <c r="B16" s="1">
        <v>12</v>
      </c>
      <c r="C16" s="9">
        <v>32616.412783892301</v>
      </c>
      <c r="D16" s="8">
        <v>4141.9516929211677</v>
      </c>
      <c r="E16" s="8">
        <v>102.65256597991538</v>
      </c>
      <c r="F16" s="8">
        <v>124.21656684557092</v>
      </c>
      <c r="G16" s="8">
        <v>5506.7451166303363</v>
      </c>
      <c r="H16" s="8">
        <v>8520.3689910655085</v>
      </c>
      <c r="I16" s="8">
        <v>35580.118913650163</v>
      </c>
      <c r="J16" s="8">
        <v>5414.0948310767999</v>
      </c>
      <c r="K16" s="8">
        <v>10989.715001439123</v>
      </c>
      <c r="L16" s="10">
        <v>102996.27646350698</v>
      </c>
      <c r="M16" s="27">
        <f t="shared" si="0"/>
        <v>3.1514880586316865E-2</v>
      </c>
      <c r="O16" s="1">
        <v>12</v>
      </c>
      <c r="P16" s="9">
        <v>402.97434134356445</v>
      </c>
      <c r="Q16" s="8">
        <v>0</v>
      </c>
      <c r="R16" s="8">
        <v>0</v>
      </c>
      <c r="S16" s="8">
        <v>0</v>
      </c>
      <c r="T16" s="8">
        <v>0</v>
      </c>
      <c r="U16" s="8">
        <v>0</v>
      </c>
      <c r="V16" s="8">
        <v>108.78716675654869</v>
      </c>
      <c r="W16" s="8">
        <v>0</v>
      </c>
      <c r="X16" s="8">
        <v>172.60520511635696</v>
      </c>
      <c r="Y16" s="10">
        <v>684.36671321649919</v>
      </c>
      <c r="Z16" s="27">
        <f t="shared" si="1"/>
        <v>2.0233892290242076E-3</v>
      </c>
      <c r="AB16" s="1">
        <v>12</v>
      </c>
      <c r="AC16" s="9">
        <v>86.575611676089466</v>
      </c>
      <c r="AD16" s="8">
        <v>0</v>
      </c>
      <c r="AE16" s="8">
        <v>0</v>
      </c>
      <c r="AF16" s="8">
        <v>0</v>
      </c>
      <c r="AG16" s="8">
        <v>0</v>
      </c>
      <c r="AH16" s="8">
        <v>0</v>
      </c>
      <c r="AI16" s="8">
        <v>0</v>
      </c>
      <c r="AJ16" s="8">
        <v>0</v>
      </c>
      <c r="AK16" s="8">
        <v>105.73643042923504</v>
      </c>
      <c r="AL16" s="10">
        <v>192.3120421054773</v>
      </c>
      <c r="AM16" s="27">
        <f t="shared" si="2"/>
        <v>2.4029550034549224E-4</v>
      </c>
    </row>
    <row r="17" spans="2:39" x14ac:dyDescent="0.2">
      <c r="B17" s="1">
        <v>13</v>
      </c>
      <c r="C17" s="9">
        <v>21841.846870155074</v>
      </c>
      <c r="D17" s="8">
        <v>4218.9368324152601</v>
      </c>
      <c r="E17" s="8">
        <v>45.174557588674361</v>
      </c>
      <c r="F17" s="8">
        <v>288.89656039253168</v>
      </c>
      <c r="G17" s="8">
        <v>6100.4890273049823</v>
      </c>
      <c r="H17" s="8">
        <v>6610.0365728932084</v>
      </c>
      <c r="I17" s="8">
        <v>22641.433483151253</v>
      </c>
      <c r="J17" s="8">
        <v>245.43273428540851</v>
      </c>
      <c r="K17" s="8">
        <v>0</v>
      </c>
      <c r="L17" s="10">
        <v>61992.246638172772</v>
      </c>
      <c r="M17" s="27">
        <f t="shared" si="0"/>
        <v>1.8968435725652023E-2</v>
      </c>
      <c r="O17" s="1">
        <v>13</v>
      </c>
      <c r="P17" s="9">
        <v>65.241687255584111</v>
      </c>
      <c r="Q17" s="8">
        <v>0</v>
      </c>
      <c r="R17" s="8">
        <v>0</v>
      </c>
      <c r="S17" s="8">
        <v>0</v>
      </c>
      <c r="T17" s="8">
        <v>629.45507904773331</v>
      </c>
      <c r="U17" s="8">
        <v>0</v>
      </c>
      <c r="V17" s="8">
        <v>31.518593180371681</v>
      </c>
      <c r="W17" s="8">
        <v>0</v>
      </c>
      <c r="X17" s="8">
        <v>0</v>
      </c>
      <c r="Y17" s="10">
        <v>726.21535948355449</v>
      </c>
      <c r="Z17" s="27">
        <f t="shared" si="1"/>
        <v>2.1471183620617122E-3</v>
      </c>
      <c r="AB17" s="1">
        <v>13</v>
      </c>
      <c r="AC17" s="9">
        <v>0</v>
      </c>
      <c r="AD17" s="8">
        <v>0</v>
      </c>
      <c r="AE17" s="8">
        <v>0</v>
      </c>
      <c r="AF17" s="8">
        <v>0</v>
      </c>
      <c r="AG17" s="8">
        <v>0</v>
      </c>
      <c r="AH17" s="8">
        <v>0</v>
      </c>
      <c r="AI17" s="8">
        <v>562.05154024460353</v>
      </c>
      <c r="AJ17" s="8">
        <v>0</v>
      </c>
      <c r="AK17" s="8">
        <v>5654.3719927053462</v>
      </c>
      <c r="AL17" s="10">
        <v>6216.4235329499934</v>
      </c>
      <c r="AM17" s="27">
        <f t="shared" si="2"/>
        <v>7.7674730446178671E-3</v>
      </c>
    </row>
    <row r="18" spans="2:39" x14ac:dyDescent="0.2">
      <c r="B18" s="1">
        <v>14</v>
      </c>
      <c r="C18" s="9">
        <v>18610.024437137763</v>
      </c>
      <c r="D18" s="8">
        <v>8665.1351282898395</v>
      </c>
      <c r="E18" s="8">
        <v>111.6059826173223</v>
      </c>
      <c r="F18" s="8">
        <v>0</v>
      </c>
      <c r="G18" s="8">
        <v>6479.1658055172302</v>
      </c>
      <c r="H18" s="8">
        <v>25000.899236414552</v>
      </c>
      <c r="I18" s="8">
        <v>41832.840569366701</v>
      </c>
      <c r="J18" s="8">
        <v>3675.4166565509804</v>
      </c>
      <c r="K18" s="8">
        <v>4989.2793305454543</v>
      </c>
      <c r="L18" s="10">
        <v>109364.36714643473</v>
      </c>
      <c r="M18" s="27">
        <f t="shared" si="0"/>
        <v>3.346339391443133E-2</v>
      </c>
      <c r="O18" s="1">
        <v>14</v>
      </c>
      <c r="P18" s="9">
        <v>76.98811547630612</v>
      </c>
      <c r="Q18" s="8">
        <v>4008.0717068930171</v>
      </c>
      <c r="R18" s="8">
        <v>0</v>
      </c>
      <c r="S18" s="8">
        <v>0</v>
      </c>
      <c r="T18" s="8">
        <v>592.98773065303249</v>
      </c>
      <c r="U18" s="8">
        <v>190.70206592571049</v>
      </c>
      <c r="V18" s="8">
        <v>466.74321601101838</v>
      </c>
      <c r="W18" s="8">
        <v>0</v>
      </c>
      <c r="X18" s="8">
        <v>118.27907950400004</v>
      </c>
      <c r="Y18" s="10">
        <v>5453.7719144631701</v>
      </c>
      <c r="Z18" s="27">
        <f t="shared" si="1"/>
        <v>1.6124547170646156E-2</v>
      </c>
      <c r="AB18" s="1">
        <v>14</v>
      </c>
      <c r="AC18" s="9">
        <v>0</v>
      </c>
      <c r="AD18" s="8">
        <v>0</v>
      </c>
      <c r="AE18" s="8">
        <v>0</v>
      </c>
      <c r="AF18" s="8">
        <v>0</v>
      </c>
      <c r="AG18" s="8">
        <v>0</v>
      </c>
      <c r="AH18" s="8">
        <v>0</v>
      </c>
      <c r="AI18" s="8">
        <v>0</v>
      </c>
      <c r="AJ18" s="8">
        <v>524.4559352719516</v>
      </c>
      <c r="AK18" s="8">
        <v>0</v>
      </c>
      <c r="AL18" s="10">
        <v>524.4559352719225</v>
      </c>
      <c r="AM18" s="27">
        <f t="shared" si="2"/>
        <v>6.5531206468188378E-4</v>
      </c>
    </row>
    <row r="19" spans="2:39" x14ac:dyDescent="0.2">
      <c r="B19" s="1">
        <v>15</v>
      </c>
      <c r="C19" s="9">
        <v>15026.964480814408</v>
      </c>
      <c r="D19" s="8">
        <v>5107.5338163305714</v>
      </c>
      <c r="E19" s="8">
        <v>0</v>
      </c>
      <c r="F19" s="8">
        <v>540.38574667368084</v>
      </c>
      <c r="G19" s="8">
        <v>5244.6012642300338</v>
      </c>
      <c r="H19" s="8">
        <v>5684.7298692307086</v>
      </c>
      <c r="I19" s="8">
        <v>25038.458279178361</v>
      </c>
      <c r="J19" s="8">
        <v>2934.9289753567864</v>
      </c>
      <c r="K19" s="8">
        <v>873.18421254790155</v>
      </c>
      <c r="L19" s="10">
        <v>60450.786644374486</v>
      </c>
      <c r="M19" s="27">
        <f t="shared" si="0"/>
        <v>1.8496778600742756E-2</v>
      </c>
      <c r="O19" s="1">
        <v>15</v>
      </c>
      <c r="P19" s="9">
        <v>612.92187681038922</v>
      </c>
      <c r="Q19" s="8">
        <v>2648.6831819472609</v>
      </c>
      <c r="R19" s="8">
        <v>0</v>
      </c>
      <c r="S19" s="8">
        <v>0</v>
      </c>
      <c r="T19" s="8">
        <v>708.74167554641463</v>
      </c>
      <c r="U19" s="8">
        <v>234.61610202539305</v>
      </c>
      <c r="V19" s="8">
        <v>0</v>
      </c>
      <c r="W19" s="8">
        <v>4717.2121795205749</v>
      </c>
      <c r="X19" s="8">
        <v>4063.0315854985929</v>
      </c>
      <c r="Y19" s="10">
        <v>12985.206601348444</v>
      </c>
      <c r="Z19" s="27">
        <f t="shared" si="1"/>
        <v>3.8391883571214355E-2</v>
      </c>
      <c r="AB19" s="1">
        <v>15</v>
      </c>
      <c r="AC19" s="9">
        <v>0</v>
      </c>
      <c r="AD19" s="8">
        <v>0</v>
      </c>
      <c r="AE19" s="8">
        <v>0</v>
      </c>
      <c r="AF19" s="8">
        <v>0</v>
      </c>
      <c r="AG19" s="8">
        <v>0</v>
      </c>
      <c r="AH19" s="8">
        <v>0</v>
      </c>
      <c r="AI19" s="8">
        <v>0</v>
      </c>
      <c r="AJ19" s="8">
        <v>0</v>
      </c>
      <c r="AK19" s="8">
        <v>0</v>
      </c>
      <c r="AL19" s="10">
        <v>0</v>
      </c>
      <c r="AM19" s="27">
        <f t="shared" si="2"/>
        <v>0</v>
      </c>
    </row>
    <row r="20" spans="2:39" x14ac:dyDescent="0.2">
      <c r="B20" s="1">
        <v>16</v>
      </c>
      <c r="C20" s="9">
        <v>15344.737741215038</v>
      </c>
      <c r="D20" s="8">
        <v>9156.0466928973328</v>
      </c>
      <c r="E20" s="8">
        <v>2313.2142223745832</v>
      </c>
      <c r="F20" s="8">
        <v>3574.7385389150513</v>
      </c>
      <c r="G20" s="8">
        <v>1916.5901087925304</v>
      </c>
      <c r="H20" s="8">
        <v>592.08559656928992</v>
      </c>
      <c r="I20" s="8">
        <v>21757.424795826897</v>
      </c>
      <c r="J20" s="8">
        <v>533.38366028381279</v>
      </c>
      <c r="K20" s="8">
        <v>4465.8656828625244</v>
      </c>
      <c r="L20" s="10">
        <v>59654.087039728183</v>
      </c>
      <c r="M20" s="27">
        <f t="shared" si="0"/>
        <v>1.8253003837560029E-2</v>
      </c>
      <c r="O20" s="1">
        <v>16</v>
      </c>
      <c r="P20" s="9">
        <v>0</v>
      </c>
      <c r="Q20" s="8">
        <v>0</v>
      </c>
      <c r="R20" s="8">
        <v>5444.6327370060444</v>
      </c>
      <c r="S20" s="8">
        <v>0</v>
      </c>
      <c r="T20" s="8">
        <v>0</v>
      </c>
      <c r="U20" s="8">
        <v>213.61391690836535</v>
      </c>
      <c r="V20" s="8">
        <v>108.79989460503566</v>
      </c>
      <c r="W20" s="8">
        <v>0</v>
      </c>
      <c r="X20" s="8">
        <v>0</v>
      </c>
      <c r="Y20" s="10">
        <v>5767.0465485194291</v>
      </c>
      <c r="Z20" s="27">
        <f t="shared" si="1"/>
        <v>1.7050770652932045E-2</v>
      </c>
      <c r="AB20" s="1">
        <v>16</v>
      </c>
      <c r="AC20" s="9">
        <v>0</v>
      </c>
      <c r="AD20" s="8">
        <v>0</v>
      </c>
      <c r="AE20" s="8">
        <v>0</v>
      </c>
      <c r="AF20" s="8">
        <v>0</v>
      </c>
      <c r="AG20" s="8">
        <v>0</v>
      </c>
      <c r="AH20" s="8">
        <v>0</v>
      </c>
      <c r="AI20" s="8">
        <v>0</v>
      </c>
      <c r="AJ20" s="8">
        <v>0</v>
      </c>
      <c r="AK20" s="8">
        <v>0</v>
      </c>
      <c r="AL20" s="10">
        <v>0</v>
      </c>
      <c r="AM20" s="27">
        <f t="shared" si="2"/>
        <v>0</v>
      </c>
    </row>
    <row r="21" spans="2:39" x14ac:dyDescent="0.2">
      <c r="B21" s="1">
        <v>17</v>
      </c>
      <c r="C21" s="9">
        <v>15673.525487084757</v>
      </c>
      <c r="D21" s="8">
        <v>9278.3933192086988</v>
      </c>
      <c r="E21" s="8">
        <v>215.81578548095422</v>
      </c>
      <c r="F21" s="8">
        <v>206.62398642447806</v>
      </c>
      <c r="G21" s="8">
        <v>4656.6206522862776</v>
      </c>
      <c r="H21" s="8">
        <v>3672.1216928527865</v>
      </c>
      <c r="I21" s="8">
        <v>9770.5547961264383</v>
      </c>
      <c r="J21" s="8">
        <v>767.32294981442101</v>
      </c>
      <c r="K21" s="8">
        <v>239.00879384909058</v>
      </c>
      <c r="L21" s="10">
        <v>44479.987463128753</v>
      </c>
      <c r="M21" s="27">
        <f t="shared" si="0"/>
        <v>1.3610021075645825E-2</v>
      </c>
      <c r="O21" s="1">
        <v>17</v>
      </c>
      <c r="P21" s="9">
        <v>157.98494334724091</v>
      </c>
      <c r="Q21" s="8">
        <v>0</v>
      </c>
      <c r="R21" s="8">
        <v>0</v>
      </c>
      <c r="S21" s="8">
        <v>0</v>
      </c>
      <c r="T21" s="8">
        <v>113.97848597196571</v>
      </c>
      <c r="U21" s="8">
        <v>0</v>
      </c>
      <c r="V21" s="8">
        <v>0</v>
      </c>
      <c r="W21" s="8">
        <v>141.47403447571378</v>
      </c>
      <c r="X21" s="8">
        <v>0</v>
      </c>
      <c r="Y21" s="10">
        <v>413.43746379492222</v>
      </c>
      <c r="Z21" s="27">
        <f t="shared" si="1"/>
        <v>1.222363529614116E-3</v>
      </c>
      <c r="AB21" s="1">
        <v>17</v>
      </c>
      <c r="AC21" s="9">
        <v>92.582073995901737</v>
      </c>
      <c r="AD21" s="8">
        <v>0</v>
      </c>
      <c r="AE21" s="8">
        <v>0</v>
      </c>
      <c r="AF21" s="8">
        <v>0</v>
      </c>
      <c r="AG21" s="8">
        <v>0</v>
      </c>
      <c r="AH21" s="8">
        <v>0</v>
      </c>
      <c r="AI21" s="8">
        <v>0</v>
      </c>
      <c r="AJ21" s="8">
        <v>0</v>
      </c>
      <c r="AK21" s="8">
        <v>0</v>
      </c>
      <c r="AL21" s="10">
        <v>92.58207399584353</v>
      </c>
      <c r="AM21" s="27">
        <f t="shared" si="2"/>
        <v>1.1568207352118269E-4</v>
      </c>
    </row>
    <row r="22" spans="2:39" x14ac:dyDescent="0.2">
      <c r="B22" s="1">
        <v>18</v>
      </c>
      <c r="C22" s="9">
        <v>22019.122845385165</v>
      </c>
      <c r="D22" s="8">
        <v>17303.651469558361</v>
      </c>
      <c r="E22" s="8">
        <v>0</v>
      </c>
      <c r="F22" s="8">
        <v>0</v>
      </c>
      <c r="G22" s="8">
        <v>597.40377222548705</v>
      </c>
      <c r="H22" s="8">
        <v>1269.3231220268935</v>
      </c>
      <c r="I22" s="8">
        <v>5263.0347588283475</v>
      </c>
      <c r="J22" s="8">
        <v>3981.1265748431033</v>
      </c>
      <c r="K22" s="8">
        <v>119.06487696481054</v>
      </c>
      <c r="L22" s="10">
        <v>50552.727419826668</v>
      </c>
      <c r="M22" s="27">
        <f t="shared" si="0"/>
        <v>1.5468162759388141E-2</v>
      </c>
      <c r="O22" s="1">
        <v>18</v>
      </c>
      <c r="P22" s="9">
        <v>526.37528198759537</v>
      </c>
      <c r="Q22" s="8">
        <v>5673.0602026484012</v>
      </c>
      <c r="R22" s="8">
        <v>0</v>
      </c>
      <c r="S22" s="8">
        <v>0</v>
      </c>
      <c r="T22" s="8">
        <v>0</v>
      </c>
      <c r="U22" s="8">
        <v>0</v>
      </c>
      <c r="V22" s="8">
        <v>0</v>
      </c>
      <c r="W22" s="8">
        <v>0</v>
      </c>
      <c r="X22" s="8">
        <v>0</v>
      </c>
      <c r="Y22" s="10">
        <v>6199.4354846359929</v>
      </c>
      <c r="Z22" s="27">
        <f t="shared" si="1"/>
        <v>1.8329165845438609E-2</v>
      </c>
      <c r="AB22" s="1">
        <v>18</v>
      </c>
      <c r="AC22" s="9">
        <v>0</v>
      </c>
      <c r="AD22" s="8">
        <v>0</v>
      </c>
      <c r="AE22" s="8">
        <v>0</v>
      </c>
      <c r="AF22" s="8">
        <v>0</v>
      </c>
      <c r="AG22" s="8">
        <v>0</v>
      </c>
      <c r="AH22" s="8">
        <v>0</v>
      </c>
      <c r="AI22" s="8">
        <v>1328.4100588682923</v>
      </c>
      <c r="AJ22" s="8">
        <v>0</v>
      </c>
      <c r="AK22" s="8">
        <v>0</v>
      </c>
      <c r="AL22" s="10">
        <v>1328.4100588683505</v>
      </c>
      <c r="AM22" s="27">
        <f t="shared" si="2"/>
        <v>1.6598594464754192E-3</v>
      </c>
    </row>
    <row r="23" spans="2:39" x14ac:dyDescent="0.2">
      <c r="B23" s="1">
        <v>19</v>
      </c>
      <c r="C23" s="9">
        <v>8971.3942774158786</v>
      </c>
      <c r="D23" s="8">
        <v>14869.327314131195</v>
      </c>
      <c r="E23" s="8">
        <v>0</v>
      </c>
      <c r="F23" s="8">
        <v>5502.6846381921205</v>
      </c>
      <c r="G23" s="8">
        <v>1297.0999653345789</v>
      </c>
      <c r="H23" s="8">
        <v>10845.608063791879</v>
      </c>
      <c r="I23" s="8">
        <v>2848.2609498372767</v>
      </c>
      <c r="J23" s="8">
        <v>6079.1417741054174</v>
      </c>
      <c r="K23" s="8">
        <v>373.97672072242131</v>
      </c>
      <c r="L23" s="10">
        <v>50787.493703543209</v>
      </c>
      <c r="M23" s="27">
        <f t="shared" si="0"/>
        <v>1.5539996729033069E-2</v>
      </c>
      <c r="O23" s="1">
        <v>19</v>
      </c>
      <c r="P23" s="9">
        <v>77.251485642307671</v>
      </c>
      <c r="Q23" s="8">
        <v>81.938823563203186</v>
      </c>
      <c r="R23" s="8">
        <v>0</v>
      </c>
      <c r="S23" s="8">
        <v>0</v>
      </c>
      <c r="T23" s="8">
        <v>0</v>
      </c>
      <c r="U23" s="8">
        <v>154.9337681300276</v>
      </c>
      <c r="V23" s="8">
        <v>6430.9136897369463</v>
      </c>
      <c r="W23" s="8">
        <v>237.83348780549568</v>
      </c>
      <c r="X23" s="8">
        <v>0</v>
      </c>
      <c r="Y23" s="10">
        <v>6982.8712548778567</v>
      </c>
      <c r="Z23" s="27">
        <f t="shared" si="1"/>
        <v>2.0645461288402674E-2</v>
      </c>
      <c r="AB23" s="1">
        <v>19</v>
      </c>
      <c r="AC23" s="9">
        <v>0</v>
      </c>
      <c r="AD23" s="8">
        <v>0</v>
      </c>
      <c r="AE23" s="8">
        <v>0</v>
      </c>
      <c r="AF23" s="8">
        <v>0</v>
      </c>
      <c r="AG23" s="8">
        <v>0</v>
      </c>
      <c r="AH23" s="8">
        <v>0</v>
      </c>
      <c r="AI23" s="8">
        <v>0</v>
      </c>
      <c r="AJ23" s="8">
        <v>0</v>
      </c>
      <c r="AK23" s="8">
        <v>0</v>
      </c>
      <c r="AL23" s="10">
        <v>0</v>
      </c>
      <c r="AM23" s="27">
        <f t="shared" si="2"/>
        <v>0</v>
      </c>
    </row>
    <row r="24" spans="2:39" x14ac:dyDescent="0.2">
      <c r="B24" s="1">
        <v>20</v>
      </c>
      <c r="C24" s="9">
        <v>7172.4794366857386</v>
      </c>
      <c r="D24" s="8">
        <v>13635.434689598391</v>
      </c>
      <c r="E24" s="8">
        <v>5881.1884665630787</v>
      </c>
      <c r="F24" s="8">
        <v>314.32173617595981</v>
      </c>
      <c r="G24" s="8">
        <v>974.34013071242953</v>
      </c>
      <c r="H24" s="8">
        <v>10042.73162000766</v>
      </c>
      <c r="I24" s="8">
        <v>11302.047679571202</v>
      </c>
      <c r="J24" s="8">
        <v>386.93669301651244</v>
      </c>
      <c r="K24" s="8">
        <v>2151.3783984193578</v>
      </c>
      <c r="L24" s="10">
        <v>51860.85885074921</v>
      </c>
      <c r="M24" s="27">
        <f t="shared" si="0"/>
        <v>1.5868425829590863E-2</v>
      </c>
      <c r="O24" s="1">
        <v>20</v>
      </c>
      <c r="P24" s="9">
        <v>2281.4799399355761</v>
      </c>
      <c r="Q24" s="8">
        <v>116.03975978440212</v>
      </c>
      <c r="R24" s="8">
        <v>0</v>
      </c>
      <c r="S24" s="8">
        <v>0</v>
      </c>
      <c r="T24" s="8">
        <v>0</v>
      </c>
      <c r="U24" s="8">
        <v>0</v>
      </c>
      <c r="V24" s="8">
        <v>0</v>
      </c>
      <c r="W24" s="8">
        <v>158.03141715377933</v>
      </c>
      <c r="X24" s="8">
        <v>118.58671260565461</v>
      </c>
      <c r="Y24" s="10">
        <v>2674.137829479354</v>
      </c>
      <c r="Z24" s="27">
        <f t="shared" si="1"/>
        <v>7.9063191949591306E-3</v>
      </c>
      <c r="AB24" s="1">
        <v>20</v>
      </c>
      <c r="AC24" s="9">
        <v>0</v>
      </c>
      <c r="AD24" s="8">
        <v>0</v>
      </c>
      <c r="AE24" s="8">
        <v>0</v>
      </c>
      <c r="AF24" s="8">
        <v>0</v>
      </c>
      <c r="AG24" s="8">
        <v>0</v>
      </c>
      <c r="AH24" s="8">
        <v>0</v>
      </c>
      <c r="AI24" s="8">
        <v>0</v>
      </c>
      <c r="AJ24" s="8">
        <v>0</v>
      </c>
      <c r="AK24" s="8">
        <v>0</v>
      </c>
      <c r="AL24" s="10">
        <v>0</v>
      </c>
      <c r="AM24" s="27">
        <f t="shared" si="2"/>
        <v>0</v>
      </c>
    </row>
    <row r="25" spans="2:39" x14ac:dyDescent="0.2">
      <c r="B25" s="1">
        <v>21</v>
      </c>
      <c r="C25" s="9">
        <v>10998.387350188103</v>
      </c>
      <c r="D25" s="8">
        <v>38917.207603323332</v>
      </c>
      <c r="E25" s="8">
        <v>4932.1306418290478</v>
      </c>
      <c r="F25" s="8">
        <v>0</v>
      </c>
      <c r="G25" s="8">
        <v>3856.3705281398143</v>
      </c>
      <c r="H25" s="8">
        <v>14813.771761576529</v>
      </c>
      <c r="I25" s="8">
        <v>7696.4403113779845</v>
      </c>
      <c r="J25" s="8">
        <v>6114.3705637756502</v>
      </c>
      <c r="K25" s="8">
        <v>9705.6435042454104</v>
      </c>
      <c r="L25" s="10">
        <v>97034.322264448274</v>
      </c>
      <c r="M25" s="27">
        <f t="shared" si="0"/>
        <v>2.969063721465481E-2</v>
      </c>
      <c r="O25" s="1">
        <v>21</v>
      </c>
      <c r="P25" s="9">
        <v>2490.5401697605703</v>
      </c>
      <c r="Q25" s="8">
        <v>0</v>
      </c>
      <c r="R25" s="8">
        <v>0</v>
      </c>
      <c r="S25" s="8">
        <v>0</v>
      </c>
      <c r="T25" s="8">
        <v>0</v>
      </c>
      <c r="U25" s="8">
        <v>0</v>
      </c>
      <c r="V25" s="8">
        <v>0</v>
      </c>
      <c r="W25" s="8">
        <v>0</v>
      </c>
      <c r="X25" s="8">
        <v>0</v>
      </c>
      <c r="Y25" s="10">
        <v>2490.540169760643</v>
      </c>
      <c r="Z25" s="27">
        <f t="shared" si="1"/>
        <v>7.3634968747400432E-3</v>
      </c>
      <c r="AB25" s="1">
        <v>21</v>
      </c>
      <c r="AC25" s="9">
        <v>730.39454907615436</v>
      </c>
      <c r="AD25" s="8">
        <v>0</v>
      </c>
      <c r="AE25" s="8">
        <v>0</v>
      </c>
      <c r="AF25" s="8">
        <v>0</v>
      </c>
      <c r="AG25" s="8">
        <v>0</v>
      </c>
      <c r="AH25" s="8">
        <v>0</v>
      </c>
      <c r="AI25" s="8">
        <v>0</v>
      </c>
      <c r="AJ25" s="8">
        <v>0</v>
      </c>
      <c r="AK25" s="8">
        <v>0</v>
      </c>
      <c r="AL25" s="10">
        <v>730.39454907621257</v>
      </c>
      <c r="AM25" s="27">
        <f t="shared" si="2"/>
        <v>9.1263408000018275E-4</v>
      </c>
    </row>
    <row r="26" spans="2:39" x14ac:dyDescent="0.2">
      <c r="B26" s="1">
        <v>22</v>
      </c>
      <c r="C26" s="9">
        <v>12459.456685191079</v>
      </c>
      <c r="D26" s="8">
        <v>8262.3278458612622</v>
      </c>
      <c r="E26" s="8">
        <v>4537.0063249459345</v>
      </c>
      <c r="F26" s="8">
        <v>147.96710386449558</v>
      </c>
      <c r="G26" s="8">
        <v>956.62943168135826</v>
      </c>
      <c r="H26" s="8">
        <v>3840.6750008768286</v>
      </c>
      <c r="I26" s="8">
        <v>5723.8295044871047</v>
      </c>
      <c r="J26" s="8">
        <v>3335.5832430182345</v>
      </c>
      <c r="K26" s="8">
        <v>119.09158198072691</v>
      </c>
      <c r="L26" s="10">
        <v>39382.566721915267</v>
      </c>
      <c r="M26" s="27">
        <f t="shared" si="0"/>
        <v>1.2050308322200059E-2</v>
      </c>
      <c r="O26" s="1">
        <v>22</v>
      </c>
      <c r="P26" s="9">
        <v>0</v>
      </c>
      <c r="Q26" s="8">
        <v>1417.8025885593161</v>
      </c>
      <c r="R26" s="8">
        <v>0</v>
      </c>
      <c r="S26" s="8">
        <v>0</v>
      </c>
      <c r="T26" s="8">
        <v>0</v>
      </c>
      <c r="U26" s="8">
        <v>0</v>
      </c>
      <c r="V26" s="8">
        <v>0</v>
      </c>
      <c r="W26" s="8">
        <v>0</v>
      </c>
      <c r="X26" s="8">
        <v>0</v>
      </c>
      <c r="Y26" s="10">
        <v>1417.8025885592797</v>
      </c>
      <c r="Z26" s="27">
        <f t="shared" si="1"/>
        <v>4.1918556691490543E-3</v>
      </c>
      <c r="AB26" s="1">
        <v>22</v>
      </c>
      <c r="AC26" s="9">
        <v>86.491918231302407</v>
      </c>
      <c r="AD26" s="8">
        <v>0</v>
      </c>
      <c r="AE26" s="8">
        <v>0</v>
      </c>
      <c r="AF26" s="8">
        <v>0</v>
      </c>
      <c r="AG26" s="8">
        <v>0</v>
      </c>
      <c r="AH26" s="8">
        <v>0</v>
      </c>
      <c r="AI26" s="8">
        <v>0</v>
      </c>
      <c r="AJ26" s="8">
        <v>0</v>
      </c>
      <c r="AK26" s="8">
        <v>0</v>
      </c>
      <c r="AL26" s="10">
        <v>86.491918231244199</v>
      </c>
      <c r="AM26" s="27">
        <f t="shared" si="2"/>
        <v>1.0807237310609516E-4</v>
      </c>
    </row>
    <row r="27" spans="2:39" x14ac:dyDescent="0.2">
      <c r="B27" s="1">
        <v>23</v>
      </c>
      <c r="C27" s="9">
        <v>1604.8336042930605</v>
      </c>
      <c r="D27" s="8">
        <v>13932.285190288385</v>
      </c>
      <c r="E27" s="8">
        <v>169.53540325513313</v>
      </c>
      <c r="F27" s="8">
        <v>5629.4960202657458</v>
      </c>
      <c r="G27" s="8">
        <v>1956.1248724582256</v>
      </c>
      <c r="H27" s="8">
        <v>10103.570370064874</v>
      </c>
      <c r="I27" s="8">
        <v>8185.2735189400846</v>
      </c>
      <c r="J27" s="8">
        <v>500.93420323863393</v>
      </c>
      <c r="K27" s="8">
        <v>83.185117114568129</v>
      </c>
      <c r="L27" s="10">
        <v>42165.238299916964</v>
      </c>
      <c r="M27" s="27">
        <f t="shared" si="0"/>
        <v>1.2901752330690339E-2</v>
      </c>
      <c r="O27" s="1">
        <v>23</v>
      </c>
      <c r="P27" s="9">
        <v>0</v>
      </c>
      <c r="Q27" s="8">
        <v>82.300852170068538</v>
      </c>
      <c r="R27" s="8">
        <v>0</v>
      </c>
      <c r="S27" s="8">
        <v>0</v>
      </c>
      <c r="T27" s="8">
        <v>34.691685095604043</v>
      </c>
      <c r="U27" s="8">
        <v>125.11994889452035</v>
      </c>
      <c r="V27" s="8">
        <v>466.7739153036382</v>
      </c>
      <c r="W27" s="8">
        <v>0</v>
      </c>
      <c r="X27" s="8">
        <v>0</v>
      </c>
      <c r="Y27" s="10">
        <v>708.8864014633582</v>
      </c>
      <c r="Z27" s="27">
        <f t="shared" si="1"/>
        <v>2.0958838026783637E-3</v>
      </c>
      <c r="AB27" s="1">
        <v>23</v>
      </c>
      <c r="AC27" s="9">
        <v>0</v>
      </c>
      <c r="AD27" s="8">
        <v>0</v>
      </c>
      <c r="AE27" s="8">
        <v>0</v>
      </c>
      <c r="AF27" s="8">
        <v>0</v>
      </c>
      <c r="AG27" s="8">
        <v>0</v>
      </c>
      <c r="AH27" s="8">
        <v>0</v>
      </c>
      <c r="AI27" s="8">
        <v>0</v>
      </c>
      <c r="AJ27" s="8">
        <v>0</v>
      </c>
      <c r="AK27" s="8">
        <v>0</v>
      </c>
      <c r="AL27" s="10">
        <v>0</v>
      </c>
      <c r="AM27" s="27">
        <f t="shared" si="2"/>
        <v>0</v>
      </c>
    </row>
    <row r="28" spans="2:39" x14ac:dyDescent="0.2">
      <c r="B28" s="1">
        <v>24</v>
      </c>
      <c r="C28" s="9">
        <v>18990.928933405608</v>
      </c>
      <c r="D28" s="8">
        <v>12999.751611859712</v>
      </c>
      <c r="E28" s="8">
        <v>0</v>
      </c>
      <c r="F28" s="8">
        <v>100.80676778913767</v>
      </c>
      <c r="G28" s="8">
        <v>1640.1614918151172</v>
      </c>
      <c r="H28" s="8">
        <v>2213.1174704135046</v>
      </c>
      <c r="I28" s="8">
        <v>8273.4360164643731</v>
      </c>
      <c r="J28" s="8">
        <v>299.46755662144278</v>
      </c>
      <c r="K28" s="8">
        <v>323.44438481130055</v>
      </c>
      <c r="L28" s="10">
        <v>44841.114233183675</v>
      </c>
      <c r="M28" s="27">
        <f t="shared" si="0"/>
        <v>1.3720518924942693E-2</v>
      </c>
      <c r="O28" s="1">
        <v>24</v>
      </c>
      <c r="P28" s="9">
        <v>77.084292101179017</v>
      </c>
      <c r="Q28" s="8">
        <v>0</v>
      </c>
      <c r="R28" s="8">
        <v>0</v>
      </c>
      <c r="S28" s="8">
        <v>0</v>
      </c>
      <c r="T28" s="8">
        <v>0</v>
      </c>
      <c r="U28" s="8">
        <v>0</v>
      </c>
      <c r="V28" s="8">
        <v>0</v>
      </c>
      <c r="W28" s="8">
        <v>78.618073868001375</v>
      </c>
      <c r="X28" s="8">
        <v>82.970972894843726</v>
      </c>
      <c r="Y28" s="10">
        <v>238.67333886376582</v>
      </c>
      <c r="Z28" s="27">
        <f t="shared" si="1"/>
        <v>7.0565831707746158E-4</v>
      </c>
      <c r="AB28" s="1">
        <v>24</v>
      </c>
      <c r="AC28" s="9">
        <v>0</v>
      </c>
      <c r="AD28" s="8">
        <v>84.958175198407844</v>
      </c>
      <c r="AE28" s="8">
        <v>0</v>
      </c>
      <c r="AF28" s="8">
        <v>0</v>
      </c>
      <c r="AG28" s="8">
        <v>0</v>
      </c>
      <c r="AH28" s="8">
        <v>0</v>
      </c>
      <c r="AI28" s="8">
        <v>0</v>
      </c>
      <c r="AJ28" s="8">
        <v>0</v>
      </c>
      <c r="AK28" s="8">
        <v>0</v>
      </c>
      <c r="AL28" s="10">
        <v>84.958175198407844</v>
      </c>
      <c r="AM28" s="27">
        <f t="shared" si="2"/>
        <v>1.0615594839632746E-4</v>
      </c>
    </row>
    <row r="29" spans="2:39" x14ac:dyDescent="0.2">
      <c r="B29" s="1">
        <v>25</v>
      </c>
      <c r="C29" s="9">
        <v>5886.3985462228302</v>
      </c>
      <c r="D29" s="8">
        <v>10773.379770485859</v>
      </c>
      <c r="E29" s="8">
        <v>2343.2343285546813</v>
      </c>
      <c r="F29" s="8">
        <v>117.12143596507667</v>
      </c>
      <c r="G29" s="8">
        <v>990.5523850924219</v>
      </c>
      <c r="H29" s="8">
        <v>1654.5005660334718</v>
      </c>
      <c r="I29" s="8">
        <v>2729.7115200737026</v>
      </c>
      <c r="J29" s="8">
        <v>2065.5270425959898</v>
      </c>
      <c r="K29" s="8">
        <v>119.74379010836128</v>
      </c>
      <c r="L29" s="10">
        <v>26680.169385131449</v>
      </c>
      <c r="M29" s="27">
        <f t="shared" si="0"/>
        <v>8.1636189293992564E-3</v>
      </c>
      <c r="O29" s="1">
        <v>25</v>
      </c>
      <c r="P29" s="9">
        <v>184.53696858351759</v>
      </c>
      <c r="Q29" s="8">
        <v>0</v>
      </c>
      <c r="R29" s="8">
        <v>0</v>
      </c>
      <c r="S29" s="8">
        <v>0</v>
      </c>
      <c r="T29" s="8">
        <v>0</v>
      </c>
      <c r="U29" s="8">
        <v>0</v>
      </c>
      <c r="V29" s="8">
        <v>0</v>
      </c>
      <c r="W29" s="8">
        <v>4717.2121795205749</v>
      </c>
      <c r="X29" s="8">
        <v>0</v>
      </c>
      <c r="Y29" s="10">
        <v>4901.7491481041652</v>
      </c>
      <c r="Z29" s="27">
        <f t="shared" si="1"/>
        <v>1.4492444238027912E-2</v>
      </c>
      <c r="AB29" s="1">
        <v>25</v>
      </c>
      <c r="AC29" s="9">
        <v>92.236243230465334</v>
      </c>
      <c r="AD29" s="8">
        <v>178.33071848517284</v>
      </c>
      <c r="AE29" s="8">
        <v>0</v>
      </c>
      <c r="AF29" s="8">
        <v>0</v>
      </c>
      <c r="AG29" s="8">
        <v>0</v>
      </c>
      <c r="AH29" s="8">
        <v>0</v>
      </c>
      <c r="AI29" s="8">
        <v>0</v>
      </c>
      <c r="AJ29" s="8">
        <v>0</v>
      </c>
      <c r="AK29" s="8">
        <v>0</v>
      </c>
      <c r="AL29" s="10">
        <v>270.56696171592921</v>
      </c>
      <c r="AM29" s="27">
        <f t="shared" si="2"/>
        <v>3.3807567498466654E-4</v>
      </c>
    </row>
    <row r="30" spans="2:39" x14ac:dyDescent="0.2">
      <c r="B30" s="1">
        <v>26</v>
      </c>
      <c r="C30" s="9">
        <v>5688.9446287393221</v>
      </c>
      <c r="D30" s="8">
        <v>13097.805532225932</v>
      </c>
      <c r="E30" s="8">
        <v>101.16586272363929</v>
      </c>
      <c r="F30" s="8">
        <v>72.968215817745659</v>
      </c>
      <c r="G30" s="8">
        <v>137.02280815166887</v>
      </c>
      <c r="H30" s="8">
        <v>3754.2475178066525</v>
      </c>
      <c r="I30" s="8">
        <v>3530.4980461159721</v>
      </c>
      <c r="J30" s="8">
        <v>5496.0306525125925</v>
      </c>
      <c r="K30" s="8">
        <v>236.35035473864991</v>
      </c>
      <c r="L30" s="10">
        <v>32115.033618838992</v>
      </c>
      <c r="M30" s="27">
        <f t="shared" si="0"/>
        <v>9.8265829044981469E-3</v>
      </c>
      <c r="O30" s="1">
        <v>26</v>
      </c>
      <c r="P30" s="9">
        <v>0</v>
      </c>
      <c r="Q30" s="8">
        <v>83.471141927366261</v>
      </c>
      <c r="R30" s="8">
        <v>0</v>
      </c>
      <c r="S30" s="8">
        <v>0</v>
      </c>
      <c r="T30" s="8">
        <v>0</v>
      </c>
      <c r="U30" s="8">
        <v>0</v>
      </c>
      <c r="V30" s="8">
        <v>3554.0200134297629</v>
      </c>
      <c r="W30" s="8">
        <v>0</v>
      </c>
      <c r="X30" s="8">
        <v>0</v>
      </c>
      <c r="Y30" s="10">
        <v>3637.4911553572165</v>
      </c>
      <c r="Z30" s="27">
        <f t="shared" si="1"/>
        <v>1.075455641293334E-2</v>
      </c>
      <c r="AB30" s="1">
        <v>26</v>
      </c>
      <c r="AC30" s="9">
        <v>0</v>
      </c>
      <c r="AD30" s="8">
        <v>0</v>
      </c>
      <c r="AE30" s="8">
        <v>0</v>
      </c>
      <c r="AF30" s="8">
        <v>0</v>
      </c>
      <c r="AG30" s="8">
        <v>0</v>
      </c>
      <c r="AH30" s="8">
        <v>0</v>
      </c>
      <c r="AI30" s="8">
        <v>0</v>
      </c>
      <c r="AJ30" s="8">
        <v>0</v>
      </c>
      <c r="AK30" s="8">
        <v>0</v>
      </c>
      <c r="AL30" s="10">
        <v>0</v>
      </c>
      <c r="AM30" s="27">
        <f t="shared" si="2"/>
        <v>0</v>
      </c>
    </row>
    <row r="31" spans="2:39" x14ac:dyDescent="0.2">
      <c r="B31" s="1">
        <v>27</v>
      </c>
      <c r="C31" s="9">
        <v>10723.249193601485</v>
      </c>
      <c r="D31" s="8">
        <v>311.90200893429574</v>
      </c>
      <c r="E31" s="8">
        <v>0</v>
      </c>
      <c r="F31" s="8">
        <v>113.54810358405666</v>
      </c>
      <c r="G31" s="8">
        <v>1241.7825814590324</v>
      </c>
      <c r="H31" s="8">
        <v>1739.3900701600942</v>
      </c>
      <c r="I31" s="8">
        <v>7439.4926456757821</v>
      </c>
      <c r="J31" s="8">
        <v>1485.264366029849</v>
      </c>
      <c r="K31" s="8">
        <v>0</v>
      </c>
      <c r="L31" s="10">
        <v>23054.628969450481</v>
      </c>
      <c r="M31" s="27">
        <f t="shared" si="0"/>
        <v>7.0542732599804736E-3</v>
      </c>
      <c r="O31" s="1">
        <v>27</v>
      </c>
      <c r="P31" s="9">
        <v>0</v>
      </c>
      <c r="Q31" s="8">
        <v>0</v>
      </c>
      <c r="R31" s="8">
        <v>0</v>
      </c>
      <c r="S31" s="8">
        <v>0</v>
      </c>
      <c r="T31" s="8">
        <v>0</v>
      </c>
      <c r="U31" s="8">
        <v>128.03312625950639</v>
      </c>
      <c r="V31" s="8">
        <v>89.637223144964082</v>
      </c>
      <c r="W31" s="8">
        <v>0</v>
      </c>
      <c r="X31" s="8">
        <v>0</v>
      </c>
      <c r="Y31" s="10">
        <v>217.67034940421581</v>
      </c>
      <c r="Z31" s="27">
        <f t="shared" si="1"/>
        <v>6.4356116677915587E-4</v>
      </c>
      <c r="AB31" s="1">
        <v>27</v>
      </c>
      <c r="AC31" s="9">
        <v>0</v>
      </c>
      <c r="AD31" s="8">
        <v>0</v>
      </c>
      <c r="AE31" s="8">
        <v>0</v>
      </c>
      <c r="AF31" s="8">
        <v>0</v>
      </c>
      <c r="AG31" s="8">
        <v>0</v>
      </c>
      <c r="AH31" s="8">
        <v>0</v>
      </c>
      <c r="AI31" s="8">
        <v>0</v>
      </c>
      <c r="AJ31" s="8">
        <v>0</v>
      </c>
      <c r="AK31" s="8">
        <v>0</v>
      </c>
      <c r="AL31" s="10">
        <v>0</v>
      </c>
      <c r="AM31" s="27">
        <f t="shared" si="2"/>
        <v>0</v>
      </c>
    </row>
    <row r="32" spans="2:39" x14ac:dyDescent="0.2">
      <c r="B32" s="1">
        <v>28</v>
      </c>
      <c r="C32" s="9">
        <v>7118.9514734328841</v>
      </c>
      <c r="D32" s="8">
        <v>11354.844047487655</v>
      </c>
      <c r="E32" s="8">
        <v>104.48171230083972</v>
      </c>
      <c r="F32" s="8">
        <v>1184.0137181680184</v>
      </c>
      <c r="G32" s="8">
        <v>2272.3514256054186</v>
      </c>
      <c r="H32" s="8">
        <v>271.89005177118815</v>
      </c>
      <c r="I32" s="8">
        <v>3279.2274974586908</v>
      </c>
      <c r="J32" s="8">
        <v>215.32843504066113</v>
      </c>
      <c r="K32" s="8">
        <v>99.942919014953077</v>
      </c>
      <c r="L32" s="10">
        <v>25901.0312802759</v>
      </c>
      <c r="M32" s="27">
        <f t="shared" si="0"/>
        <v>7.9252176475483362E-3</v>
      </c>
      <c r="O32" s="1">
        <v>28</v>
      </c>
      <c r="P32" s="9">
        <v>0</v>
      </c>
      <c r="Q32" s="8">
        <v>0</v>
      </c>
      <c r="R32" s="8">
        <v>0</v>
      </c>
      <c r="S32" s="8">
        <v>0</v>
      </c>
      <c r="T32" s="8">
        <v>0</v>
      </c>
      <c r="U32" s="8">
        <v>125.87388911365997</v>
      </c>
      <c r="V32" s="8">
        <v>0</v>
      </c>
      <c r="W32" s="8">
        <v>0</v>
      </c>
      <c r="X32" s="8">
        <v>0</v>
      </c>
      <c r="Y32" s="10">
        <v>125.87388911377639</v>
      </c>
      <c r="Z32" s="27">
        <f t="shared" si="1"/>
        <v>3.7215701250453855E-4</v>
      </c>
      <c r="AB32" s="1">
        <v>28</v>
      </c>
      <c r="AC32" s="9">
        <v>0</v>
      </c>
      <c r="AD32" s="8">
        <v>0</v>
      </c>
      <c r="AE32" s="8">
        <v>0</v>
      </c>
      <c r="AF32" s="8">
        <v>0</v>
      </c>
      <c r="AG32" s="8">
        <v>0</v>
      </c>
      <c r="AH32" s="8">
        <v>0</v>
      </c>
      <c r="AI32" s="8">
        <v>0</v>
      </c>
      <c r="AJ32" s="8">
        <v>0</v>
      </c>
      <c r="AK32" s="8">
        <v>0</v>
      </c>
      <c r="AL32" s="10">
        <v>0</v>
      </c>
      <c r="AM32" s="27">
        <f t="shared" si="2"/>
        <v>0</v>
      </c>
    </row>
    <row r="33" spans="2:39" x14ac:dyDescent="0.2">
      <c r="B33" s="1">
        <v>29</v>
      </c>
      <c r="C33" s="9">
        <v>15267.824912261683</v>
      </c>
      <c r="D33" s="8">
        <v>8248.6116288222256</v>
      </c>
      <c r="E33" s="8">
        <v>3405.9539488467271</v>
      </c>
      <c r="F33" s="8">
        <v>0</v>
      </c>
      <c r="G33" s="8">
        <v>9002.3194110597833</v>
      </c>
      <c r="H33" s="8">
        <v>7793.1702499864623</v>
      </c>
      <c r="I33" s="8">
        <v>5510.5541341594653</v>
      </c>
      <c r="J33" s="8">
        <v>1405.3906934174011</v>
      </c>
      <c r="K33" s="8">
        <v>641.25202369230101</v>
      </c>
      <c r="L33" s="10">
        <v>51275.077002245933</v>
      </c>
      <c r="M33" s="27">
        <f t="shared" si="0"/>
        <v>1.5689187845082234E-2</v>
      </c>
      <c r="O33" s="1">
        <v>29</v>
      </c>
      <c r="P33" s="9">
        <v>30008.699503869051</v>
      </c>
      <c r="Q33" s="8">
        <v>0</v>
      </c>
      <c r="R33" s="8">
        <v>0</v>
      </c>
      <c r="S33" s="8">
        <v>0</v>
      </c>
      <c r="T33" s="8">
        <v>0</v>
      </c>
      <c r="U33" s="8">
        <v>0</v>
      </c>
      <c r="V33" s="8">
        <v>0</v>
      </c>
      <c r="W33" s="8">
        <v>0</v>
      </c>
      <c r="X33" s="8">
        <v>0</v>
      </c>
      <c r="Y33" s="10">
        <v>30008.699503869168</v>
      </c>
      <c r="Z33" s="27">
        <f t="shared" si="1"/>
        <v>8.8723308981195931E-2</v>
      </c>
      <c r="AB33" s="1">
        <v>29</v>
      </c>
      <c r="AC33" s="9">
        <v>0</v>
      </c>
      <c r="AD33" s="8">
        <v>0</v>
      </c>
      <c r="AE33" s="8">
        <v>0</v>
      </c>
      <c r="AF33" s="8">
        <v>0</v>
      </c>
      <c r="AG33" s="8">
        <v>0</v>
      </c>
      <c r="AH33" s="8">
        <v>0</v>
      </c>
      <c r="AI33" s="8">
        <v>0</v>
      </c>
      <c r="AJ33" s="8">
        <v>0</v>
      </c>
      <c r="AK33" s="8">
        <v>0</v>
      </c>
      <c r="AL33" s="10">
        <v>0</v>
      </c>
      <c r="AM33" s="27">
        <f t="shared" si="2"/>
        <v>0</v>
      </c>
    </row>
    <row r="34" spans="2:39" x14ac:dyDescent="0.2">
      <c r="B34" s="1">
        <v>30</v>
      </c>
      <c r="C34" s="9">
        <v>12020.175110690761</v>
      </c>
      <c r="D34" s="8">
        <v>615.00935159658547</v>
      </c>
      <c r="E34" s="8">
        <v>0</v>
      </c>
      <c r="F34" s="8">
        <v>0</v>
      </c>
      <c r="G34" s="8">
        <v>875.22634796553757</v>
      </c>
      <c r="H34" s="8">
        <v>128.75400059460662</v>
      </c>
      <c r="I34" s="8">
        <v>12374.257495765574</v>
      </c>
      <c r="J34" s="8">
        <v>1162.2944283088727</v>
      </c>
      <c r="K34" s="8">
        <v>0</v>
      </c>
      <c r="L34" s="10">
        <v>27175.716734923422</v>
      </c>
      <c r="M34" s="27">
        <f t="shared" si="0"/>
        <v>8.3152468919799553E-3</v>
      </c>
      <c r="O34" s="1">
        <v>30</v>
      </c>
      <c r="P34" s="9">
        <v>957.78912236148608</v>
      </c>
      <c r="Q34" s="8">
        <v>126.70728685197537</v>
      </c>
      <c r="R34" s="8">
        <v>0</v>
      </c>
      <c r="S34" s="8">
        <v>0</v>
      </c>
      <c r="T34" s="8">
        <v>0</v>
      </c>
      <c r="U34" s="8">
        <v>0</v>
      </c>
      <c r="V34" s="8">
        <v>0</v>
      </c>
      <c r="W34" s="8">
        <v>0</v>
      </c>
      <c r="X34" s="8">
        <v>0</v>
      </c>
      <c r="Y34" s="10">
        <v>1084.4964092136361</v>
      </c>
      <c r="Z34" s="27">
        <f t="shared" si="1"/>
        <v>3.2064071950619788E-3</v>
      </c>
      <c r="AB34" s="1">
        <v>30</v>
      </c>
      <c r="AC34" s="9">
        <v>0</v>
      </c>
      <c r="AD34" s="8">
        <v>0</v>
      </c>
      <c r="AE34" s="8">
        <v>0</v>
      </c>
      <c r="AF34" s="8">
        <v>0</v>
      </c>
      <c r="AG34" s="8">
        <v>0</v>
      </c>
      <c r="AH34" s="8">
        <v>0</v>
      </c>
      <c r="AI34" s="8">
        <v>0</v>
      </c>
      <c r="AJ34" s="8">
        <v>0</v>
      </c>
      <c r="AK34" s="8">
        <v>0</v>
      </c>
      <c r="AL34" s="10">
        <v>0</v>
      </c>
      <c r="AM34" s="27">
        <f t="shared" si="2"/>
        <v>0</v>
      </c>
    </row>
    <row r="35" spans="2:39" x14ac:dyDescent="0.2">
      <c r="B35" s="1">
        <v>31</v>
      </c>
      <c r="C35" s="9">
        <v>3406.5868411044357</v>
      </c>
      <c r="D35" s="8">
        <v>165.9089614644181</v>
      </c>
      <c r="E35" s="8">
        <v>0</v>
      </c>
      <c r="F35" s="8">
        <v>3443.6893467535992</v>
      </c>
      <c r="G35" s="8">
        <v>2472.0940510069486</v>
      </c>
      <c r="H35" s="8">
        <v>163.7749012230779</v>
      </c>
      <c r="I35" s="8">
        <v>2158.52836035972</v>
      </c>
      <c r="J35" s="8">
        <v>2272.6026939743606</v>
      </c>
      <c r="K35" s="8">
        <v>227.54245381997316</v>
      </c>
      <c r="L35" s="10">
        <v>14310.727609708905</v>
      </c>
      <c r="M35" s="27">
        <f t="shared" si="0"/>
        <v>4.3788075376014193E-3</v>
      </c>
      <c r="O35" s="1">
        <v>31</v>
      </c>
      <c r="P35" s="9">
        <v>0</v>
      </c>
      <c r="Q35" s="8">
        <v>83.427281051088357</v>
      </c>
      <c r="R35" s="8">
        <v>0</v>
      </c>
      <c r="S35" s="8">
        <v>0</v>
      </c>
      <c r="T35" s="8">
        <v>97.709433614014415</v>
      </c>
      <c r="U35" s="8">
        <v>0</v>
      </c>
      <c r="V35" s="8">
        <v>0</v>
      </c>
      <c r="W35" s="8">
        <v>66.115281940903515</v>
      </c>
      <c r="X35" s="8">
        <v>0</v>
      </c>
      <c r="Y35" s="10">
        <v>247.25199660583166</v>
      </c>
      <c r="Z35" s="27">
        <f t="shared" si="1"/>
        <v>7.3102185878626171E-4</v>
      </c>
      <c r="AB35" s="1">
        <v>31</v>
      </c>
      <c r="AC35" s="9">
        <v>0</v>
      </c>
      <c r="AD35" s="8">
        <v>0</v>
      </c>
      <c r="AE35" s="8">
        <v>0</v>
      </c>
      <c r="AF35" s="8">
        <v>0</v>
      </c>
      <c r="AG35" s="8">
        <v>0</v>
      </c>
      <c r="AH35" s="8">
        <v>0</v>
      </c>
      <c r="AI35" s="8">
        <v>0</v>
      </c>
      <c r="AJ35" s="8">
        <v>0</v>
      </c>
      <c r="AK35" s="8">
        <v>0</v>
      </c>
      <c r="AL35" s="10">
        <v>0</v>
      </c>
      <c r="AM35" s="27">
        <f t="shared" si="2"/>
        <v>0</v>
      </c>
    </row>
    <row r="36" spans="2:39" x14ac:dyDescent="0.2">
      <c r="B36" s="1">
        <v>32</v>
      </c>
      <c r="C36" s="9">
        <v>7889.5708958324976</v>
      </c>
      <c r="D36" s="8">
        <v>5920.471191044664</v>
      </c>
      <c r="E36" s="8">
        <v>0</v>
      </c>
      <c r="F36" s="8">
        <v>0</v>
      </c>
      <c r="G36" s="8">
        <v>5311.3206447322736</v>
      </c>
      <c r="H36" s="8">
        <v>0</v>
      </c>
      <c r="I36" s="8">
        <v>1061.4282563194865</v>
      </c>
      <c r="J36" s="8">
        <v>2921.6803633076197</v>
      </c>
      <c r="K36" s="8">
        <v>0</v>
      </c>
      <c r="L36" s="10">
        <v>23104.471351230517</v>
      </c>
      <c r="M36" s="27">
        <f t="shared" si="0"/>
        <v>7.0695240706298464E-3</v>
      </c>
      <c r="O36" s="1">
        <v>32</v>
      </c>
      <c r="P36" s="9">
        <v>0</v>
      </c>
      <c r="Q36" s="8">
        <v>0</v>
      </c>
      <c r="R36" s="8">
        <v>0</v>
      </c>
      <c r="S36" s="8">
        <v>117.1214359650744</v>
      </c>
      <c r="T36" s="8">
        <v>150.74905271570606</v>
      </c>
      <c r="U36" s="8">
        <v>0</v>
      </c>
      <c r="V36" s="8">
        <v>2792.1676248982403</v>
      </c>
      <c r="W36" s="8">
        <v>88.700207511275948</v>
      </c>
      <c r="X36" s="8">
        <v>0</v>
      </c>
      <c r="Y36" s="10">
        <v>3148.7383210901753</v>
      </c>
      <c r="Z36" s="27">
        <f t="shared" si="1"/>
        <v>9.309516492942177E-3</v>
      </c>
      <c r="AB36" s="1">
        <v>32</v>
      </c>
      <c r="AC36" s="9">
        <v>0</v>
      </c>
      <c r="AD36" s="8">
        <v>0</v>
      </c>
      <c r="AE36" s="8">
        <v>0</v>
      </c>
      <c r="AF36" s="8">
        <v>0</v>
      </c>
      <c r="AG36" s="8">
        <v>0</v>
      </c>
      <c r="AH36" s="8">
        <v>0</v>
      </c>
      <c r="AI36" s="8">
        <v>0</v>
      </c>
      <c r="AJ36" s="8">
        <v>0</v>
      </c>
      <c r="AK36" s="8">
        <v>0</v>
      </c>
      <c r="AL36" s="10">
        <v>0</v>
      </c>
      <c r="AM36" s="27">
        <f t="shared" si="2"/>
        <v>0</v>
      </c>
    </row>
    <row r="37" spans="2:39" x14ac:dyDescent="0.2">
      <c r="B37" s="1">
        <v>33</v>
      </c>
      <c r="C37" s="9">
        <v>7643.0521064018831</v>
      </c>
      <c r="D37" s="8">
        <v>286.89233116072137</v>
      </c>
      <c r="E37" s="8">
        <v>14129.209185868152</v>
      </c>
      <c r="F37" s="8">
        <v>0</v>
      </c>
      <c r="G37" s="8">
        <v>1540.7473050176632</v>
      </c>
      <c r="H37" s="8">
        <v>491.43793090153486</v>
      </c>
      <c r="I37" s="8">
        <v>8411.0127553862985</v>
      </c>
      <c r="J37" s="8">
        <v>11516.01089414148</v>
      </c>
      <c r="K37" s="8">
        <v>3786.8461825770501</v>
      </c>
      <c r="L37" s="10">
        <v>47805.208691458683</v>
      </c>
      <c r="M37" s="27">
        <f t="shared" si="0"/>
        <v>1.4627474847103609E-2</v>
      </c>
      <c r="O37" s="1">
        <v>33</v>
      </c>
      <c r="P37" s="9">
        <v>0</v>
      </c>
      <c r="Q37" s="8">
        <v>0</v>
      </c>
      <c r="R37" s="8">
        <v>0</v>
      </c>
      <c r="S37" s="8">
        <v>0</v>
      </c>
      <c r="T37" s="8">
        <v>165.29056620761185</v>
      </c>
      <c r="U37" s="8">
        <v>0</v>
      </c>
      <c r="V37" s="8">
        <v>0</v>
      </c>
      <c r="W37" s="8">
        <v>71.855720186147664</v>
      </c>
      <c r="X37" s="8">
        <v>0</v>
      </c>
      <c r="Y37" s="10">
        <v>237.14628639363218</v>
      </c>
      <c r="Z37" s="27">
        <f t="shared" si="1"/>
        <v>7.0114345470827775E-4</v>
      </c>
      <c r="AB37" s="1">
        <v>33</v>
      </c>
      <c r="AC37" s="9">
        <v>0</v>
      </c>
      <c r="AD37" s="8">
        <v>0</v>
      </c>
      <c r="AE37" s="8">
        <v>0</v>
      </c>
      <c r="AF37" s="8">
        <v>0</v>
      </c>
      <c r="AG37" s="8">
        <v>0</v>
      </c>
      <c r="AH37" s="8">
        <v>0</v>
      </c>
      <c r="AI37" s="8">
        <v>0</v>
      </c>
      <c r="AJ37" s="8">
        <v>0</v>
      </c>
      <c r="AK37" s="8">
        <v>0</v>
      </c>
      <c r="AL37" s="10">
        <v>0</v>
      </c>
      <c r="AM37" s="27">
        <f t="shared" si="2"/>
        <v>0</v>
      </c>
    </row>
    <row r="38" spans="2:39" x14ac:dyDescent="0.2">
      <c r="B38" s="1">
        <v>34</v>
      </c>
      <c r="C38" s="9">
        <v>8785.0928083198378</v>
      </c>
      <c r="D38" s="8">
        <v>10761.127401456644</v>
      </c>
      <c r="E38" s="8">
        <v>0</v>
      </c>
      <c r="F38" s="8">
        <v>1893.0609216596786</v>
      </c>
      <c r="G38" s="8">
        <v>939.04541254823562</v>
      </c>
      <c r="H38" s="8">
        <v>742.98093982017599</v>
      </c>
      <c r="I38" s="8">
        <v>638.14166981284507</v>
      </c>
      <c r="J38" s="8">
        <v>446.86639794398798</v>
      </c>
      <c r="K38" s="8">
        <v>118.07127523468807</v>
      </c>
      <c r="L38" s="10">
        <v>24324.386826790404</v>
      </c>
      <c r="M38" s="27">
        <f t="shared" si="0"/>
        <v>7.4427947543646272E-3</v>
      </c>
      <c r="O38" s="1">
        <v>34</v>
      </c>
      <c r="P38" s="9">
        <v>0</v>
      </c>
      <c r="Q38" s="8">
        <v>0</v>
      </c>
      <c r="R38" s="8">
        <v>0</v>
      </c>
      <c r="S38" s="8">
        <v>0</v>
      </c>
      <c r="T38" s="8">
        <v>0</v>
      </c>
      <c r="U38" s="8">
        <v>0</v>
      </c>
      <c r="V38" s="8">
        <v>0</v>
      </c>
      <c r="W38" s="8">
        <v>0</v>
      </c>
      <c r="X38" s="8">
        <v>0</v>
      </c>
      <c r="Y38" s="10">
        <v>0</v>
      </c>
      <c r="Z38" s="27">
        <f t="shared" si="1"/>
        <v>0</v>
      </c>
      <c r="AB38" s="1">
        <v>34</v>
      </c>
      <c r="AC38" s="9">
        <v>0</v>
      </c>
      <c r="AD38" s="8">
        <v>0</v>
      </c>
      <c r="AE38" s="8">
        <v>0</v>
      </c>
      <c r="AF38" s="8">
        <v>0</v>
      </c>
      <c r="AG38" s="8">
        <v>0</v>
      </c>
      <c r="AH38" s="8">
        <v>0</v>
      </c>
      <c r="AI38" s="8">
        <v>0</v>
      </c>
      <c r="AJ38" s="8">
        <v>0</v>
      </c>
      <c r="AK38" s="8">
        <v>0</v>
      </c>
      <c r="AL38" s="10">
        <v>0</v>
      </c>
      <c r="AM38" s="27">
        <f t="shared" si="2"/>
        <v>0</v>
      </c>
    </row>
    <row r="39" spans="2:39" x14ac:dyDescent="0.2">
      <c r="B39" s="1">
        <v>35</v>
      </c>
      <c r="C39" s="9">
        <v>2651.7316815155791</v>
      </c>
      <c r="D39" s="8">
        <v>258.32226179703139</v>
      </c>
      <c r="E39" s="8">
        <v>0</v>
      </c>
      <c r="F39" s="8">
        <v>0</v>
      </c>
      <c r="G39" s="8">
        <v>1209.7229052098119</v>
      </c>
      <c r="H39" s="8">
        <v>324.01527826511301</v>
      </c>
      <c r="I39" s="8">
        <v>255.80178504937794</v>
      </c>
      <c r="J39" s="8">
        <v>156.78628714563092</v>
      </c>
      <c r="K39" s="8">
        <v>0</v>
      </c>
      <c r="L39" s="10">
        <v>4856.3801989844069</v>
      </c>
      <c r="M39" s="27">
        <f t="shared" si="0"/>
        <v>1.4859589813130231E-3</v>
      </c>
      <c r="O39" s="1">
        <v>35</v>
      </c>
      <c r="P39" s="9">
        <v>0</v>
      </c>
      <c r="Q39" s="8">
        <v>0</v>
      </c>
      <c r="R39" s="8">
        <v>0</v>
      </c>
      <c r="S39" s="8">
        <v>4088.9168217569177</v>
      </c>
      <c r="T39" s="8">
        <v>0</v>
      </c>
      <c r="U39" s="8">
        <v>108.76971542367755</v>
      </c>
      <c r="V39" s="8">
        <v>119.88801377695927</v>
      </c>
      <c r="W39" s="8">
        <v>135.96127501645242</v>
      </c>
      <c r="X39" s="8">
        <v>0</v>
      </c>
      <c r="Y39" s="10">
        <v>4453.5358259740751</v>
      </c>
      <c r="Z39" s="27">
        <f t="shared" si="1"/>
        <v>1.3167262883077527E-2</v>
      </c>
      <c r="AB39" s="1">
        <v>35</v>
      </c>
      <c r="AC39" s="9">
        <v>0</v>
      </c>
      <c r="AD39" s="8">
        <v>0</v>
      </c>
      <c r="AE39" s="8">
        <v>0</v>
      </c>
      <c r="AF39" s="8">
        <v>0</v>
      </c>
      <c r="AG39" s="8">
        <v>0</v>
      </c>
      <c r="AH39" s="8">
        <v>0</v>
      </c>
      <c r="AI39" s="8">
        <v>0</v>
      </c>
      <c r="AJ39" s="8">
        <v>0</v>
      </c>
      <c r="AK39" s="8">
        <v>0</v>
      </c>
      <c r="AL39" s="10">
        <v>0</v>
      </c>
      <c r="AM39" s="27">
        <f t="shared" si="2"/>
        <v>0</v>
      </c>
    </row>
    <row r="40" spans="2:39" x14ac:dyDescent="0.2">
      <c r="B40" s="1">
        <v>36</v>
      </c>
      <c r="C40" s="9">
        <v>6436.3918343627593</v>
      </c>
      <c r="D40" s="8">
        <v>5724.8318878844148</v>
      </c>
      <c r="E40" s="8">
        <v>0</v>
      </c>
      <c r="F40" s="8">
        <v>108.17335140428622</v>
      </c>
      <c r="G40" s="8">
        <v>1615.4859565605293</v>
      </c>
      <c r="H40" s="8">
        <v>59.432568939286284</v>
      </c>
      <c r="I40" s="8">
        <v>379.8866211459972</v>
      </c>
      <c r="J40" s="8">
        <v>201.01140395749826</v>
      </c>
      <c r="K40" s="8">
        <v>0</v>
      </c>
      <c r="L40" s="10">
        <v>14525.213624253869</v>
      </c>
      <c r="M40" s="27">
        <f t="shared" si="0"/>
        <v>4.4444361347499243E-3</v>
      </c>
      <c r="O40" s="1">
        <v>36</v>
      </c>
      <c r="P40" s="9">
        <v>3020.8382560393366</v>
      </c>
      <c r="Q40" s="8">
        <v>0</v>
      </c>
      <c r="R40" s="8">
        <v>0</v>
      </c>
      <c r="S40" s="8">
        <v>0</v>
      </c>
      <c r="T40" s="8">
        <v>0</v>
      </c>
      <c r="U40" s="8">
        <v>0</v>
      </c>
      <c r="V40" s="8">
        <v>0</v>
      </c>
      <c r="W40" s="8">
        <v>0</v>
      </c>
      <c r="X40" s="8">
        <v>0</v>
      </c>
      <c r="Y40" s="10">
        <v>3020.8382560393075</v>
      </c>
      <c r="Z40" s="27">
        <f t="shared" si="1"/>
        <v>8.9313689164782217E-3</v>
      </c>
      <c r="AB40" s="1">
        <v>36</v>
      </c>
      <c r="AC40" s="9">
        <v>0</v>
      </c>
      <c r="AD40" s="8">
        <v>0</v>
      </c>
      <c r="AE40" s="8">
        <v>0</v>
      </c>
      <c r="AF40" s="8">
        <v>0</v>
      </c>
      <c r="AG40" s="8">
        <v>0</v>
      </c>
      <c r="AH40" s="8">
        <v>0</v>
      </c>
      <c r="AI40" s="8">
        <v>0</v>
      </c>
      <c r="AJ40" s="8">
        <v>0</v>
      </c>
      <c r="AK40" s="8">
        <v>0</v>
      </c>
      <c r="AL40" s="10">
        <v>0</v>
      </c>
      <c r="AM40" s="27">
        <f t="shared" si="2"/>
        <v>0</v>
      </c>
    </row>
    <row r="41" spans="2:39" x14ac:dyDescent="0.2">
      <c r="B41" s="1">
        <v>37</v>
      </c>
      <c r="C41" s="9">
        <v>8216.006376846577</v>
      </c>
      <c r="D41" s="8">
        <v>83.147542907099705</v>
      </c>
      <c r="E41" s="8">
        <v>0</v>
      </c>
      <c r="F41" s="8">
        <v>0</v>
      </c>
      <c r="G41" s="8">
        <v>1884.7241402125219</v>
      </c>
      <c r="H41" s="8">
        <v>0</v>
      </c>
      <c r="I41" s="8">
        <v>589.71450040151831</v>
      </c>
      <c r="J41" s="8">
        <v>157.53946802477003</v>
      </c>
      <c r="K41" s="8">
        <v>0</v>
      </c>
      <c r="L41" s="10">
        <v>10931.132028394379</v>
      </c>
      <c r="M41" s="27">
        <f t="shared" si="0"/>
        <v>3.3447162594287703E-3</v>
      </c>
      <c r="O41" s="1">
        <v>37</v>
      </c>
      <c r="P41" s="9">
        <v>0</v>
      </c>
      <c r="Q41" s="8">
        <v>0</v>
      </c>
      <c r="R41" s="8">
        <v>0</v>
      </c>
      <c r="S41" s="8">
        <v>633.33925791133879</v>
      </c>
      <c r="T41" s="8">
        <v>59.637879658781458</v>
      </c>
      <c r="U41" s="8">
        <v>0</v>
      </c>
      <c r="V41" s="8">
        <v>0</v>
      </c>
      <c r="W41" s="8">
        <v>0</v>
      </c>
      <c r="X41" s="8">
        <v>0</v>
      </c>
      <c r="Y41" s="10">
        <v>692.97713757026941</v>
      </c>
      <c r="Z41" s="27">
        <f t="shared" si="1"/>
        <v>2.0488466914610677E-3</v>
      </c>
      <c r="AB41" s="1">
        <v>37</v>
      </c>
      <c r="AC41" s="9">
        <v>944.15446649043588</v>
      </c>
      <c r="AD41" s="8">
        <v>0</v>
      </c>
      <c r="AE41" s="8">
        <v>0</v>
      </c>
      <c r="AF41" s="8">
        <v>0</v>
      </c>
      <c r="AG41" s="8">
        <v>0</v>
      </c>
      <c r="AH41" s="8">
        <v>0</v>
      </c>
      <c r="AI41" s="8">
        <v>0</v>
      </c>
      <c r="AJ41" s="8">
        <v>0</v>
      </c>
      <c r="AK41" s="8">
        <v>0</v>
      </c>
      <c r="AL41" s="10">
        <v>944.15446649026126</v>
      </c>
      <c r="AM41" s="27">
        <f t="shared" si="2"/>
        <v>1.179728879402539E-3</v>
      </c>
    </row>
    <row r="42" spans="2:39" x14ac:dyDescent="0.2">
      <c r="B42" s="1">
        <v>38</v>
      </c>
      <c r="C42" s="9">
        <v>1616.1426811134443</v>
      </c>
      <c r="D42" s="8">
        <v>238.01259659626521</v>
      </c>
      <c r="E42" s="8">
        <v>0</v>
      </c>
      <c r="F42" s="8">
        <v>109.46022411846207</v>
      </c>
      <c r="G42" s="8">
        <v>2252.9779314821935</v>
      </c>
      <c r="H42" s="8">
        <v>0</v>
      </c>
      <c r="I42" s="8">
        <v>4515.2298777628457</v>
      </c>
      <c r="J42" s="8">
        <v>77.238634673907654</v>
      </c>
      <c r="K42" s="8">
        <v>4875.9422042751976</v>
      </c>
      <c r="L42" s="10">
        <v>13685.004150015768</v>
      </c>
      <c r="M42" s="27">
        <f t="shared" si="0"/>
        <v>4.1873481879105279E-3</v>
      </c>
      <c r="O42" s="1">
        <v>38</v>
      </c>
      <c r="P42" s="9">
        <v>0</v>
      </c>
      <c r="Q42" s="8">
        <v>0</v>
      </c>
      <c r="R42" s="8">
        <v>0</v>
      </c>
      <c r="S42" s="8">
        <v>0</v>
      </c>
      <c r="T42" s="8">
        <v>0</v>
      </c>
      <c r="U42" s="8">
        <v>0</v>
      </c>
      <c r="V42" s="8">
        <v>0</v>
      </c>
      <c r="W42" s="8">
        <v>0</v>
      </c>
      <c r="X42" s="8">
        <v>0</v>
      </c>
      <c r="Y42" s="10">
        <v>0</v>
      </c>
      <c r="Z42" s="27">
        <f t="shared" si="1"/>
        <v>0</v>
      </c>
      <c r="AB42" s="1">
        <v>38</v>
      </c>
      <c r="AC42" s="9">
        <v>0</v>
      </c>
      <c r="AD42" s="8">
        <v>0</v>
      </c>
      <c r="AE42" s="8">
        <v>0</v>
      </c>
      <c r="AF42" s="8">
        <v>0</v>
      </c>
      <c r="AG42" s="8">
        <v>0</v>
      </c>
      <c r="AH42" s="8">
        <v>0</v>
      </c>
      <c r="AI42" s="8">
        <v>0</v>
      </c>
      <c r="AJ42" s="8">
        <v>0</v>
      </c>
      <c r="AK42" s="8">
        <v>0</v>
      </c>
      <c r="AL42" s="10">
        <v>0</v>
      </c>
      <c r="AM42" s="27">
        <f t="shared" si="2"/>
        <v>0</v>
      </c>
    </row>
    <row r="43" spans="2:39" x14ac:dyDescent="0.2">
      <c r="B43" s="1">
        <v>39</v>
      </c>
      <c r="C43" s="9">
        <v>1726.6659342311323</v>
      </c>
      <c r="D43" s="8">
        <v>82.520012745517306</v>
      </c>
      <c r="E43" s="8">
        <v>0</v>
      </c>
      <c r="F43" s="8">
        <v>0</v>
      </c>
      <c r="G43" s="8">
        <v>549.15402566920966</v>
      </c>
      <c r="H43" s="8">
        <v>1148.7003668848192</v>
      </c>
      <c r="I43" s="8">
        <v>1823.4429118164117</v>
      </c>
      <c r="J43" s="8">
        <v>77.211206810199656</v>
      </c>
      <c r="K43" s="8">
        <v>120.60369760089088</v>
      </c>
      <c r="L43" s="10">
        <v>5528.2981557599269</v>
      </c>
      <c r="M43" s="27">
        <f t="shared" si="0"/>
        <v>1.6915529590631343E-3</v>
      </c>
      <c r="O43" s="1">
        <v>39</v>
      </c>
      <c r="P43" s="9">
        <v>0</v>
      </c>
      <c r="Q43" s="8">
        <v>0</v>
      </c>
      <c r="R43" s="8">
        <v>0</v>
      </c>
      <c r="S43" s="8">
        <v>0</v>
      </c>
      <c r="T43" s="8">
        <v>0</v>
      </c>
      <c r="U43" s="8">
        <v>0</v>
      </c>
      <c r="V43" s="8">
        <v>0</v>
      </c>
      <c r="W43" s="8">
        <v>0</v>
      </c>
      <c r="X43" s="8">
        <v>0</v>
      </c>
      <c r="Y43" s="10">
        <v>0</v>
      </c>
      <c r="Z43" s="27">
        <f t="shared" si="1"/>
        <v>0</v>
      </c>
      <c r="AB43" s="1">
        <v>39</v>
      </c>
      <c r="AC43" s="9">
        <v>0</v>
      </c>
      <c r="AD43" s="8">
        <v>0</v>
      </c>
      <c r="AE43" s="8">
        <v>0</v>
      </c>
      <c r="AF43" s="8">
        <v>0</v>
      </c>
      <c r="AG43" s="8">
        <v>0</v>
      </c>
      <c r="AH43" s="8">
        <v>0</v>
      </c>
      <c r="AI43" s="8">
        <v>0</v>
      </c>
      <c r="AJ43" s="8">
        <v>0</v>
      </c>
      <c r="AK43" s="8">
        <v>0</v>
      </c>
      <c r="AL43" s="10">
        <v>0</v>
      </c>
      <c r="AM43" s="27">
        <f t="shared" si="2"/>
        <v>0</v>
      </c>
    </row>
    <row r="44" spans="2:39" x14ac:dyDescent="0.2">
      <c r="B44" s="1">
        <v>40</v>
      </c>
      <c r="C44" s="9">
        <v>731.31654024193995</v>
      </c>
      <c r="D44" s="8">
        <v>82.874585227109492</v>
      </c>
      <c r="E44" s="8">
        <v>3734.0272384397103</v>
      </c>
      <c r="F44" s="8">
        <v>0</v>
      </c>
      <c r="G44" s="8">
        <v>2143.5863266584929</v>
      </c>
      <c r="H44" s="8">
        <v>56.072779148351401</v>
      </c>
      <c r="I44" s="8">
        <v>1112.1694961911999</v>
      </c>
      <c r="J44" s="8">
        <v>3116.8074846881791</v>
      </c>
      <c r="K44" s="8">
        <v>117.13412660261383</v>
      </c>
      <c r="L44" s="10">
        <v>11093.988577191252</v>
      </c>
      <c r="M44" s="27">
        <f t="shared" si="0"/>
        <v>3.394547232588772E-3</v>
      </c>
      <c r="O44" s="1">
        <v>40</v>
      </c>
      <c r="P44" s="9">
        <v>197.72617767112388</v>
      </c>
      <c r="Q44" s="8">
        <v>0</v>
      </c>
      <c r="R44" s="8">
        <v>0</v>
      </c>
      <c r="S44" s="8">
        <v>0</v>
      </c>
      <c r="T44" s="8">
        <v>0</v>
      </c>
      <c r="U44" s="8">
        <v>0</v>
      </c>
      <c r="V44" s="8">
        <v>108.67755694819789</v>
      </c>
      <c r="W44" s="8">
        <v>0</v>
      </c>
      <c r="X44" s="8">
        <v>0</v>
      </c>
      <c r="Y44" s="10">
        <v>306.40373461932177</v>
      </c>
      <c r="Z44" s="27">
        <f t="shared" si="1"/>
        <v>9.0590907533721454E-4</v>
      </c>
      <c r="AB44" s="1">
        <v>40</v>
      </c>
      <c r="AC44" s="9">
        <v>0</v>
      </c>
      <c r="AD44" s="8">
        <v>0</v>
      </c>
      <c r="AE44" s="8">
        <v>0</v>
      </c>
      <c r="AF44" s="8">
        <v>0</v>
      </c>
      <c r="AG44" s="8">
        <v>0</v>
      </c>
      <c r="AH44" s="8">
        <v>0</v>
      </c>
      <c r="AI44" s="8">
        <v>0</v>
      </c>
      <c r="AJ44" s="8">
        <v>0</v>
      </c>
      <c r="AK44" s="8">
        <v>0</v>
      </c>
      <c r="AL44" s="10">
        <v>0</v>
      </c>
      <c r="AM44" s="27">
        <f t="shared" si="2"/>
        <v>0</v>
      </c>
    </row>
    <row r="45" spans="2:39" x14ac:dyDescent="0.2">
      <c r="B45" s="1">
        <v>41</v>
      </c>
      <c r="C45" s="9">
        <v>427.42967359616887</v>
      </c>
      <c r="D45" s="8">
        <v>83.195629687455948</v>
      </c>
      <c r="E45" s="8">
        <v>3734.0272384396667</v>
      </c>
      <c r="F45" s="8">
        <v>0</v>
      </c>
      <c r="G45" s="8">
        <v>2415.9877550106612</v>
      </c>
      <c r="H45" s="8">
        <v>0</v>
      </c>
      <c r="I45" s="8">
        <v>473.40602300118189</v>
      </c>
      <c r="J45" s="8">
        <v>5088.6052721306332</v>
      </c>
      <c r="K45" s="8">
        <v>0</v>
      </c>
      <c r="L45" s="10">
        <v>12222.651591869537</v>
      </c>
      <c r="M45" s="27">
        <f t="shared" si="0"/>
        <v>3.7398964175409232E-3</v>
      </c>
      <c r="O45" s="1">
        <v>41</v>
      </c>
      <c r="P45" s="9">
        <v>0</v>
      </c>
      <c r="Q45" s="8">
        <v>0</v>
      </c>
      <c r="R45" s="8">
        <v>0</v>
      </c>
      <c r="S45" s="8">
        <v>0</v>
      </c>
      <c r="T45" s="8">
        <v>0</v>
      </c>
      <c r="U45" s="8">
        <v>0</v>
      </c>
      <c r="V45" s="8">
        <v>0</v>
      </c>
      <c r="W45" s="8">
        <v>162.29600208497141</v>
      </c>
      <c r="X45" s="8">
        <v>0</v>
      </c>
      <c r="Y45" s="10">
        <v>162.29600208497141</v>
      </c>
      <c r="Z45" s="27">
        <f t="shared" si="1"/>
        <v>4.7984213169721489E-4</v>
      </c>
      <c r="AB45" s="1">
        <v>41</v>
      </c>
      <c r="AC45" s="9">
        <v>0</v>
      </c>
      <c r="AD45" s="8">
        <v>0</v>
      </c>
      <c r="AE45" s="8">
        <v>0</v>
      </c>
      <c r="AF45" s="8">
        <v>0</v>
      </c>
      <c r="AG45" s="8">
        <v>0</v>
      </c>
      <c r="AH45" s="8">
        <v>0</v>
      </c>
      <c r="AI45" s="8">
        <v>0</v>
      </c>
      <c r="AJ45" s="8">
        <v>0</v>
      </c>
      <c r="AK45" s="8">
        <v>0</v>
      </c>
      <c r="AL45" s="10">
        <v>0</v>
      </c>
      <c r="AM45" s="27">
        <f t="shared" si="2"/>
        <v>0</v>
      </c>
    </row>
    <row r="46" spans="2:39" x14ac:dyDescent="0.2">
      <c r="B46" s="1">
        <v>42</v>
      </c>
      <c r="C46" s="9">
        <v>9557.1089363936335</v>
      </c>
      <c r="D46" s="8">
        <v>4828.0543440093752</v>
      </c>
      <c r="E46" s="8">
        <v>0</v>
      </c>
      <c r="F46" s="8">
        <v>0</v>
      </c>
      <c r="G46" s="8">
        <v>5117.2927045206307</v>
      </c>
      <c r="H46" s="8">
        <v>0</v>
      </c>
      <c r="I46" s="8">
        <v>170.21460338495672</v>
      </c>
      <c r="J46" s="8">
        <v>95.689424530719407</v>
      </c>
      <c r="K46" s="8">
        <v>120.29349187383195</v>
      </c>
      <c r="L46" s="10">
        <v>19888.653504707851</v>
      </c>
      <c r="M46" s="27">
        <f t="shared" si="0"/>
        <v>6.0855456308226861E-3</v>
      </c>
      <c r="O46" s="1">
        <v>42</v>
      </c>
      <c r="P46" s="9">
        <v>0</v>
      </c>
      <c r="Q46" s="8">
        <v>0</v>
      </c>
      <c r="R46" s="8">
        <v>0</v>
      </c>
      <c r="S46" s="8">
        <v>0</v>
      </c>
      <c r="T46" s="8">
        <v>0</v>
      </c>
      <c r="U46" s="8">
        <v>0</v>
      </c>
      <c r="V46" s="8">
        <v>123.51379282060952</v>
      </c>
      <c r="W46" s="8">
        <v>0</v>
      </c>
      <c r="X46" s="8">
        <v>0</v>
      </c>
      <c r="Y46" s="10">
        <v>123.51379282062408</v>
      </c>
      <c r="Z46" s="27">
        <f t="shared" si="1"/>
        <v>3.6517918420459074E-4</v>
      </c>
      <c r="AB46" s="1">
        <v>42</v>
      </c>
      <c r="AC46" s="9">
        <v>0</v>
      </c>
      <c r="AD46" s="8">
        <v>0</v>
      </c>
      <c r="AE46" s="8">
        <v>0</v>
      </c>
      <c r="AF46" s="8">
        <v>0</v>
      </c>
      <c r="AG46" s="8">
        <v>0</v>
      </c>
      <c r="AH46" s="8">
        <v>0</v>
      </c>
      <c r="AI46" s="8">
        <v>0</v>
      </c>
      <c r="AJ46" s="8">
        <v>0</v>
      </c>
      <c r="AK46" s="8">
        <v>0</v>
      </c>
      <c r="AL46" s="10">
        <v>0</v>
      </c>
      <c r="AM46" s="27">
        <f t="shared" si="2"/>
        <v>0</v>
      </c>
    </row>
    <row r="47" spans="2:39" x14ac:dyDescent="0.2">
      <c r="B47" s="1">
        <v>43</v>
      </c>
      <c r="C47" s="9">
        <v>227.77422539633699</v>
      </c>
      <c r="D47" s="8">
        <v>179.41971642314456</v>
      </c>
      <c r="E47" s="8">
        <v>0</v>
      </c>
      <c r="F47" s="8">
        <v>0</v>
      </c>
      <c r="G47" s="8">
        <v>5206.315257042239</v>
      </c>
      <c r="H47" s="8">
        <v>4905.4706653713947</v>
      </c>
      <c r="I47" s="8">
        <v>249.39901251997799</v>
      </c>
      <c r="J47" s="8">
        <v>0</v>
      </c>
      <c r="K47" s="8">
        <v>1776.0914980587841</v>
      </c>
      <c r="L47" s="10">
        <v>12544.470374810975</v>
      </c>
      <c r="M47" s="27">
        <f t="shared" si="0"/>
        <v>3.8383667784420449E-3</v>
      </c>
      <c r="O47" s="1">
        <v>43</v>
      </c>
      <c r="P47" s="9">
        <v>0</v>
      </c>
      <c r="Q47" s="8">
        <v>0</v>
      </c>
      <c r="R47" s="8">
        <v>0</v>
      </c>
      <c r="S47" s="8">
        <v>0</v>
      </c>
      <c r="T47" s="8">
        <v>0</v>
      </c>
      <c r="U47" s="8">
        <v>0</v>
      </c>
      <c r="V47" s="8">
        <v>0</v>
      </c>
      <c r="W47" s="8">
        <v>0</v>
      </c>
      <c r="X47" s="8">
        <v>0</v>
      </c>
      <c r="Y47" s="10">
        <v>0</v>
      </c>
      <c r="Z47" s="27">
        <f t="shared" si="1"/>
        <v>0</v>
      </c>
      <c r="AB47" s="1">
        <v>43</v>
      </c>
      <c r="AC47" s="9">
        <v>0</v>
      </c>
      <c r="AD47" s="8">
        <v>0</v>
      </c>
      <c r="AE47" s="8">
        <v>0</v>
      </c>
      <c r="AF47" s="8">
        <v>0</v>
      </c>
      <c r="AG47" s="8">
        <v>0</v>
      </c>
      <c r="AH47" s="8">
        <v>0</v>
      </c>
      <c r="AI47" s="8">
        <v>0</v>
      </c>
      <c r="AJ47" s="8">
        <v>0</v>
      </c>
      <c r="AK47" s="8">
        <v>0</v>
      </c>
      <c r="AL47" s="10">
        <v>0</v>
      </c>
      <c r="AM47" s="27">
        <f t="shared" si="2"/>
        <v>0</v>
      </c>
    </row>
    <row r="48" spans="2:39" x14ac:dyDescent="0.2">
      <c r="B48" s="1">
        <v>44</v>
      </c>
      <c r="C48" s="9">
        <v>1028.7851335427258</v>
      </c>
      <c r="D48" s="8">
        <v>5515.9575514188618</v>
      </c>
      <c r="E48" s="8">
        <v>0</v>
      </c>
      <c r="F48" s="8">
        <v>0</v>
      </c>
      <c r="G48" s="8">
        <v>2364.0711900378228</v>
      </c>
      <c r="H48" s="8">
        <v>0</v>
      </c>
      <c r="I48" s="8">
        <v>342.90892246877775</v>
      </c>
      <c r="J48" s="8">
        <v>88.700207511254121</v>
      </c>
      <c r="K48" s="8">
        <v>0</v>
      </c>
      <c r="L48" s="10">
        <v>9340.4230049811304</v>
      </c>
      <c r="M48" s="27">
        <f t="shared" si="0"/>
        <v>2.8579898782259763E-3</v>
      </c>
      <c r="O48" s="1">
        <v>44</v>
      </c>
      <c r="P48" s="9">
        <v>0</v>
      </c>
      <c r="Q48" s="8">
        <v>0</v>
      </c>
      <c r="R48" s="8">
        <v>0</v>
      </c>
      <c r="S48" s="8">
        <v>0</v>
      </c>
      <c r="T48" s="8">
        <v>0</v>
      </c>
      <c r="U48" s="8">
        <v>0</v>
      </c>
      <c r="V48" s="8">
        <v>0</v>
      </c>
      <c r="W48" s="8">
        <v>0</v>
      </c>
      <c r="X48" s="8">
        <v>0</v>
      </c>
      <c r="Y48" s="10">
        <v>0</v>
      </c>
      <c r="Z48" s="27">
        <f t="shared" si="1"/>
        <v>0</v>
      </c>
      <c r="AB48" s="1">
        <v>44</v>
      </c>
      <c r="AC48" s="9">
        <v>0</v>
      </c>
      <c r="AD48" s="8">
        <v>0</v>
      </c>
      <c r="AE48" s="8">
        <v>0</v>
      </c>
      <c r="AF48" s="8">
        <v>0</v>
      </c>
      <c r="AG48" s="8">
        <v>0</v>
      </c>
      <c r="AH48" s="8">
        <v>0</v>
      </c>
      <c r="AI48" s="8">
        <v>0</v>
      </c>
      <c r="AJ48" s="8">
        <v>0</v>
      </c>
      <c r="AK48" s="8">
        <v>0</v>
      </c>
      <c r="AL48" s="10">
        <v>0</v>
      </c>
      <c r="AM48" s="27">
        <f t="shared" si="2"/>
        <v>0</v>
      </c>
    </row>
    <row r="49" spans="2:39" x14ac:dyDescent="0.2">
      <c r="B49" s="1">
        <v>45</v>
      </c>
      <c r="C49" s="9">
        <v>159.68547554791439</v>
      </c>
      <c r="D49" s="8">
        <v>147.30478678015061</v>
      </c>
      <c r="E49" s="8">
        <v>0</v>
      </c>
      <c r="F49" s="8">
        <v>213.99235284577298</v>
      </c>
      <c r="G49" s="8">
        <v>648.42232850729488</v>
      </c>
      <c r="H49" s="8">
        <v>0</v>
      </c>
      <c r="I49" s="8">
        <v>2380.5806543951621</v>
      </c>
      <c r="J49" s="8">
        <v>2824.7907427800237</v>
      </c>
      <c r="K49" s="8">
        <v>397.58358862827299</v>
      </c>
      <c r="L49" s="10">
        <v>6772.3599294852465</v>
      </c>
      <c r="M49" s="27">
        <f t="shared" si="0"/>
        <v>2.0722119458455E-3</v>
      </c>
      <c r="O49" s="1">
        <v>45</v>
      </c>
      <c r="P49" s="9">
        <v>0</v>
      </c>
      <c r="Q49" s="8">
        <v>0</v>
      </c>
      <c r="R49" s="8">
        <v>0</v>
      </c>
      <c r="S49" s="8">
        <v>0</v>
      </c>
      <c r="T49" s="8">
        <v>0</v>
      </c>
      <c r="U49" s="8">
        <v>0</v>
      </c>
      <c r="V49" s="8">
        <v>0</v>
      </c>
      <c r="W49" s="8">
        <v>0</v>
      </c>
      <c r="X49" s="8">
        <v>0</v>
      </c>
      <c r="Y49" s="10">
        <v>0</v>
      </c>
      <c r="Z49" s="27">
        <f t="shared" si="1"/>
        <v>0</v>
      </c>
      <c r="AB49" s="1">
        <v>45</v>
      </c>
      <c r="AC49" s="9">
        <v>0</v>
      </c>
      <c r="AD49" s="8">
        <v>0</v>
      </c>
      <c r="AE49" s="8">
        <v>0</v>
      </c>
      <c r="AF49" s="8">
        <v>0</v>
      </c>
      <c r="AG49" s="8">
        <v>0</v>
      </c>
      <c r="AH49" s="8">
        <v>0</v>
      </c>
      <c r="AI49" s="8">
        <v>0</v>
      </c>
      <c r="AJ49" s="8">
        <v>0</v>
      </c>
      <c r="AK49" s="8">
        <v>0</v>
      </c>
      <c r="AL49" s="10">
        <v>0</v>
      </c>
      <c r="AM49" s="27">
        <f t="shared" si="2"/>
        <v>0</v>
      </c>
    </row>
    <row r="50" spans="2:39" x14ac:dyDescent="0.2">
      <c r="B50" s="1">
        <v>46</v>
      </c>
      <c r="C50" s="9">
        <v>0</v>
      </c>
      <c r="D50" s="8">
        <v>164.59133144613588</v>
      </c>
      <c r="E50" s="8">
        <v>3405.9539488467708</v>
      </c>
      <c r="F50" s="8">
        <v>195.20864146327949</v>
      </c>
      <c r="G50" s="8">
        <v>973.41833684121957</v>
      </c>
      <c r="H50" s="8">
        <v>0</v>
      </c>
      <c r="I50" s="8">
        <v>3128.9040808944264</v>
      </c>
      <c r="J50" s="8">
        <v>0</v>
      </c>
      <c r="K50" s="8">
        <v>4963.3812697625544</v>
      </c>
      <c r="L50" s="10">
        <v>12831.457609256264</v>
      </c>
      <c r="M50" s="27">
        <f t="shared" si="0"/>
        <v>3.9261793551087863E-3</v>
      </c>
      <c r="O50" s="1">
        <v>46</v>
      </c>
      <c r="P50" s="9">
        <v>0</v>
      </c>
      <c r="Q50" s="8">
        <v>0</v>
      </c>
      <c r="R50" s="8">
        <v>0</v>
      </c>
      <c r="S50" s="8">
        <v>0</v>
      </c>
      <c r="T50" s="8">
        <v>1126.8601589847094</v>
      </c>
      <c r="U50" s="8">
        <v>0</v>
      </c>
      <c r="V50" s="8">
        <v>0</v>
      </c>
      <c r="W50" s="8">
        <v>0</v>
      </c>
      <c r="X50" s="8">
        <v>0</v>
      </c>
      <c r="Y50" s="10">
        <v>1126.8601589847822</v>
      </c>
      <c r="Z50" s="27">
        <f t="shared" si="1"/>
        <v>3.3316592760481221E-3</v>
      </c>
      <c r="AB50" s="1">
        <v>46</v>
      </c>
      <c r="AC50" s="9">
        <v>0</v>
      </c>
      <c r="AD50" s="8">
        <v>0</v>
      </c>
      <c r="AE50" s="8">
        <v>0</v>
      </c>
      <c r="AF50" s="8">
        <v>0</v>
      </c>
      <c r="AG50" s="8">
        <v>0</v>
      </c>
      <c r="AH50" s="8">
        <v>0</v>
      </c>
      <c r="AI50" s="8">
        <v>0</v>
      </c>
      <c r="AJ50" s="8">
        <v>0</v>
      </c>
      <c r="AK50" s="8">
        <v>0</v>
      </c>
      <c r="AL50" s="10">
        <v>0</v>
      </c>
      <c r="AM50" s="27">
        <f t="shared" si="2"/>
        <v>0</v>
      </c>
    </row>
    <row r="51" spans="2:39" x14ac:dyDescent="0.2">
      <c r="B51" s="1">
        <v>47</v>
      </c>
      <c r="C51" s="9">
        <v>433.67962643643841</v>
      </c>
      <c r="D51" s="8">
        <v>0</v>
      </c>
      <c r="E51" s="8">
        <v>172.30771623516921</v>
      </c>
      <c r="F51" s="8">
        <v>0</v>
      </c>
      <c r="G51" s="8">
        <v>103.29622946167365</v>
      </c>
      <c r="H51" s="8">
        <v>0</v>
      </c>
      <c r="I51" s="8">
        <v>6072.6923329685815</v>
      </c>
      <c r="J51" s="8">
        <v>156.11532706394792</v>
      </c>
      <c r="K51" s="8">
        <v>2190.3430342236534</v>
      </c>
      <c r="L51" s="10">
        <v>9128.4342663902789</v>
      </c>
      <c r="M51" s="27">
        <f t="shared" si="0"/>
        <v>2.7931253995115276E-3</v>
      </c>
      <c r="O51" s="1">
        <v>47</v>
      </c>
      <c r="P51" s="9">
        <v>0</v>
      </c>
      <c r="Q51" s="8">
        <v>0</v>
      </c>
      <c r="R51" s="8">
        <v>0</v>
      </c>
      <c r="S51" s="8">
        <v>0</v>
      </c>
      <c r="T51" s="8">
        <v>0</v>
      </c>
      <c r="U51" s="8">
        <v>0</v>
      </c>
      <c r="V51" s="8">
        <v>0</v>
      </c>
      <c r="W51" s="8">
        <v>0</v>
      </c>
      <c r="X51" s="8">
        <v>0</v>
      </c>
      <c r="Y51" s="10">
        <v>0</v>
      </c>
      <c r="Z51" s="27">
        <f t="shared" si="1"/>
        <v>0</v>
      </c>
      <c r="AB51" s="1">
        <v>47</v>
      </c>
      <c r="AC51" s="9">
        <v>0</v>
      </c>
      <c r="AD51" s="8">
        <v>0</v>
      </c>
      <c r="AE51" s="8">
        <v>0</v>
      </c>
      <c r="AF51" s="8">
        <v>0</v>
      </c>
      <c r="AG51" s="8">
        <v>0</v>
      </c>
      <c r="AH51" s="8">
        <v>0</v>
      </c>
      <c r="AI51" s="8">
        <v>0</v>
      </c>
      <c r="AJ51" s="8">
        <v>0</v>
      </c>
      <c r="AK51" s="8">
        <v>0</v>
      </c>
      <c r="AL51" s="10">
        <v>0</v>
      </c>
      <c r="AM51" s="27">
        <f t="shared" si="2"/>
        <v>0</v>
      </c>
    </row>
    <row r="52" spans="2:39" x14ac:dyDescent="0.2">
      <c r="B52" s="1">
        <v>48</v>
      </c>
      <c r="C52" s="9">
        <v>115.53468285710551</v>
      </c>
      <c r="D52" s="8">
        <v>173.30069391860161</v>
      </c>
      <c r="E52" s="8">
        <v>128.539100623384</v>
      </c>
      <c r="F52" s="8">
        <v>0</v>
      </c>
      <c r="G52" s="8">
        <v>0</v>
      </c>
      <c r="H52" s="8">
        <v>0</v>
      </c>
      <c r="I52" s="8">
        <v>0</v>
      </c>
      <c r="J52" s="8">
        <v>3021.3968347558402</v>
      </c>
      <c r="K52" s="8">
        <v>0</v>
      </c>
      <c r="L52" s="10">
        <v>3438.7713121552952</v>
      </c>
      <c r="M52" s="27">
        <f t="shared" si="0"/>
        <v>1.0521979142092985E-3</v>
      </c>
      <c r="O52" s="1">
        <v>48</v>
      </c>
      <c r="P52" s="9">
        <v>0</v>
      </c>
      <c r="Q52" s="8">
        <v>0</v>
      </c>
      <c r="R52" s="8">
        <v>0</v>
      </c>
      <c r="S52" s="8">
        <v>0</v>
      </c>
      <c r="T52" s="8">
        <v>0</v>
      </c>
      <c r="U52" s="8">
        <v>0</v>
      </c>
      <c r="V52" s="8">
        <v>4068.25743733735</v>
      </c>
      <c r="W52" s="8">
        <v>0</v>
      </c>
      <c r="X52" s="8">
        <v>0</v>
      </c>
      <c r="Y52" s="10">
        <v>4068.2574373375392</v>
      </c>
      <c r="Z52" s="27">
        <f t="shared" si="1"/>
        <v>1.2028154088497167E-2</v>
      </c>
      <c r="AB52" s="1">
        <v>48</v>
      </c>
      <c r="AC52" s="9">
        <v>0</v>
      </c>
      <c r="AD52" s="8">
        <v>0</v>
      </c>
      <c r="AE52" s="8">
        <v>0</v>
      </c>
      <c r="AF52" s="8">
        <v>0</v>
      </c>
      <c r="AG52" s="8">
        <v>0</v>
      </c>
      <c r="AH52" s="8">
        <v>0</v>
      </c>
      <c r="AI52" s="8">
        <v>0</v>
      </c>
      <c r="AJ52" s="8">
        <v>0</v>
      </c>
      <c r="AK52" s="8">
        <v>0</v>
      </c>
      <c r="AL52" s="10">
        <v>0</v>
      </c>
      <c r="AM52" s="27">
        <f t="shared" si="2"/>
        <v>0</v>
      </c>
    </row>
    <row r="53" spans="2:39" x14ac:dyDescent="0.2">
      <c r="B53" s="1">
        <v>49</v>
      </c>
      <c r="C53" s="9">
        <v>77.580551527789794</v>
      </c>
      <c r="D53" s="8">
        <v>0</v>
      </c>
      <c r="E53" s="8">
        <v>0</v>
      </c>
      <c r="F53" s="8">
        <v>239.67438092437806</v>
      </c>
      <c r="G53" s="8">
        <v>553.04117563914042</v>
      </c>
      <c r="H53" s="8">
        <v>0</v>
      </c>
      <c r="I53" s="8">
        <v>2737.083328794688</v>
      </c>
      <c r="J53" s="8">
        <v>76.847964637563564</v>
      </c>
      <c r="K53" s="8">
        <v>116.00299870187882</v>
      </c>
      <c r="L53" s="10">
        <v>3800.2304002270103</v>
      </c>
      <c r="M53" s="27">
        <f t="shared" si="0"/>
        <v>1.1627974464307881E-3</v>
      </c>
      <c r="O53" s="1">
        <v>49</v>
      </c>
      <c r="P53" s="9">
        <v>0</v>
      </c>
      <c r="Q53" s="8">
        <v>0</v>
      </c>
      <c r="R53" s="8">
        <v>0</v>
      </c>
      <c r="S53" s="8">
        <v>101.64490290705726</v>
      </c>
      <c r="T53" s="8">
        <v>0</v>
      </c>
      <c r="U53" s="8">
        <v>0</v>
      </c>
      <c r="V53" s="8">
        <v>0</v>
      </c>
      <c r="W53" s="8">
        <v>5991.9141728917384</v>
      </c>
      <c r="X53" s="8">
        <v>0</v>
      </c>
      <c r="Y53" s="10">
        <v>6093.5590757988393</v>
      </c>
      <c r="Z53" s="27">
        <f t="shared" si="1"/>
        <v>1.8016133108586185E-2</v>
      </c>
      <c r="AB53" s="1">
        <v>49</v>
      </c>
      <c r="AC53" s="9">
        <v>0</v>
      </c>
      <c r="AD53" s="8">
        <v>0</v>
      </c>
      <c r="AE53" s="8">
        <v>0</v>
      </c>
      <c r="AF53" s="8">
        <v>0</v>
      </c>
      <c r="AG53" s="8">
        <v>0</v>
      </c>
      <c r="AH53" s="8">
        <v>0</v>
      </c>
      <c r="AI53" s="8">
        <v>0</v>
      </c>
      <c r="AJ53" s="8">
        <v>0</v>
      </c>
      <c r="AK53" s="8">
        <v>0</v>
      </c>
      <c r="AL53" s="10">
        <v>0</v>
      </c>
      <c r="AM53" s="27">
        <f t="shared" si="2"/>
        <v>0</v>
      </c>
    </row>
    <row r="54" spans="2:39" x14ac:dyDescent="0.2">
      <c r="B54" s="1">
        <v>50</v>
      </c>
      <c r="C54" s="9">
        <v>0</v>
      </c>
      <c r="D54" s="8">
        <v>41.411114603688475</v>
      </c>
      <c r="E54" s="8">
        <v>0</v>
      </c>
      <c r="F54" s="8">
        <v>91.564373558998341</v>
      </c>
      <c r="G54" s="8">
        <v>188.99921165488195</v>
      </c>
      <c r="H54" s="8">
        <v>0</v>
      </c>
      <c r="I54" s="8">
        <v>1381.2897836044431</v>
      </c>
      <c r="J54" s="8">
        <v>2943.7386710701394</v>
      </c>
      <c r="K54" s="8">
        <v>372.0528894472227</v>
      </c>
      <c r="L54" s="10">
        <v>5019.0560439424589</v>
      </c>
      <c r="M54" s="27">
        <f t="shared" si="0"/>
        <v>1.5357346625722158E-3</v>
      </c>
      <c r="O54" s="1">
        <v>50</v>
      </c>
      <c r="P54" s="9">
        <v>0</v>
      </c>
      <c r="Q54" s="8">
        <v>0</v>
      </c>
      <c r="R54" s="8">
        <v>0</v>
      </c>
      <c r="S54" s="8">
        <v>0</v>
      </c>
      <c r="T54" s="8">
        <v>0</v>
      </c>
      <c r="U54" s="8">
        <v>0</v>
      </c>
      <c r="V54" s="8">
        <v>0</v>
      </c>
      <c r="W54" s="8">
        <v>0</v>
      </c>
      <c r="X54" s="8">
        <v>0</v>
      </c>
      <c r="Y54" s="10">
        <v>0</v>
      </c>
      <c r="Z54" s="27">
        <f t="shared" si="1"/>
        <v>0</v>
      </c>
      <c r="AB54" s="1">
        <v>50</v>
      </c>
      <c r="AC54" s="9">
        <v>0</v>
      </c>
      <c r="AD54" s="8">
        <v>0</v>
      </c>
      <c r="AE54" s="8">
        <v>0</v>
      </c>
      <c r="AF54" s="8">
        <v>0</v>
      </c>
      <c r="AG54" s="8">
        <v>0</v>
      </c>
      <c r="AH54" s="8">
        <v>0</v>
      </c>
      <c r="AI54" s="8">
        <v>0</v>
      </c>
      <c r="AJ54" s="8">
        <v>0</v>
      </c>
      <c r="AK54" s="8">
        <v>0</v>
      </c>
      <c r="AL54" s="10">
        <v>0</v>
      </c>
      <c r="AM54" s="27">
        <f t="shared" si="2"/>
        <v>0</v>
      </c>
    </row>
    <row r="55" spans="2:39" x14ac:dyDescent="0.2">
      <c r="B55" s="1">
        <v>51</v>
      </c>
      <c r="C55" s="11">
        <v>0</v>
      </c>
      <c r="D55" s="12">
        <v>3490.1533317283029</v>
      </c>
      <c r="E55" s="12">
        <v>0</v>
      </c>
      <c r="F55" s="12">
        <v>0</v>
      </c>
      <c r="G55" s="12">
        <v>214.84472640859894</v>
      </c>
      <c r="H55" s="12">
        <v>0</v>
      </c>
      <c r="I55" s="12">
        <v>339.09756905399263</v>
      </c>
      <c r="J55" s="12">
        <v>134.13217518030433</v>
      </c>
      <c r="K55" s="12">
        <v>0</v>
      </c>
      <c r="L55" s="13">
        <v>4178.2278023716062</v>
      </c>
      <c r="M55" s="27">
        <f t="shared" si="0"/>
        <v>1.2784573848242475E-3</v>
      </c>
      <c r="O55" s="1">
        <v>51</v>
      </c>
      <c r="P55" s="11">
        <v>0</v>
      </c>
      <c r="Q55" s="12">
        <v>0</v>
      </c>
      <c r="R55" s="12">
        <v>0</v>
      </c>
      <c r="S55" s="12">
        <v>0</v>
      </c>
      <c r="T55" s="12">
        <v>685.7644647853449</v>
      </c>
      <c r="U55" s="12">
        <v>0</v>
      </c>
      <c r="V55" s="12">
        <v>0</v>
      </c>
      <c r="W55" s="12">
        <v>0</v>
      </c>
      <c r="X55" s="12">
        <v>0</v>
      </c>
      <c r="Y55" s="13">
        <v>685.7644647853449</v>
      </c>
      <c r="Z55" s="27">
        <f t="shared" si="1"/>
        <v>2.0275218021237403E-3</v>
      </c>
      <c r="AB55" s="1">
        <v>51</v>
      </c>
      <c r="AC55" s="11">
        <v>0</v>
      </c>
      <c r="AD55" s="12">
        <v>0</v>
      </c>
      <c r="AE55" s="12">
        <v>0</v>
      </c>
      <c r="AF55" s="12">
        <v>0</v>
      </c>
      <c r="AG55" s="12">
        <v>0</v>
      </c>
      <c r="AH55" s="12">
        <v>0</v>
      </c>
      <c r="AI55" s="12">
        <v>0</v>
      </c>
      <c r="AJ55" s="12">
        <v>0</v>
      </c>
      <c r="AK55" s="12">
        <v>0</v>
      </c>
      <c r="AL55" s="13">
        <v>0</v>
      </c>
      <c r="AM55" s="27">
        <f t="shared" si="2"/>
        <v>0</v>
      </c>
    </row>
    <row r="56" spans="2:39" x14ac:dyDescent="0.2">
      <c r="L56" s="31">
        <f>SUM(L5:L55)</f>
        <v>3268179.1759105031</v>
      </c>
      <c r="M56" s="27">
        <f t="shared" si="0"/>
        <v>1</v>
      </c>
      <c r="Y56" s="31">
        <f>SUM(Y5:Y55)</f>
        <v>338227.91156525991</v>
      </c>
      <c r="Z56" s="27">
        <f t="shared" si="1"/>
        <v>1</v>
      </c>
      <c r="AL56" s="31">
        <f>SUM(AL5:AL55)</f>
        <v>800314.78670626273</v>
      </c>
      <c r="AM56" s="27">
        <f t="shared" si="2"/>
        <v>1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DD399-44B0-4134-83C8-388730EDE12F}">
  <sheetPr>
    <tabColor theme="8"/>
  </sheetPr>
  <dimension ref="A1:D13"/>
  <sheetViews>
    <sheetView workbookViewId="0">
      <selection activeCell="N22" sqref="N22"/>
    </sheetView>
  </sheetViews>
  <sheetFormatPr defaultRowHeight="15" x14ac:dyDescent="0.25"/>
  <cols>
    <col min="1" max="1" width="11.42578125" customWidth="1"/>
  </cols>
  <sheetData>
    <row r="1" spans="1:4" x14ac:dyDescent="0.25">
      <c r="A1" s="2" t="s">
        <v>524</v>
      </c>
    </row>
    <row r="2" spans="1:4" x14ac:dyDescent="0.25">
      <c r="A2" s="16" t="s">
        <v>520</v>
      </c>
    </row>
    <row r="3" spans="1:4" x14ac:dyDescent="0.25">
      <c r="A3" s="1" t="s">
        <v>107</v>
      </c>
      <c r="B3" s="1" t="s">
        <v>108</v>
      </c>
      <c r="C3" s="1" t="s">
        <v>109</v>
      </c>
      <c r="D3" s="1" t="s">
        <v>110</v>
      </c>
    </row>
    <row r="4" spans="1:4" x14ac:dyDescent="0.25">
      <c r="A4" s="1" t="s">
        <v>16</v>
      </c>
      <c r="B4" s="1">
        <v>13.478858166719609</v>
      </c>
      <c r="C4" s="1">
        <v>12.257546325059392</v>
      </c>
      <c r="D4" s="1">
        <v>3.5659790479528639</v>
      </c>
    </row>
    <row r="5" spans="1:4" x14ac:dyDescent="0.25">
      <c r="A5" s="1" t="s">
        <v>17</v>
      </c>
      <c r="B5" s="1">
        <v>14.273029932393513</v>
      </c>
      <c r="C5" s="1">
        <v>10.234850318476786</v>
      </c>
      <c r="D5" s="1">
        <v>2.462076501485539</v>
      </c>
    </row>
    <row r="6" spans="1:4" x14ac:dyDescent="0.25">
      <c r="A6" s="1" t="s">
        <v>21</v>
      </c>
      <c r="B6" s="1">
        <v>20.275992653885325</v>
      </c>
      <c r="C6" s="1">
        <v>15.549999999999999</v>
      </c>
      <c r="D6" s="1">
        <v>2.4674031833785954</v>
      </c>
    </row>
    <row r="7" spans="1:4" x14ac:dyDescent="0.25">
      <c r="A7" s="1" t="s">
        <v>19</v>
      </c>
      <c r="B7" s="1">
        <v>11.422707797015493</v>
      </c>
      <c r="C7" s="1">
        <v>28.609556441572497</v>
      </c>
      <c r="D7" s="1">
        <v>3.1062498487065544</v>
      </c>
    </row>
    <row r="8" spans="1:4" x14ac:dyDescent="0.25">
      <c r="A8" s="1" t="s">
        <v>13</v>
      </c>
      <c r="B8" s="1">
        <v>8.9433646351303597</v>
      </c>
      <c r="C8" s="1">
        <v>6.195719514273077</v>
      </c>
      <c r="D8" s="1">
        <v>3.141779143211703</v>
      </c>
    </row>
    <row r="9" spans="1:4" x14ac:dyDescent="0.25">
      <c r="A9" s="1" t="s">
        <v>14</v>
      </c>
      <c r="B9" s="1">
        <v>10.843594187412783</v>
      </c>
      <c r="C9" s="1">
        <v>6.7822601966679175</v>
      </c>
      <c r="D9" s="1">
        <v>1.8678717442097548</v>
      </c>
    </row>
    <row r="10" spans="1:4" x14ac:dyDescent="0.25">
      <c r="A10" s="1" t="s">
        <v>15</v>
      </c>
      <c r="B10" s="1">
        <v>10.171676583203187</v>
      </c>
      <c r="C10" s="1">
        <v>7.9561303613279648</v>
      </c>
      <c r="D10" s="1">
        <v>2.6097055016212107</v>
      </c>
    </row>
    <row r="11" spans="1:4" x14ac:dyDescent="0.25">
      <c r="A11" s="1" t="s">
        <v>18</v>
      </c>
      <c r="B11" s="1">
        <v>15.79007273936133</v>
      </c>
      <c r="C11" s="1">
        <v>18.949047822464216</v>
      </c>
      <c r="D11" s="1">
        <v>3.5316702314565247</v>
      </c>
    </row>
    <row r="12" spans="1:4" x14ac:dyDescent="0.25">
      <c r="A12" s="1" t="s">
        <v>20</v>
      </c>
      <c r="B12" s="1">
        <v>13.133524058379606</v>
      </c>
      <c r="C12" s="1">
        <v>6.6216269799548959</v>
      </c>
      <c r="D12" s="1">
        <v>10.156208179931566</v>
      </c>
    </row>
    <row r="13" spans="1:4" x14ac:dyDescent="0.25">
      <c r="A13" s="1" t="s">
        <v>59</v>
      </c>
      <c r="B13" s="1">
        <v>12.099386521632329</v>
      </c>
      <c r="C13" s="1">
        <v>10.581891147746754</v>
      </c>
      <c r="D13" s="1">
        <v>3.2631097869156327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C008E-0429-4FB5-A4BA-2F8112D1F8C7}">
  <dimension ref="A1:AQ1457"/>
  <sheetViews>
    <sheetView topLeftCell="D1" workbookViewId="0">
      <selection activeCell="S38" sqref="S38"/>
    </sheetView>
  </sheetViews>
  <sheetFormatPr defaultRowHeight="15" x14ac:dyDescent="0.25"/>
  <sheetData>
    <row r="1" spans="1:43" x14ac:dyDescent="0.25">
      <c r="A1" s="221" t="s">
        <v>493</v>
      </c>
    </row>
    <row r="2" spans="1:43" x14ac:dyDescent="0.25">
      <c r="A2" s="220" t="s">
        <v>492</v>
      </c>
    </row>
    <row r="3" spans="1:43" x14ac:dyDescent="0.25">
      <c r="A3" t="s">
        <v>158</v>
      </c>
      <c r="B3" t="s">
        <v>491</v>
      </c>
      <c r="C3" t="s">
        <v>157</v>
      </c>
      <c r="D3" t="s">
        <v>156</v>
      </c>
      <c r="E3" t="s">
        <v>490</v>
      </c>
      <c r="F3" t="s">
        <v>489</v>
      </c>
      <c r="G3" t="s">
        <v>488</v>
      </c>
      <c r="H3" t="s">
        <v>487</v>
      </c>
      <c r="I3" t="s">
        <v>486</v>
      </c>
      <c r="J3" t="s">
        <v>485</v>
      </c>
      <c r="K3" t="s">
        <v>484</v>
      </c>
      <c r="L3" t="s">
        <v>483</v>
      </c>
      <c r="M3" t="s">
        <v>482</v>
      </c>
      <c r="N3" t="s">
        <v>481</v>
      </c>
      <c r="O3" t="s">
        <v>480</v>
      </c>
      <c r="P3" t="s">
        <v>479</v>
      </c>
      <c r="Q3" t="s">
        <v>478</v>
      </c>
      <c r="R3" t="s">
        <v>477</v>
      </c>
      <c r="S3" t="s">
        <v>476</v>
      </c>
      <c r="T3" t="s">
        <v>475</v>
      </c>
      <c r="U3" t="s">
        <v>474</v>
      </c>
      <c r="V3" t="s">
        <v>473</v>
      </c>
      <c r="W3" t="s">
        <v>472</v>
      </c>
      <c r="X3" t="s">
        <v>471</v>
      </c>
      <c r="Y3" t="s">
        <v>470</v>
      </c>
      <c r="Z3" t="s">
        <v>469</v>
      </c>
      <c r="AA3" t="s">
        <v>468</v>
      </c>
      <c r="AB3" t="s">
        <v>467</v>
      </c>
      <c r="AC3" t="s">
        <v>466</v>
      </c>
      <c r="AD3" t="s">
        <v>465</v>
      </c>
      <c r="AE3" t="s">
        <v>464</v>
      </c>
      <c r="AF3" t="s">
        <v>463</v>
      </c>
      <c r="AG3" t="s">
        <v>462</v>
      </c>
      <c r="AH3" t="s">
        <v>461</v>
      </c>
      <c r="AI3" t="s">
        <v>460</v>
      </c>
      <c r="AJ3" t="s">
        <v>459</v>
      </c>
      <c r="AK3" t="s">
        <v>458</v>
      </c>
      <c r="AL3" t="s">
        <v>457</v>
      </c>
      <c r="AM3" t="s">
        <v>456</v>
      </c>
      <c r="AN3" t="s">
        <v>455</v>
      </c>
      <c r="AO3" t="s">
        <v>454</v>
      </c>
      <c r="AP3" t="s">
        <v>453</v>
      </c>
      <c r="AQ3" t="s">
        <v>452</v>
      </c>
    </row>
    <row r="4" spans="1:43" x14ac:dyDescent="0.25">
      <c r="A4">
        <v>1</v>
      </c>
      <c r="B4">
        <v>1</v>
      </c>
      <c r="C4">
        <v>1</v>
      </c>
      <c r="D4">
        <v>1</v>
      </c>
      <c r="E4">
        <v>40</v>
      </c>
      <c r="F4">
        <v>87</v>
      </c>
      <c r="G4">
        <v>98</v>
      </c>
      <c r="H4">
        <v>61</v>
      </c>
      <c r="I4">
        <v>3</v>
      </c>
      <c r="J4">
        <v>34</v>
      </c>
      <c r="K4">
        <v>22</v>
      </c>
      <c r="L4">
        <v>11</v>
      </c>
      <c r="M4">
        <v>4</v>
      </c>
      <c r="N4">
        <v>8</v>
      </c>
      <c r="O4">
        <v>20.3</v>
      </c>
      <c r="P4">
        <v>1</v>
      </c>
      <c r="Q4">
        <v>16.905582330000001</v>
      </c>
      <c r="R4">
        <v>0.2</v>
      </c>
      <c r="S4">
        <v>17889</v>
      </c>
      <c r="T4">
        <v>0</v>
      </c>
      <c r="U4">
        <v>11</v>
      </c>
      <c r="V4">
        <v>13</v>
      </c>
      <c r="W4">
        <v>53</v>
      </c>
      <c r="X4">
        <v>10</v>
      </c>
      <c r="Y4">
        <v>263</v>
      </c>
      <c r="Z4">
        <v>13221</v>
      </c>
      <c r="AA4">
        <v>2082</v>
      </c>
      <c r="AB4">
        <v>9</v>
      </c>
      <c r="AC4">
        <v>599</v>
      </c>
      <c r="AD4">
        <v>1715</v>
      </c>
      <c r="AE4">
        <v>197.79981749999999</v>
      </c>
      <c r="AF4">
        <v>222.10093800000001</v>
      </c>
      <c r="AG4">
        <v>0</v>
      </c>
      <c r="AH4">
        <v>0</v>
      </c>
      <c r="AI4">
        <v>0</v>
      </c>
      <c r="AJ4">
        <v>0</v>
      </c>
      <c r="AK4">
        <v>5.5995100000000004</v>
      </c>
      <c r="AL4">
        <v>3</v>
      </c>
      <c r="AM4">
        <v>0</v>
      </c>
      <c r="AN4">
        <v>40</v>
      </c>
      <c r="AO4">
        <v>11</v>
      </c>
      <c r="AP4">
        <v>0</v>
      </c>
      <c r="AQ4">
        <v>0</v>
      </c>
    </row>
    <row r="5" spans="1:43" x14ac:dyDescent="0.25">
      <c r="A5">
        <v>2</v>
      </c>
      <c r="B5">
        <v>1</v>
      </c>
      <c r="C5">
        <v>1</v>
      </c>
      <c r="D5">
        <v>1</v>
      </c>
      <c r="E5">
        <v>129</v>
      </c>
      <c r="F5">
        <v>271</v>
      </c>
      <c r="G5">
        <v>305</v>
      </c>
      <c r="H5">
        <v>184</v>
      </c>
      <c r="I5">
        <v>11</v>
      </c>
      <c r="J5">
        <v>101</v>
      </c>
      <c r="K5">
        <v>68</v>
      </c>
      <c r="L5">
        <v>30</v>
      </c>
      <c r="M5">
        <v>12</v>
      </c>
      <c r="N5">
        <v>20</v>
      </c>
      <c r="O5">
        <v>31.1</v>
      </c>
      <c r="P5">
        <v>1</v>
      </c>
      <c r="Q5">
        <v>28.45714735</v>
      </c>
      <c r="R5">
        <v>0.204697987</v>
      </c>
      <c r="S5">
        <v>26158</v>
      </c>
      <c r="T5">
        <v>0</v>
      </c>
      <c r="U5">
        <v>35</v>
      </c>
      <c r="V5">
        <v>47</v>
      </c>
      <c r="W5">
        <v>175</v>
      </c>
      <c r="X5">
        <v>32</v>
      </c>
      <c r="Y5">
        <v>151</v>
      </c>
      <c r="Z5">
        <v>17213</v>
      </c>
      <c r="AA5">
        <v>3233</v>
      </c>
      <c r="AB5">
        <v>18</v>
      </c>
      <c r="AC5">
        <v>1225</v>
      </c>
      <c r="AD5">
        <v>4318</v>
      </c>
      <c r="AE5">
        <v>206.84209490000001</v>
      </c>
      <c r="AF5">
        <v>222.10093800000001</v>
      </c>
      <c r="AG5">
        <v>0</v>
      </c>
      <c r="AH5">
        <v>0</v>
      </c>
      <c r="AI5">
        <v>255</v>
      </c>
      <c r="AJ5">
        <v>11</v>
      </c>
      <c r="AK5">
        <v>5.5911600000000004</v>
      </c>
      <c r="AL5">
        <v>1</v>
      </c>
      <c r="AM5">
        <v>0</v>
      </c>
      <c r="AN5">
        <v>129</v>
      </c>
      <c r="AO5">
        <v>34</v>
      </c>
      <c r="AP5">
        <v>0</v>
      </c>
      <c r="AQ5">
        <v>0</v>
      </c>
    </row>
    <row r="6" spans="1:43" x14ac:dyDescent="0.25">
      <c r="A6">
        <v>3</v>
      </c>
      <c r="B6">
        <v>1</v>
      </c>
      <c r="C6">
        <v>1</v>
      </c>
      <c r="D6">
        <v>1</v>
      </c>
      <c r="E6">
        <v>350</v>
      </c>
      <c r="F6">
        <v>508</v>
      </c>
      <c r="G6">
        <v>548</v>
      </c>
      <c r="H6">
        <v>220</v>
      </c>
      <c r="I6">
        <v>0</v>
      </c>
      <c r="J6">
        <v>354</v>
      </c>
      <c r="K6">
        <v>150</v>
      </c>
      <c r="L6">
        <v>44</v>
      </c>
      <c r="M6">
        <v>71</v>
      </c>
      <c r="N6">
        <v>76</v>
      </c>
      <c r="O6">
        <v>14.7</v>
      </c>
      <c r="P6">
        <v>1</v>
      </c>
      <c r="Q6">
        <v>3.40884001</v>
      </c>
      <c r="R6">
        <v>9.5914741999999997E-2</v>
      </c>
      <c r="S6">
        <v>2184</v>
      </c>
      <c r="T6">
        <v>8</v>
      </c>
      <c r="U6">
        <v>104</v>
      </c>
      <c r="V6">
        <v>247</v>
      </c>
      <c r="W6">
        <v>138</v>
      </c>
      <c r="X6">
        <v>36</v>
      </c>
      <c r="Y6">
        <v>59</v>
      </c>
      <c r="Z6">
        <v>1237</v>
      </c>
      <c r="AA6">
        <v>526</v>
      </c>
      <c r="AB6">
        <v>1</v>
      </c>
      <c r="AC6">
        <v>15</v>
      </c>
      <c r="AD6">
        <v>346</v>
      </c>
      <c r="AE6">
        <v>0</v>
      </c>
      <c r="AF6">
        <v>203.45124089999999</v>
      </c>
      <c r="AG6">
        <v>0</v>
      </c>
      <c r="AH6">
        <v>0</v>
      </c>
      <c r="AI6">
        <v>481</v>
      </c>
      <c r="AJ6">
        <v>0</v>
      </c>
      <c r="AK6">
        <v>5.6029600000000004</v>
      </c>
      <c r="AL6">
        <v>1</v>
      </c>
      <c r="AM6">
        <v>0</v>
      </c>
      <c r="AN6">
        <v>350</v>
      </c>
      <c r="AO6">
        <v>40</v>
      </c>
      <c r="AP6">
        <v>0</v>
      </c>
      <c r="AQ6">
        <v>0</v>
      </c>
    </row>
    <row r="7" spans="1:43" x14ac:dyDescent="0.25">
      <c r="A7">
        <v>4</v>
      </c>
      <c r="B7">
        <v>1</v>
      </c>
      <c r="C7">
        <v>1</v>
      </c>
      <c r="D7">
        <v>1</v>
      </c>
      <c r="E7">
        <v>179</v>
      </c>
      <c r="F7">
        <v>263</v>
      </c>
      <c r="G7">
        <v>289</v>
      </c>
      <c r="H7">
        <v>140</v>
      </c>
      <c r="I7">
        <v>2</v>
      </c>
      <c r="J7">
        <v>176</v>
      </c>
      <c r="K7">
        <v>62</v>
      </c>
      <c r="L7">
        <v>28</v>
      </c>
      <c r="M7">
        <v>47</v>
      </c>
      <c r="N7">
        <v>39</v>
      </c>
      <c r="O7">
        <v>19.3</v>
      </c>
      <c r="P7">
        <v>1.641485241</v>
      </c>
      <c r="Q7">
        <v>20.9223353</v>
      </c>
      <c r="R7">
        <v>0.176666667</v>
      </c>
      <c r="S7">
        <v>23673</v>
      </c>
      <c r="T7">
        <v>12</v>
      </c>
      <c r="U7">
        <v>10</v>
      </c>
      <c r="V7">
        <v>139</v>
      </c>
      <c r="W7">
        <v>79</v>
      </c>
      <c r="X7">
        <v>43</v>
      </c>
      <c r="Y7">
        <v>596</v>
      </c>
      <c r="Z7">
        <v>14568</v>
      </c>
      <c r="AA7">
        <v>3295</v>
      </c>
      <c r="AB7">
        <v>12</v>
      </c>
      <c r="AC7">
        <v>628</v>
      </c>
      <c r="AD7">
        <v>4574</v>
      </c>
      <c r="AE7">
        <v>186.49697080000001</v>
      </c>
      <c r="AF7">
        <v>222.10093800000001</v>
      </c>
      <c r="AG7">
        <v>0</v>
      </c>
      <c r="AH7">
        <v>6</v>
      </c>
      <c r="AI7">
        <v>0</v>
      </c>
      <c r="AJ7">
        <v>0</v>
      </c>
      <c r="AK7">
        <v>5.5446499999999999</v>
      </c>
      <c r="AL7">
        <v>2</v>
      </c>
      <c r="AM7">
        <v>0</v>
      </c>
      <c r="AN7">
        <v>179</v>
      </c>
      <c r="AO7">
        <v>26</v>
      </c>
      <c r="AP7">
        <v>0</v>
      </c>
      <c r="AQ7">
        <v>0</v>
      </c>
    </row>
    <row r="8" spans="1:43" x14ac:dyDescent="0.25">
      <c r="A8">
        <v>5</v>
      </c>
      <c r="B8">
        <v>1</v>
      </c>
      <c r="C8">
        <v>1</v>
      </c>
      <c r="D8">
        <v>1</v>
      </c>
      <c r="E8">
        <v>505</v>
      </c>
      <c r="F8">
        <v>717</v>
      </c>
      <c r="G8">
        <v>805</v>
      </c>
      <c r="H8">
        <v>475</v>
      </c>
      <c r="I8">
        <v>10</v>
      </c>
      <c r="J8">
        <v>586</v>
      </c>
      <c r="K8">
        <v>191</v>
      </c>
      <c r="L8">
        <v>81</v>
      </c>
      <c r="M8">
        <v>109</v>
      </c>
      <c r="N8">
        <v>118</v>
      </c>
      <c r="O8">
        <v>52.7</v>
      </c>
      <c r="P8">
        <v>1.1611226640000001</v>
      </c>
      <c r="Q8">
        <v>24.941076769999999</v>
      </c>
      <c r="R8">
        <v>0.215</v>
      </c>
      <c r="S8">
        <v>14060</v>
      </c>
      <c r="T8">
        <v>27</v>
      </c>
      <c r="U8">
        <v>19</v>
      </c>
      <c r="V8">
        <v>340</v>
      </c>
      <c r="W8">
        <v>227</v>
      </c>
      <c r="X8">
        <v>149</v>
      </c>
      <c r="Y8">
        <v>2257</v>
      </c>
      <c r="Z8">
        <v>5877</v>
      </c>
      <c r="AA8">
        <v>3591</v>
      </c>
      <c r="AB8">
        <v>7</v>
      </c>
      <c r="AC8">
        <v>716</v>
      </c>
      <c r="AD8">
        <v>1612</v>
      </c>
      <c r="AE8">
        <v>0</v>
      </c>
      <c r="AF8">
        <v>222.10093800000001</v>
      </c>
      <c r="AG8">
        <v>0</v>
      </c>
      <c r="AH8">
        <v>21</v>
      </c>
      <c r="AI8">
        <v>0</v>
      </c>
      <c r="AJ8">
        <v>0</v>
      </c>
      <c r="AK8">
        <v>5.6826100000000004</v>
      </c>
      <c r="AL8">
        <v>1</v>
      </c>
      <c r="AM8">
        <v>0</v>
      </c>
      <c r="AN8">
        <v>505</v>
      </c>
      <c r="AO8">
        <v>88</v>
      </c>
      <c r="AP8">
        <v>0</v>
      </c>
      <c r="AQ8">
        <v>0</v>
      </c>
    </row>
    <row r="9" spans="1:43" x14ac:dyDescent="0.25">
      <c r="A9">
        <v>6</v>
      </c>
      <c r="B9">
        <v>1</v>
      </c>
      <c r="C9">
        <v>1</v>
      </c>
      <c r="D9">
        <v>1</v>
      </c>
      <c r="E9">
        <v>2227</v>
      </c>
      <c r="F9">
        <v>2936</v>
      </c>
      <c r="G9">
        <v>3377</v>
      </c>
      <c r="H9">
        <v>2346</v>
      </c>
      <c r="I9">
        <v>0</v>
      </c>
      <c r="J9">
        <v>2415</v>
      </c>
      <c r="K9">
        <v>690</v>
      </c>
      <c r="L9">
        <v>585</v>
      </c>
      <c r="M9">
        <v>309</v>
      </c>
      <c r="N9">
        <v>659</v>
      </c>
      <c r="O9">
        <v>29</v>
      </c>
      <c r="P9">
        <v>7.1703516929999997</v>
      </c>
      <c r="Q9">
        <v>14.479824280000001</v>
      </c>
      <c r="R9">
        <v>9.2798177999999995E-2</v>
      </c>
      <c r="S9">
        <v>3569</v>
      </c>
      <c r="T9">
        <v>14</v>
      </c>
      <c r="U9">
        <v>441</v>
      </c>
      <c r="V9">
        <v>2007</v>
      </c>
      <c r="W9">
        <v>622</v>
      </c>
      <c r="X9">
        <v>262</v>
      </c>
      <c r="Y9">
        <v>78</v>
      </c>
      <c r="Z9">
        <v>564</v>
      </c>
      <c r="AA9">
        <v>2726</v>
      </c>
      <c r="AB9">
        <v>2</v>
      </c>
      <c r="AC9">
        <v>63</v>
      </c>
      <c r="AD9">
        <v>136</v>
      </c>
      <c r="AE9">
        <v>155.41414230000001</v>
      </c>
      <c r="AF9">
        <v>168.97755839999999</v>
      </c>
      <c r="AG9">
        <v>0</v>
      </c>
      <c r="AH9">
        <v>0</v>
      </c>
      <c r="AI9">
        <v>0</v>
      </c>
      <c r="AJ9">
        <v>0</v>
      </c>
      <c r="AK9">
        <v>5.01837</v>
      </c>
      <c r="AL9">
        <v>1</v>
      </c>
      <c r="AM9">
        <v>0</v>
      </c>
      <c r="AN9">
        <v>2227</v>
      </c>
      <c r="AO9">
        <v>441</v>
      </c>
      <c r="AP9">
        <v>0</v>
      </c>
      <c r="AQ9">
        <v>0</v>
      </c>
    </row>
    <row r="10" spans="1:43" x14ac:dyDescent="0.25">
      <c r="A10">
        <v>7</v>
      </c>
      <c r="B10">
        <v>1</v>
      </c>
      <c r="C10">
        <v>1</v>
      </c>
      <c r="D10">
        <v>1</v>
      </c>
      <c r="E10">
        <v>3313</v>
      </c>
      <c r="F10">
        <v>4274</v>
      </c>
      <c r="G10">
        <v>5348</v>
      </c>
      <c r="H10">
        <v>2287</v>
      </c>
      <c r="I10">
        <v>72</v>
      </c>
      <c r="J10">
        <v>3472</v>
      </c>
      <c r="K10">
        <v>1990</v>
      </c>
      <c r="L10">
        <v>707</v>
      </c>
      <c r="M10">
        <v>429</v>
      </c>
      <c r="N10">
        <v>184</v>
      </c>
      <c r="O10">
        <v>45</v>
      </c>
      <c r="P10">
        <v>13.311100890000001</v>
      </c>
      <c r="Q10">
        <v>24.879441740000001</v>
      </c>
      <c r="R10">
        <v>0.209745293</v>
      </c>
      <c r="S10">
        <v>6310</v>
      </c>
      <c r="T10">
        <v>101</v>
      </c>
      <c r="U10">
        <v>188</v>
      </c>
      <c r="V10">
        <v>2083</v>
      </c>
      <c r="W10">
        <v>1223</v>
      </c>
      <c r="X10">
        <v>678</v>
      </c>
      <c r="Y10">
        <v>386</v>
      </c>
      <c r="Z10">
        <v>1379</v>
      </c>
      <c r="AA10">
        <v>4310</v>
      </c>
      <c r="AB10">
        <v>3</v>
      </c>
      <c r="AC10">
        <v>49</v>
      </c>
      <c r="AD10">
        <v>183</v>
      </c>
      <c r="AE10">
        <v>144.67643799999999</v>
      </c>
      <c r="AF10">
        <v>170.1078431</v>
      </c>
      <c r="AG10">
        <v>0</v>
      </c>
      <c r="AH10">
        <v>0</v>
      </c>
      <c r="AI10">
        <v>0</v>
      </c>
      <c r="AJ10">
        <v>0</v>
      </c>
      <c r="AK10">
        <v>5.2795100000000001</v>
      </c>
      <c r="AL10">
        <v>1</v>
      </c>
      <c r="AM10">
        <v>0</v>
      </c>
      <c r="AN10">
        <v>3313</v>
      </c>
      <c r="AO10">
        <v>1074</v>
      </c>
      <c r="AP10">
        <v>0</v>
      </c>
      <c r="AQ10">
        <v>0</v>
      </c>
    </row>
    <row r="11" spans="1:43" x14ac:dyDescent="0.25">
      <c r="A11">
        <v>8</v>
      </c>
      <c r="B11">
        <v>1</v>
      </c>
      <c r="C11">
        <v>1</v>
      </c>
      <c r="D11">
        <v>1</v>
      </c>
      <c r="E11">
        <v>4636</v>
      </c>
      <c r="F11">
        <v>8050</v>
      </c>
      <c r="G11">
        <v>11238</v>
      </c>
      <c r="H11">
        <v>3398</v>
      </c>
      <c r="I11">
        <v>70</v>
      </c>
      <c r="J11">
        <v>4789</v>
      </c>
      <c r="K11">
        <v>3151</v>
      </c>
      <c r="L11">
        <v>874</v>
      </c>
      <c r="M11">
        <v>578</v>
      </c>
      <c r="N11">
        <v>68</v>
      </c>
      <c r="O11">
        <v>51</v>
      </c>
      <c r="P11">
        <v>9.8044182989999999</v>
      </c>
      <c r="Q11">
        <v>22.375404759999999</v>
      </c>
      <c r="R11">
        <v>0.27838484800000002</v>
      </c>
      <c r="S11">
        <v>4158</v>
      </c>
      <c r="T11">
        <v>415</v>
      </c>
      <c r="U11">
        <v>1152</v>
      </c>
      <c r="V11">
        <v>2917</v>
      </c>
      <c r="W11">
        <v>2519</v>
      </c>
      <c r="X11">
        <v>2117</v>
      </c>
      <c r="Y11">
        <v>48</v>
      </c>
      <c r="Z11">
        <v>684</v>
      </c>
      <c r="AA11">
        <v>2642</v>
      </c>
      <c r="AB11">
        <v>1</v>
      </c>
      <c r="AC11">
        <v>56</v>
      </c>
      <c r="AD11">
        <v>727</v>
      </c>
      <c r="AE11">
        <v>154.84899999999999</v>
      </c>
      <c r="AF11">
        <v>165.02156210000001</v>
      </c>
      <c r="AG11">
        <v>0</v>
      </c>
      <c r="AH11">
        <v>0</v>
      </c>
      <c r="AI11">
        <v>0</v>
      </c>
      <c r="AJ11">
        <v>0</v>
      </c>
      <c r="AK11">
        <v>4.6689999999999996</v>
      </c>
      <c r="AL11">
        <v>2</v>
      </c>
      <c r="AM11">
        <v>0</v>
      </c>
      <c r="AN11">
        <v>4636</v>
      </c>
      <c r="AO11">
        <v>3188</v>
      </c>
      <c r="AP11">
        <v>0</v>
      </c>
      <c r="AQ11">
        <v>0</v>
      </c>
    </row>
    <row r="12" spans="1:43" x14ac:dyDescent="0.25">
      <c r="A12">
        <v>9</v>
      </c>
      <c r="B12">
        <v>1</v>
      </c>
      <c r="C12">
        <v>1</v>
      </c>
      <c r="D12">
        <v>1</v>
      </c>
      <c r="E12">
        <v>6410</v>
      </c>
      <c r="F12">
        <v>9657</v>
      </c>
      <c r="G12">
        <v>11077</v>
      </c>
      <c r="H12">
        <v>5729</v>
      </c>
      <c r="I12">
        <v>77</v>
      </c>
      <c r="J12">
        <v>6387</v>
      </c>
      <c r="K12">
        <v>3273</v>
      </c>
      <c r="L12">
        <v>1487</v>
      </c>
      <c r="M12">
        <v>891</v>
      </c>
      <c r="N12">
        <v>747</v>
      </c>
      <c r="O12">
        <v>112</v>
      </c>
      <c r="P12">
        <v>11.218707350000001</v>
      </c>
      <c r="Q12">
        <v>58.622506829999999</v>
      </c>
      <c r="R12">
        <v>0.155965936</v>
      </c>
      <c r="S12">
        <v>6664</v>
      </c>
      <c r="T12">
        <v>325</v>
      </c>
      <c r="U12">
        <v>747</v>
      </c>
      <c r="V12">
        <v>4622</v>
      </c>
      <c r="W12">
        <v>2975</v>
      </c>
      <c r="X12">
        <v>1190</v>
      </c>
      <c r="Y12">
        <v>153</v>
      </c>
      <c r="Z12">
        <v>864</v>
      </c>
      <c r="AA12">
        <v>3761</v>
      </c>
      <c r="AB12">
        <v>2</v>
      </c>
      <c r="AC12">
        <v>48</v>
      </c>
      <c r="AD12">
        <v>1836</v>
      </c>
      <c r="AE12">
        <v>149.762719</v>
      </c>
      <c r="AF12">
        <v>135.6341606</v>
      </c>
      <c r="AG12">
        <v>0</v>
      </c>
      <c r="AH12">
        <v>0</v>
      </c>
      <c r="AI12">
        <v>1170</v>
      </c>
      <c r="AJ12">
        <v>65</v>
      </c>
      <c r="AK12">
        <v>4.8251600000000003</v>
      </c>
      <c r="AL12">
        <v>2</v>
      </c>
      <c r="AM12">
        <v>0</v>
      </c>
      <c r="AN12">
        <v>6410</v>
      </c>
      <c r="AO12">
        <v>1420</v>
      </c>
      <c r="AP12">
        <v>0</v>
      </c>
      <c r="AQ12">
        <v>0</v>
      </c>
    </row>
    <row r="13" spans="1:43" x14ac:dyDescent="0.25">
      <c r="A13">
        <v>10</v>
      </c>
      <c r="B13">
        <v>1</v>
      </c>
      <c r="C13">
        <v>1</v>
      </c>
      <c r="D13">
        <v>1</v>
      </c>
      <c r="E13">
        <v>3955</v>
      </c>
      <c r="F13">
        <v>6709</v>
      </c>
      <c r="G13">
        <v>7976</v>
      </c>
      <c r="H13">
        <v>3825</v>
      </c>
      <c r="I13">
        <v>185</v>
      </c>
      <c r="J13">
        <v>3953</v>
      </c>
      <c r="K13">
        <v>1171</v>
      </c>
      <c r="L13">
        <v>834</v>
      </c>
      <c r="M13">
        <v>796</v>
      </c>
      <c r="N13">
        <v>1160</v>
      </c>
      <c r="O13">
        <v>73.5</v>
      </c>
      <c r="P13">
        <v>11.19556869</v>
      </c>
      <c r="Q13">
        <v>40.041537470000002</v>
      </c>
      <c r="R13">
        <v>0.18190715900000001</v>
      </c>
      <c r="S13">
        <v>25534</v>
      </c>
      <c r="T13">
        <v>396</v>
      </c>
      <c r="U13">
        <v>420</v>
      </c>
      <c r="V13">
        <v>3656</v>
      </c>
      <c r="W13">
        <v>1450</v>
      </c>
      <c r="X13">
        <v>841</v>
      </c>
      <c r="Y13">
        <v>183</v>
      </c>
      <c r="Z13">
        <v>4396</v>
      </c>
      <c r="AA13">
        <v>10467</v>
      </c>
      <c r="AB13">
        <v>16</v>
      </c>
      <c r="AC13">
        <v>795</v>
      </c>
      <c r="AD13">
        <v>9677</v>
      </c>
      <c r="AE13">
        <v>132.8084489</v>
      </c>
      <c r="AF13">
        <v>139.59015690000001</v>
      </c>
      <c r="AG13">
        <v>0</v>
      </c>
      <c r="AH13">
        <v>0</v>
      </c>
      <c r="AI13">
        <v>1891</v>
      </c>
      <c r="AJ13">
        <v>511</v>
      </c>
      <c r="AK13">
        <v>4.3225199999999999</v>
      </c>
      <c r="AL13">
        <v>3</v>
      </c>
      <c r="AM13">
        <v>0</v>
      </c>
      <c r="AN13">
        <v>3955</v>
      </c>
      <c r="AO13">
        <v>1267</v>
      </c>
      <c r="AP13">
        <v>0</v>
      </c>
      <c r="AQ13">
        <v>0</v>
      </c>
    </row>
    <row r="14" spans="1:43" x14ac:dyDescent="0.25">
      <c r="A14">
        <v>11</v>
      </c>
      <c r="B14">
        <v>1</v>
      </c>
      <c r="C14">
        <v>1</v>
      </c>
      <c r="D14">
        <v>1</v>
      </c>
      <c r="E14">
        <v>2288</v>
      </c>
      <c r="F14">
        <v>3414</v>
      </c>
      <c r="G14">
        <v>4190</v>
      </c>
      <c r="H14">
        <v>2571</v>
      </c>
      <c r="I14">
        <v>59</v>
      </c>
      <c r="J14">
        <v>2408</v>
      </c>
      <c r="K14">
        <v>1196</v>
      </c>
      <c r="L14">
        <v>350</v>
      </c>
      <c r="M14">
        <v>401</v>
      </c>
      <c r="N14">
        <v>330</v>
      </c>
      <c r="O14">
        <v>81</v>
      </c>
      <c r="P14">
        <v>13.256227770000001</v>
      </c>
      <c r="Q14">
        <v>47.435404169999998</v>
      </c>
      <c r="R14">
        <v>0.163173653</v>
      </c>
      <c r="S14">
        <v>11513</v>
      </c>
      <c r="T14">
        <v>74</v>
      </c>
      <c r="U14">
        <v>237</v>
      </c>
      <c r="V14">
        <v>2049</v>
      </c>
      <c r="W14">
        <v>1053</v>
      </c>
      <c r="X14">
        <v>382</v>
      </c>
      <c r="Y14">
        <v>1877</v>
      </c>
      <c r="Z14">
        <v>3418</v>
      </c>
      <c r="AA14">
        <v>4224</v>
      </c>
      <c r="AB14">
        <v>4</v>
      </c>
      <c r="AC14">
        <v>333</v>
      </c>
      <c r="AD14">
        <v>1657</v>
      </c>
      <c r="AE14">
        <v>140.72044159999999</v>
      </c>
      <c r="AF14">
        <v>169.54270070000001</v>
      </c>
      <c r="AG14">
        <v>0</v>
      </c>
      <c r="AH14">
        <v>65</v>
      </c>
      <c r="AI14">
        <v>690</v>
      </c>
      <c r="AJ14">
        <v>62</v>
      </c>
      <c r="AK14">
        <v>4.8196500000000002</v>
      </c>
      <c r="AL14">
        <v>3</v>
      </c>
      <c r="AM14">
        <v>0</v>
      </c>
      <c r="AN14">
        <v>2288</v>
      </c>
      <c r="AO14">
        <v>776</v>
      </c>
      <c r="AP14">
        <v>0</v>
      </c>
      <c r="AQ14">
        <v>0</v>
      </c>
    </row>
    <row r="15" spans="1:43" x14ac:dyDescent="0.25">
      <c r="A15">
        <v>12</v>
      </c>
      <c r="B15">
        <v>1</v>
      </c>
      <c r="C15">
        <v>1</v>
      </c>
      <c r="D15">
        <v>1</v>
      </c>
      <c r="E15">
        <v>568</v>
      </c>
      <c r="F15">
        <v>944</v>
      </c>
      <c r="G15">
        <v>969</v>
      </c>
      <c r="H15">
        <v>649</v>
      </c>
      <c r="I15">
        <v>81</v>
      </c>
      <c r="J15">
        <v>885</v>
      </c>
      <c r="K15">
        <v>72</v>
      </c>
      <c r="L15">
        <v>17</v>
      </c>
      <c r="M15">
        <v>70</v>
      </c>
      <c r="N15">
        <v>409</v>
      </c>
      <c r="O15">
        <v>53.3</v>
      </c>
      <c r="P15">
        <v>1</v>
      </c>
      <c r="Q15">
        <v>22.534954809999999</v>
      </c>
      <c r="R15">
        <v>0.20161290300000001</v>
      </c>
      <c r="S15">
        <v>17071</v>
      </c>
      <c r="T15">
        <v>32</v>
      </c>
      <c r="U15">
        <v>0</v>
      </c>
      <c r="V15">
        <v>505</v>
      </c>
      <c r="W15">
        <v>207</v>
      </c>
      <c r="X15">
        <v>185</v>
      </c>
      <c r="Y15">
        <v>1184</v>
      </c>
      <c r="Z15">
        <v>8377</v>
      </c>
      <c r="AA15">
        <v>5297</v>
      </c>
      <c r="AB15">
        <v>5</v>
      </c>
      <c r="AC15">
        <v>683</v>
      </c>
      <c r="AD15">
        <v>1525</v>
      </c>
      <c r="AE15">
        <v>127.1570256</v>
      </c>
      <c r="AF15">
        <v>222.10093800000001</v>
      </c>
      <c r="AG15">
        <v>0</v>
      </c>
      <c r="AH15">
        <v>0</v>
      </c>
      <c r="AI15">
        <v>4191</v>
      </c>
      <c r="AJ15">
        <v>4390</v>
      </c>
      <c r="AK15">
        <v>5.2445300000000001</v>
      </c>
      <c r="AL15">
        <v>3</v>
      </c>
      <c r="AM15">
        <v>0</v>
      </c>
      <c r="AN15">
        <v>568</v>
      </c>
      <c r="AO15">
        <v>25</v>
      </c>
      <c r="AP15">
        <v>0</v>
      </c>
      <c r="AQ15">
        <v>0</v>
      </c>
    </row>
    <row r="16" spans="1:43" x14ac:dyDescent="0.25">
      <c r="A16">
        <v>13</v>
      </c>
      <c r="B16">
        <v>1</v>
      </c>
      <c r="C16">
        <v>1</v>
      </c>
      <c r="D16">
        <v>1</v>
      </c>
      <c r="E16">
        <v>68</v>
      </c>
      <c r="F16">
        <v>78</v>
      </c>
      <c r="G16">
        <v>80</v>
      </c>
      <c r="H16">
        <v>51</v>
      </c>
      <c r="I16">
        <v>31</v>
      </c>
      <c r="J16">
        <v>53</v>
      </c>
      <c r="K16">
        <v>25</v>
      </c>
      <c r="L16">
        <v>1</v>
      </c>
      <c r="M16">
        <v>2</v>
      </c>
      <c r="N16">
        <v>40</v>
      </c>
      <c r="O16">
        <v>26.5</v>
      </c>
      <c r="P16">
        <v>1</v>
      </c>
      <c r="Q16">
        <v>21.7352496</v>
      </c>
      <c r="R16">
        <v>0.15</v>
      </c>
      <c r="S16">
        <v>18059</v>
      </c>
      <c r="T16">
        <v>4</v>
      </c>
      <c r="U16">
        <v>0</v>
      </c>
      <c r="V16">
        <v>8</v>
      </c>
      <c r="W16">
        <v>55</v>
      </c>
      <c r="X16">
        <v>12</v>
      </c>
      <c r="Y16">
        <v>175</v>
      </c>
      <c r="Z16">
        <v>13992</v>
      </c>
      <c r="AA16">
        <v>1475</v>
      </c>
      <c r="AB16">
        <v>5</v>
      </c>
      <c r="AC16">
        <v>394</v>
      </c>
      <c r="AD16">
        <v>2018</v>
      </c>
      <c r="AE16">
        <v>238.4900657</v>
      </c>
      <c r="AF16">
        <v>222.10093800000001</v>
      </c>
      <c r="AG16">
        <v>0</v>
      </c>
      <c r="AH16">
        <v>0</v>
      </c>
      <c r="AI16">
        <v>2597</v>
      </c>
      <c r="AJ16">
        <v>3269</v>
      </c>
      <c r="AK16">
        <v>5.4930300000000001</v>
      </c>
      <c r="AL16">
        <v>3</v>
      </c>
      <c r="AM16">
        <v>0</v>
      </c>
      <c r="AN16">
        <v>68</v>
      </c>
      <c r="AO16">
        <v>2</v>
      </c>
      <c r="AP16">
        <v>0</v>
      </c>
      <c r="AQ16">
        <v>0</v>
      </c>
    </row>
    <row r="17" spans="1:43" x14ac:dyDescent="0.25">
      <c r="A17">
        <v>14</v>
      </c>
      <c r="B17">
        <v>1</v>
      </c>
      <c r="C17">
        <v>1</v>
      </c>
      <c r="D17">
        <v>1</v>
      </c>
      <c r="E17">
        <v>520</v>
      </c>
      <c r="F17">
        <v>637</v>
      </c>
      <c r="G17">
        <v>651</v>
      </c>
      <c r="H17">
        <v>383</v>
      </c>
      <c r="I17">
        <v>208</v>
      </c>
      <c r="J17">
        <v>406</v>
      </c>
      <c r="K17">
        <v>188</v>
      </c>
      <c r="L17">
        <v>15</v>
      </c>
      <c r="M17">
        <v>19</v>
      </c>
      <c r="N17">
        <v>301</v>
      </c>
      <c r="O17">
        <v>30.6</v>
      </c>
      <c r="P17">
        <v>2.453213597</v>
      </c>
      <c r="Q17">
        <v>26</v>
      </c>
      <c r="R17">
        <v>0.152979066</v>
      </c>
      <c r="S17">
        <v>26315</v>
      </c>
      <c r="T17">
        <v>28</v>
      </c>
      <c r="U17">
        <v>2</v>
      </c>
      <c r="V17">
        <v>84</v>
      </c>
      <c r="W17">
        <v>388</v>
      </c>
      <c r="X17">
        <v>87</v>
      </c>
      <c r="Y17">
        <v>77</v>
      </c>
      <c r="Z17">
        <v>17524</v>
      </c>
      <c r="AA17">
        <v>763</v>
      </c>
      <c r="AB17">
        <v>6</v>
      </c>
      <c r="AC17">
        <v>4967</v>
      </c>
      <c r="AD17">
        <v>2978</v>
      </c>
      <c r="AE17">
        <v>213.62380289999999</v>
      </c>
      <c r="AF17">
        <v>222.10093800000001</v>
      </c>
      <c r="AG17">
        <v>0</v>
      </c>
      <c r="AH17">
        <v>0</v>
      </c>
      <c r="AI17">
        <v>0</v>
      </c>
      <c r="AJ17">
        <v>0</v>
      </c>
      <c r="AK17">
        <v>5.5959000000000003</v>
      </c>
      <c r="AL17">
        <v>3</v>
      </c>
      <c r="AM17">
        <v>0</v>
      </c>
      <c r="AN17">
        <v>520</v>
      </c>
      <c r="AO17">
        <v>14</v>
      </c>
      <c r="AP17">
        <v>0</v>
      </c>
      <c r="AQ17">
        <v>0</v>
      </c>
    </row>
    <row r="18" spans="1:43" x14ac:dyDescent="0.25">
      <c r="A18">
        <v>15</v>
      </c>
      <c r="B18">
        <v>1</v>
      </c>
      <c r="C18">
        <v>1</v>
      </c>
      <c r="D18">
        <v>1</v>
      </c>
      <c r="E18">
        <v>240</v>
      </c>
      <c r="F18">
        <v>488</v>
      </c>
      <c r="G18">
        <v>521</v>
      </c>
      <c r="H18">
        <v>385</v>
      </c>
      <c r="I18">
        <v>13</v>
      </c>
      <c r="J18">
        <v>215</v>
      </c>
      <c r="K18">
        <v>32</v>
      </c>
      <c r="L18">
        <v>72</v>
      </c>
      <c r="M18">
        <v>68</v>
      </c>
      <c r="N18">
        <v>71</v>
      </c>
      <c r="O18">
        <v>28.5</v>
      </c>
      <c r="P18">
        <v>3</v>
      </c>
      <c r="Q18">
        <v>18.90663833</v>
      </c>
      <c r="R18">
        <v>0.108499096</v>
      </c>
      <c r="S18">
        <v>14733</v>
      </c>
      <c r="T18">
        <v>38</v>
      </c>
      <c r="U18">
        <v>29</v>
      </c>
      <c r="V18">
        <v>321</v>
      </c>
      <c r="W18">
        <v>114</v>
      </c>
      <c r="X18">
        <v>26</v>
      </c>
      <c r="Y18">
        <v>334</v>
      </c>
      <c r="Z18">
        <v>7926</v>
      </c>
      <c r="AA18">
        <v>1178</v>
      </c>
      <c r="AB18">
        <v>15</v>
      </c>
      <c r="AC18">
        <v>2833</v>
      </c>
      <c r="AD18">
        <v>2447</v>
      </c>
      <c r="AE18">
        <v>243.0112044</v>
      </c>
      <c r="AF18">
        <v>214.1889453</v>
      </c>
      <c r="AG18">
        <v>0</v>
      </c>
      <c r="AH18">
        <v>0</v>
      </c>
      <c r="AI18">
        <v>0</v>
      </c>
      <c r="AJ18">
        <v>0</v>
      </c>
      <c r="AK18">
        <v>5.4838300000000002</v>
      </c>
      <c r="AL18">
        <v>3</v>
      </c>
      <c r="AM18">
        <v>0</v>
      </c>
      <c r="AN18">
        <v>240</v>
      </c>
      <c r="AO18">
        <v>33</v>
      </c>
      <c r="AP18">
        <v>0</v>
      </c>
      <c r="AQ18">
        <v>0</v>
      </c>
    </row>
    <row r="19" spans="1:43" x14ac:dyDescent="0.25">
      <c r="A19">
        <v>16</v>
      </c>
      <c r="B19">
        <v>1</v>
      </c>
      <c r="C19">
        <v>1</v>
      </c>
      <c r="D19">
        <v>1</v>
      </c>
      <c r="E19">
        <v>5085</v>
      </c>
      <c r="F19">
        <v>8506</v>
      </c>
      <c r="G19">
        <v>8674</v>
      </c>
      <c r="H19">
        <v>7143</v>
      </c>
      <c r="I19">
        <v>205</v>
      </c>
      <c r="J19">
        <v>5182</v>
      </c>
      <c r="K19">
        <v>519</v>
      </c>
      <c r="L19">
        <v>357</v>
      </c>
      <c r="M19">
        <v>813</v>
      </c>
      <c r="N19">
        <v>3376</v>
      </c>
      <c r="O19">
        <v>123.4</v>
      </c>
      <c r="P19">
        <v>17.75607304</v>
      </c>
      <c r="Q19">
        <v>88.752832409999996</v>
      </c>
      <c r="R19">
        <v>9.0837637999999998E-2</v>
      </c>
      <c r="S19">
        <v>32645</v>
      </c>
      <c r="T19">
        <v>123</v>
      </c>
      <c r="U19">
        <v>179</v>
      </c>
      <c r="V19">
        <v>6206</v>
      </c>
      <c r="W19">
        <v>1325</v>
      </c>
      <c r="X19">
        <v>581</v>
      </c>
      <c r="Y19">
        <v>523</v>
      </c>
      <c r="Z19">
        <v>17243</v>
      </c>
      <c r="AA19">
        <v>1873</v>
      </c>
      <c r="AB19">
        <v>6</v>
      </c>
      <c r="AC19">
        <v>1112</v>
      </c>
      <c r="AD19">
        <v>11888</v>
      </c>
      <c r="AE19">
        <v>171.23812770000001</v>
      </c>
      <c r="AF19">
        <v>163.32613499999999</v>
      </c>
      <c r="AG19">
        <v>0</v>
      </c>
      <c r="AH19">
        <v>0</v>
      </c>
      <c r="AI19">
        <v>0</v>
      </c>
      <c r="AJ19">
        <v>0</v>
      </c>
      <c r="AK19">
        <v>4.7904499999999999</v>
      </c>
      <c r="AL19">
        <v>2</v>
      </c>
      <c r="AM19">
        <v>0</v>
      </c>
      <c r="AN19">
        <v>5085</v>
      </c>
      <c r="AO19">
        <v>168</v>
      </c>
      <c r="AP19">
        <v>0</v>
      </c>
      <c r="AQ19">
        <v>0</v>
      </c>
    </row>
    <row r="20" spans="1:43" x14ac:dyDescent="0.25">
      <c r="A20">
        <v>17</v>
      </c>
      <c r="B20">
        <v>1</v>
      </c>
      <c r="C20">
        <v>1</v>
      </c>
      <c r="D20">
        <v>1</v>
      </c>
      <c r="E20">
        <v>3926</v>
      </c>
      <c r="F20">
        <v>6103</v>
      </c>
      <c r="G20">
        <v>6418</v>
      </c>
      <c r="H20">
        <v>4300</v>
      </c>
      <c r="I20">
        <v>292</v>
      </c>
      <c r="J20">
        <v>4369</v>
      </c>
      <c r="K20">
        <v>685</v>
      </c>
      <c r="L20">
        <v>474</v>
      </c>
      <c r="M20">
        <v>762</v>
      </c>
      <c r="N20">
        <v>2012</v>
      </c>
      <c r="O20">
        <v>152.30000000000001</v>
      </c>
      <c r="P20">
        <v>24.33572792</v>
      </c>
      <c r="Q20">
        <v>68.700604220000002</v>
      </c>
      <c r="R20">
        <v>0.16993946600000001</v>
      </c>
      <c r="S20">
        <v>14245</v>
      </c>
      <c r="T20">
        <v>217</v>
      </c>
      <c r="U20">
        <v>106</v>
      </c>
      <c r="V20">
        <v>3792</v>
      </c>
      <c r="W20">
        <v>1496</v>
      </c>
      <c r="X20">
        <v>785</v>
      </c>
      <c r="Y20">
        <v>221</v>
      </c>
      <c r="Z20">
        <v>5156</v>
      </c>
      <c r="AA20">
        <v>1435</v>
      </c>
      <c r="AB20">
        <v>3</v>
      </c>
      <c r="AC20">
        <v>2066</v>
      </c>
      <c r="AD20">
        <v>5364</v>
      </c>
      <c r="AE20">
        <v>168.97755839999999</v>
      </c>
      <c r="AF20">
        <v>129.9827372</v>
      </c>
      <c r="AG20">
        <v>1</v>
      </c>
      <c r="AH20">
        <v>0</v>
      </c>
      <c r="AI20">
        <v>0</v>
      </c>
      <c r="AJ20">
        <v>0</v>
      </c>
      <c r="AK20">
        <v>4.2782200000000001</v>
      </c>
      <c r="AL20">
        <v>1</v>
      </c>
      <c r="AM20">
        <v>0</v>
      </c>
      <c r="AN20">
        <v>3926</v>
      </c>
      <c r="AO20">
        <v>315</v>
      </c>
      <c r="AP20">
        <v>0</v>
      </c>
      <c r="AQ20">
        <v>0</v>
      </c>
    </row>
    <row r="21" spans="1:43" x14ac:dyDescent="0.25">
      <c r="A21">
        <v>18</v>
      </c>
      <c r="B21">
        <v>1</v>
      </c>
      <c r="C21">
        <v>1</v>
      </c>
      <c r="D21">
        <v>1</v>
      </c>
      <c r="E21">
        <v>906</v>
      </c>
      <c r="F21">
        <v>1522</v>
      </c>
      <c r="G21">
        <v>1733</v>
      </c>
      <c r="H21">
        <v>886</v>
      </c>
      <c r="I21">
        <v>20</v>
      </c>
      <c r="J21">
        <v>1049</v>
      </c>
      <c r="K21">
        <v>81</v>
      </c>
      <c r="L21">
        <v>224</v>
      </c>
      <c r="M21">
        <v>209</v>
      </c>
      <c r="N21">
        <v>386</v>
      </c>
      <c r="O21">
        <v>107.3</v>
      </c>
      <c r="P21">
        <v>2.68966561</v>
      </c>
      <c r="Q21">
        <v>64.419103609999993</v>
      </c>
      <c r="R21">
        <v>9.9255582999999994E-2</v>
      </c>
      <c r="S21">
        <v>8729</v>
      </c>
      <c r="T21">
        <v>79</v>
      </c>
      <c r="U21">
        <v>72</v>
      </c>
      <c r="V21">
        <v>1164</v>
      </c>
      <c r="W21">
        <v>430</v>
      </c>
      <c r="X21">
        <v>162</v>
      </c>
      <c r="Y21">
        <v>265</v>
      </c>
      <c r="Z21">
        <v>3125</v>
      </c>
      <c r="AA21">
        <v>2220</v>
      </c>
      <c r="AB21">
        <v>3</v>
      </c>
      <c r="AC21">
        <v>591</v>
      </c>
      <c r="AD21">
        <v>2525</v>
      </c>
      <c r="AE21">
        <v>144.11129560000001</v>
      </c>
      <c r="AF21">
        <v>114.7238942</v>
      </c>
      <c r="AG21">
        <v>1</v>
      </c>
      <c r="AH21">
        <v>3648</v>
      </c>
      <c r="AI21">
        <v>0</v>
      </c>
      <c r="AJ21">
        <v>0</v>
      </c>
      <c r="AK21">
        <v>4.1921799999999996</v>
      </c>
      <c r="AL21">
        <v>3</v>
      </c>
      <c r="AM21">
        <v>0</v>
      </c>
      <c r="AN21">
        <v>906</v>
      </c>
      <c r="AO21">
        <v>211</v>
      </c>
      <c r="AP21">
        <v>0</v>
      </c>
      <c r="AQ21">
        <v>0</v>
      </c>
    </row>
    <row r="22" spans="1:43" x14ac:dyDescent="0.25">
      <c r="A22">
        <v>19</v>
      </c>
      <c r="B22">
        <v>1</v>
      </c>
      <c r="C22">
        <v>1</v>
      </c>
      <c r="D22">
        <v>1</v>
      </c>
      <c r="E22">
        <v>756</v>
      </c>
      <c r="F22">
        <v>1373</v>
      </c>
      <c r="G22">
        <v>1675</v>
      </c>
      <c r="H22">
        <v>1259</v>
      </c>
      <c r="I22">
        <v>24</v>
      </c>
      <c r="J22">
        <v>820</v>
      </c>
      <c r="K22">
        <v>199</v>
      </c>
      <c r="L22">
        <v>66</v>
      </c>
      <c r="M22">
        <v>73</v>
      </c>
      <c r="N22">
        <v>418</v>
      </c>
      <c r="O22">
        <v>125.4</v>
      </c>
      <c r="P22">
        <v>13.47733642</v>
      </c>
      <c r="Q22">
        <v>82.115538689999994</v>
      </c>
      <c r="R22">
        <v>0.11540648100000001</v>
      </c>
      <c r="S22">
        <v>11773</v>
      </c>
      <c r="T22">
        <v>80</v>
      </c>
      <c r="U22">
        <v>37</v>
      </c>
      <c r="V22">
        <v>1011</v>
      </c>
      <c r="W22">
        <v>324</v>
      </c>
      <c r="X22">
        <v>190</v>
      </c>
      <c r="Y22">
        <v>915</v>
      </c>
      <c r="Z22">
        <v>6965</v>
      </c>
      <c r="AA22">
        <v>1124</v>
      </c>
      <c r="AB22">
        <v>3</v>
      </c>
      <c r="AC22">
        <v>377</v>
      </c>
      <c r="AD22">
        <v>2389</v>
      </c>
      <c r="AE22">
        <v>102.8559051</v>
      </c>
      <c r="AF22">
        <v>135.06901830000001</v>
      </c>
      <c r="AG22">
        <v>1</v>
      </c>
      <c r="AH22">
        <v>0</v>
      </c>
      <c r="AI22">
        <v>0</v>
      </c>
      <c r="AJ22">
        <v>0</v>
      </c>
      <c r="AK22">
        <v>4.1519500000000003</v>
      </c>
      <c r="AL22">
        <v>3</v>
      </c>
      <c r="AM22">
        <v>0</v>
      </c>
      <c r="AN22">
        <v>756</v>
      </c>
      <c r="AO22">
        <v>302</v>
      </c>
      <c r="AP22">
        <v>0</v>
      </c>
      <c r="AQ22">
        <v>0</v>
      </c>
    </row>
    <row r="23" spans="1:43" x14ac:dyDescent="0.25">
      <c r="A23">
        <v>20</v>
      </c>
      <c r="B23">
        <v>1</v>
      </c>
      <c r="C23">
        <v>1</v>
      </c>
      <c r="D23">
        <v>1</v>
      </c>
      <c r="E23">
        <v>2278</v>
      </c>
      <c r="F23">
        <v>4055</v>
      </c>
      <c r="G23">
        <v>4538</v>
      </c>
      <c r="H23">
        <v>2578</v>
      </c>
      <c r="I23">
        <v>266</v>
      </c>
      <c r="J23">
        <v>2205</v>
      </c>
      <c r="K23">
        <v>713</v>
      </c>
      <c r="L23">
        <v>283</v>
      </c>
      <c r="M23">
        <v>429</v>
      </c>
      <c r="N23">
        <v>845</v>
      </c>
      <c r="O23">
        <v>98.3</v>
      </c>
      <c r="P23">
        <v>17.890335709999999</v>
      </c>
      <c r="Q23">
        <v>44.830337120000003</v>
      </c>
      <c r="R23">
        <v>9.8696042999999997E-2</v>
      </c>
      <c r="S23">
        <v>7621</v>
      </c>
      <c r="T23">
        <v>121</v>
      </c>
      <c r="U23">
        <v>359</v>
      </c>
      <c r="V23">
        <v>2291</v>
      </c>
      <c r="W23">
        <v>1173</v>
      </c>
      <c r="X23">
        <v>251</v>
      </c>
      <c r="Y23">
        <v>352</v>
      </c>
      <c r="Z23">
        <v>2898</v>
      </c>
      <c r="AA23">
        <v>1886</v>
      </c>
      <c r="AB23">
        <v>5</v>
      </c>
      <c r="AC23">
        <v>766</v>
      </c>
      <c r="AD23">
        <v>1714</v>
      </c>
      <c r="AE23">
        <v>127.1570256</v>
      </c>
      <c r="AF23">
        <v>139.59015690000001</v>
      </c>
      <c r="AG23">
        <v>1</v>
      </c>
      <c r="AH23">
        <v>0</v>
      </c>
      <c r="AI23">
        <v>260</v>
      </c>
      <c r="AJ23">
        <v>75</v>
      </c>
      <c r="AK23">
        <v>4.3716699999999999</v>
      </c>
      <c r="AL23">
        <v>3</v>
      </c>
      <c r="AM23">
        <v>0</v>
      </c>
      <c r="AN23">
        <v>2278</v>
      </c>
      <c r="AO23">
        <v>483</v>
      </c>
      <c r="AP23">
        <v>0</v>
      </c>
      <c r="AQ23">
        <v>0</v>
      </c>
    </row>
    <row r="24" spans="1:43" x14ac:dyDescent="0.25">
      <c r="A24">
        <v>21</v>
      </c>
      <c r="B24">
        <v>1</v>
      </c>
      <c r="C24">
        <v>1</v>
      </c>
      <c r="D24">
        <v>1</v>
      </c>
      <c r="E24">
        <v>3367</v>
      </c>
      <c r="F24">
        <v>4938</v>
      </c>
      <c r="G24">
        <v>5185</v>
      </c>
      <c r="H24">
        <v>2485</v>
      </c>
      <c r="I24">
        <v>182</v>
      </c>
      <c r="J24">
        <v>3251</v>
      </c>
      <c r="K24">
        <v>1871</v>
      </c>
      <c r="L24">
        <v>235</v>
      </c>
      <c r="M24">
        <v>509</v>
      </c>
      <c r="N24">
        <v>730</v>
      </c>
      <c r="O24">
        <v>78.900000000000006</v>
      </c>
      <c r="P24">
        <v>17.38449859</v>
      </c>
      <c r="Q24">
        <v>55.293610450000003</v>
      </c>
      <c r="R24">
        <v>0.42595835799999998</v>
      </c>
      <c r="S24">
        <v>11018</v>
      </c>
      <c r="T24">
        <v>48</v>
      </c>
      <c r="U24">
        <v>155</v>
      </c>
      <c r="V24">
        <v>1772</v>
      </c>
      <c r="W24">
        <v>883</v>
      </c>
      <c r="X24">
        <v>1978</v>
      </c>
      <c r="Y24">
        <v>278</v>
      </c>
      <c r="Z24">
        <v>4482</v>
      </c>
      <c r="AA24">
        <v>2637</v>
      </c>
      <c r="AB24">
        <v>25</v>
      </c>
      <c r="AC24">
        <v>1575</v>
      </c>
      <c r="AD24">
        <v>2021</v>
      </c>
      <c r="AE24">
        <v>121.5056022</v>
      </c>
      <c r="AF24">
        <v>152.02328829999999</v>
      </c>
      <c r="AG24">
        <v>1</v>
      </c>
      <c r="AH24">
        <v>0</v>
      </c>
      <c r="AI24">
        <v>0</v>
      </c>
      <c r="AJ24">
        <v>0</v>
      </c>
      <c r="AK24">
        <v>3.9491800000000001</v>
      </c>
      <c r="AL24">
        <v>3</v>
      </c>
      <c r="AM24">
        <v>0</v>
      </c>
      <c r="AN24">
        <v>3367</v>
      </c>
      <c r="AO24">
        <v>247</v>
      </c>
      <c r="AP24">
        <v>0</v>
      </c>
      <c r="AQ24">
        <v>0</v>
      </c>
    </row>
    <row r="25" spans="1:43" x14ac:dyDescent="0.25">
      <c r="A25">
        <v>22</v>
      </c>
      <c r="B25">
        <v>1</v>
      </c>
      <c r="C25">
        <v>1</v>
      </c>
      <c r="D25">
        <v>1</v>
      </c>
      <c r="E25">
        <v>1170</v>
      </c>
      <c r="F25">
        <v>1846</v>
      </c>
      <c r="G25">
        <v>1883</v>
      </c>
      <c r="H25">
        <v>990</v>
      </c>
      <c r="I25">
        <v>33</v>
      </c>
      <c r="J25">
        <v>1114</v>
      </c>
      <c r="K25">
        <v>102</v>
      </c>
      <c r="L25">
        <v>159</v>
      </c>
      <c r="M25">
        <v>240</v>
      </c>
      <c r="N25">
        <v>658</v>
      </c>
      <c r="O25">
        <v>87.7</v>
      </c>
      <c r="P25">
        <v>9</v>
      </c>
      <c r="Q25">
        <v>56.640763810000003</v>
      </c>
      <c r="R25">
        <v>0.222639485</v>
      </c>
      <c r="S25">
        <v>14572</v>
      </c>
      <c r="T25">
        <v>126</v>
      </c>
      <c r="U25">
        <v>72</v>
      </c>
      <c r="V25">
        <v>919</v>
      </c>
      <c r="W25">
        <v>264</v>
      </c>
      <c r="X25">
        <v>386</v>
      </c>
      <c r="Y25">
        <v>300</v>
      </c>
      <c r="Z25">
        <v>9751</v>
      </c>
      <c r="AA25">
        <v>2460</v>
      </c>
      <c r="AB25">
        <v>18</v>
      </c>
      <c r="AC25">
        <v>276</v>
      </c>
      <c r="AD25">
        <v>1767</v>
      </c>
      <c r="AE25">
        <v>127.7221679</v>
      </c>
      <c r="AF25">
        <v>198.93010219999999</v>
      </c>
      <c r="AG25">
        <v>0</v>
      </c>
      <c r="AH25">
        <v>0</v>
      </c>
      <c r="AI25">
        <v>0</v>
      </c>
      <c r="AJ25">
        <v>0</v>
      </c>
      <c r="AK25">
        <v>4.81637</v>
      </c>
      <c r="AL25">
        <v>3</v>
      </c>
      <c r="AM25">
        <v>0</v>
      </c>
      <c r="AN25">
        <v>1170</v>
      </c>
      <c r="AO25">
        <v>37</v>
      </c>
      <c r="AP25">
        <v>0</v>
      </c>
      <c r="AQ25">
        <v>0</v>
      </c>
    </row>
    <row r="26" spans="1:43" x14ac:dyDescent="0.25">
      <c r="A26">
        <v>23</v>
      </c>
      <c r="B26">
        <v>1</v>
      </c>
      <c r="C26">
        <v>1</v>
      </c>
      <c r="D26">
        <v>1</v>
      </c>
      <c r="E26">
        <v>679</v>
      </c>
      <c r="F26">
        <v>1195</v>
      </c>
      <c r="G26">
        <v>1220</v>
      </c>
      <c r="H26">
        <v>635</v>
      </c>
      <c r="I26">
        <v>11</v>
      </c>
      <c r="J26">
        <v>725</v>
      </c>
      <c r="K26">
        <v>198</v>
      </c>
      <c r="L26">
        <v>99</v>
      </c>
      <c r="M26">
        <v>91</v>
      </c>
      <c r="N26">
        <v>299</v>
      </c>
      <c r="O26">
        <v>90.8</v>
      </c>
      <c r="P26">
        <v>4.6486641669999997</v>
      </c>
      <c r="Q26">
        <v>28.322169070000001</v>
      </c>
      <c r="R26">
        <v>0.437299035</v>
      </c>
      <c r="S26">
        <v>7439</v>
      </c>
      <c r="T26">
        <v>0</v>
      </c>
      <c r="U26">
        <v>116</v>
      </c>
      <c r="V26">
        <v>278</v>
      </c>
      <c r="W26">
        <v>326</v>
      </c>
      <c r="X26">
        <v>452</v>
      </c>
      <c r="Y26">
        <v>140</v>
      </c>
      <c r="Z26">
        <v>4314</v>
      </c>
      <c r="AA26">
        <v>975</v>
      </c>
      <c r="AB26">
        <v>3</v>
      </c>
      <c r="AC26">
        <v>514</v>
      </c>
      <c r="AD26">
        <v>1493</v>
      </c>
      <c r="AE26">
        <v>151.458146</v>
      </c>
      <c r="AF26">
        <v>176.32440879999999</v>
      </c>
      <c r="AG26">
        <v>1</v>
      </c>
      <c r="AH26">
        <v>24</v>
      </c>
      <c r="AI26">
        <v>0</v>
      </c>
      <c r="AJ26">
        <v>0</v>
      </c>
      <c r="AK26">
        <v>5.0629299999999997</v>
      </c>
      <c r="AL26">
        <v>1</v>
      </c>
      <c r="AM26">
        <v>0</v>
      </c>
      <c r="AN26">
        <v>679</v>
      </c>
      <c r="AO26">
        <v>25</v>
      </c>
      <c r="AP26">
        <v>0</v>
      </c>
      <c r="AQ26">
        <v>0</v>
      </c>
    </row>
    <row r="27" spans="1:43" x14ac:dyDescent="0.25">
      <c r="A27">
        <v>24</v>
      </c>
      <c r="B27">
        <v>1</v>
      </c>
      <c r="C27">
        <v>1</v>
      </c>
      <c r="D27">
        <v>1</v>
      </c>
      <c r="E27">
        <v>577</v>
      </c>
      <c r="F27">
        <v>1071</v>
      </c>
      <c r="G27">
        <v>1084</v>
      </c>
      <c r="H27">
        <v>256</v>
      </c>
      <c r="I27">
        <v>0</v>
      </c>
      <c r="J27">
        <v>526</v>
      </c>
      <c r="K27">
        <v>461</v>
      </c>
      <c r="L27">
        <v>48</v>
      </c>
      <c r="M27">
        <v>0</v>
      </c>
      <c r="N27">
        <v>57</v>
      </c>
      <c r="O27">
        <v>39</v>
      </c>
      <c r="P27">
        <v>2.0652418080000001</v>
      </c>
      <c r="Q27">
        <v>28.4871303</v>
      </c>
      <c r="R27">
        <v>0.32855863899999999</v>
      </c>
      <c r="S27">
        <v>16342</v>
      </c>
      <c r="T27">
        <v>6</v>
      </c>
      <c r="U27">
        <v>219</v>
      </c>
      <c r="V27">
        <v>126</v>
      </c>
      <c r="W27">
        <v>367</v>
      </c>
      <c r="X27">
        <v>335</v>
      </c>
      <c r="Y27">
        <v>587</v>
      </c>
      <c r="Z27">
        <v>7069</v>
      </c>
      <c r="AA27">
        <v>2865</v>
      </c>
      <c r="AB27">
        <v>16</v>
      </c>
      <c r="AC27">
        <v>349</v>
      </c>
      <c r="AD27">
        <v>5456</v>
      </c>
      <c r="AE27">
        <v>145.8067226</v>
      </c>
      <c r="AF27">
        <v>210.2329489</v>
      </c>
      <c r="AG27">
        <v>0</v>
      </c>
      <c r="AH27">
        <v>100</v>
      </c>
      <c r="AI27">
        <v>0</v>
      </c>
      <c r="AJ27">
        <v>0</v>
      </c>
      <c r="AK27">
        <v>5.2312500000000002</v>
      </c>
      <c r="AL27">
        <v>1</v>
      </c>
      <c r="AM27">
        <v>0</v>
      </c>
      <c r="AN27">
        <v>577</v>
      </c>
      <c r="AO27">
        <v>13</v>
      </c>
      <c r="AP27">
        <v>0</v>
      </c>
      <c r="AQ27">
        <v>0</v>
      </c>
    </row>
    <row r="28" spans="1:43" x14ac:dyDescent="0.25">
      <c r="A28">
        <v>25</v>
      </c>
      <c r="B28">
        <v>1</v>
      </c>
      <c r="C28">
        <v>1</v>
      </c>
      <c r="D28">
        <v>1</v>
      </c>
      <c r="E28">
        <v>1360</v>
      </c>
      <c r="F28">
        <v>2921</v>
      </c>
      <c r="G28">
        <v>2937</v>
      </c>
      <c r="H28">
        <v>1231</v>
      </c>
      <c r="I28">
        <v>47</v>
      </c>
      <c r="J28">
        <v>1382</v>
      </c>
      <c r="K28">
        <v>987</v>
      </c>
      <c r="L28">
        <v>206</v>
      </c>
      <c r="M28">
        <v>127</v>
      </c>
      <c r="N28">
        <v>48</v>
      </c>
      <c r="O28">
        <v>21</v>
      </c>
      <c r="P28">
        <v>4</v>
      </c>
      <c r="Q28">
        <v>10.777849160000001</v>
      </c>
      <c r="R28">
        <v>0.34714695600000001</v>
      </c>
      <c r="S28">
        <v>1935</v>
      </c>
      <c r="T28">
        <v>100</v>
      </c>
      <c r="U28">
        <v>355</v>
      </c>
      <c r="V28">
        <v>883</v>
      </c>
      <c r="W28">
        <v>719</v>
      </c>
      <c r="X28">
        <v>900</v>
      </c>
      <c r="Y28">
        <v>191</v>
      </c>
      <c r="Z28">
        <v>312</v>
      </c>
      <c r="AA28">
        <v>1338</v>
      </c>
      <c r="AB28">
        <v>1</v>
      </c>
      <c r="AC28">
        <v>46</v>
      </c>
      <c r="AD28">
        <v>47</v>
      </c>
      <c r="AE28">
        <v>0</v>
      </c>
      <c r="AF28">
        <v>184.2364015</v>
      </c>
      <c r="AG28">
        <v>0</v>
      </c>
      <c r="AH28">
        <v>0</v>
      </c>
      <c r="AI28">
        <v>0</v>
      </c>
      <c r="AJ28">
        <v>0</v>
      </c>
      <c r="AK28">
        <v>5.07287</v>
      </c>
      <c r="AL28">
        <v>1</v>
      </c>
      <c r="AM28">
        <v>0</v>
      </c>
      <c r="AN28">
        <v>1360</v>
      </c>
      <c r="AO28">
        <v>16</v>
      </c>
      <c r="AP28">
        <v>0</v>
      </c>
      <c r="AQ28">
        <v>0</v>
      </c>
    </row>
    <row r="29" spans="1:43" x14ac:dyDescent="0.25">
      <c r="A29">
        <v>26</v>
      </c>
      <c r="B29">
        <v>1</v>
      </c>
      <c r="C29">
        <v>1</v>
      </c>
      <c r="D29">
        <v>1</v>
      </c>
      <c r="E29">
        <v>757</v>
      </c>
      <c r="F29">
        <v>1562</v>
      </c>
      <c r="G29">
        <v>1571</v>
      </c>
      <c r="H29">
        <v>768</v>
      </c>
      <c r="I29">
        <v>14</v>
      </c>
      <c r="J29">
        <v>740</v>
      </c>
      <c r="K29">
        <v>459</v>
      </c>
      <c r="L29">
        <v>141</v>
      </c>
      <c r="M29">
        <v>122</v>
      </c>
      <c r="N29">
        <v>38</v>
      </c>
      <c r="O29">
        <v>13</v>
      </c>
      <c r="P29">
        <v>2</v>
      </c>
      <c r="Q29">
        <v>9.4878576750000008</v>
      </c>
      <c r="R29">
        <v>0.30619468999999999</v>
      </c>
      <c r="S29">
        <v>4578</v>
      </c>
      <c r="T29">
        <v>17</v>
      </c>
      <c r="U29">
        <v>127</v>
      </c>
      <c r="V29">
        <v>598</v>
      </c>
      <c r="W29">
        <v>466</v>
      </c>
      <c r="X29">
        <v>393</v>
      </c>
      <c r="Y29">
        <v>49</v>
      </c>
      <c r="Z29">
        <v>2432</v>
      </c>
      <c r="AA29">
        <v>1025</v>
      </c>
      <c r="AB29">
        <v>1</v>
      </c>
      <c r="AC29">
        <v>139</v>
      </c>
      <c r="AD29">
        <v>932</v>
      </c>
      <c r="AE29">
        <v>152.5884307</v>
      </c>
      <c r="AF29">
        <v>201.19067150000001</v>
      </c>
      <c r="AG29">
        <v>0</v>
      </c>
      <c r="AH29">
        <v>0</v>
      </c>
      <c r="AI29">
        <v>0</v>
      </c>
      <c r="AJ29">
        <v>0</v>
      </c>
      <c r="AK29">
        <v>5.2743200000000003</v>
      </c>
      <c r="AL29">
        <v>1</v>
      </c>
      <c r="AM29">
        <v>0</v>
      </c>
      <c r="AN29">
        <v>757</v>
      </c>
      <c r="AO29">
        <v>9</v>
      </c>
      <c r="AP29">
        <v>0</v>
      </c>
      <c r="AQ29">
        <v>0</v>
      </c>
    </row>
    <row r="30" spans="1:43" x14ac:dyDescent="0.25">
      <c r="A30">
        <v>27</v>
      </c>
      <c r="B30">
        <v>1</v>
      </c>
      <c r="C30">
        <v>1</v>
      </c>
      <c r="D30">
        <v>1</v>
      </c>
      <c r="E30">
        <v>1425</v>
      </c>
      <c r="F30">
        <v>2668</v>
      </c>
      <c r="G30">
        <v>2712</v>
      </c>
      <c r="H30">
        <v>1232</v>
      </c>
      <c r="I30">
        <v>7</v>
      </c>
      <c r="J30">
        <v>1483</v>
      </c>
      <c r="K30">
        <v>825</v>
      </c>
      <c r="L30">
        <v>249</v>
      </c>
      <c r="M30">
        <v>153</v>
      </c>
      <c r="N30">
        <v>193</v>
      </c>
      <c r="O30">
        <v>26</v>
      </c>
      <c r="P30">
        <v>8.4760669610000008</v>
      </c>
      <c r="Q30">
        <v>9.5904656260000003</v>
      </c>
      <c r="R30">
        <v>0.32634521300000002</v>
      </c>
      <c r="S30">
        <v>1536</v>
      </c>
      <c r="T30">
        <v>75</v>
      </c>
      <c r="U30">
        <v>227</v>
      </c>
      <c r="V30">
        <v>940</v>
      </c>
      <c r="W30">
        <v>624</v>
      </c>
      <c r="X30">
        <v>840</v>
      </c>
      <c r="Y30">
        <v>135</v>
      </c>
      <c r="Z30">
        <v>91</v>
      </c>
      <c r="AA30">
        <v>1263</v>
      </c>
      <c r="AB30">
        <v>1</v>
      </c>
      <c r="AC30">
        <v>32</v>
      </c>
      <c r="AD30">
        <v>14</v>
      </c>
      <c r="AE30">
        <v>0</v>
      </c>
      <c r="AF30">
        <v>167.2821314</v>
      </c>
      <c r="AG30">
        <v>0</v>
      </c>
      <c r="AH30">
        <v>0</v>
      </c>
      <c r="AI30">
        <v>0</v>
      </c>
      <c r="AJ30">
        <v>0</v>
      </c>
      <c r="AK30">
        <v>4.5670099999999998</v>
      </c>
      <c r="AL30">
        <v>1</v>
      </c>
      <c r="AM30">
        <v>0</v>
      </c>
      <c r="AN30">
        <v>1425</v>
      </c>
      <c r="AO30">
        <v>44</v>
      </c>
      <c r="AP30">
        <v>0</v>
      </c>
      <c r="AQ30">
        <v>0</v>
      </c>
    </row>
    <row r="31" spans="1:43" x14ac:dyDescent="0.25">
      <c r="A31">
        <v>28</v>
      </c>
      <c r="B31">
        <v>1</v>
      </c>
      <c r="C31">
        <v>1</v>
      </c>
      <c r="D31">
        <v>1</v>
      </c>
      <c r="E31">
        <v>1694</v>
      </c>
      <c r="F31">
        <v>2840</v>
      </c>
      <c r="G31">
        <v>2859</v>
      </c>
      <c r="H31">
        <v>1780</v>
      </c>
      <c r="I31">
        <v>26</v>
      </c>
      <c r="J31">
        <v>1961</v>
      </c>
      <c r="K31">
        <v>325</v>
      </c>
      <c r="L31">
        <v>298</v>
      </c>
      <c r="M31">
        <v>358</v>
      </c>
      <c r="N31">
        <v>709</v>
      </c>
      <c r="O31">
        <v>44</v>
      </c>
      <c r="P31">
        <v>20</v>
      </c>
      <c r="Q31">
        <v>5.680389151</v>
      </c>
      <c r="R31">
        <v>0.23141361299999999</v>
      </c>
      <c r="S31">
        <v>1011</v>
      </c>
      <c r="T31">
        <v>74</v>
      </c>
      <c r="U31">
        <v>145</v>
      </c>
      <c r="V31">
        <v>1327</v>
      </c>
      <c r="W31">
        <v>628</v>
      </c>
      <c r="X31">
        <v>538</v>
      </c>
      <c r="Y31">
        <v>17</v>
      </c>
      <c r="Z31">
        <v>246</v>
      </c>
      <c r="AA31">
        <v>648</v>
      </c>
      <c r="AB31">
        <v>1</v>
      </c>
      <c r="AC31">
        <v>52</v>
      </c>
      <c r="AD31">
        <v>47</v>
      </c>
      <c r="AE31">
        <v>145.8067226</v>
      </c>
      <c r="AF31">
        <v>142.981011</v>
      </c>
      <c r="AG31">
        <v>0</v>
      </c>
      <c r="AH31">
        <v>0</v>
      </c>
      <c r="AI31">
        <v>0</v>
      </c>
      <c r="AJ31">
        <v>0</v>
      </c>
      <c r="AK31">
        <v>4.6434499999999996</v>
      </c>
      <c r="AL31">
        <v>1</v>
      </c>
      <c r="AM31">
        <v>0</v>
      </c>
      <c r="AN31">
        <v>1694</v>
      </c>
      <c r="AO31">
        <v>19</v>
      </c>
      <c r="AP31">
        <v>0</v>
      </c>
      <c r="AQ31">
        <v>0</v>
      </c>
    </row>
    <row r="32" spans="1:43" x14ac:dyDescent="0.25">
      <c r="A32">
        <v>29</v>
      </c>
      <c r="B32">
        <v>1</v>
      </c>
      <c r="C32">
        <v>1</v>
      </c>
      <c r="D32">
        <v>1</v>
      </c>
      <c r="E32">
        <v>2976</v>
      </c>
      <c r="F32">
        <v>4647</v>
      </c>
      <c r="G32">
        <v>4761</v>
      </c>
      <c r="H32">
        <v>3037</v>
      </c>
      <c r="I32">
        <v>63</v>
      </c>
      <c r="J32">
        <v>3314</v>
      </c>
      <c r="K32">
        <v>895</v>
      </c>
      <c r="L32">
        <v>807</v>
      </c>
      <c r="M32">
        <v>629</v>
      </c>
      <c r="N32">
        <v>672</v>
      </c>
      <c r="O32">
        <v>37</v>
      </c>
      <c r="P32">
        <v>15.35677593</v>
      </c>
      <c r="Q32">
        <v>5.6913698459999997</v>
      </c>
      <c r="R32">
        <v>0.21739130400000001</v>
      </c>
      <c r="S32">
        <v>1539</v>
      </c>
      <c r="T32">
        <v>127</v>
      </c>
      <c r="U32">
        <v>220</v>
      </c>
      <c r="V32">
        <v>2506</v>
      </c>
      <c r="W32">
        <v>1033</v>
      </c>
      <c r="X32">
        <v>901</v>
      </c>
      <c r="Y32">
        <v>15</v>
      </c>
      <c r="Z32">
        <v>578</v>
      </c>
      <c r="AA32">
        <v>897</v>
      </c>
      <c r="AB32">
        <v>1</v>
      </c>
      <c r="AC32">
        <v>35</v>
      </c>
      <c r="AD32">
        <v>13</v>
      </c>
      <c r="AE32">
        <v>145.8067226</v>
      </c>
      <c r="AF32">
        <v>145.8067226</v>
      </c>
      <c r="AG32">
        <v>0</v>
      </c>
      <c r="AH32">
        <v>0</v>
      </c>
      <c r="AI32">
        <v>0</v>
      </c>
      <c r="AJ32">
        <v>0</v>
      </c>
      <c r="AK32">
        <v>5.1635400000000002</v>
      </c>
      <c r="AL32">
        <v>1</v>
      </c>
      <c r="AM32">
        <v>0</v>
      </c>
      <c r="AN32">
        <v>2976</v>
      </c>
      <c r="AO32">
        <v>114</v>
      </c>
      <c r="AP32">
        <v>0</v>
      </c>
      <c r="AQ32">
        <v>0</v>
      </c>
    </row>
    <row r="33" spans="1:43" x14ac:dyDescent="0.25">
      <c r="A33">
        <v>30</v>
      </c>
      <c r="B33">
        <v>1</v>
      </c>
      <c r="C33">
        <v>1</v>
      </c>
      <c r="D33">
        <v>1</v>
      </c>
      <c r="E33">
        <v>4312</v>
      </c>
      <c r="F33">
        <v>6371</v>
      </c>
      <c r="G33">
        <v>6736</v>
      </c>
      <c r="H33">
        <v>3336</v>
      </c>
      <c r="I33">
        <v>48</v>
      </c>
      <c r="J33">
        <v>4485</v>
      </c>
      <c r="K33">
        <v>2344</v>
      </c>
      <c r="L33">
        <v>1021</v>
      </c>
      <c r="M33">
        <v>459</v>
      </c>
      <c r="N33">
        <v>488</v>
      </c>
      <c r="O33">
        <v>46</v>
      </c>
      <c r="P33">
        <v>14</v>
      </c>
      <c r="Q33">
        <v>19.463466400000001</v>
      </c>
      <c r="R33">
        <v>0.19206540699999999</v>
      </c>
      <c r="S33">
        <v>1298</v>
      </c>
      <c r="T33">
        <v>289</v>
      </c>
      <c r="U33">
        <v>383</v>
      </c>
      <c r="V33">
        <v>3291</v>
      </c>
      <c r="W33">
        <v>1948</v>
      </c>
      <c r="X33">
        <v>1114</v>
      </c>
      <c r="Y33">
        <v>113</v>
      </c>
      <c r="Z33">
        <v>297</v>
      </c>
      <c r="AA33">
        <v>785</v>
      </c>
      <c r="AB33">
        <v>2</v>
      </c>
      <c r="AC33">
        <v>34</v>
      </c>
      <c r="AD33">
        <v>67</v>
      </c>
      <c r="AE33">
        <v>0</v>
      </c>
      <c r="AF33">
        <v>142.981011</v>
      </c>
      <c r="AG33">
        <v>1</v>
      </c>
      <c r="AH33">
        <v>0</v>
      </c>
      <c r="AI33">
        <v>0</v>
      </c>
      <c r="AJ33">
        <v>0</v>
      </c>
      <c r="AK33">
        <v>4.2711300000000003</v>
      </c>
      <c r="AL33">
        <v>1</v>
      </c>
      <c r="AM33">
        <v>0</v>
      </c>
      <c r="AN33">
        <v>4312</v>
      </c>
      <c r="AO33">
        <v>365</v>
      </c>
      <c r="AP33">
        <v>0</v>
      </c>
      <c r="AQ33">
        <v>0</v>
      </c>
    </row>
    <row r="34" spans="1:43" x14ac:dyDescent="0.25">
      <c r="A34">
        <v>31</v>
      </c>
      <c r="B34">
        <v>1</v>
      </c>
      <c r="C34">
        <v>1</v>
      </c>
      <c r="D34">
        <v>1</v>
      </c>
      <c r="E34">
        <v>2526</v>
      </c>
      <c r="F34">
        <v>3756</v>
      </c>
      <c r="G34">
        <v>3901</v>
      </c>
      <c r="H34">
        <v>2542</v>
      </c>
      <c r="I34">
        <v>98</v>
      </c>
      <c r="J34">
        <v>2623</v>
      </c>
      <c r="K34">
        <v>928</v>
      </c>
      <c r="L34">
        <v>778</v>
      </c>
      <c r="M34">
        <v>410</v>
      </c>
      <c r="N34">
        <v>402</v>
      </c>
      <c r="O34">
        <v>32</v>
      </c>
      <c r="P34">
        <v>8.8171229249999996</v>
      </c>
      <c r="Q34">
        <v>15.586393230000001</v>
      </c>
      <c r="R34">
        <v>0.12132536100000001</v>
      </c>
      <c r="S34">
        <v>2295</v>
      </c>
      <c r="T34">
        <v>94</v>
      </c>
      <c r="U34">
        <v>11</v>
      </c>
      <c r="V34">
        <v>2439</v>
      </c>
      <c r="W34">
        <v>938</v>
      </c>
      <c r="X34">
        <v>319</v>
      </c>
      <c r="Y34">
        <v>22</v>
      </c>
      <c r="Z34">
        <v>468</v>
      </c>
      <c r="AA34">
        <v>1724</v>
      </c>
      <c r="AB34">
        <v>1</v>
      </c>
      <c r="AC34">
        <v>31</v>
      </c>
      <c r="AD34">
        <v>49</v>
      </c>
      <c r="AE34">
        <v>0</v>
      </c>
      <c r="AF34">
        <v>137.3295876</v>
      </c>
      <c r="AG34">
        <v>1</v>
      </c>
      <c r="AH34">
        <v>0</v>
      </c>
      <c r="AI34">
        <v>0</v>
      </c>
      <c r="AJ34">
        <v>0</v>
      </c>
      <c r="AK34">
        <v>4.5797299999999996</v>
      </c>
      <c r="AL34">
        <v>1</v>
      </c>
      <c r="AM34">
        <v>0</v>
      </c>
      <c r="AN34">
        <v>2526</v>
      </c>
      <c r="AO34">
        <v>145</v>
      </c>
      <c r="AP34">
        <v>0</v>
      </c>
      <c r="AQ34">
        <v>0</v>
      </c>
    </row>
    <row r="35" spans="1:43" x14ac:dyDescent="0.25">
      <c r="A35">
        <v>32</v>
      </c>
      <c r="B35">
        <v>1</v>
      </c>
      <c r="C35">
        <v>1</v>
      </c>
      <c r="D35">
        <v>1</v>
      </c>
      <c r="E35">
        <v>2937</v>
      </c>
      <c r="F35">
        <v>4449</v>
      </c>
      <c r="G35">
        <v>4499</v>
      </c>
      <c r="H35">
        <v>3361</v>
      </c>
      <c r="I35">
        <v>62</v>
      </c>
      <c r="J35">
        <v>3112</v>
      </c>
      <c r="K35">
        <v>720</v>
      </c>
      <c r="L35">
        <v>786</v>
      </c>
      <c r="M35">
        <v>754</v>
      </c>
      <c r="N35">
        <v>688</v>
      </c>
      <c r="O35">
        <v>58</v>
      </c>
      <c r="P35">
        <v>21</v>
      </c>
      <c r="Q35">
        <v>22.062696559999999</v>
      </c>
      <c r="R35">
        <v>0.24576271199999999</v>
      </c>
      <c r="S35">
        <v>2696</v>
      </c>
      <c r="T35">
        <v>89</v>
      </c>
      <c r="U35">
        <v>73</v>
      </c>
      <c r="V35">
        <v>2389</v>
      </c>
      <c r="W35">
        <v>1069</v>
      </c>
      <c r="X35">
        <v>865</v>
      </c>
      <c r="Y35">
        <v>253</v>
      </c>
      <c r="Z35">
        <v>406</v>
      </c>
      <c r="AA35">
        <v>1889</v>
      </c>
      <c r="AB35">
        <v>2</v>
      </c>
      <c r="AC35">
        <v>47</v>
      </c>
      <c r="AD35">
        <v>99</v>
      </c>
      <c r="AE35">
        <v>0</v>
      </c>
      <c r="AF35">
        <v>133.37359119999999</v>
      </c>
      <c r="AG35">
        <v>1</v>
      </c>
      <c r="AH35">
        <v>0</v>
      </c>
      <c r="AI35">
        <v>0</v>
      </c>
      <c r="AJ35">
        <v>0</v>
      </c>
      <c r="AK35">
        <v>4.7677899999999998</v>
      </c>
      <c r="AL35">
        <v>1</v>
      </c>
      <c r="AM35">
        <v>0</v>
      </c>
      <c r="AN35">
        <v>2937</v>
      </c>
      <c r="AO35">
        <v>50</v>
      </c>
      <c r="AP35">
        <v>0</v>
      </c>
      <c r="AQ35">
        <v>0</v>
      </c>
    </row>
    <row r="36" spans="1:43" x14ac:dyDescent="0.25">
      <c r="A36">
        <v>33</v>
      </c>
      <c r="B36">
        <v>1</v>
      </c>
      <c r="C36">
        <v>1</v>
      </c>
      <c r="D36">
        <v>1</v>
      </c>
      <c r="E36">
        <v>2737</v>
      </c>
      <c r="F36">
        <v>4438</v>
      </c>
      <c r="G36">
        <v>4466</v>
      </c>
      <c r="H36">
        <v>3091</v>
      </c>
      <c r="I36">
        <v>162</v>
      </c>
      <c r="J36">
        <v>2665</v>
      </c>
      <c r="K36">
        <v>926</v>
      </c>
      <c r="L36">
        <v>454</v>
      </c>
      <c r="M36">
        <v>502</v>
      </c>
      <c r="N36">
        <v>863</v>
      </c>
      <c r="O36">
        <v>59</v>
      </c>
      <c r="P36">
        <v>24.651153959999998</v>
      </c>
      <c r="Q36">
        <v>13.217579089999999</v>
      </c>
      <c r="R36">
        <v>0.19690607700000001</v>
      </c>
      <c r="S36">
        <v>1524</v>
      </c>
      <c r="T36">
        <v>132</v>
      </c>
      <c r="U36">
        <v>101</v>
      </c>
      <c r="V36">
        <v>2203</v>
      </c>
      <c r="W36">
        <v>1134</v>
      </c>
      <c r="X36">
        <v>722</v>
      </c>
      <c r="Y36">
        <v>82</v>
      </c>
      <c r="Z36">
        <v>355</v>
      </c>
      <c r="AA36">
        <v>976</v>
      </c>
      <c r="AB36">
        <v>1</v>
      </c>
      <c r="AC36">
        <v>33</v>
      </c>
      <c r="AD36">
        <v>77</v>
      </c>
      <c r="AE36">
        <v>0</v>
      </c>
      <c r="AF36">
        <v>135.6341606</v>
      </c>
      <c r="AG36">
        <v>1</v>
      </c>
      <c r="AH36">
        <v>0</v>
      </c>
      <c r="AI36">
        <v>0</v>
      </c>
      <c r="AJ36">
        <v>0</v>
      </c>
      <c r="AK36">
        <v>4.3160699999999999</v>
      </c>
      <c r="AL36">
        <v>1</v>
      </c>
      <c r="AM36">
        <v>0</v>
      </c>
      <c r="AN36">
        <v>2737</v>
      </c>
      <c r="AO36">
        <v>28</v>
      </c>
      <c r="AP36">
        <v>0</v>
      </c>
      <c r="AQ36">
        <v>0</v>
      </c>
    </row>
    <row r="37" spans="1:43" x14ac:dyDescent="0.25">
      <c r="A37">
        <v>34</v>
      </c>
      <c r="B37">
        <v>1</v>
      </c>
      <c r="C37">
        <v>1</v>
      </c>
      <c r="D37">
        <v>1</v>
      </c>
      <c r="E37">
        <v>2488</v>
      </c>
      <c r="F37">
        <v>4493</v>
      </c>
      <c r="G37">
        <v>4493</v>
      </c>
      <c r="H37">
        <v>3373</v>
      </c>
      <c r="I37">
        <v>96</v>
      </c>
      <c r="J37">
        <v>2438</v>
      </c>
      <c r="K37">
        <v>535</v>
      </c>
      <c r="L37">
        <v>288</v>
      </c>
      <c r="M37">
        <v>573</v>
      </c>
      <c r="N37">
        <v>1098</v>
      </c>
      <c r="O37">
        <v>60</v>
      </c>
      <c r="P37">
        <v>29.065794709999999</v>
      </c>
      <c r="Q37">
        <v>9.3876540689999999</v>
      </c>
      <c r="R37">
        <v>0.18097139100000001</v>
      </c>
      <c r="S37">
        <v>1397</v>
      </c>
      <c r="T37">
        <v>66</v>
      </c>
      <c r="U37">
        <v>132</v>
      </c>
      <c r="V37">
        <v>2709</v>
      </c>
      <c r="W37">
        <v>622</v>
      </c>
      <c r="X37">
        <v>739</v>
      </c>
      <c r="Y37">
        <v>146</v>
      </c>
      <c r="Z37">
        <v>334</v>
      </c>
      <c r="AA37">
        <v>789</v>
      </c>
      <c r="AB37">
        <v>2</v>
      </c>
      <c r="AC37">
        <v>60</v>
      </c>
      <c r="AD37">
        <v>66</v>
      </c>
      <c r="AE37">
        <v>0</v>
      </c>
      <c r="AF37">
        <v>135.6341606</v>
      </c>
      <c r="AG37">
        <v>1</v>
      </c>
      <c r="AH37">
        <v>0</v>
      </c>
      <c r="AI37">
        <v>0</v>
      </c>
      <c r="AJ37">
        <v>0</v>
      </c>
      <c r="AK37">
        <v>4.61205</v>
      </c>
      <c r="AL37">
        <v>1</v>
      </c>
      <c r="AM37">
        <v>0</v>
      </c>
      <c r="AN37">
        <v>2488</v>
      </c>
      <c r="AO37">
        <v>0</v>
      </c>
      <c r="AP37">
        <v>0</v>
      </c>
      <c r="AQ37">
        <v>0</v>
      </c>
    </row>
    <row r="38" spans="1:43" x14ac:dyDescent="0.25">
      <c r="A38">
        <v>35</v>
      </c>
      <c r="B38">
        <v>1</v>
      </c>
      <c r="C38">
        <v>1</v>
      </c>
      <c r="D38">
        <v>1</v>
      </c>
      <c r="E38">
        <v>2483</v>
      </c>
      <c r="F38">
        <v>4397</v>
      </c>
      <c r="G38">
        <v>4397</v>
      </c>
      <c r="H38">
        <v>3225</v>
      </c>
      <c r="I38">
        <v>283</v>
      </c>
      <c r="J38">
        <v>2441</v>
      </c>
      <c r="K38">
        <v>783</v>
      </c>
      <c r="L38">
        <v>363</v>
      </c>
      <c r="M38">
        <v>290</v>
      </c>
      <c r="N38">
        <v>1032</v>
      </c>
      <c r="O38">
        <v>58</v>
      </c>
      <c r="P38">
        <v>30</v>
      </c>
      <c r="Q38">
        <v>3.5008640190000002</v>
      </c>
      <c r="R38">
        <v>0.27249078700000001</v>
      </c>
      <c r="S38">
        <v>791</v>
      </c>
      <c r="T38">
        <v>88</v>
      </c>
      <c r="U38">
        <v>90</v>
      </c>
      <c r="V38">
        <v>2443</v>
      </c>
      <c r="W38">
        <v>758</v>
      </c>
      <c r="X38">
        <v>1003</v>
      </c>
      <c r="Y38">
        <v>31</v>
      </c>
      <c r="Z38">
        <v>386</v>
      </c>
      <c r="AA38">
        <v>315</v>
      </c>
      <c r="AB38">
        <v>3</v>
      </c>
      <c r="AC38">
        <v>27</v>
      </c>
      <c r="AD38">
        <v>29</v>
      </c>
      <c r="AE38">
        <v>0</v>
      </c>
      <c r="AF38">
        <v>139.59015690000001</v>
      </c>
      <c r="AG38">
        <v>1</v>
      </c>
      <c r="AH38">
        <v>0</v>
      </c>
      <c r="AI38">
        <v>0</v>
      </c>
      <c r="AJ38">
        <v>0</v>
      </c>
      <c r="AK38">
        <v>4.5968</v>
      </c>
      <c r="AL38">
        <v>1</v>
      </c>
      <c r="AM38">
        <v>0</v>
      </c>
      <c r="AN38">
        <v>2483</v>
      </c>
      <c r="AO38">
        <v>0</v>
      </c>
      <c r="AP38">
        <v>0</v>
      </c>
      <c r="AQ38">
        <v>0</v>
      </c>
    </row>
    <row r="39" spans="1:43" x14ac:dyDescent="0.25">
      <c r="A39">
        <v>36</v>
      </c>
      <c r="B39">
        <v>1</v>
      </c>
      <c r="C39">
        <v>1</v>
      </c>
      <c r="D39">
        <v>1</v>
      </c>
      <c r="E39">
        <v>2738</v>
      </c>
      <c r="F39">
        <v>4895</v>
      </c>
      <c r="G39">
        <v>4995</v>
      </c>
      <c r="H39">
        <v>2222</v>
      </c>
      <c r="I39">
        <v>101</v>
      </c>
      <c r="J39">
        <v>2640</v>
      </c>
      <c r="K39">
        <v>1814</v>
      </c>
      <c r="L39">
        <v>507</v>
      </c>
      <c r="M39">
        <v>171</v>
      </c>
      <c r="N39">
        <v>241</v>
      </c>
      <c r="O39">
        <v>47</v>
      </c>
      <c r="P39">
        <v>14</v>
      </c>
      <c r="Q39">
        <v>15.919673660000001</v>
      </c>
      <c r="R39">
        <v>0.38711583900000002</v>
      </c>
      <c r="S39">
        <v>2763</v>
      </c>
      <c r="T39">
        <v>116</v>
      </c>
      <c r="U39">
        <v>291</v>
      </c>
      <c r="V39">
        <v>1416</v>
      </c>
      <c r="W39">
        <v>1461</v>
      </c>
      <c r="X39">
        <v>1518</v>
      </c>
      <c r="Y39">
        <v>242</v>
      </c>
      <c r="Z39">
        <v>417</v>
      </c>
      <c r="AA39">
        <v>1923</v>
      </c>
      <c r="AB39">
        <v>14</v>
      </c>
      <c r="AC39">
        <v>88</v>
      </c>
      <c r="AD39">
        <v>79</v>
      </c>
      <c r="AE39">
        <v>163.89127740000001</v>
      </c>
      <c r="AF39">
        <v>164.4564197</v>
      </c>
      <c r="AG39">
        <v>1</v>
      </c>
      <c r="AH39">
        <v>0</v>
      </c>
      <c r="AI39">
        <v>0</v>
      </c>
      <c r="AJ39">
        <v>0</v>
      </c>
      <c r="AK39">
        <v>4.8347699999999998</v>
      </c>
      <c r="AL39">
        <v>1</v>
      </c>
      <c r="AM39">
        <v>0</v>
      </c>
      <c r="AN39">
        <v>2738</v>
      </c>
      <c r="AO39">
        <v>100</v>
      </c>
      <c r="AP39">
        <v>0</v>
      </c>
      <c r="AQ39">
        <v>0</v>
      </c>
    </row>
    <row r="40" spans="1:43" x14ac:dyDescent="0.25">
      <c r="A40">
        <v>37</v>
      </c>
      <c r="B40">
        <v>1</v>
      </c>
      <c r="C40">
        <v>1</v>
      </c>
      <c r="D40">
        <v>1</v>
      </c>
      <c r="E40">
        <v>1787</v>
      </c>
      <c r="F40">
        <v>3004</v>
      </c>
      <c r="G40">
        <v>3058</v>
      </c>
      <c r="H40">
        <v>1901</v>
      </c>
      <c r="I40">
        <v>60</v>
      </c>
      <c r="J40">
        <v>1901</v>
      </c>
      <c r="K40">
        <v>843</v>
      </c>
      <c r="L40">
        <v>356</v>
      </c>
      <c r="M40">
        <v>272</v>
      </c>
      <c r="N40">
        <v>325</v>
      </c>
      <c r="O40">
        <v>43</v>
      </c>
      <c r="P40">
        <v>12</v>
      </c>
      <c r="Q40">
        <v>14.695254540000001</v>
      </c>
      <c r="R40">
        <v>0.221028646</v>
      </c>
      <c r="S40">
        <v>3046</v>
      </c>
      <c r="T40">
        <v>53</v>
      </c>
      <c r="U40">
        <v>207</v>
      </c>
      <c r="V40">
        <v>1251</v>
      </c>
      <c r="W40">
        <v>795</v>
      </c>
      <c r="X40">
        <v>587</v>
      </c>
      <c r="Y40">
        <v>118</v>
      </c>
      <c r="Z40">
        <v>887</v>
      </c>
      <c r="AA40">
        <v>1662</v>
      </c>
      <c r="AB40">
        <v>3</v>
      </c>
      <c r="AC40">
        <v>156</v>
      </c>
      <c r="AD40">
        <v>220</v>
      </c>
      <c r="AE40">
        <v>134.5038759</v>
      </c>
      <c r="AF40">
        <v>166.71698910000001</v>
      </c>
      <c r="AG40">
        <v>1</v>
      </c>
      <c r="AH40">
        <v>0</v>
      </c>
      <c r="AI40">
        <v>0</v>
      </c>
      <c r="AJ40">
        <v>0</v>
      </c>
      <c r="AK40">
        <v>4.8515699999999997</v>
      </c>
      <c r="AL40">
        <v>1</v>
      </c>
      <c r="AM40">
        <v>0</v>
      </c>
      <c r="AN40">
        <v>1787</v>
      </c>
      <c r="AO40">
        <v>54</v>
      </c>
      <c r="AP40">
        <v>0</v>
      </c>
      <c r="AQ40">
        <v>0</v>
      </c>
    </row>
    <row r="41" spans="1:43" x14ac:dyDescent="0.25">
      <c r="A41">
        <v>38</v>
      </c>
      <c r="B41">
        <v>1</v>
      </c>
      <c r="C41">
        <v>1</v>
      </c>
      <c r="D41">
        <v>1</v>
      </c>
      <c r="E41">
        <v>2327</v>
      </c>
      <c r="F41">
        <v>4394</v>
      </c>
      <c r="G41">
        <v>4409</v>
      </c>
      <c r="H41">
        <v>2458</v>
      </c>
      <c r="I41">
        <v>280</v>
      </c>
      <c r="J41">
        <v>2329</v>
      </c>
      <c r="K41">
        <v>504</v>
      </c>
      <c r="L41">
        <v>341</v>
      </c>
      <c r="M41">
        <v>285</v>
      </c>
      <c r="N41">
        <v>1200</v>
      </c>
      <c r="O41">
        <v>83</v>
      </c>
      <c r="P41">
        <v>37</v>
      </c>
      <c r="Q41">
        <v>9.8700384799999998</v>
      </c>
      <c r="R41">
        <v>0.195950506</v>
      </c>
      <c r="S41">
        <v>1886</v>
      </c>
      <c r="T41">
        <v>403</v>
      </c>
      <c r="U41">
        <v>292</v>
      </c>
      <c r="V41">
        <v>1707</v>
      </c>
      <c r="W41">
        <v>1282</v>
      </c>
      <c r="X41">
        <v>509</v>
      </c>
      <c r="Y41">
        <v>227</v>
      </c>
      <c r="Z41">
        <v>624</v>
      </c>
      <c r="AA41">
        <v>696</v>
      </c>
      <c r="AB41">
        <v>2</v>
      </c>
      <c r="AC41">
        <v>183</v>
      </c>
      <c r="AD41">
        <v>154</v>
      </c>
      <c r="AE41">
        <v>0</v>
      </c>
      <c r="AF41">
        <v>156.54442700000001</v>
      </c>
      <c r="AG41">
        <v>1</v>
      </c>
      <c r="AH41">
        <v>0</v>
      </c>
      <c r="AI41">
        <v>0</v>
      </c>
      <c r="AJ41">
        <v>0</v>
      </c>
      <c r="AK41">
        <v>4.36496</v>
      </c>
      <c r="AL41">
        <v>1</v>
      </c>
      <c r="AM41">
        <v>0</v>
      </c>
      <c r="AN41">
        <v>2327</v>
      </c>
      <c r="AO41">
        <v>15</v>
      </c>
      <c r="AP41">
        <v>0</v>
      </c>
      <c r="AQ41">
        <v>0</v>
      </c>
    </row>
    <row r="42" spans="1:43" x14ac:dyDescent="0.25">
      <c r="A42">
        <v>39</v>
      </c>
      <c r="B42">
        <v>1</v>
      </c>
      <c r="C42">
        <v>1</v>
      </c>
      <c r="D42">
        <v>1</v>
      </c>
      <c r="E42">
        <v>2180</v>
      </c>
      <c r="F42">
        <v>3968</v>
      </c>
      <c r="G42">
        <v>3969</v>
      </c>
      <c r="H42">
        <v>2572</v>
      </c>
      <c r="I42">
        <v>104</v>
      </c>
      <c r="J42">
        <v>2225</v>
      </c>
      <c r="K42">
        <v>434</v>
      </c>
      <c r="L42">
        <v>344</v>
      </c>
      <c r="M42">
        <v>453</v>
      </c>
      <c r="N42">
        <v>930</v>
      </c>
      <c r="O42">
        <v>67</v>
      </c>
      <c r="P42">
        <v>31</v>
      </c>
      <c r="Q42">
        <v>7.3745722789999997</v>
      </c>
      <c r="R42">
        <v>0.28502660200000002</v>
      </c>
      <c r="S42">
        <v>927</v>
      </c>
      <c r="T42">
        <v>121</v>
      </c>
      <c r="U42">
        <v>177</v>
      </c>
      <c r="V42">
        <v>1515</v>
      </c>
      <c r="W42">
        <v>1047</v>
      </c>
      <c r="X42">
        <v>839</v>
      </c>
      <c r="Y42">
        <v>35</v>
      </c>
      <c r="Z42">
        <v>243</v>
      </c>
      <c r="AA42">
        <v>545</v>
      </c>
      <c r="AB42">
        <v>2</v>
      </c>
      <c r="AC42">
        <v>44</v>
      </c>
      <c r="AD42">
        <v>58</v>
      </c>
      <c r="AE42">
        <v>0</v>
      </c>
      <c r="AF42">
        <v>141.28558390000001</v>
      </c>
      <c r="AG42">
        <v>2</v>
      </c>
      <c r="AH42">
        <v>0</v>
      </c>
      <c r="AI42">
        <v>0</v>
      </c>
      <c r="AJ42">
        <v>0</v>
      </c>
      <c r="AK42">
        <v>4.3811400000000003</v>
      </c>
      <c r="AL42">
        <v>1</v>
      </c>
      <c r="AM42">
        <v>0</v>
      </c>
      <c r="AN42">
        <v>2180</v>
      </c>
      <c r="AO42">
        <v>1</v>
      </c>
      <c r="AP42">
        <v>0</v>
      </c>
      <c r="AQ42">
        <v>0</v>
      </c>
    </row>
    <row r="43" spans="1:43" x14ac:dyDescent="0.25">
      <c r="A43">
        <v>40</v>
      </c>
      <c r="B43">
        <v>1</v>
      </c>
      <c r="C43">
        <v>1</v>
      </c>
      <c r="D43">
        <v>1</v>
      </c>
      <c r="E43">
        <v>2477</v>
      </c>
      <c r="F43">
        <v>4065</v>
      </c>
      <c r="G43">
        <v>4092</v>
      </c>
      <c r="H43">
        <v>2919</v>
      </c>
      <c r="I43">
        <v>287</v>
      </c>
      <c r="J43">
        <v>2407</v>
      </c>
      <c r="K43">
        <v>342</v>
      </c>
      <c r="L43">
        <v>262</v>
      </c>
      <c r="M43">
        <v>651</v>
      </c>
      <c r="N43">
        <v>1220</v>
      </c>
      <c r="O43">
        <v>128</v>
      </c>
      <c r="P43">
        <v>43.127622649999999</v>
      </c>
      <c r="Q43">
        <v>31.611871189999999</v>
      </c>
      <c r="R43">
        <v>0.21768236399999999</v>
      </c>
      <c r="S43">
        <v>2417</v>
      </c>
      <c r="T43">
        <v>92</v>
      </c>
      <c r="U43">
        <v>201</v>
      </c>
      <c r="V43">
        <v>2041</v>
      </c>
      <c r="W43">
        <v>1010</v>
      </c>
      <c r="X43">
        <v>737</v>
      </c>
      <c r="Y43">
        <v>199</v>
      </c>
      <c r="Z43">
        <v>853</v>
      </c>
      <c r="AA43">
        <v>955</v>
      </c>
      <c r="AB43">
        <v>9</v>
      </c>
      <c r="AC43">
        <v>337</v>
      </c>
      <c r="AD43">
        <v>64</v>
      </c>
      <c r="AE43">
        <v>0</v>
      </c>
      <c r="AF43">
        <v>146.37186500000001</v>
      </c>
      <c r="AG43">
        <v>2</v>
      </c>
      <c r="AH43">
        <v>1750</v>
      </c>
      <c r="AI43">
        <v>0</v>
      </c>
      <c r="AJ43">
        <v>0</v>
      </c>
      <c r="AK43">
        <v>4.6963800000000004</v>
      </c>
      <c r="AL43">
        <v>1</v>
      </c>
      <c r="AM43">
        <v>0</v>
      </c>
      <c r="AN43">
        <v>2477</v>
      </c>
      <c r="AO43">
        <v>27</v>
      </c>
      <c r="AP43">
        <v>0</v>
      </c>
      <c r="AQ43">
        <v>0</v>
      </c>
    </row>
    <row r="44" spans="1:43" x14ac:dyDescent="0.25">
      <c r="A44">
        <v>41</v>
      </c>
      <c r="B44">
        <v>1</v>
      </c>
      <c r="C44">
        <v>1</v>
      </c>
      <c r="D44">
        <v>1</v>
      </c>
      <c r="E44">
        <v>2204</v>
      </c>
      <c r="F44">
        <v>3810</v>
      </c>
      <c r="G44">
        <v>3909</v>
      </c>
      <c r="H44">
        <v>1864</v>
      </c>
      <c r="I44">
        <v>220</v>
      </c>
      <c r="J44">
        <v>1984</v>
      </c>
      <c r="K44">
        <v>1036</v>
      </c>
      <c r="L44">
        <v>335</v>
      </c>
      <c r="M44">
        <v>350</v>
      </c>
      <c r="N44">
        <v>482</v>
      </c>
      <c r="O44">
        <v>183</v>
      </c>
      <c r="P44">
        <v>20</v>
      </c>
      <c r="Q44">
        <v>104.2680326</v>
      </c>
      <c r="R44">
        <v>0.23958073399999999</v>
      </c>
      <c r="S44">
        <v>6026</v>
      </c>
      <c r="T44">
        <v>168</v>
      </c>
      <c r="U44">
        <v>454</v>
      </c>
      <c r="V44">
        <v>1618</v>
      </c>
      <c r="W44">
        <v>756</v>
      </c>
      <c r="X44">
        <v>784</v>
      </c>
      <c r="Y44">
        <v>822</v>
      </c>
      <c r="Z44">
        <v>2308</v>
      </c>
      <c r="AA44">
        <v>2460</v>
      </c>
      <c r="AB44">
        <v>3</v>
      </c>
      <c r="AC44">
        <v>295</v>
      </c>
      <c r="AD44">
        <v>138</v>
      </c>
      <c r="AE44">
        <v>119.2450329</v>
      </c>
      <c r="AF44">
        <v>201.75581389999999</v>
      </c>
      <c r="AG44">
        <v>1</v>
      </c>
      <c r="AH44">
        <v>0</v>
      </c>
      <c r="AI44">
        <v>0</v>
      </c>
      <c r="AJ44">
        <v>0</v>
      </c>
      <c r="AK44">
        <v>4.0767499999999997</v>
      </c>
      <c r="AL44">
        <v>2</v>
      </c>
      <c r="AM44">
        <v>0</v>
      </c>
      <c r="AN44">
        <v>2204</v>
      </c>
      <c r="AO44">
        <v>99</v>
      </c>
      <c r="AP44">
        <v>0</v>
      </c>
      <c r="AQ44">
        <v>0</v>
      </c>
    </row>
    <row r="45" spans="1:43" x14ac:dyDescent="0.25">
      <c r="A45">
        <v>42</v>
      </c>
      <c r="B45">
        <v>1</v>
      </c>
      <c r="C45">
        <v>1</v>
      </c>
      <c r="D45">
        <v>1</v>
      </c>
      <c r="E45">
        <v>646</v>
      </c>
      <c r="F45">
        <v>1780</v>
      </c>
      <c r="G45">
        <v>2504</v>
      </c>
      <c r="H45">
        <v>1239</v>
      </c>
      <c r="I45">
        <v>169</v>
      </c>
      <c r="J45">
        <v>443</v>
      </c>
      <c r="K45">
        <v>210</v>
      </c>
      <c r="L45">
        <v>133</v>
      </c>
      <c r="M45">
        <v>95</v>
      </c>
      <c r="N45">
        <v>199</v>
      </c>
      <c r="O45">
        <v>628</v>
      </c>
      <c r="P45">
        <v>143.2327435</v>
      </c>
      <c r="Q45">
        <v>484</v>
      </c>
      <c r="R45">
        <v>3.2206632999999998E-2</v>
      </c>
      <c r="S45">
        <v>693</v>
      </c>
      <c r="T45">
        <v>91</v>
      </c>
      <c r="U45">
        <v>539</v>
      </c>
      <c r="V45">
        <v>1845</v>
      </c>
      <c r="W45">
        <v>427</v>
      </c>
      <c r="X45">
        <v>50</v>
      </c>
      <c r="Y45">
        <v>4</v>
      </c>
      <c r="Z45">
        <v>131</v>
      </c>
      <c r="AA45">
        <v>399</v>
      </c>
      <c r="AB45">
        <v>0</v>
      </c>
      <c r="AC45">
        <v>62</v>
      </c>
      <c r="AD45">
        <v>97</v>
      </c>
      <c r="AE45">
        <v>0</v>
      </c>
      <c r="AF45">
        <v>0</v>
      </c>
      <c r="AG45">
        <v>3</v>
      </c>
      <c r="AH45">
        <v>47</v>
      </c>
      <c r="AI45">
        <v>0</v>
      </c>
      <c r="AJ45">
        <v>0</v>
      </c>
      <c r="AK45">
        <v>1.0178499999999999</v>
      </c>
      <c r="AL45">
        <v>2</v>
      </c>
      <c r="AM45">
        <v>0</v>
      </c>
      <c r="AN45">
        <v>646</v>
      </c>
      <c r="AO45">
        <v>724</v>
      </c>
      <c r="AP45">
        <v>0</v>
      </c>
      <c r="AQ45">
        <v>0</v>
      </c>
    </row>
    <row r="46" spans="1:43" x14ac:dyDescent="0.25">
      <c r="A46">
        <v>43</v>
      </c>
      <c r="B46">
        <v>2</v>
      </c>
      <c r="C46">
        <v>2</v>
      </c>
      <c r="D46">
        <v>1</v>
      </c>
      <c r="E46">
        <v>2805</v>
      </c>
      <c r="F46">
        <v>4725</v>
      </c>
      <c r="G46">
        <v>4742</v>
      </c>
      <c r="H46">
        <v>3276</v>
      </c>
      <c r="I46">
        <v>365</v>
      </c>
      <c r="J46">
        <v>2628</v>
      </c>
      <c r="K46">
        <v>349</v>
      </c>
      <c r="L46">
        <v>320</v>
      </c>
      <c r="M46">
        <v>695</v>
      </c>
      <c r="N46">
        <v>1444</v>
      </c>
      <c r="O46">
        <v>199</v>
      </c>
      <c r="P46">
        <v>57.28734188</v>
      </c>
      <c r="Q46">
        <v>6.7952865290000002</v>
      </c>
      <c r="R46">
        <v>0.123884834</v>
      </c>
      <c r="S46">
        <v>1878</v>
      </c>
      <c r="T46">
        <v>141</v>
      </c>
      <c r="U46">
        <v>492</v>
      </c>
      <c r="V46">
        <v>2652</v>
      </c>
      <c r="W46">
        <v>876</v>
      </c>
      <c r="X46">
        <v>512</v>
      </c>
      <c r="Y46">
        <v>279</v>
      </c>
      <c r="Z46">
        <v>436</v>
      </c>
      <c r="AA46">
        <v>890</v>
      </c>
      <c r="AB46">
        <v>3</v>
      </c>
      <c r="AC46">
        <v>195</v>
      </c>
      <c r="AD46">
        <v>75</v>
      </c>
      <c r="AE46">
        <v>0</v>
      </c>
      <c r="AF46">
        <v>0</v>
      </c>
      <c r="AG46">
        <v>2</v>
      </c>
      <c r="AH46">
        <v>0</v>
      </c>
      <c r="AI46">
        <v>0</v>
      </c>
      <c r="AJ46">
        <v>0</v>
      </c>
      <c r="AK46">
        <v>3.67666</v>
      </c>
      <c r="AL46">
        <v>3</v>
      </c>
      <c r="AM46">
        <v>0</v>
      </c>
      <c r="AN46">
        <v>2805</v>
      </c>
      <c r="AO46">
        <v>17</v>
      </c>
      <c r="AP46">
        <v>0</v>
      </c>
      <c r="AQ46">
        <v>0</v>
      </c>
    </row>
    <row r="47" spans="1:43" x14ac:dyDescent="0.25">
      <c r="A47">
        <v>44</v>
      </c>
      <c r="B47">
        <v>2</v>
      </c>
      <c r="C47">
        <v>2</v>
      </c>
      <c r="D47">
        <v>1</v>
      </c>
      <c r="E47">
        <v>3342</v>
      </c>
      <c r="F47">
        <v>5893</v>
      </c>
      <c r="G47">
        <v>5930</v>
      </c>
      <c r="H47">
        <v>4616</v>
      </c>
      <c r="I47">
        <v>210</v>
      </c>
      <c r="J47">
        <v>3114</v>
      </c>
      <c r="K47">
        <v>353</v>
      </c>
      <c r="L47">
        <v>482</v>
      </c>
      <c r="M47">
        <v>593</v>
      </c>
      <c r="N47">
        <v>1915</v>
      </c>
      <c r="O47">
        <v>136</v>
      </c>
      <c r="P47">
        <v>56</v>
      </c>
      <c r="Q47">
        <v>19.556767690000001</v>
      </c>
      <c r="R47">
        <v>0.11876832800000001</v>
      </c>
      <c r="S47">
        <v>1573</v>
      </c>
      <c r="T47">
        <v>377</v>
      </c>
      <c r="U47">
        <v>258</v>
      </c>
      <c r="V47">
        <v>3624</v>
      </c>
      <c r="W47">
        <v>966</v>
      </c>
      <c r="X47">
        <v>588</v>
      </c>
      <c r="Y47">
        <v>86</v>
      </c>
      <c r="Z47">
        <v>536</v>
      </c>
      <c r="AA47">
        <v>767</v>
      </c>
      <c r="AB47">
        <v>2</v>
      </c>
      <c r="AC47">
        <v>60</v>
      </c>
      <c r="AD47">
        <v>122</v>
      </c>
      <c r="AE47">
        <v>0</v>
      </c>
      <c r="AF47">
        <v>28.822259129999999</v>
      </c>
      <c r="AG47">
        <v>2</v>
      </c>
      <c r="AH47">
        <v>0</v>
      </c>
      <c r="AI47">
        <v>0</v>
      </c>
      <c r="AJ47">
        <v>0</v>
      </c>
      <c r="AK47">
        <v>4.0983499999999999</v>
      </c>
      <c r="AL47">
        <v>2</v>
      </c>
      <c r="AM47">
        <v>0</v>
      </c>
      <c r="AN47">
        <v>3342</v>
      </c>
      <c r="AO47">
        <v>37</v>
      </c>
      <c r="AP47">
        <v>0</v>
      </c>
      <c r="AQ47">
        <v>0</v>
      </c>
    </row>
    <row r="48" spans="1:43" x14ac:dyDescent="0.25">
      <c r="A48">
        <v>45</v>
      </c>
      <c r="B48">
        <v>2</v>
      </c>
      <c r="C48">
        <v>2</v>
      </c>
      <c r="D48">
        <v>1</v>
      </c>
      <c r="E48">
        <v>2203</v>
      </c>
      <c r="F48">
        <v>4038</v>
      </c>
      <c r="G48">
        <v>4050</v>
      </c>
      <c r="H48">
        <v>2948</v>
      </c>
      <c r="I48">
        <v>200</v>
      </c>
      <c r="J48">
        <v>2260</v>
      </c>
      <c r="K48">
        <v>301</v>
      </c>
      <c r="L48">
        <v>158</v>
      </c>
      <c r="M48">
        <v>505</v>
      </c>
      <c r="N48">
        <v>1242</v>
      </c>
      <c r="O48">
        <v>93</v>
      </c>
      <c r="P48">
        <v>40.19746902</v>
      </c>
      <c r="Q48">
        <v>25.71258972</v>
      </c>
      <c r="R48">
        <v>0.10759343</v>
      </c>
      <c r="S48">
        <v>4086</v>
      </c>
      <c r="T48">
        <v>373</v>
      </c>
      <c r="U48">
        <v>206</v>
      </c>
      <c r="V48">
        <v>2454</v>
      </c>
      <c r="W48">
        <v>616</v>
      </c>
      <c r="X48">
        <v>355</v>
      </c>
      <c r="Y48">
        <v>269</v>
      </c>
      <c r="Z48">
        <v>1154</v>
      </c>
      <c r="AA48">
        <v>2055</v>
      </c>
      <c r="AB48">
        <v>7</v>
      </c>
      <c r="AC48">
        <v>242</v>
      </c>
      <c r="AD48">
        <v>359</v>
      </c>
      <c r="AE48">
        <v>0</v>
      </c>
      <c r="AF48">
        <v>174.62898179999999</v>
      </c>
      <c r="AG48">
        <v>1</v>
      </c>
      <c r="AH48">
        <v>0</v>
      </c>
      <c r="AI48">
        <v>0</v>
      </c>
      <c r="AJ48">
        <v>0</v>
      </c>
      <c r="AK48">
        <v>5.1013299999999999</v>
      </c>
      <c r="AL48">
        <v>1</v>
      </c>
      <c r="AM48">
        <v>0</v>
      </c>
      <c r="AN48">
        <v>2203</v>
      </c>
      <c r="AO48">
        <v>12</v>
      </c>
      <c r="AP48">
        <v>0</v>
      </c>
      <c r="AQ48">
        <v>0</v>
      </c>
    </row>
    <row r="49" spans="1:43" x14ac:dyDescent="0.25">
      <c r="A49">
        <v>46</v>
      </c>
      <c r="B49">
        <v>2</v>
      </c>
      <c r="C49">
        <v>2</v>
      </c>
      <c r="D49">
        <v>1</v>
      </c>
      <c r="E49">
        <v>4046</v>
      </c>
      <c r="F49">
        <v>6842</v>
      </c>
      <c r="G49">
        <v>6969</v>
      </c>
      <c r="H49">
        <v>4634</v>
      </c>
      <c r="I49">
        <v>345</v>
      </c>
      <c r="J49">
        <v>3915</v>
      </c>
      <c r="K49">
        <v>512</v>
      </c>
      <c r="L49">
        <v>527</v>
      </c>
      <c r="M49">
        <v>684</v>
      </c>
      <c r="N49">
        <v>2312</v>
      </c>
      <c r="O49">
        <v>102</v>
      </c>
      <c r="P49">
        <v>42.190219650000003</v>
      </c>
      <c r="Q49">
        <v>11.07850174</v>
      </c>
      <c r="R49">
        <v>0.15371428600000001</v>
      </c>
      <c r="S49">
        <v>2134</v>
      </c>
      <c r="T49">
        <v>329</v>
      </c>
      <c r="U49">
        <v>483</v>
      </c>
      <c r="V49">
        <v>3734</v>
      </c>
      <c r="W49">
        <v>1178</v>
      </c>
      <c r="X49">
        <v>912</v>
      </c>
      <c r="Y49">
        <v>40</v>
      </c>
      <c r="Z49">
        <v>861</v>
      </c>
      <c r="AA49">
        <v>991</v>
      </c>
      <c r="AB49">
        <v>3</v>
      </c>
      <c r="AC49">
        <v>120</v>
      </c>
      <c r="AD49">
        <v>119</v>
      </c>
      <c r="AE49">
        <v>0</v>
      </c>
      <c r="AF49">
        <v>24.301120439999998</v>
      </c>
      <c r="AG49">
        <v>1</v>
      </c>
      <c r="AH49">
        <v>0</v>
      </c>
      <c r="AI49">
        <v>0</v>
      </c>
      <c r="AJ49">
        <v>0</v>
      </c>
      <c r="AK49">
        <v>4.4843599999999997</v>
      </c>
      <c r="AL49">
        <v>1</v>
      </c>
      <c r="AM49">
        <v>0</v>
      </c>
      <c r="AN49">
        <v>4046</v>
      </c>
      <c r="AO49">
        <v>127</v>
      </c>
      <c r="AP49">
        <v>0</v>
      </c>
      <c r="AQ49">
        <v>0</v>
      </c>
    </row>
    <row r="50" spans="1:43" x14ac:dyDescent="0.25">
      <c r="A50">
        <v>47</v>
      </c>
      <c r="B50">
        <v>2</v>
      </c>
      <c r="C50">
        <v>2</v>
      </c>
      <c r="D50">
        <v>1</v>
      </c>
      <c r="E50">
        <v>1678</v>
      </c>
      <c r="F50">
        <v>2384</v>
      </c>
      <c r="G50">
        <v>2407</v>
      </c>
      <c r="H50">
        <v>1721</v>
      </c>
      <c r="I50">
        <v>97</v>
      </c>
      <c r="J50">
        <v>1697</v>
      </c>
      <c r="K50">
        <v>260</v>
      </c>
      <c r="L50">
        <v>281</v>
      </c>
      <c r="M50">
        <v>355</v>
      </c>
      <c r="N50">
        <v>798</v>
      </c>
      <c r="O50">
        <v>56</v>
      </c>
      <c r="P50">
        <v>24.434972640000002</v>
      </c>
      <c r="Q50">
        <v>13.971156540000001</v>
      </c>
      <c r="R50">
        <v>0.168352894</v>
      </c>
      <c r="S50">
        <v>3264</v>
      </c>
      <c r="T50">
        <v>72</v>
      </c>
      <c r="U50">
        <v>117</v>
      </c>
      <c r="V50">
        <v>1251</v>
      </c>
      <c r="W50">
        <v>518</v>
      </c>
      <c r="X50">
        <v>379</v>
      </c>
      <c r="Y50">
        <v>122</v>
      </c>
      <c r="Z50">
        <v>1061</v>
      </c>
      <c r="AA50">
        <v>1758</v>
      </c>
      <c r="AB50">
        <v>4</v>
      </c>
      <c r="AC50">
        <v>99</v>
      </c>
      <c r="AD50">
        <v>220</v>
      </c>
      <c r="AE50">
        <v>0</v>
      </c>
      <c r="AF50">
        <v>115.28903649999999</v>
      </c>
      <c r="AG50">
        <v>2</v>
      </c>
      <c r="AH50">
        <v>0</v>
      </c>
      <c r="AI50">
        <v>0</v>
      </c>
      <c r="AJ50">
        <v>0</v>
      </c>
      <c r="AK50">
        <v>5.5679800000000004</v>
      </c>
      <c r="AL50">
        <v>1</v>
      </c>
      <c r="AM50">
        <v>0</v>
      </c>
      <c r="AN50">
        <v>1678</v>
      </c>
      <c r="AO50">
        <v>23</v>
      </c>
      <c r="AP50">
        <v>0</v>
      </c>
      <c r="AQ50">
        <v>0</v>
      </c>
    </row>
    <row r="51" spans="1:43" x14ac:dyDescent="0.25">
      <c r="A51">
        <v>48</v>
      </c>
      <c r="B51">
        <v>2</v>
      </c>
      <c r="C51">
        <v>2</v>
      </c>
      <c r="D51">
        <v>1</v>
      </c>
      <c r="E51">
        <v>1983</v>
      </c>
      <c r="F51">
        <v>3305</v>
      </c>
      <c r="G51">
        <v>3317</v>
      </c>
      <c r="H51">
        <v>2156</v>
      </c>
      <c r="I51">
        <v>361</v>
      </c>
      <c r="J51">
        <v>1754</v>
      </c>
      <c r="K51">
        <v>282</v>
      </c>
      <c r="L51">
        <v>149</v>
      </c>
      <c r="M51">
        <v>542</v>
      </c>
      <c r="N51">
        <v>1002</v>
      </c>
      <c r="O51">
        <v>88</v>
      </c>
      <c r="P51">
        <v>40</v>
      </c>
      <c r="Q51">
        <v>6.724374665</v>
      </c>
      <c r="R51">
        <v>0.209375899</v>
      </c>
      <c r="S51">
        <v>1158</v>
      </c>
      <c r="T51">
        <v>102</v>
      </c>
      <c r="U51">
        <v>315</v>
      </c>
      <c r="V51">
        <v>1398</v>
      </c>
      <c r="W51">
        <v>910</v>
      </c>
      <c r="X51">
        <v>579</v>
      </c>
      <c r="Y51">
        <v>84</v>
      </c>
      <c r="Z51">
        <v>292</v>
      </c>
      <c r="AA51">
        <v>615</v>
      </c>
      <c r="AB51">
        <v>2</v>
      </c>
      <c r="AC51">
        <v>96</v>
      </c>
      <c r="AD51">
        <v>69</v>
      </c>
      <c r="AE51">
        <v>0</v>
      </c>
      <c r="AF51">
        <v>0</v>
      </c>
      <c r="AG51">
        <v>2</v>
      </c>
      <c r="AH51">
        <v>613</v>
      </c>
      <c r="AI51">
        <v>0</v>
      </c>
      <c r="AJ51">
        <v>0</v>
      </c>
      <c r="AK51">
        <v>3.27094</v>
      </c>
      <c r="AL51">
        <v>1</v>
      </c>
      <c r="AM51">
        <v>0</v>
      </c>
      <c r="AN51">
        <v>1983</v>
      </c>
      <c r="AO51">
        <v>12</v>
      </c>
      <c r="AP51">
        <v>0</v>
      </c>
      <c r="AQ51">
        <v>0</v>
      </c>
    </row>
    <row r="52" spans="1:43" x14ac:dyDescent="0.25">
      <c r="A52">
        <v>49</v>
      </c>
      <c r="B52">
        <v>2</v>
      </c>
      <c r="C52">
        <v>2</v>
      </c>
      <c r="D52">
        <v>1</v>
      </c>
      <c r="E52">
        <v>2275</v>
      </c>
      <c r="F52">
        <v>3690</v>
      </c>
      <c r="G52">
        <v>3712</v>
      </c>
      <c r="H52">
        <v>2265</v>
      </c>
      <c r="I52">
        <v>657</v>
      </c>
      <c r="J52">
        <v>1757</v>
      </c>
      <c r="K52">
        <v>283</v>
      </c>
      <c r="L52">
        <v>284</v>
      </c>
      <c r="M52">
        <v>469</v>
      </c>
      <c r="N52">
        <v>1247</v>
      </c>
      <c r="O52">
        <v>135</v>
      </c>
      <c r="P52">
        <v>76</v>
      </c>
      <c r="Q52">
        <v>6.3983825909999998</v>
      </c>
      <c r="R52">
        <v>0.30780971800000001</v>
      </c>
      <c r="S52">
        <v>1155</v>
      </c>
      <c r="T52">
        <v>96</v>
      </c>
      <c r="U52">
        <v>298</v>
      </c>
      <c r="V52">
        <v>1195</v>
      </c>
      <c r="W52">
        <v>1130</v>
      </c>
      <c r="X52">
        <v>1007</v>
      </c>
      <c r="Y52">
        <v>7</v>
      </c>
      <c r="Z52">
        <v>199</v>
      </c>
      <c r="AA52">
        <v>877</v>
      </c>
      <c r="AB52">
        <v>1</v>
      </c>
      <c r="AC52">
        <v>27</v>
      </c>
      <c r="AD52">
        <v>44</v>
      </c>
      <c r="AE52">
        <v>0</v>
      </c>
      <c r="AF52">
        <v>0</v>
      </c>
      <c r="AG52">
        <v>2</v>
      </c>
      <c r="AH52">
        <v>469</v>
      </c>
      <c r="AI52">
        <v>0</v>
      </c>
      <c r="AJ52">
        <v>0</v>
      </c>
      <c r="AK52">
        <v>2.4305699999999999</v>
      </c>
      <c r="AL52">
        <v>1</v>
      </c>
      <c r="AM52">
        <v>0</v>
      </c>
      <c r="AN52">
        <v>2275</v>
      </c>
      <c r="AO52">
        <v>22</v>
      </c>
      <c r="AP52">
        <v>0</v>
      </c>
      <c r="AQ52">
        <v>0</v>
      </c>
    </row>
    <row r="53" spans="1:43" x14ac:dyDescent="0.25">
      <c r="A53">
        <v>50</v>
      </c>
      <c r="B53">
        <v>2</v>
      </c>
      <c r="C53">
        <v>2</v>
      </c>
      <c r="D53">
        <v>1</v>
      </c>
      <c r="E53">
        <v>2202</v>
      </c>
      <c r="F53">
        <v>4280</v>
      </c>
      <c r="G53">
        <v>4325</v>
      </c>
      <c r="H53">
        <v>2787</v>
      </c>
      <c r="I53">
        <v>414</v>
      </c>
      <c r="J53">
        <v>1768</v>
      </c>
      <c r="K53">
        <v>198</v>
      </c>
      <c r="L53">
        <v>239</v>
      </c>
      <c r="M53">
        <v>262</v>
      </c>
      <c r="N53">
        <v>1496</v>
      </c>
      <c r="O53">
        <v>121</v>
      </c>
      <c r="P53">
        <v>59.983371409999997</v>
      </c>
      <c r="Q53">
        <v>18.830915210000001</v>
      </c>
      <c r="R53">
        <v>0.16024252899999999</v>
      </c>
      <c r="S53">
        <v>2421</v>
      </c>
      <c r="T53">
        <v>385</v>
      </c>
      <c r="U53">
        <v>457</v>
      </c>
      <c r="V53">
        <v>2110</v>
      </c>
      <c r="W53">
        <v>797</v>
      </c>
      <c r="X53">
        <v>626</v>
      </c>
      <c r="Y53">
        <v>386</v>
      </c>
      <c r="Z53">
        <v>513</v>
      </c>
      <c r="AA53">
        <v>1298</v>
      </c>
      <c r="AB53">
        <v>2</v>
      </c>
      <c r="AC53">
        <v>60</v>
      </c>
      <c r="AD53">
        <v>162</v>
      </c>
      <c r="AE53">
        <v>0</v>
      </c>
      <c r="AF53">
        <v>76.29421533</v>
      </c>
      <c r="AG53">
        <v>2</v>
      </c>
      <c r="AH53">
        <v>0</v>
      </c>
      <c r="AI53">
        <v>0</v>
      </c>
      <c r="AJ53">
        <v>0</v>
      </c>
      <c r="AK53">
        <v>3.3975200000000001</v>
      </c>
      <c r="AL53">
        <v>1</v>
      </c>
      <c r="AM53">
        <v>0</v>
      </c>
      <c r="AN53">
        <v>2202</v>
      </c>
      <c r="AO53">
        <v>45</v>
      </c>
      <c r="AP53">
        <v>0</v>
      </c>
      <c r="AQ53">
        <v>0</v>
      </c>
    </row>
    <row r="54" spans="1:43" x14ac:dyDescent="0.25">
      <c r="A54">
        <v>51</v>
      </c>
      <c r="B54">
        <v>2</v>
      </c>
      <c r="C54">
        <v>2</v>
      </c>
      <c r="D54">
        <v>1</v>
      </c>
      <c r="E54">
        <v>2216</v>
      </c>
      <c r="F54">
        <v>3860</v>
      </c>
      <c r="G54">
        <v>3860</v>
      </c>
      <c r="H54">
        <v>2787</v>
      </c>
      <c r="I54">
        <v>488</v>
      </c>
      <c r="J54">
        <v>1666</v>
      </c>
      <c r="K54">
        <v>259</v>
      </c>
      <c r="L54">
        <v>283</v>
      </c>
      <c r="M54">
        <v>347</v>
      </c>
      <c r="N54">
        <v>1320</v>
      </c>
      <c r="O54">
        <v>107</v>
      </c>
      <c r="P54">
        <v>46</v>
      </c>
      <c r="Q54">
        <v>15.503199889999999</v>
      </c>
      <c r="R54">
        <v>0.19124595899999999</v>
      </c>
      <c r="S54">
        <v>660</v>
      </c>
      <c r="T54">
        <v>79</v>
      </c>
      <c r="U54">
        <v>248</v>
      </c>
      <c r="V54">
        <v>2123</v>
      </c>
      <c r="W54">
        <v>997</v>
      </c>
      <c r="X54">
        <v>345</v>
      </c>
      <c r="Y54">
        <v>12</v>
      </c>
      <c r="Z54">
        <v>118</v>
      </c>
      <c r="AA54">
        <v>383</v>
      </c>
      <c r="AB54">
        <v>1</v>
      </c>
      <c r="AC54">
        <v>56</v>
      </c>
      <c r="AD54">
        <v>90</v>
      </c>
      <c r="AE54">
        <v>0</v>
      </c>
      <c r="AF54">
        <v>0</v>
      </c>
      <c r="AG54">
        <v>2</v>
      </c>
      <c r="AH54">
        <v>0</v>
      </c>
      <c r="AI54">
        <v>0</v>
      </c>
      <c r="AJ54">
        <v>0</v>
      </c>
      <c r="AK54">
        <v>2.2521100000000001</v>
      </c>
      <c r="AL54">
        <v>3</v>
      </c>
      <c r="AM54">
        <v>0</v>
      </c>
      <c r="AN54">
        <v>2216</v>
      </c>
      <c r="AO54">
        <v>0</v>
      </c>
      <c r="AP54">
        <v>0</v>
      </c>
      <c r="AQ54">
        <v>0</v>
      </c>
    </row>
    <row r="55" spans="1:43" x14ac:dyDescent="0.25">
      <c r="A55">
        <v>52</v>
      </c>
      <c r="B55">
        <v>2</v>
      </c>
      <c r="C55">
        <v>2</v>
      </c>
      <c r="D55">
        <v>1</v>
      </c>
      <c r="E55">
        <v>1373</v>
      </c>
      <c r="F55">
        <v>3855</v>
      </c>
      <c r="G55">
        <v>3855</v>
      </c>
      <c r="H55">
        <v>2208</v>
      </c>
      <c r="I55">
        <v>373</v>
      </c>
      <c r="J55">
        <v>899</v>
      </c>
      <c r="K55">
        <v>69</v>
      </c>
      <c r="L55">
        <v>220</v>
      </c>
      <c r="M55">
        <v>189</v>
      </c>
      <c r="N55">
        <v>903</v>
      </c>
      <c r="O55">
        <v>1491</v>
      </c>
      <c r="P55">
        <v>57</v>
      </c>
      <c r="Q55">
        <v>280</v>
      </c>
      <c r="R55">
        <v>3.9220647999999997E-2</v>
      </c>
      <c r="S55">
        <v>5919</v>
      </c>
      <c r="T55">
        <v>447</v>
      </c>
      <c r="U55">
        <v>558</v>
      </c>
      <c r="V55">
        <v>1885</v>
      </c>
      <c r="W55">
        <v>688</v>
      </c>
      <c r="X55">
        <v>139</v>
      </c>
      <c r="Y55">
        <v>311</v>
      </c>
      <c r="Z55">
        <v>1822</v>
      </c>
      <c r="AA55">
        <v>1992</v>
      </c>
      <c r="AB55">
        <v>3</v>
      </c>
      <c r="AC55">
        <v>360</v>
      </c>
      <c r="AD55">
        <v>1431</v>
      </c>
      <c r="AE55">
        <v>0</v>
      </c>
      <c r="AF55">
        <v>0</v>
      </c>
      <c r="AG55">
        <v>3</v>
      </c>
      <c r="AH55">
        <v>472</v>
      </c>
      <c r="AI55">
        <v>0</v>
      </c>
      <c r="AJ55">
        <v>0</v>
      </c>
      <c r="AK55">
        <v>1.7197499999999999</v>
      </c>
      <c r="AL55">
        <v>1</v>
      </c>
      <c r="AM55">
        <v>0</v>
      </c>
      <c r="AN55">
        <v>1373</v>
      </c>
      <c r="AO55">
        <v>0</v>
      </c>
      <c r="AP55">
        <v>0</v>
      </c>
      <c r="AQ55">
        <v>0</v>
      </c>
    </row>
    <row r="56" spans="1:43" x14ac:dyDescent="0.25">
      <c r="A56">
        <v>53</v>
      </c>
      <c r="B56">
        <v>2</v>
      </c>
      <c r="C56">
        <v>2</v>
      </c>
      <c r="D56">
        <v>1</v>
      </c>
      <c r="E56">
        <v>29</v>
      </c>
      <c r="F56">
        <v>40</v>
      </c>
      <c r="G56">
        <v>276</v>
      </c>
      <c r="H56">
        <v>34</v>
      </c>
      <c r="I56">
        <v>4</v>
      </c>
      <c r="J56">
        <v>23</v>
      </c>
      <c r="K56">
        <v>11</v>
      </c>
      <c r="L56">
        <v>0</v>
      </c>
      <c r="M56">
        <v>14</v>
      </c>
      <c r="N56">
        <v>3</v>
      </c>
      <c r="O56">
        <v>1097</v>
      </c>
      <c r="P56">
        <v>5</v>
      </c>
      <c r="Q56">
        <v>13.15494032</v>
      </c>
      <c r="R56">
        <v>0</v>
      </c>
      <c r="S56">
        <v>1091</v>
      </c>
      <c r="T56">
        <v>0</v>
      </c>
      <c r="U56">
        <v>0</v>
      </c>
      <c r="V56">
        <v>29</v>
      </c>
      <c r="W56">
        <v>6</v>
      </c>
      <c r="X56">
        <v>0</v>
      </c>
      <c r="Y56">
        <v>5</v>
      </c>
      <c r="Z56">
        <v>65</v>
      </c>
      <c r="AA56">
        <v>983</v>
      </c>
      <c r="AB56">
        <v>0</v>
      </c>
      <c r="AC56">
        <v>8</v>
      </c>
      <c r="AD56">
        <v>30</v>
      </c>
      <c r="AE56">
        <v>0</v>
      </c>
      <c r="AF56">
        <v>0</v>
      </c>
      <c r="AG56">
        <v>3</v>
      </c>
      <c r="AH56">
        <v>0</v>
      </c>
      <c r="AI56">
        <v>0</v>
      </c>
      <c r="AJ56">
        <v>0</v>
      </c>
      <c r="AK56">
        <v>7.99437</v>
      </c>
      <c r="AL56">
        <v>2</v>
      </c>
      <c r="AM56">
        <v>0</v>
      </c>
      <c r="AN56">
        <v>29</v>
      </c>
      <c r="AO56">
        <v>236</v>
      </c>
      <c r="AP56">
        <v>0</v>
      </c>
      <c r="AQ56">
        <v>0</v>
      </c>
    </row>
    <row r="57" spans="1:43" x14ac:dyDescent="0.25">
      <c r="A57">
        <v>54</v>
      </c>
      <c r="B57">
        <v>2</v>
      </c>
      <c r="C57">
        <v>2</v>
      </c>
      <c r="D57">
        <v>1</v>
      </c>
      <c r="E57">
        <v>2932</v>
      </c>
      <c r="F57">
        <v>6417</v>
      </c>
      <c r="G57">
        <v>6516</v>
      </c>
      <c r="H57">
        <v>3489</v>
      </c>
      <c r="I57">
        <v>1159</v>
      </c>
      <c r="J57">
        <v>1634</v>
      </c>
      <c r="K57">
        <v>770</v>
      </c>
      <c r="L57">
        <v>619</v>
      </c>
      <c r="M57">
        <v>509</v>
      </c>
      <c r="N57">
        <v>1042</v>
      </c>
      <c r="O57">
        <v>257</v>
      </c>
      <c r="P57">
        <v>105</v>
      </c>
      <c r="Q57">
        <v>6.0718773300000004</v>
      </c>
      <c r="R57">
        <v>0.230002807</v>
      </c>
      <c r="S57">
        <v>1108</v>
      </c>
      <c r="T57">
        <v>315</v>
      </c>
      <c r="U57">
        <v>971</v>
      </c>
      <c r="V57">
        <v>2570</v>
      </c>
      <c r="W57">
        <v>1468</v>
      </c>
      <c r="X57">
        <v>1435</v>
      </c>
      <c r="Y57">
        <v>193</v>
      </c>
      <c r="Z57">
        <v>227</v>
      </c>
      <c r="AA57">
        <v>536</v>
      </c>
      <c r="AB57">
        <v>2</v>
      </c>
      <c r="AC57">
        <v>70</v>
      </c>
      <c r="AD57">
        <v>80</v>
      </c>
      <c r="AE57">
        <v>0</v>
      </c>
      <c r="AF57">
        <v>0</v>
      </c>
      <c r="AG57">
        <v>3</v>
      </c>
      <c r="AH57">
        <v>0</v>
      </c>
      <c r="AI57">
        <v>0</v>
      </c>
      <c r="AJ57">
        <v>0</v>
      </c>
      <c r="AK57">
        <v>2.3014399999999999</v>
      </c>
      <c r="AL57">
        <v>1</v>
      </c>
      <c r="AM57">
        <v>0</v>
      </c>
      <c r="AN57">
        <v>2932</v>
      </c>
      <c r="AO57">
        <v>99</v>
      </c>
      <c r="AP57">
        <v>0</v>
      </c>
      <c r="AQ57">
        <v>0</v>
      </c>
    </row>
    <row r="58" spans="1:43" x14ac:dyDescent="0.25">
      <c r="A58">
        <v>55</v>
      </c>
      <c r="B58">
        <v>2</v>
      </c>
      <c r="C58">
        <v>2</v>
      </c>
      <c r="D58">
        <v>1</v>
      </c>
      <c r="E58">
        <v>1517</v>
      </c>
      <c r="F58">
        <v>3154</v>
      </c>
      <c r="G58">
        <v>3154</v>
      </c>
      <c r="H58">
        <v>1635</v>
      </c>
      <c r="I58">
        <v>681</v>
      </c>
      <c r="J58">
        <v>826</v>
      </c>
      <c r="K58">
        <v>354</v>
      </c>
      <c r="L58">
        <v>366</v>
      </c>
      <c r="M58">
        <v>271</v>
      </c>
      <c r="N58">
        <v>511</v>
      </c>
      <c r="O58">
        <v>97</v>
      </c>
      <c r="P58">
        <v>58</v>
      </c>
      <c r="Q58">
        <v>1.0682231499999999</v>
      </c>
      <c r="R58">
        <v>0.24559805700000001</v>
      </c>
      <c r="S58">
        <v>347</v>
      </c>
      <c r="T58">
        <v>58</v>
      </c>
      <c r="U58">
        <v>318</v>
      </c>
      <c r="V58">
        <v>1170</v>
      </c>
      <c r="W58">
        <v>899</v>
      </c>
      <c r="X58">
        <v>651</v>
      </c>
      <c r="Y58">
        <v>32</v>
      </c>
      <c r="Z58">
        <v>71</v>
      </c>
      <c r="AA58">
        <v>200</v>
      </c>
      <c r="AB58">
        <v>1</v>
      </c>
      <c r="AC58">
        <v>15</v>
      </c>
      <c r="AD58">
        <v>28</v>
      </c>
      <c r="AE58">
        <v>0</v>
      </c>
      <c r="AF58">
        <v>0</v>
      </c>
      <c r="AG58">
        <v>3</v>
      </c>
      <c r="AH58">
        <v>0</v>
      </c>
      <c r="AI58">
        <v>0</v>
      </c>
      <c r="AJ58">
        <v>0</v>
      </c>
      <c r="AK58">
        <v>2.1490200000000002</v>
      </c>
      <c r="AL58">
        <v>1</v>
      </c>
      <c r="AM58">
        <v>0</v>
      </c>
      <c r="AN58">
        <v>1517</v>
      </c>
      <c r="AO58">
        <v>0</v>
      </c>
      <c r="AP58">
        <v>0</v>
      </c>
      <c r="AQ58">
        <v>0</v>
      </c>
    </row>
    <row r="59" spans="1:43" x14ac:dyDescent="0.25">
      <c r="A59">
        <v>56</v>
      </c>
      <c r="B59">
        <v>2</v>
      </c>
      <c r="C59">
        <v>2</v>
      </c>
      <c r="D59">
        <v>1</v>
      </c>
      <c r="E59">
        <v>32</v>
      </c>
      <c r="F59">
        <v>53</v>
      </c>
      <c r="G59">
        <v>53</v>
      </c>
      <c r="H59">
        <v>48</v>
      </c>
      <c r="I59">
        <v>27</v>
      </c>
      <c r="J59">
        <v>10</v>
      </c>
      <c r="K59">
        <v>3</v>
      </c>
      <c r="L59">
        <v>7</v>
      </c>
      <c r="M59">
        <v>5</v>
      </c>
      <c r="N59">
        <v>17</v>
      </c>
      <c r="O59">
        <v>250</v>
      </c>
      <c r="P59">
        <v>2</v>
      </c>
      <c r="Q59">
        <v>157</v>
      </c>
      <c r="R59">
        <v>0.72727272700000001</v>
      </c>
      <c r="S59">
        <v>3030</v>
      </c>
      <c r="T59">
        <v>2</v>
      </c>
      <c r="U59">
        <v>3</v>
      </c>
      <c r="V59">
        <v>23</v>
      </c>
      <c r="W59">
        <v>49</v>
      </c>
      <c r="X59">
        <v>149</v>
      </c>
      <c r="Y59">
        <v>26</v>
      </c>
      <c r="Z59">
        <v>176</v>
      </c>
      <c r="AA59">
        <v>2809</v>
      </c>
      <c r="AB59">
        <v>0</v>
      </c>
      <c r="AC59">
        <v>8</v>
      </c>
      <c r="AD59">
        <v>11</v>
      </c>
      <c r="AE59">
        <v>0</v>
      </c>
      <c r="AF59">
        <v>0</v>
      </c>
      <c r="AG59">
        <v>3</v>
      </c>
      <c r="AH59">
        <v>0</v>
      </c>
      <c r="AI59">
        <v>0</v>
      </c>
      <c r="AJ59">
        <v>0</v>
      </c>
      <c r="AK59">
        <v>1.63626</v>
      </c>
      <c r="AL59">
        <v>1</v>
      </c>
      <c r="AM59">
        <v>0</v>
      </c>
      <c r="AN59">
        <v>32</v>
      </c>
      <c r="AO59">
        <v>0</v>
      </c>
      <c r="AP59">
        <v>0</v>
      </c>
      <c r="AQ59">
        <v>0</v>
      </c>
    </row>
    <row r="60" spans="1:43" x14ac:dyDescent="0.25">
      <c r="A60">
        <v>57</v>
      </c>
      <c r="B60">
        <v>2</v>
      </c>
      <c r="C60">
        <v>2</v>
      </c>
      <c r="D60">
        <v>1</v>
      </c>
      <c r="E60">
        <v>905</v>
      </c>
      <c r="F60">
        <v>2267</v>
      </c>
      <c r="G60">
        <v>2267</v>
      </c>
      <c r="H60">
        <v>1195</v>
      </c>
      <c r="I60">
        <v>701</v>
      </c>
      <c r="J60">
        <v>226</v>
      </c>
      <c r="K60">
        <v>88</v>
      </c>
      <c r="L60">
        <v>75</v>
      </c>
      <c r="M60">
        <v>158</v>
      </c>
      <c r="N60">
        <v>589</v>
      </c>
      <c r="O60">
        <v>137</v>
      </c>
      <c r="P60">
        <v>80.162703100000002</v>
      </c>
      <c r="Q60">
        <v>3.304232743</v>
      </c>
      <c r="R60">
        <v>0.26959114099999998</v>
      </c>
      <c r="S60">
        <v>449</v>
      </c>
      <c r="T60">
        <v>128</v>
      </c>
      <c r="U60">
        <v>412</v>
      </c>
      <c r="V60">
        <v>494</v>
      </c>
      <c r="W60">
        <v>639</v>
      </c>
      <c r="X60">
        <v>547</v>
      </c>
      <c r="Y60">
        <v>7</v>
      </c>
      <c r="Z60">
        <v>112</v>
      </c>
      <c r="AA60">
        <v>268</v>
      </c>
      <c r="AB60">
        <v>1</v>
      </c>
      <c r="AC60">
        <v>31</v>
      </c>
      <c r="AD60">
        <v>30</v>
      </c>
      <c r="AE60">
        <v>0</v>
      </c>
      <c r="AF60">
        <v>0</v>
      </c>
      <c r="AG60">
        <v>3</v>
      </c>
      <c r="AH60">
        <v>0</v>
      </c>
      <c r="AI60">
        <v>0</v>
      </c>
      <c r="AJ60">
        <v>0</v>
      </c>
      <c r="AK60">
        <v>1.4714100000000001</v>
      </c>
      <c r="AL60">
        <v>1</v>
      </c>
      <c r="AM60">
        <v>0</v>
      </c>
      <c r="AN60">
        <v>905</v>
      </c>
      <c r="AO60">
        <v>0</v>
      </c>
      <c r="AP60">
        <v>0</v>
      </c>
      <c r="AQ60">
        <v>0</v>
      </c>
    </row>
    <row r="61" spans="1:43" x14ac:dyDescent="0.25">
      <c r="A61">
        <v>58</v>
      </c>
      <c r="B61">
        <v>2</v>
      </c>
      <c r="C61">
        <v>2</v>
      </c>
      <c r="D61">
        <v>1</v>
      </c>
      <c r="E61">
        <v>2614</v>
      </c>
      <c r="F61">
        <v>5058</v>
      </c>
      <c r="G61">
        <v>5117</v>
      </c>
      <c r="H61">
        <v>2930</v>
      </c>
      <c r="I61">
        <v>441</v>
      </c>
      <c r="J61">
        <v>2022</v>
      </c>
      <c r="K61">
        <v>768</v>
      </c>
      <c r="L61">
        <v>576</v>
      </c>
      <c r="M61">
        <v>583</v>
      </c>
      <c r="N61">
        <v>676</v>
      </c>
      <c r="O61">
        <v>104</v>
      </c>
      <c r="P61">
        <v>54.438332729999999</v>
      </c>
      <c r="Q61">
        <v>13.62979009</v>
      </c>
      <c r="R61">
        <v>0.291642762</v>
      </c>
      <c r="S61">
        <v>1072</v>
      </c>
      <c r="T61">
        <v>232</v>
      </c>
      <c r="U61">
        <v>499</v>
      </c>
      <c r="V61">
        <v>1640</v>
      </c>
      <c r="W61">
        <v>1457</v>
      </c>
      <c r="X61">
        <v>1151</v>
      </c>
      <c r="Y61">
        <v>59</v>
      </c>
      <c r="Z61">
        <v>195</v>
      </c>
      <c r="AA61">
        <v>706</v>
      </c>
      <c r="AB61">
        <v>2</v>
      </c>
      <c r="AC61">
        <v>43</v>
      </c>
      <c r="AD61">
        <v>67</v>
      </c>
      <c r="AE61">
        <v>0</v>
      </c>
      <c r="AF61">
        <v>51.427952560000001</v>
      </c>
      <c r="AG61">
        <v>3</v>
      </c>
      <c r="AH61">
        <v>4</v>
      </c>
      <c r="AI61">
        <v>0</v>
      </c>
      <c r="AJ61">
        <v>0</v>
      </c>
      <c r="AK61">
        <v>2.9495100000000001</v>
      </c>
      <c r="AL61">
        <v>1</v>
      </c>
      <c r="AM61">
        <v>0</v>
      </c>
      <c r="AN61">
        <v>2614</v>
      </c>
      <c r="AO61">
        <v>59</v>
      </c>
      <c r="AP61">
        <v>0</v>
      </c>
      <c r="AQ61">
        <v>0</v>
      </c>
    </row>
    <row r="62" spans="1:43" x14ac:dyDescent="0.25">
      <c r="A62">
        <v>59</v>
      </c>
      <c r="B62">
        <v>2</v>
      </c>
      <c r="C62">
        <v>2</v>
      </c>
      <c r="D62">
        <v>1</v>
      </c>
      <c r="E62">
        <v>3290</v>
      </c>
      <c r="F62">
        <v>7910</v>
      </c>
      <c r="G62">
        <v>7933</v>
      </c>
      <c r="H62">
        <v>4474</v>
      </c>
      <c r="I62">
        <v>1341</v>
      </c>
      <c r="J62">
        <v>1736</v>
      </c>
      <c r="K62">
        <v>666</v>
      </c>
      <c r="L62">
        <v>613</v>
      </c>
      <c r="M62">
        <v>667</v>
      </c>
      <c r="N62">
        <v>1353</v>
      </c>
      <c r="O62">
        <v>200</v>
      </c>
      <c r="P62">
        <v>110.11585239999999</v>
      </c>
      <c r="Q62">
        <v>24.48487579</v>
      </c>
      <c r="R62">
        <v>0.230035037</v>
      </c>
      <c r="S62">
        <v>1153</v>
      </c>
      <c r="T62">
        <v>477</v>
      </c>
      <c r="U62">
        <v>883</v>
      </c>
      <c r="V62">
        <v>2766</v>
      </c>
      <c r="W62">
        <v>2210</v>
      </c>
      <c r="X62">
        <v>1471</v>
      </c>
      <c r="Y62">
        <v>39</v>
      </c>
      <c r="Z62">
        <v>206</v>
      </c>
      <c r="AA62">
        <v>762</v>
      </c>
      <c r="AB62">
        <v>5</v>
      </c>
      <c r="AC62">
        <v>44</v>
      </c>
      <c r="AD62">
        <v>97</v>
      </c>
      <c r="AE62">
        <v>0</v>
      </c>
      <c r="AF62">
        <v>16.95427007</v>
      </c>
      <c r="AG62">
        <v>3</v>
      </c>
      <c r="AH62">
        <v>2068</v>
      </c>
      <c r="AI62">
        <v>0</v>
      </c>
      <c r="AJ62">
        <v>0</v>
      </c>
      <c r="AK62">
        <v>2.44767</v>
      </c>
      <c r="AL62">
        <v>1</v>
      </c>
      <c r="AM62">
        <v>0</v>
      </c>
      <c r="AN62">
        <v>3290</v>
      </c>
      <c r="AO62">
        <v>23</v>
      </c>
      <c r="AP62">
        <v>0</v>
      </c>
      <c r="AQ62">
        <v>0</v>
      </c>
    </row>
    <row r="63" spans="1:43" x14ac:dyDescent="0.25">
      <c r="A63">
        <v>60</v>
      </c>
      <c r="B63">
        <v>2</v>
      </c>
      <c r="C63">
        <v>2</v>
      </c>
      <c r="D63">
        <v>1</v>
      </c>
      <c r="E63">
        <v>1658</v>
      </c>
      <c r="F63">
        <v>3607</v>
      </c>
      <c r="G63">
        <v>3613</v>
      </c>
      <c r="H63">
        <v>1942</v>
      </c>
      <c r="I63">
        <v>535</v>
      </c>
      <c r="J63">
        <v>1003</v>
      </c>
      <c r="K63">
        <v>320</v>
      </c>
      <c r="L63">
        <v>474</v>
      </c>
      <c r="M63">
        <v>302</v>
      </c>
      <c r="N63">
        <v>556</v>
      </c>
      <c r="O63">
        <v>87</v>
      </c>
      <c r="P63">
        <v>55</v>
      </c>
      <c r="Q63">
        <v>2.4619448789999998</v>
      </c>
      <c r="R63">
        <v>0.26464148900000001</v>
      </c>
      <c r="S63">
        <v>661</v>
      </c>
      <c r="T63">
        <v>163</v>
      </c>
      <c r="U63">
        <v>392</v>
      </c>
      <c r="V63">
        <v>1169</v>
      </c>
      <c r="W63">
        <v>968</v>
      </c>
      <c r="X63">
        <v>769</v>
      </c>
      <c r="Y63">
        <v>18</v>
      </c>
      <c r="Z63">
        <v>86</v>
      </c>
      <c r="AA63">
        <v>513</v>
      </c>
      <c r="AB63">
        <v>1</v>
      </c>
      <c r="AC63">
        <v>14</v>
      </c>
      <c r="AD63">
        <v>29</v>
      </c>
      <c r="AE63">
        <v>0</v>
      </c>
      <c r="AF63">
        <v>0</v>
      </c>
      <c r="AG63">
        <v>2</v>
      </c>
      <c r="AH63">
        <v>0</v>
      </c>
      <c r="AI63">
        <v>0</v>
      </c>
      <c r="AJ63">
        <v>0</v>
      </c>
      <c r="AK63">
        <v>2.3279000000000001</v>
      </c>
      <c r="AL63">
        <v>1</v>
      </c>
      <c r="AM63">
        <v>0</v>
      </c>
      <c r="AN63">
        <v>1658</v>
      </c>
      <c r="AO63">
        <v>6</v>
      </c>
      <c r="AP63">
        <v>0</v>
      </c>
      <c r="AQ63">
        <v>0</v>
      </c>
    </row>
    <row r="64" spans="1:43" x14ac:dyDescent="0.25">
      <c r="A64">
        <v>61</v>
      </c>
      <c r="B64">
        <v>2</v>
      </c>
      <c r="C64">
        <v>2</v>
      </c>
      <c r="D64">
        <v>1</v>
      </c>
      <c r="E64">
        <v>2114</v>
      </c>
      <c r="F64">
        <v>4777</v>
      </c>
      <c r="G64">
        <v>4777</v>
      </c>
      <c r="H64">
        <v>2526</v>
      </c>
      <c r="I64">
        <v>556</v>
      </c>
      <c r="J64">
        <v>1380</v>
      </c>
      <c r="K64">
        <v>560</v>
      </c>
      <c r="L64">
        <v>430</v>
      </c>
      <c r="M64">
        <v>418</v>
      </c>
      <c r="N64">
        <v>692</v>
      </c>
      <c r="O64">
        <v>90</v>
      </c>
      <c r="P64">
        <v>54</v>
      </c>
      <c r="Q64">
        <v>6.3970276210000003</v>
      </c>
      <c r="R64">
        <v>0.227310231</v>
      </c>
      <c r="S64">
        <v>977</v>
      </c>
      <c r="T64">
        <v>282</v>
      </c>
      <c r="U64">
        <v>589</v>
      </c>
      <c r="V64">
        <v>1864</v>
      </c>
      <c r="W64">
        <v>1075</v>
      </c>
      <c r="X64">
        <v>769</v>
      </c>
      <c r="Y64">
        <v>32</v>
      </c>
      <c r="Z64">
        <v>328</v>
      </c>
      <c r="AA64">
        <v>535</v>
      </c>
      <c r="AB64">
        <v>1</v>
      </c>
      <c r="AC64">
        <v>27</v>
      </c>
      <c r="AD64">
        <v>54</v>
      </c>
      <c r="AE64">
        <v>0</v>
      </c>
      <c r="AF64">
        <v>61.600514599999997</v>
      </c>
      <c r="AG64">
        <v>2</v>
      </c>
      <c r="AH64">
        <v>0</v>
      </c>
      <c r="AI64">
        <v>0</v>
      </c>
      <c r="AJ64">
        <v>0</v>
      </c>
      <c r="AK64">
        <v>2.59544</v>
      </c>
      <c r="AL64">
        <v>1</v>
      </c>
      <c r="AM64">
        <v>0</v>
      </c>
      <c r="AN64">
        <v>2114</v>
      </c>
      <c r="AO64">
        <v>0</v>
      </c>
      <c r="AP64">
        <v>0</v>
      </c>
      <c r="AQ64">
        <v>0</v>
      </c>
    </row>
    <row r="65" spans="1:43" x14ac:dyDescent="0.25">
      <c r="A65">
        <v>62</v>
      </c>
      <c r="B65">
        <v>2</v>
      </c>
      <c r="C65">
        <v>2</v>
      </c>
      <c r="D65">
        <v>1</v>
      </c>
      <c r="E65">
        <v>3064</v>
      </c>
      <c r="F65">
        <v>6578</v>
      </c>
      <c r="G65">
        <v>6593</v>
      </c>
      <c r="H65">
        <v>3618</v>
      </c>
      <c r="I65">
        <v>740</v>
      </c>
      <c r="J65">
        <v>2485</v>
      </c>
      <c r="K65">
        <v>581</v>
      </c>
      <c r="L65">
        <v>595</v>
      </c>
      <c r="M65">
        <v>813</v>
      </c>
      <c r="N65">
        <v>1088</v>
      </c>
      <c r="O65">
        <v>158</v>
      </c>
      <c r="P65">
        <v>80.352794500000002</v>
      </c>
      <c r="Q65">
        <v>17.445133500000001</v>
      </c>
      <c r="R65">
        <v>0.226033295</v>
      </c>
      <c r="S65">
        <v>1704</v>
      </c>
      <c r="T65">
        <v>304</v>
      </c>
      <c r="U65">
        <v>720</v>
      </c>
      <c r="V65">
        <v>2623</v>
      </c>
      <c r="W65">
        <v>1591</v>
      </c>
      <c r="X65">
        <v>1342</v>
      </c>
      <c r="Y65">
        <v>136</v>
      </c>
      <c r="Z65">
        <v>333</v>
      </c>
      <c r="AA65">
        <v>1058</v>
      </c>
      <c r="AB65">
        <v>2</v>
      </c>
      <c r="AC65">
        <v>82</v>
      </c>
      <c r="AD65">
        <v>93</v>
      </c>
      <c r="AE65">
        <v>100.0301934</v>
      </c>
      <c r="AF65">
        <v>86.466777379999996</v>
      </c>
      <c r="AG65">
        <v>2</v>
      </c>
      <c r="AH65">
        <v>0</v>
      </c>
      <c r="AI65">
        <v>0</v>
      </c>
      <c r="AJ65">
        <v>0</v>
      </c>
      <c r="AK65">
        <v>2.87229</v>
      </c>
      <c r="AL65">
        <v>2</v>
      </c>
      <c r="AM65">
        <v>0</v>
      </c>
      <c r="AN65">
        <v>3064</v>
      </c>
      <c r="AO65">
        <v>15</v>
      </c>
      <c r="AP65">
        <v>0</v>
      </c>
      <c r="AQ65">
        <v>0</v>
      </c>
    </row>
    <row r="66" spans="1:43" x14ac:dyDescent="0.25">
      <c r="A66">
        <v>63</v>
      </c>
      <c r="B66">
        <v>2</v>
      </c>
      <c r="C66">
        <v>2</v>
      </c>
      <c r="D66">
        <v>1</v>
      </c>
      <c r="E66">
        <v>2311</v>
      </c>
      <c r="F66">
        <v>5197</v>
      </c>
      <c r="G66">
        <v>5215</v>
      </c>
      <c r="H66">
        <v>3103</v>
      </c>
      <c r="I66">
        <v>721</v>
      </c>
      <c r="J66">
        <v>1582</v>
      </c>
      <c r="K66">
        <v>304</v>
      </c>
      <c r="L66">
        <v>324</v>
      </c>
      <c r="M66">
        <v>634</v>
      </c>
      <c r="N66">
        <v>1042</v>
      </c>
      <c r="O66">
        <v>129</v>
      </c>
      <c r="P66">
        <v>71</v>
      </c>
      <c r="Q66">
        <v>7.3272106880000001</v>
      </c>
      <c r="R66">
        <v>0.21304432700000001</v>
      </c>
      <c r="S66">
        <v>908</v>
      </c>
      <c r="T66">
        <v>338</v>
      </c>
      <c r="U66">
        <v>582</v>
      </c>
      <c r="V66">
        <v>1741</v>
      </c>
      <c r="W66">
        <v>1341</v>
      </c>
      <c r="X66">
        <v>846</v>
      </c>
      <c r="Y66">
        <v>76</v>
      </c>
      <c r="Z66">
        <v>251</v>
      </c>
      <c r="AA66">
        <v>422</v>
      </c>
      <c r="AB66">
        <v>1</v>
      </c>
      <c r="AC66">
        <v>34</v>
      </c>
      <c r="AD66">
        <v>124</v>
      </c>
      <c r="AE66">
        <v>0</v>
      </c>
      <c r="AF66">
        <v>33.90854015</v>
      </c>
      <c r="AG66">
        <v>2</v>
      </c>
      <c r="AH66">
        <v>0</v>
      </c>
      <c r="AI66">
        <v>0</v>
      </c>
      <c r="AJ66">
        <v>0</v>
      </c>
      <c r="AK66">
        <v>2.5247299999999999</v>
      </c>
      <c r="AL66">
        <v>1</v>
      </c>
      <c r="AM66">
        <v>0</v>
      </c>
      <c r="AN66">
        <v>2311</v>
      </c>
      <c r="AO66">
        <v>18</v>
      </c>
      <c r="AP66">
        <v>0</v>
      </c>
      <c r="AQ66">
        <v>0</v>
      </c>
    </row>
    <row r="67" spans="1:43" x14ac:dyDescent="0.25">
      <c r="A67">
        <v>64</v>
      </c>
      <c r="B67">
        <v>2</v>
      </c>
      <c r="C67">
        <v>2</v>
      </c>
      <c r="D67">
        <v>1</v>
      </c>
      <c r="E67">
        <v>2839</v>
      </c>
      <c r="F67">
        <v>6448</v>
      </c>
      <c r="G67">
        <v>6462</v>
      </c>
      <c r="H67">
        <v>3597</v>
      </c>
      <c r="I67">
        <v>766</v>
      </c>
      <c r="J67">
        <v>1891</v>
      </c>
      <c r="K67">
        <v>603</v>
      </c>
      <c r="L67">
        <v>535</v>
      </c>
      <c r="M67">
        <v>417</v>
      </c>
      <c r="N67">
        <v>1276</v>
      </c>
      <c r="O67">
        <v>146</v>
      </c>
      <c r="P67">
        <v>80</v>
      </c>
      <c r="Q67">
        <v>8.6870449050000005</v>
      </c>
      <c r="R67">
        <v>0.21355617499999999</v>
      </c>
      <c r="S67">
        <v>929</v>
      </c>
      <c r="T67">
        <v>503</v>
      </c>
      <c r="U67">
        <v>569</v>
      </c>
      <c r="V67">
        <v>2682</v>
      </c>
      <c r="W67">
        <v>1161</v>
      </c>
      <c r="X67">
        <v>1202</v>
      </c>
      <c r="Y67">
        <v>129</v>
      </c>
      <c r="Z67">
        <v>195</v>
      </c>
      <c r="AA67">
        <v>487</v>
      </c>
      <c r="AB67">
        <v>2</v>
      </c>
      <c r="AC67">
        <v>33</v>
      </c>
      <c r="AD67">
        <v>83</v>
      </c>
      <c r="AE67">
        <v>0</v>
      </c>
      <c r="AF67">
        <v>36.734251829999998</v>
      </c>
      <c r="AG67">
        <v>2</v>
      </c>
      <c r="AH67">
        <v>0</v>
      </c>
      <c r="AI67">
        <v>0</v>
      </c>
      <c r="AJ67">
        <v>0</v>
      </c>
      <c r="AK67">
        <v>4.0968499999999999</v>
      </c>
      <c r="AL67">
        <v>2</v>
      </c>
      <c r="AM67">
        <v>0</v>
      </c>
      <c r="AN67">
        <v>2839</v>
      </c>
      <c r="AO67">
        <v>14</v>
      </c>
      <c r="AP67">
        <v>0</v>
      </c>
      <c r="AQ67">
        <v>0</v>
      </c>
    </row>
    <row r="68" spans="1:43" x14ac:dyDescent="0.25">
      <c r="A68">
        <v>65</v>
      </c>
      <c r="B68">
        <v>2</v>
      </c>
      <c r="C68">
        <v>2</v>
      </c>
      <c r="D68">
        <v>1</v>
      </c>
      <c r="E68">
        <v>2455</v>
      </c>
      <c r="F68">
        <v>5101</v>
      </c>
      <c r="G68">
        <v>5176</v>
      </c>
      <c r="H68">
        <v>3170</v>
      </c>
      <c r="I68">
        <v>578</v>
      </c>
      <c r="J68">
        <v>1838</v>
      </c>
      <c r="K68">
        <v>289</v>
      </c>
      <c r="L68">
        <v>566</v>
      </c>
      <c r="M68">
        <v>347</v>
      </c>
      <c r="N68">
        <v>1262</v>
      </c>
      <c r="O68">
        <v>136</v>
      </c>
      <c r="P68">
        <v>56</v>
      </c>
      <c r="Q68">
        <v>19.566059939999999</v>
      </c>
      <c r="R68">
        <v>0.24670570999999999</v>
      </c>
      <c r="S68">
        <v>1937</v>
      </c>
      <c r="T68">
        <v>203</v>
      </c>
      <c r="U68">
        <v>572</v>
      </c>
      <c r="V68">
        <v>1938</v>
      </c>
      <c r="W68">
        <v>1359</v>
      </c>
      <c r="X68">
        <v>1091</v>
      </c>
      <c r="Y68">
        <v>201</v>
      </c>
      <c r="Z68">
        <v>475</v>
      </c>
      <c r="AA68">
        <v>1011</v>
      </c>
      <c r="AB68">
        <v>6</v>
      </c>
      <c r="AC68">
        <v>73</v>
      </c>
      <c r="AD68">
        <v>171</v>
      </c>
      <c r="AE68">
        <v>0</v>
      </c>
      <c r="AF68">
        <v>73.468503650000002</v>
      </c>
      <c r="AG68">
        <v>2</v>
      </c>
      <c r="AH68">
        <v>15</v>
      </c>
      <c r="AI68">
        <v>0</v>
      </c>
      <c r="AJ68">
        <v>0</v>
      </c>
      <c r="AK68">
        <v>3.6322999999999999</v>
      </c>
      <c r="AL68">
        <v>2</v>
      </c>
      <c r="AM68">
        <v>0</v>
      </c>
      <c r="AN68">
        <v>2455</v>
      </c>
      <c r="AO68">
        <v>75</v>
      </c>
      <c r="AP68">
        <v>0</v>
      </c>
      <c r="AQ68">
        <v>0</v>
      </c>
    </row>
    <row r="69" spans="1:43" x14ac:dyDescent="0.25">
      <c r="A69">
        <v>66</v>
      </c>
      <c r="B69">
        <v>2</v>
      </c>
      <c r="C69">
        <v>2</v>
      </c>
      <c r="D69">
        <v>1</v>
      </c>
      <c r="E69">
        <v>1730</v>
      </c>
      <c r="F69">
        <v>4013</v>
      </c>
      <c r="G69">
        <v>4013</v>
      </c>
      <c r="H69">
        <v>2572</v>
      </c>
      <c r="I69">
        <v>297</v>
      </c>
      <c r="J69">
        <v>1475</v>
      </c>
      <c r="K69">
        <v>345</v>
      </c>
      <c r="L69">
        <v>354</v>
      </c>
      <c r="M69">
        <v>377</v>
      </c>
      <c r="N69">
        <v>675</v>
      </c>
      <c r="O69">
        <v>105</v>
      </c>
      <c r="P69">
        <v>49.25674755</v>
      </c>
      <c r="Q69">
        <v>19.608120230000001</v>
      </c>
      <c r="R69">
        <v>0.175733207</v>
      </c>
      <c r="S69">
        <v>1730</v>
      </c>
      <c r="T69">
        <v>128</v>
      </c>
      <c r="U69">
        <v>478</v>
      </c>
      <c r="V69">
        <v>1833</v>
      </c>
      <c r="W69">
        <v>1013</v>
      </c>
      <c r="X69">
        <v>557</v>
      </c>
      <c r="Y69">
        <v>261</v>
      </c>
      <c r="Z69">
        <v>314</v>
      </c>
      <c r="AA69">
        <v>968</v>
      </c>
      <c r="AB69">
        <v>16</v>
      </c>
      <c r="AC69">
        <v>69</v>
      </c>
      <c r="AD69">
        <v>102</v>
      </c>
      <c r="AE69">
        <v>0</v>
      </c>
      <c r="AF69">
        <v>72.903361320000002</v>
      </c>
      <c r="AG69">
        <v>2</v>
      </c>
      <c r="AH69">
        <v>0</v>
      </c>
      <c r="AI69">
        <v>0</v>
      </c>
      <c r="AJ69">
        <v>0</v>
      </c>
      <c r="AK69">
        <v>3.98394</v>
      </c>
      <c r="AL69">
        <v>2</v>
      </c>
      <c r="AM69">
        <v>0</v>
      </c>
      <c r="AN69">
        <v>1730</v>
      </c>
      <c r="AO69">
        <v>0</v>
      </c>
      <c r="AP69">
        <v>0</v>
      </c>
      <c r="AQ69">
        <v>0</v>
      </c>
    </row>
    <row r="70" spans="1:43" x14ac:dyDescent="0.25">
      <c r="A70">
        <v>67</v>
      </c>
      <c r="B70">
        <v>2</v>
      </c>
      <c r="C70">
        <v>2</v>
      </c>
      <c r="D70">
        <v>1</v>
      </c>
      <c r="E70">
        <v>1985</v>
      </c>
      <c r="F70">
        <v>4770</v>
      </c>
      <c r="G70">
        <v>4888</v>
      </c>
      <c r="H70">
        <v>2723</v>
      </c>
      <c r="I70">
        <v>309</v>
      </c>
      <c r="J70">
        <v>1673</v>
      </c>
      <c r="K70">
        <v>274</v>
      </c>
      <c r="L70">
        <v>365</v>
      </c>
      <c r="M70">
        <v>395</v>
      </c>
      <c r="N70">
        <v>956</v>
      </c>
      <c r="O70">
        <v>96</v>
      </c>
      <c r="P70">
        <v>53</v>
      </c>
      <c r="Q70">
        <v>8.9476997839999992</v>
      </c>
      <c r="R70">
        <v>0.15977676699999999</v>
      </c>
      <c r="S70">
        <v>836</v>
      </c>
      <c r="T70">
        <v>284</v>
      </c>
      <c r="U70">
        <v>501</v>
      </c>
      <c r="V70">
        <v>2213</v>
      </c>
      <c r="W70">
        <v>974</v>
      </c>
      <c r="X70">
        <v>595</v>
      </c>
      <c r="Y70">
        <v>68</v>
      </c>
      <c r="Z70">
        <v>98</v>
      </c>
      <c r="AA70">
        <v>605</v>
      </c>
      <c r="AB70">
        <v>1</v>
      </c>
      <c r="AC70">
        <v>21</v>
      </c>
      <c r="AD70">
        <v>43</v>
      </c>
      <c r="AE70">
        <v>0</v>
      </c>
      <c r="AF70">
        <v>39.559963510000003</v>
      </c>
      <c r="AG70">
        <v>2</v>
      </c>
      <c r="AH70">
        <v>0</v>
      </c>
      <c r="AI70">
        <v>0</v>
      </c>
      <c r="AJ70">
        <v>0</v>
      </c>
      <c r="AK70">
        <v>3.9002599999999998</v>
      </c>
      <c r="AL70">
        <v>2</v>
      </c>
      <c r="AM70">
        <v>0</v>
      </c>
      <c r="AN70">
        <v>1985</v>
      </c>
      <c r="AO70">
        <v>118</v>
      </c>
      <c r="AP70">
        <v>0</v>
      </c>
      <c r="AQ70">
        <v>0</v>
      </c>
    </row>
    <row r="71" spans="1:43" x14ac:dyDescent="0.25">
      <c r="A71">
        <v>68</v>
      </c>
      <c r="B71">
        <v>2</v>
      </c>
      <c r="C71">
        <v>2</v>
      </c>
      <c r="D71">
        <v>1</v>
      </c>
      <c r="E71">
        <v>1429</v>
      </c>
      <c r="F71">
        <v>2839</v>
      </c>
      <c r="G71">
        <v>2874</v>
      </c>
      <c r="H71">
        <v>1501</v>
      </c>
      <c r="I71">
        <v>234</v>
      </c>
      <c r="J71">
        <v>1236</v>
      </c>
      <c r="K71">
        <v>473</v>
      </c>
      <c r="L71">
        <v>282</v>
      </c>
      <c r="M71">
        <v>206</v>
      </c>
      <c r="N71">
        <v>457</v>
      </c>
      <c r="O71">
        <v>72</v>
      </c>
      <c r="P71">
        <v>35.685934609999997</v>
      </c>
      <c r="Q71">
        <v>4.3055170389999997</v>
      </c>
      <c r="R71">
        <v>0.28447121800000003</v>
      </c>
      <c r="S71">
        <v>907</v>
      </c>
      <c r="T71">
        <v>39</v>
      </c>
      <c r="U71">
        <v>352</v>
      </c>
      <c r="V71">
        <v>1162</v>
      </c>
      <c r="W71">
        <v>562</v>
      </c>
      <c r="X71">
        <v>688</v>
      </c>
      <c r="Y71">
        <v>45</v>
      </c>
      <c r="Z71">
        <v>279</v>
      </c>
      <c r="AA71">
        <v>504</v>
      </c>
      <c r="AB71">
        <v>1</v>
      </c>
      <c r="AC71">
        <v>18</v>
      </c>
      <c r="AD71">
        <v>60</v>
      </c>
      <c r="AE71">
        <v>0</v>
      </c>
      <c r="AF71">
        <v>32.213113139999997</v>
      </c>
      <c r="AG71">
        <v>3</v>
      </c>
      <c r="AH71">
        <v>0</v>
      </c>
      <c r="AI71">
        <v>0</v>
      </c>
      <c r="AJ71">
        <v>0</v>
      </c>
      <c r="AK71">
        <v>3.2385700000000002</v>
      </c>
      <c r="AL71">
        <v>1</v>
      </c>
      <c r="AM71">
        <v>0</v>
      </c>
      <c r="AN71">
        <v>1429</v>
      </c>
      <c r="AO71">
        <v>35</v>
      </c>
      <c r="AP71">
        <v>0</v>
      </c>
      <c r="AQ71">
        <v>0</v>
      </c>
    </row>
    <row r="72" spans="1:43" x14ac:dyDescent="0.25">
      <c r="A72">
        <v>69</v>
      </c>
      <c r="B72">
        <v>2</v>
      </c>
      <c r="C72">
        <v>2</v>
      </c>
      <c r="D72">
        <v>1</v>
      </c>
      <c r="E72">
        <v>2605</v>
      </c>
      <c r="F72">
        <v>5924</v>
      </c>
      <c r="G72">
        <v>8553</v>
      </c>
      <c r="H72">
        <v>4065</v>
      </c>
      <c r="I72">
        <v>396</v>
      </c>
      <c r="J72">
        <v>2113</v>
      </c>
      <c r="K72">
        <v>291</v>
      </c>
      <c r="L72">
        <v>412</v>
      </c>
      <c r="M72">
        <v>614</v>
      </c>
      <c r="N72">
        <v>1289</v>
      </c>
      <c r="O72">
        <v>208</v>
      </c>
      <c r="P72">
        <v>97.063235419999998</v>
      </c>
      <c r="Q72">
        <v>67.589651919999994</v>
      </c>
      <c r="R72">
        <v>9.9758161999999997E-2</v>
      </c>
      <c r="S72">
        <v>7912</v>
      </c>
      <c r="T72">
        <v>376</v>
      </c>
      <c r="U72">
        <v>1617</v>
      </c>
      <c r="V72">
        <v>3987</v>
      </c>
      <c r="W72">
        <v>1185</v>
      </c>
      <c r="X72">
        <v>650</v>
      </c>
      <c r="Y72">
        <v>280</v>
      </c>
      <c r="Z72">
        <v>359</v>
      </c>
      <c r="AA72">
        <v>7166</v>
      </c>
      <c r="AB72">
        <v>1</v>
      </c>
      <c r="AC72">
        <v>45</v>
      </c>
      <c r="AD72">
        <v>61</v>
      </c>
      <c r="AE72">
        <v>0</v>
      </c>
      <c r="AF72">
        <v>12.99827372</v>
      </c>
      <c r="AG72">
        <v>2</v>
      </c>
      <c r="AH72">
        <v>522</v>
      </c>
      <c r="AI72">
        <v>7670</v>
      </c>
      <c r="AJ72">
        <v>2894</v>
      </c>
      <c r="AK72">
        <v>3.4915699999999998</v>
      </c>
      <c r="AL72">
        <v>1</v>
      </c>
      <c r="AM72">
        <v>0</v>
      </c>
      <c r="AN72">
        <v>2605</v>
      </c>
      <c r="AO72">
        <v>2629</v>
      </c>
      <c r="AP72">
        <v>0</v>
      </c>
      <c r="AQ72">
        <v>0</v>
      </c>
    </row>
    <row r="73" spans="1:43" x14ac:dyDescent="0.25">
      <c r="A73">
        <v>70</v>
      </c>
      <c r="B73">
        <v>2</v>
      </c>
      <c r="C73">
        <v>2</v>
      </c>
      <c r="D73">
        <v>1</v>
      </c>
      <c r="E73">
        <v>3085</v>
      </c>
      <c r="F73">
        <v>6098</v>
      </c>
      <c r="G73">
        <v>6105</v>
      </c>
      <c r="H73">
        <v>4146</v>
      </c>
      <c r="I73">
        <v>740</v>
      </c>
      <c r="J73">
        <v>2238</v>
      </c>
      <c r="K73">
        <v>514</v>
      </c>
      <c r="L73">
        <v>439</v>
      </c>
      <c r="M73">
        <v>640</v>
      </c>
      <c r="N73">
        <v>1500</v>
      </c>
      <c r="O73">
        <v>182</v>
      </c>
      <c r="P73">
        <v>82</v>
      </c>
      <c r="Q73">
        <v>35.327167430000003</v>
      </c>
      <c r="R73">
        <v>0.13223407700000001</v>
      </c>
      <c r="S73">
        <v>2476</v>
      </c>
      <c r="T73">
        <v>237</v>
      </c>
      <c r="U73">
        <v>562</v>
      </c>
      <c r="V73">
        <v>3068</v>
      </c>
      <c r="W73">
        <v>1394</v>
      </c>
      <c r="X73">
        <v>613</v>
      </c>
      <c r="Y73">
        <v>434</v>
      </c>
      <c r="Z73">
        <v>704</v>
      </c>
      <c r="AA73">
        <v>1071</v>
      </c>
      <c r="AB73">
        <v>3</v>
      </c>
      <c r="AC73">
        <v>66</v>
      </c>
      <c r="AD73">
        <v>198</v>
      </c>
      <c r="AE73">
        <v>0</v>
      </c>
      <c r="AF73">
        <v>40.690248179999998</v>
      </c>
      <c r="AG73">
        <v>1</v>
      </c>
      <c r="AH73">
        <v>0</v>
      </c>
      <c r="AI73">
        <v>0</v>
      </c>
      <c r="AJ73">
        <v>0</v>
      </c>
      <c r="AK73">
        <v>5.0461900000000002</v>
      </c>
      <c r="AL73">
        <v>1</v>
      </c>
      <c r="AM73">
        <v>0</v>
      </c>
      <c r="AN73">
        <v>3085</v>
      </c>
      <c r="AO73">
        <v>7</v>
      </c>
      <c r="AP73">
        <v>0</v>
      </c>
      <c r="AQ73">
        <v>0</v>
      </c>
    </row>
    <row r="74" spans="1:43" x14ac:dyDescent="0.25">
      <c r="A74">
        <v>71</v>
      </c>
      <c r="B74">
        <v>2</v>
      </c>
      <c r="C74">
        <v>2</v>
      </c>
      <c r="D74">
        <v>1</v>
      </c>
      <c r="E74">
        <v>2010</v>
      </c>
      <c r="F74">
        <v>4469</v>
      </c>
      <c r="G74">
        <v>4489</v>
      </c>
      <c r="H74">
        <v>2081</v>
      </c>
      <c r="I74">
        <v>717</v>
      </c>
      <c r="J74">
        <v>1376</v>
      </c>
      <c r="K74">
        <v>503</v>
      </c>
      <c r="L74">
        <v>214</v>
      </c>
      <c r="M74">
        <v>312</v>
      </c>
      <c r="N74">
        <v>976</v>
      </c>
      <c r="O74">
        <v>145</v>
      </c>
      <c r="P74">
        <v>73.451483139999993</v>
      </c>
      <c r="Q74">
        <v>18.019956539999999</v>
      </c>
      <c r="R74">
        <v>0.28151260500000003</v>
      </c>
      <c r="S74">
        <v>3025</v>
      </c>
      <c r="T74">
        <v>231</v>
      </c>
      <c r="U74">
        <v>606</v>
      </c>
      <c r="V74">
        <v>1192</v>
      </c>
      <c r="W74">
        <v>1026</v>
      </c>
      <c r="X74">
        <v>987</v>
      </c>
      <c r="Y74">
        <v>160</v>
      </c>
      <c r="Z74">
        <v>772</v>
      </c>
      <c r="AA74">
        <v>1810</v>
      </c>
      <c r="AB74">
        <v>25</v>
      </c>
      <c r="AC74">
        <v>116</v>
      </c>
      <c r="AD74">
        <v>142</v>
      </c>
      <c r="AE74">
        <v>157.1095693</v>
      </c>
      <c r="AF74">
        <v>35.038824820000002</v>
      </c>
      <c r="AG74">
        <v>2</v>
      </c>
      <c r="AH74">
        <v>0</v>
      </c>
      <c r="AI74">
        <v>0</v>
      </c>
      <c r="AJ74">
        <v>0</v>
      </c>
      <c r="AK74">
        <v>3.18377</v>
      </c>
      <c r="AL74">
        <v>1</v>
      </c>
      <c r="AM74">
        <v>0</v>
      </c>
      <c r="AN74">
        <v>2010</v>
      </c>
      <c r="AO74">
        <v>20</v>
      </c>
      <c r="AP74">
        <v>0</v>
      </c>
      <c r="AQ74">
        <v>0</v>
      </c>
    </row>
    <row r="75" spans="1:43" x14ac:dyDescent="0.25">
      <c r="A75">
        <v>72</v>
      </c>
      <c r="B75">
        <v>2</v>
      </c>
      <c r="C75">
        <v>2</v>
      </c>
      <c r="D75">
        <v>1</v>
      </c>
      <c r="E75">
        <v>1055</v>
      </c>
      <c r="F75">
        <v>1931</v>
      </c>
      <c r="G75">
        <v>1963</v>
      </c>
      <c r="H75">
        <v>1409</v>
      </c>
      <c r="I75">
        <v>173</v>
      </c>
      <c r="J75">
        <v>849</v>
      </c>
      <c r="K75">
        <v>137</v>
      </c>
      <c r="L75">
        <v>214</v>
      </c>
      <c r="M75">
        <v>171</v>
      </c>
      <c r="N75">
        <v>528</v>
      </c>
      <c r="O75">
        <v>59</v>
      </c>
      <c r="P75">
        <v>21.629951399999999</v>
      </c>
      <c r="Q75">
        <v>15.929281420000001</v>
      </c>
      <c r="R75">
        <v>0.177060619</v>
      </c>
      <c r="S75">
        <v>1321</v>
      </c>
      <c r="T75">
        <v>109</v>
      </c>
      <c r="U75">
        <v>103</v>
      </c>
      <c r="V75">
        <v>1226</v>
      </c>
      <c r="W75">
        <v>380</v>
      </c>
      <c r="X75">
        <v>347</v>
      </c>
      <c r="Y75">
        <v>76</v>
      </c>
      <c r="Z75">
        <v>271</v>
      </c>
      <c r="AA75">
        <v>897</v>
      </c>
      <c r="AB75">
        <v>1</v>
      </c>
      <c r="AC75">
        <v>28</v>
      </c>
      <c r="AD75">
        <v>48</v>
      </c>
      <c r="AE75">
        <v>0</v>
      </c>
      <c r="AF75">
        <v>59.905087590000001</v>
      </c>
      <c r="AG75">
        <v>1</v>
      </c>
      <c r="AH75">
        <v>299</v>
      </c>
      <c r="AI75">
        <v>0</v>
      </c>
      <c r="AJ75">
        <v>0</v>
      </c>
      <c r="AK75">
        <v>4.5630499999999996</v>
      </c>
      <c r="AL75">
        <v>1</v>
      </c>
      <c r="AM75">
        <v>0</v>
      </c>
      <c r="AN75">
        <v>1055</v>
      </c>
      <c r="AO75">
        <v>32</v>
      </c>
      <c r="AP75">
        <v>0</v>
      </c>
      <c r="AQ75">
        <v>0</v>
      </c>
    </row>
    <row r="76" spans="1:43" x14ac:dyDescent="0.25">
      <c r="A76">
        <v>73</v>
      </c>
      <c r="B76">
        <v>2</v>
      </c>
      <c r="C76">
        <v>2</v>
      </c>
      <c r="D76">
        <v>1</v>
      </c>
      <c r="E76">
        <v>2139</v>
      </c>
      <c r="F76">
        <v>3440</v>
      </c>
      <c r="G76">
        <v>3440</v>
      </c>
      <c r="H76">
        <v>2289</v>
      </c>
      <c r="I76">
        <v>276</v>
      </c>
      <c r="J76">
        <v>1941</v>
      </c>
      <c r="K76">
        <v>659</v>
      </c>
      <c r="L76">
        <v>368</v>
      </c>
      <c r="M76">
        <v>402</v>
      </c>
      <c r="N76">
        <v>707</v>
      </c>
      <c r="O76">
        <v>69</v>
      </c>
      <c r="P76">
        <v>32.025840959999996</v>
      </c>
      <c r="Q76">
        <v>13.455388839999999</v>
      </c>
      <c r="R76">
        <v>0.25549163200000002</v>
      </c>
      <c r="S76">
        <v>1854</v>
      </c>
      <c r="T76">
        <v>198</v>
      </c>
      <c r="U76">
        <v>157</v>
      </c>
      <c r="V76">
        <v>1757</v>
      </c>
      <c r="W76">
        <v>699</v>
      </c>
      <c r="X76">
        <v>797</v>
      </c>
      <c r="Y76">
        <v>250</v>
      </c>
      <c r="Z76">
        <v>324</v>
      </c>
      <c r="AA76">
        <v>1117</v>
      </c>
      <c r="AB76">
        <v>2</v>
      </c>
      <c r="AC76">
        <v>52</v>
      </c>
      <c r="AD76">
        <v>109</v>
      </c>
      <c r="AE76">
        <v>0</v>
      </c>
      <c r="AF76">
        <v>104.5513321</v>
      </c>
      <c r="AG76">
        <v>1</v>
      </c>
      <c r="AH76">
        <v>0</v>
      </c>
      <c r="AI76">
        <v>0</v>
      </c>
      <c r="AJ76">
        <v>0</v>
      </c>
      <c r="AK76">
        <v>4.3598800000000004</v>
      </c>
      <c r="AL76">
        <v>1</v>
      </c>
      <c r="AM76">
        <v>0</v>
      </c>
      <c r="AN76">
        <v>2139</v>
      </c>
      <c r="AO76">
        <v>0</v>
      </c>
      <c r="AP76">
        <v>0</v>
      </c>
      <c r="AQ76">
        <v>0</v>
      </c>
    </row>
    <row r="77" spans="1:43" x14ac:dyDescent="0.25">
      <c r="A77">
        <v>74</v>
      </c>
      <c r="B77">
        <v>2</v>
      </c>
      <c r="C77">
        <v>2</v>
      </c>
      <c r="D77">
        <v>1</v>
      </c>
      <c r="E77">
        <v>2312</v>
      </c>
      <c r="F77">
        <v>3288</v>
      </c>
      <c r="G77">
        <v>3348</v>
      </c>
      <c r="H77">
        <v>1513</v>
      </c>
      <c r="I77">
        <v>69</v>
      </c>
      <c r="J77">
        <v>2168</v>
      </c>
      <c r="K77">
        <v>1001</v>
      </c>
      <c r="L77">
        <v>224</v>
      </c>
      <c r="M77">
        <v>433</v>
      </c>
      <c r="N77">
        <v>660</v>
      </c>
      <c r="O77">
        <v>84</v>
      </c>
      <c r="P77">
        <v>17</v>
      </c>
      <c r="Q77">
        <v>28.895751480000001</v>
      </c>
      <c r="R77">
        <v>0.43554476800000003</v>
      </c>
      <c r="S77">
        <v>3340</v>
      </c>
      <c r="T77">
        <v>68</v>
      </c>
      <c r="U77">
        <v>43</v>
      </c>
      <c r="V77">
        <v>1496</v>
      </c>
      <c r="W77">
        <v>407</v>
      </c>
      <c r="X77">
        <v>1499</v>
      </c>
      <c r="Y77">
        <v>202</v>
      </c>
      <c r="Z77">
        <v>538</v>
      </c>
      <c r="AA77">
        <v>2459</v>
      </c>
      <c r="AB77">
        <v>2</v>
      </c>
      <c r="AC77">
        <v>65</v>
      </c>
      <c r="AD77">
        <v>74</v>
      </c>
      <c r="AE77">
        <v>128.28731020000001</v>
      </c>
      <c r="AF77">
        <v>113.5936095</v>
      </c>
      <c r="AG77">
        <v>1</v>
      </c>
      <c r="AH77">
        <v>0</v>
      </c>
      <c r="AI77">
        <v>0</v>
      </c>
      <c r="AJ77">
        <v>0</v>
      </c>
      <c r="AK77">
        <v>4.6034100000000002</v>
      </c>
      <c r="AL77">
        <v>1</v>
      </c>
      <c r="AM77">
        <v>0</v>
      </c>
      <c r="AN77">
        <v>2312</v>
      </c>
      <c r="AO77">
        <v>60</v>
      </c>
      <c r="AP77">
        <v>0</v>
      </c>
      <c r="AQ77">
        <v>0</v>
      </c>
    </row>
    <row r="78" spans="1:43" x14ac:dyDescent="0.25">
      <c r="A78">
        <v>75</v>
      </c>
      <c r="B78">
        <v>2</v>
      </c>
      <c r="C78">
        <v>2</v>
      </c>
      <c r="D78">
        <v>1</v>
      </c>
      <c r="E78">
        <v>1762</v>
      </c>
      <c r="F78">
        <v>2610</v>
      </c>
      <c r="G78">
        <v>2626</v>
      </c>
      <c r="H78">
        <v>1624</v>
      </c>
      <c r="I78">
        <v>3</v>
      </c>
      <c r="J78">
        <v>1950</v>
      </c>
      <c r="K78">
        <v>350</v>
      </c>
      <c r="L78">
        <v>341</v>
      </c>
      <c r="M78">
        <v>284</v>
      </c>
      <c r="N78">
        <v>784</v>
      </c>
      <c r="O78">
        <v>44</v>
      </c>
      <c r="P78">
        <v>10</v>
      </c>
      <c r="Q78">
        <v>17.622542899999999</v>
      </c>
      <c r="R78">
        <v>0.277241872</v>
      </c>
      <c r="S78">
        <v>4360</v>
      </c>
      <c r="T78">
        <v>7</v>
      </c>
      <c r="U78">
        <v>52</v>
      </c>
      <c r="V78">
        <v>1345</v>
      </c>
      <c r="W78">
        <v>520</v>
      </c>
      <c r="X78">
        <v>719</v>
      </c>
      <c r="Y78">
        <v>391</v>
      </c>
      <c r="Z78">
        <v>840</v>
      </c>
      <c r="AA78">
        <v>3009</v>
      </c>
      <c r="AB78">
        <v>2</v>
      </c>
      <c r="AC78">
        <v>44</v>
      </c>
      <c r="AD78">
        <v>74</v>
      </c>
      <c r="AE78">
        <v>0</v>
      </c>
      <c r="AF78">
        <v>131.6781642</v>
      </c>
      <c r="AG78">
        <v>1</v>
      </c>
      <c r="AH78">
        <v>0</v>
      </c>
      <c r="AI78">
        <v>0</v>
      </c>
      <c r="AJ78">
        <v>0</v>
      </c>
      <c r="AK78">
        <v>4.64907</v>
      </c>
      <c r="AL78">
        <v>1</v>
      </c>
      <c r="AM78">
        <v>0</v>
      </c>
      <c r="AN78">
        <v>1762</v>
      </c>
      <c r="AO78">
        <v>16</v>
      </c>
      <c r="AP78">
        <v>0</v>
      </c>
      <c r="AQ78">
        <v>0</v>
      </c>
    </row>
    <row r="79" spans="1:43" x14ac:dyDescent="0.25">
      <c r="A79">
        <v>76</v>
      </c>
      <c r="B79">
        <v>2</v>
      </c>
      <c r="C79">
        <v>2</v>
      </c>
      <c r="D79">
        <v>1</v>
      </c>
      <c r="E79">
        <v>1757</v>
      </c>
      <c r="F79">
        <v>2323</v>
      </c>
      <c r="G79">
        <v>2727</v>
      </c>
      <c r="H79">
        <v>1520</v>
      </c>
      <c r="I79">
        <v>41</v>
      </c>
      <c r="J79">
        <v>1914</v>
      </c>
      <c r="K79">
        <v>533</v>
      </c>
      <c r="L79">
        <v>281</v>
      </c>
      <c r="M79">
        <v>539</v>
      </c>
      <c r="N79">
        <v>418</v>
      </c>
      <c r="O79">
        <v>41</v>
      </c>
      <c r="P79">
        <v>7.7584600860000004</v>
      </c>
      <c r="Q79">
        <v>18.65858661</v>
      </c>
      <c r="R79">
        <v>0.33008130099999999</v>
      </c>
      <c r="S79">
        <v>2879</v>
      </c>
      <c r="T79">
        <v>0</v>
      </c>
      <c r="U79">
        <v>0</v>
      </c>
      <c r="V79">
        <v>1035</v>
      </c>
      <c r="W79">
        <v>590</v>
      </c>
      <c r="X79">
        <v>700</v>
      </c>
      <c r="Y79">
        <v>53</v>
      </c>
      <c r="Z79">
        <v>397</v>
      </c>
      <c r="AA79">
        <v>803</v>
      </c>
      <c r="AB79">
        <v>1</v>
      </c>
      <c r="AC79">
        <v>34</v>
      </c>
      <c r="AD79">
        <v>1591</v>
      </c>
      <c r="AE79">
        <v>136.19930289999999</v>
      </c>
      <c r="AF79">
        <v>129.41759490000001</v>
      </c>
      <c r="AG79">
        <v>2</v>
      </c>
      <c r="AH79">
        <v>1471</v>
      </c>
      <c r="AI79">
        <v>0</v>
      </c>
      <c r="AJ79">
        <v>0</v>
      </c>
      <c r="AK79">
        <v>4.4675900000000004</v>
      </c>
      <c r="AL79">
        <v>1</v>
      </c>
      <c r="AM79">
        <v>0</v>
      </c>
      <c r="AN79">
        <v>1757</v>
      </c>
      <c r="AO79">
        <v>404</v>
      </c>
      <c r="AP79">
        <v>0</v>
      </c>
      <c r="AQ79">
        <v>0</v>
      </c>
    </row>
    <row r="80" spans="1:43" x14ac:dyDescent="0.25">
      <c r="A80">
        <v>77</v>
      </c>
      <c r="B80">
        <v>2</v>
      </c>
      <c r="C80">
        <v>2</v>
      </c>
      <c r="D80">
        <v>1</v>
      </c>
      <c r="E80">
        <v>2188</v>
      </c>
      <c r="F80">
        <v>4452</v>
      </c>
      <c r="G80">
        <v>4714</v>
      </c>
      <c r="H80">
        <v>2606</v>
      </c>
      <c r="I80">
        <v>189</v>
      </c>
      <c r="J80">
        <v>1949</v>
      </c>
      <c r="K80">
        <v>777</v>
      </c>
      <c r="L80">
        <v>277</v>
      </c>
      <c r="M80">
        <v>404</v>
      </c>
      <c r="N80">
        <v>737</v>
      </c>
      <c r="O80">
        <v>69</v>
      </c>
      <c r="P80">
        <v>15</v>
      </c>
      <c r="Q80">
        <v>31.70145097</v>
      </c>
      <c r="R80">
        <v>0.23088655899999999</v>
      </c>
      <c r="S80">
        <v>2006</v>
      </c>
      <c r="T80">
        <v>97</v>
      </c>
      <c r="U80">
        <v>825</v>
      </c>
      <c r="V80">
        <v>1950</v>
      </c>
      <c r="W80">
        <v>1136</v>
      </c>
      <c r="X80">
        <v>946</v>
      </c>
      <c r="Y80">
        <v>161</v>
      </c>
      <c r="Z80">
        <v>141</v>
      </c>
      <c r="AA80">
        <v>1631</v>
      </c>
      <c r="AB80">
        <v>1</v>
      </c>
      <c r="AC80">
        <v>29</v>
      </c>
      <c r="AD80">
        <v>43</v>
      </c>
      <c r="AE80">
        <v>96.639339419999999</v>
      </c>
      <c r="AF80">
        <v>80.250211680000007</v>
      </c>
      <c r="AG80">
        <v>2</v>
      </c>
      <c r="AH80">
        <v>0</v>
      </c>
      <c r="AI80">
        <v>0</v>
      </c>
      <c r="AJ80">
        <v>0</v>
      </c>
      <c r="AK80">
        <v>3.75081</v>
      </c>
      <c r="AL80">
        <v>1</v>
      </c>
      <c r="AM80">
        <v>0</v>
      </c>
      <c r="AN80">
        <v>2188</v>
      </c>
      <c r="AO80">
        <v>262</v>
      </c>
      <c r="AP80">
        <v>0</v>
      </c>
      <c r="AQ80">
        <v>0</v>
      </c>
    </row>
    <row r="81" spans="1:43" x14ac:dyDescent="0.25">
      <c r="A81">
        <v>78</v>
      </c>
      <c r="B81">
        <v>2</v>
      </c>
      <c r="C81">
        <v>2</v>
      </c>
      <c r="D81">
        <v>1</v>
      </c>
      <c r="E81">
        <v>2810</v>
      </c>
      <c r="F81">
        <v>4711</v>
      </c>
      <c r="G81">
        <v>4756</v>
      </c>
      <c r="H81">
        <v>1692</v>
      </c>
      <c r="I81">
        <v>70</v>
      </c>
      <c r="J81">
        <v>2723</v>
      </c>
      <c r="K81">
        <v>1771</v>
      </c>
      <c r="L81">
        <v>489</v>
      </c>
      <c r="M81">
        <v>334</v>
      </c>
      <c r="N81">
        <v>220</v>
      </c>
      <c r="O81">
        <v>91</v>
      </c>
      <c r="P81">
        <v>22.61275208</v>
      </c>
      <c r="Q81">
        <v>19.44397665</v>
      </c>
      <c r="R81">
        <v>0.372008848</v>
      </c>
      <c r="S81">
        <v>1181</v>
      </c>
      <c r="T81">
        <v>52</v>
      </c>
      <c r="U81">
        <v>511</v>
      </c>
      <c r="V81">
        <v>1397</v>
      </c>
      <c r="W81">
        <v>1129</v>
      </c>
      <c r="X81">
        <v>1613</v>
      </c>
      <c r="Y81">
        <v>7</v>
      </c>
      <c r="Z81">
        <v>112</v>
      </c>
      <c r="AA81">
        <v>1034</v>
      </c>
      <c r="AB81">
        <v>1</v>
      </c>
      <c r="AC81">
        <v>13</v>
      </c>
      <c r="AD81">
        <v>14</v>
      </c>
      <c r="AE81">
        <v>0</v>
      </c>
      <c r="AF81">
        <v>57.079375910000003</v>
      </c>
      <c r="AG81">
        <v>2</v>
      </c>
      <c r="AH81">
        <v>0</v>
      </c>
      <c r="AI81">
        <v>0</v>
      </c>
      <c r="AJ81">
        <v>0</v>
      </c>
      <c r="AK81">
        <v>4.0393600000000003</v>
      </c>
      <c r="AL81">
        <v>2</v>
      </c>
      <c r="AM81">
        <v>0</v>
      </c>
      <c r="AN81">
        <v>2810</v>
      </c>
      <c r="AO81">
        <v>45</v>
      </c>
      <c r="AP81">
        <v>0</v>
      </c>
      <c r="AQ81">
        <v>0</v>
      </c>
    </row>
    <row r="82" spans="1:43" x14ac:dyDescent="0.25">
      <c r="A82">
        <v>79</v>
      </c>
      <c r="B82">
        <v>2</v>
      </c>
      <c r="C82">
        <v>2</v>
      </c>
      <c r="D82">
        <v>1</v>
      </c>
      <c r="E82">
        <v>1906</v>
      </c>
      <c r="F82">
        <v>3140</v>
      </c>
      <c r="G82">
        <v>3216</v>
      </c>
      <c r="H82">
        <v>2534</v>
      </c>
      <c r="I82">
        <v>48</v>
      </c>
      <c r="J82">
        <v>2203</v>
      </c>
      <c r="K82">
        <v>300</v>
      </c>
      <c r="L82">
        <v>414</v>
      </c>
      <c r="M82">
        <v>235</v>
      </c>
      <c r="N82">
        <v>973</v>
      </c>
      <c r="O82">
        <v>68</v>
      </c>
      <c r="P82">
        <v>13.143688539999999</v>
      </c>
      <c r="Q82">
        <v>35.848973090000001</v>
      </c>
      <c r="R82">
        <v>0.112615385</v>
      </c>
      <c r="S82">
        <v>9273</v>
      </c>
      <c r="T82">
        <v>56</v>
      </c>
      <c r="U82">
        <v>61</v>
      </c>
      <c r="V82">
        <v>1980</v>
      </c>
      <c r="W82">
        <v>700</v>
      </c>
      <c r="X82">
        <v>251</v>
      </c>
      <c r="Y82">
        <v>191</v>
      </c>
      <c r="Z82">
        <v>710</v>
      </c>
      <c r="AA82">
        <v>4620</v>
      </c>
      <c r="AB82">
        <v>4</v>
      </c>
      <c r="AC82">
        <v>329</v>
      </c>
      <c r="AD82">
        <v>3419</v>
      </c>
      <c r="AE82">
        <v>0</v>
      </c>
      <c r="AF82">
        <v>127.7221679</v>
      </c>
      <c r="AG82">
        <v>1</v>
      </c>
      <c r="AH82">
        <v>387</v>
      </c>
      <c r="AI82">
        <v>412</v>
      </c>
      <c r="AJ82">
        <v>5</v>
      </c>
      <c r="AK82">
        <v>4.3311200000000003</v>
      </c>
      <c r="AL82">
        <v>3</v>
      </c>
      <c r="AM82">
        <v>0</v>
      </c>
      <c r="AN82">
        <v>1906</v>
      </c>
      <c r="AO82">
        <v>76</v>
      </c>
      <c r="AP82">
        <v>0</v>
      </c>
      <c r="AQ82">
        <v>0</v>
      </c>
    </row>
    <row r="83" spans="1:43" x14ac:dyDescent="0.25">
      <c r="A83">
        <v>80</v>
      </c>
      <c r="B83">
        <v>2</v>
      </c>
      <c r="C83">
        <v>2</v>
      </c>
      <c r="D83">
        <v>1</v>
      </c>
      <c r="E83">
        <v>1950</v>
      </c>
      <c r="F83">
        <v>3703</v>
      </c>
      <c r="G83">
        <v>3767</v>
      </c>
      <c r="H83">
        <v>2432</v>
      </c>
      <c r="I83">
        <v>263</v>
      </c>
      <c r="J83">
        <v>1722</v>
      </c>
      <c r="K83">
        <v>515</v>
      </c>
      <c r="L83">
        <v>328</v>
      </c>
      <c r="M83">
        <v>373</v>
      </c>
      <c r="N83">
        <v>735</v>
      </c>
      <c r="O83">
        <v>59</v>
      </c>
      <c r="P83">
        <v>31.462394339999999</v>
      </c>
      <c r="Q83">
        <v>7.3869346409999999</v>
      </c>
      <c r="R83">
        <v>0.106544901</v>
      </c>
      <c r="S83">
        <v>756</v>
      </c>
      <c r="T83">
        <v>202</v>
      </c>
      <c r="U83">
        <v>191</v>
      </c>
      <c r="V83">
        <v>2046</v>
      </c>
      <c r="W83">
        <v>943</v>
      </c>
      <c r="X83">
        <v>345</v>
      </c>
      <c r="Y83">
        <v>28</v>
      </c>
      <c r="Z83">
        <v>304</v>
      </c>
      <c r="AA83">
        <v>358</v>
      </c>
      <c r="AB83">
        <v>1</v>
      </c>
      <c r="AC83">
        <v>27</v>
      </c>
      <c r="AD83">
        <v>38</v>
      </c>
      <c r="AE83">
        <v>0</v>
      </c>
      <c r="AF83">
        <v>0</v>
      </c>
      <c r="AG83">
        <v>2</v>
      </c>
      <c r="AH83">
        <v>0</v>
      </c>
      <c r="AI83">
        <v>0</v>
      </c>
      <c r="AJ83">
        <v>0</v>
      </c>
      <c r="AK83">
        <v>3.64141</v>
      </c>
      <c r="AL83">
        <v>1</v>
      </c>
      <c r="AM83">
        <v>0</v>
      </c>
      <c r="AN83">
        <v>1950</v>
      </c>
      <c r="AO83">
        <v>64</v>
      </c>
      <c r="AP83">
        <v>0</v>
      </c>
      <c r="AQ83">
        <v>0</v>
      </c>
    </row>
    <row r="84" spans="1:43" x14ac:dyDescent="0.25">
      <c r="A84">
        <v>81</v>
      </c>
      <c r="B84">
        <v>2</v>
      </c>
      <c r="C84">
        <v>2</v>
      </c>
      <c r="D84">
        <v>1</v>
      </c>
      <c r="E84">
        <v>4060</v>
      </c>
      <c r="F84">
        <v>7267</v>
      </c>
      <c r="G84">
        <v>7514</v>
      </c>
      <c r="H84">
        <v>5567</v>
      </c>
      <c r="I84">
        <v>319</v>
      </c>
      <c r="J84">
        <v>3840</v>
      </c>
      <c r="K84">
        <v>818</v>
      </c>
      <c r="L84">
        <v>843</v>
      </c>
      <c r="M84">
        <v>646</v>
      </c>
      <c r="N84">
        <v>1729</v>
      </c>
      <c r="O84">
        <v>110</v>
      </c>
      <c r="P84">
        <v>41.691961259999999</v>
      </c>
      <c r="Q84">
        <v>33.489678580000003</v>
      </c>
      <c r="R84">
        <v>9.0330954000000005E-2</v>
      </c>
      <c r="S84">
        <v>15148</v>
      </c>
      <c r="T84">
        <v>245</v>
      </c>
      <c r="U84">
        <v>563</v>
      </c>
      <c r="V84">
        <v>4495</v>
      </c>
      <c r="W84">
        <v>1531</v>
      </c>
      <c r="X84">
        <v>464</v>
      </c>
      <c r="Y84">
        <v>78</v>
      </c>
      <c r="Z84">
        <v>670</v>
      </c>
      <c r="AA84">
        <v>14180</v>
      </c>
      <c r="AB84">
        <v>3</v>
      </c>
      <c r="AC84">
        <v>66</v>
      </c>
      <c r="AD84">
        <v>151</v>
      </c>
      <c r="AE84">
        <v>0</v>
      </c>
      <c r="AF84">
        <v>59.33994526</v>
      </c>
      <c r="AG84">
        <v>1</v>
      </c>
      <c r="AH84">
        <v>0</v>
      </c>
      <c r="AI84">
        <v>0</v>
      </c>
      <c r="AJ84">
        <v>0</v>
      </c>
      <c r="AK84">
        <v>4.3103199999999999</v>
      </c>
      <c r="AL84">
        <v>1</v>
      </c>
      <c r="AM84">
        <v>0</v>
      </c>
      <c r="AN84">
        <v>4060</v>
      </c>
      <c r="AO84">
        <v>247</v>
      </c>
      <c r="AP84">
        <v>0</v>
      </c>
      <c r="AQ84">
        <v>0</v>
      </c>
    </row>
    <row r="85" spans="1:43" x14ac:dyDescent="0.25">
      <c r="A85">
        <v>82</v>
      </c>
      <c r="B85">
        <v>2</v>
      </c>
      <c r="C85">
        <v>2</v>
      </c>
      <c r="D85">
        <v>1</v>
      </c>
      <c r="E85">
        <v>1717</v>
      </c>
      <c r="F85">
        <v>2984</v>
      </c>
      <c r="G85">
        <v>3016</v>
      </c>
      <c r="H85">
        <v>1951</v>
      </c>
      <c r="I85">
        <v>249</v>
      </c>
      <c r="J85">
        <v>1393</v>
      </c>
      <c r="K85">
        <v>437</v>
      </c>
      <c r="L85">
        <v>314</v>
      </c>
      <c r="M85">
        <v>178</v>
      </c>
      <c r="N85">
        <v>787</v>
      </c>
      <c r="O85">
        <v>76</v>
      </c>
      <c r="P85">
        <v>29</v>
      </c>
      <c r="Q85">
        <v>23.344538570000001</v>
      </c>
      <c r="R85">
        <v>9.4740280999999996E-2</v>
      </c>
      <c r="S85">
        <v>1647</v>
      </c>
      <c r="T85">
        <v>63</v>
      </c>
      <c r="U85">
        <v>262</v>
      </c>
      <c r="V85">
        <v>1599</v>
      </c>
      <c r="W85">
        <v>761</v>
      </c>
      <c r="X85">
        <v>230</v>
      </c>
      <c r="Y85">
        <v>288</v>
      </c>
      <c r="Z85">
        <v>516</v>
      </c>
      <c r="AA85">
        <v>702</v>
      </c>
      <c r="AB85">
        <v>2</v>
      </c>
      <c r="AC85">
        <v>51</v>
      </c>
      <c r="AD85">
        <v>88</v>
      </c>
      <c r="AE85">
        <v>0</v>
      </c>
      <c r="AF85">
        <v>44.081102190000003</v>
      </c>
      <c r="AG85">
        <v>1</v>
      </c>
      <c r="AH85">
        <v>0</v>
      </c>
      <c r="AI85">
        <v>0</v>
      </c>
      <c r="AJ85">
        <v>0</v>
      </c>
      <c r="AK85">
        <v>3.9978400000000001</v>
      </c>
      <c r="AL85">
        <v>1</v>
      </c>
      <c r="AM85">
        <v>0</v>
      </c>
      <c r="AN85">
        <v>1717</v>
      </c>
      <c r="AO85">
        <v>32</v>
      </c>
      <c r="AP85">
        <v>0</v>
      </c>
      <c r="AQ85">
        <v>0</v>
      </c>
    </row>
    <row r="86" spans="1:43" x14ac:dyDescent="0.25">
      <c r="A86">
        <v>83</v>
      </c>
      <c r="B86">
        <v>2</v>
      </c>
      <c r="C86">
        <v>2</v>
      </c>
      <c r="D86">
        <v>1</v>
      </c>
      <c r="E86">
        <v>2211</v>
      </c>
      <c r="F86">
        <v>4074</v>
      </c>
      <c r="G86">
        <v>4095</v>
      </c>
      <c r="H86">
        <v>2811</v>
      </c>
      <c r="I86">
        <v>691</v>
      </c>
      <c r="J86">
        <v>1560</v>
      </c>
      <c r="K86">
        <v>270</v>
      </c>
      <c r="L86">
        <v>167</v>
      </c>
      <c r="M86">
        <v>287</v>
      </c>
      <c r="N86">
        <v>1474</v>
      </c>
      <c r="O86">
        <v>119</v>
      </c>
      <c r="P86">
        <v>76.874558269999994</v>
      </c>
      <c r="Q86">
        <v>2</v>
      </c>
      <c r="R86">
        <v>0.17423876299999999</v>
      </c>
      <c r="S86">
        <v>983</v>
      </c>
      <c r="T86">
        <v>47</v>
      </c>
      <c r="U86">
        <v>376</v>
      </c>
      <c r="V86">
        <v>1653</v>
      </c>
      <c r="W86">
        <v>1230</v>
      </c>
      <c r="X86">
        <v>597</v>
      </c>
      <c r="Y86">
        <v>19</v>
      </c>
      <c r="Z86">
        <v>583</v>
      </c>
      <c r="AA86">
        <v>311</v>
      </c>
      <c r="AB86">
        <v>3</v>
      </c>
      <c r="AC86">
        <v>30</v>
      </c>
      <c r="AD86">
        <v>37</v>
      </c>
      <c r="AE86">
        <v>0</v>
      </c>
      <c r="AF86">
        <v>0</v>
      </c>
      <c r="AG86">
        <v>3</v>
      </c>
      <c r="AH86">
        <v>0</v>
      </c>
      <c r="AI86">
        <v>0</v>
      </c>
      <c r="AJ86">
        <v>0</v>
      </c>
      <c r="AK86">
        <v>2.4325800000000002</v>
      </c>
      <c r="AL86">
        <v>1</v>
      </c>
      <c r="AM86">
        <v>0</v>
      </c>
      <c r="AN86">
        <v>2211</v>
      </c>
      <c r="AO86">
        <v>21</v>
      </c>
      <c r="AP86">
        <v>0</v>
      </c>
      <c r="AQ86">
        <v>0</v>
      </c>
    </row>
    <row r="87" spans="1:43" x14ac:dyDescent="0.25">
      <c r="A87">
        <v>84</v>
      </c>
      <c r="B87">
        <v>2</v>
      </c>
      <c r="C87">
        <v>2</v>
      </c>
      <c r="D87">
        <v>1</v>
      </c>
      <c r="E87">
        <v>2410</v>
      </c>
      <c r="F87">
        <v>5111</v>
      </c>
      <c r="G87">
        <v>5178</v>
      </c>
      <c r="H87">
        <v>4101</v>
      </c>
      <c r="I87">
        <v>240</v>
      </c>
      <c r="J87">
        <v>2135</v>
      </c>
      <c r="K87">
        <v>248</v>
      </c>
      <c r="L87">
        <v>251</v>
      </c>
      <c r="M87">
        <v>371</v>
      </c>
      <c r="N87">
        <v>1542</v>
      </c>
      <c r="O87">
        <v>117</v>
      </c>
      <c r="P87">
        <v>42.070572630000001</v>
      </c>
      <c r="Q87">
        <v>7.7398209199999997</v>
      </c>
      <c r="R87">
        <v>7.1631608999999999E-2</v>
      </c>
      <c r="S87">
        <v>1725</v>
      </c>
      <c r="T87">
        <v>148</v>
      </c>
      <c r="U87">
        <v>329</v>
      </c>
      <c r="V87">
        <v>3194</v>
      </c>
      <c r="W87">
        <v>1025</v>
      </c>
      <c r="X87">
        <v>311</v>
      </c>
      <c r="Y87">
        <v>46</v>
      </c>
      <c r="Z87">
        <v>352</v>
      </c>
      <c r="AA87">
        <v>1159</v>
      </c>
      <c r="AB87">
        <v>2</v>
      </c>
      <c r="AC87">
        <v>73</v>
      </c>
      <c r="AD87">
        <v>93</v>
      </c>
      <c r="AE87">
        <v>0</v>
      </c>
      <c r="AF87">
        <v>14.12855839</v>
      </c>
      <c r="AG87">
        <v>1</v>
      </c>
      <c r="AH87">
        <v>0</v>
      </c>
      <c r="AI87">
        <v>0</v>
      </c>
      <c r="AJ87">
        <v>0</v>
      </c>
      <c r="AK87">
        <v>4.1740399999999998</v>
      </c>
      <c r="AL87">
        <v>1</v>
      </c>
      <c r="AM87">
        <v>0</v>
      </c>
      <c r="AN87">
        <v>2410</v>
      </c>
      <c r="AO87">
        <v>67</v>
      </c>
      <c r="AP87">
        <v>0</v>
      </c>
      <c r="AQ87">
        <v>0</v>
      </c>
    </row>
    <row r="88" spans="1:43" x14ac:dyDescent="0.25">
      <c r="A88">
        <v>85</v>
      </c>
      <c r="B88">
        <v>2</v>
      </c>
      <c r="C88">
        <v>2</v>
      </c>
      <c r="D88">
        <v>1</v>
      </c>
      <c r="E88">
        <v>1763</v>
      </c>
      <c r="F88">
        <v>3772</v>
      </c>
      <c r="G88">
        <v>3800</v>
      </c>
      <c r="H88">
        <v>2712</v>
      </c>
      <c r="I88">
        <v>81</v>
      </c>
      <c r="J88">
        <v>1752</v>
      </c>
      <c r="K88">
        <v>206</v>
      </c>
      <c r="L88">
        <v>206</v>
      </c>
      <c r="M88">
        <v>359</v>
      </c>
      <c r="N88">
        <v>992</v>
      </c>
      <c r="O88">
        <v>77</v>
      </c>
      <c r="P88">
        <v>26.654600039999998</v>
      </c>
      <c r="Q88">
        <v>13.05446704</v>
      </c>
      <c r="R88">
        <v>8.4334455000000003E-2</v>
      </c>
      <c r="S88">
        <v>1414</v>
      </c>
      <c r="T88">
        <v>277</v>
      </c>
      <c r="U88">
        <v>143</v>
      </c>
      <c r="V88">
        <v>2558</v>
      </c>
      <c r="W88">
        <v>684</v>
      </c>
      <c r="X88">
        <v>263</v>
      </c>
      <c r="Y88">
        <v>186</v>
      </c>
      <c r="Z88">
        <v>229</v>
      </c>
      <c r="AA88">
        <v>736</v>
      </c>
      <c r="AB88">
        <v>1</v>
      </c>
      <c r="AC88">
        <v>39</v>
      </c>
      <c r="AD88">
        <v>223</v>
      </c>
      <c r="AE88">
        <v>0</v>
      </c>
      <c r="AF88">
        <v>36.734251829999998</v>
      </c>
      <c r="AG88">
        <v>2</v>
      </c>
      <c r="AH88">
        <v>198</v>
      </c>
      <c r="AI88">
        <v>0</v>
      </c>
      <c r="AJ88">
        <v>0</v>
      </c>
      <c r="AK88">
        <v>4.0981100000000001</v>
      </c>
      <c r="AL88">
        <v>1</v>
      </c>
      <c r="AM88">
        <v>0</v>
      </c>
      <c r="AN88">
        <v>1763</v>
      </c>
      <c r="AO88">
        <v>28</v>
      </c>
      <c r="AP88">
        <v>0</v>
      </c>
      <c r="AQ88">
        <v>0</v>
      </c>
    </row>
    <row r="89" spans="1:43" x14ac:dyDescent="0.25">
      <c r="A89">
        <v>86</v>
      </c>
      <c r="B89">
        <v>2</v>
      </c>
      <c r="C89">
        <v>2</v>
      </c>
      <c r="D89">
        <v>1</v>
      </c>
      <c r="E89">
        <v>3112</v>
      </c>
      <c r="F89">
        <v>6042</v>
      </c>
      <c r="G89">
        <v>6154</v>
      </c>
      <c r="H89">
        <v>3908</v>
      </c>
      <c r="I89">
        <v>299</v>
      </c>
      <c r="J89">
        <v>2857</v>
      </c>
      <c r="K89">
        <v>646</v>
      </c>
      <c r="L89">
        <v>600</v>
      </c>
      <c r="M89">
        <v>649</v>
      </c>
      <c r="N89">
        <v>1229</v>
      </c>
      <c r="O89">
        <v>125</v>
      </c>
      <c r="P89">
        <v>52.391648170000003</v>
      </c>
      <c r="Q89">
        <v>22.594977910000001</v>
      </c>
      <c r="R89">
        <v>0.16599129500000001</v>
      </c>
      <c r="S89">
        <v>1246</v>
      </c>
      <c r="T89">
        <v>245</v>
      </c>
      <c r="U89">
        <v>407</v>
      </c>
      <c r="V89">
        <v>3523</v>
      </c>
      <c r="W89">
        <v>1342</v>
      </c>
      <c r="X89">
        <v>806</v>
      </c>
      <c r="Y89">
        <v>36</v>
      </c>
      <c r="Z89">
        <v>161</v>
      </c>
      <c r="AA89">
        <v>961</v>
      </c>
      <c r="AB89">
        <v>2</v>
      </c>
      <c r="AC89">
        <v>28</v>
      </c>
      <c r="AD89">
        <v>58</v>
      </c>
      <c r="AE89">
        <v>0</v>
      </c>
      <c r="AF89">
        <v>21.475408760000001</v>
      </c>
      <c r="AG89">
        <v>2</v>
      </c>
      <c r="AH89">
        <v>642</v>
      </c>
      <c r="AI89">
        <v>0</v>
      </c>
      <c r="AJ89">
        <v>0</v>
      </c>
      <c r="AK89">
        <v>3.8562400000000001</v>
      </c>
      <c r="AL89">
        <v>1</v>
      </c>
      <c r="AM89">
        <v>0</v>
      </c>
      <c r="AN89">
        <v>3112</v>
      </c>
      <c r="AO89">
        <v>112</v>
      </c>
      <c r="AP89">
        <v>0</v>
      </c>
      <c r="AQ89">
        <v>0</v>
      </c>
    </row>
    <row r="90" spans="1:43" x14ac:dyDescent="0.25">
      <c r="A90">
        <v>87</v>
      </c>
      <c r="B90">
        <v>2</v>
      </c>
      <c r="C90">
        <v>2</v>
      </c>
      <c r="D90">
        <v>1</v>
      </c>
      <c r="E90">
        <v>2327</v>
      </c>
      <c r="F90">
        <v>4565</v>
      </c>
      <c r="G90">
        <v>4722</v>
      </c>
      <c r="H90">
        <v>3145</v>
      </c>
      <c r="I90">
        <v>110</v>
      </c>
      <c r="J90">
        <v>2166</v>
      </c>
      <c r="K90">
        <v>391</v>
      </c>
      <c r="L90">
        <v>320</v>
      </c>
      <c r="M90">
        <v>494</v>
      </c>
      <c r="N90">
        <v>1127</v>
      </c>
      <c r="O90">
        <v>93</v>
      </c>
      <c r="P90">
        <v>43.021970680000003</v>
      </c>
      <c r="Q90">
        <v>15.139221989999999</v>
      </c>
      <c r="R90">
        <v>0.120180553</v>
      </c>
      <c r="S90">
        <v>1718</v>
      </c>
      <c r="T90">
        <v>87</v>
      </c>
      <c r="U90">
        <v>453</v>
      </c>
      <c r="V90">
        <v>2962</v>
      </c>
      <c r="W90">
        <v>1008</v>
      </c>
      <c r="X90">
        <v>512</v>
      </c>
      <c r="Y90">
        <v>43</v>
      </c>
      <c r="Z90">
        <v>260</v>
      </c>
      <c r="AA90">
        <v>1321</v>
      </c>
      <c r="AB90">
        <v>2</v>
      </c>
      <c r="AC90">
        <v>40</v>
      </c>
      <c r="AD90">
        <v>52</v>
      </c>
      <c r="AE90">
        <v>0</v>
      </c>
      <c r="AF90">
        <v>0</v>
      </c>
      <c r="AG90">
        <v>2</v>
      </c>
      <c r="AH90">
        <v>0</v>
      </c>
      <c r="AI90">
        <v>0</v>
      </c>
      <c r="AJ90">
        <v>0</v>
      </c>
      <c r="AK90">
        <v>3.3792599999999999</v>
      </c>
      <c r="AL90">
        <v>1</v>
      </c>
      <c r="AM90">
        <v>0</v>
      </c>
      <c r="AN90">
        <v>2327</v>
      </c>
      <c r="AO90">
        <v>157</v>
      </c>
      <c r="AP90">
        <v>0</v>
      </c>
      <c r="AQ90">
        <v>0</v>
      </c>
    </row>
    <row r="91" spans="1:43" x14ac:dyDescent="0.25">
      <c r="A91">
        <v>88</v>
      </c>
      <c r="B91">
        <v>2</v>
      </c>
      <c r="C91">
        <v>2</v>
      </c>
      <c r="D91">
        <v>1</v>
      </c>
      <c r="E91">
        <v>2603</v>
      </c>
      <c r="F91">
        <v>5054</v>
      </c>
      <c r="G91">
        <v>5156</v>
      </c>
      <c r="H91">
        <v>3813</v>
      </c>
      <c r="I91">
        <v>193</v>
      </c>
      <c r="J91">
        <v>2341</v>
      </c>
      <c r="K91">
        <v>416</v>
      </c>
      <c r="L91">
        <v>365</v>
      </c>
      <c r="M91">
        <v>531</v>
      </c>
      <c r="N91">
        <v>1271</v>
      </c>
      <c r="O91">
        <v>85</v>
      </c>
      <c r="P91">
        <v>40</v>
      </c>
      <c r="Q91">
        <v>18.502394809999998</v>
      </c>
      <c r="R91">
        <v>0.116037736</v>
      </c>
      <c r="S91">
        <v>1769</v>
      </c>
      <c r="T91">
        <v>54</v>
      </c>
      <c r="U91">
        <v>404</v>
      </c>
      <c r="V91">
        <v>3165</v>
      </c>
      <c r="W91">
        <v>821</v>
      </c>
      <c r="X91">
        <v>582</v>
      </c>
      <c r="Y91">
        <v>441</v>
      </c>
      <c r="Z91">
        <v>341</v>
      </c>
      <c r="AA91">
        <v>695</v>
      </c>
      <c r="AB91">
        <v>33</v>
      </c>
      <c r="AC91">
        <v>76</v>
      </c>
      <c r="AD91">
        <v>183</v>
      </c>
      <c r="AE91">
        <v>0</v>
      </c>
      <c r="AF91">
        <v>57.644518249999997</v>
      </c>
      <c r="AG91">
        <v>2</v>
      </c>
      <c r="AH91">
        <v>442</v>
      </c>
      <c r="AI91">
        <v>0</v>
      </c>
      <c r="AJ91">
        <v>0</v>
      </c>
      <c r="AK91">
        <v>4.7498300000000002</v>
      </c>
      <c r="AL91">
        <v>2</v>
      </c>
      <c r="AM91">
        <v>0</v>
      </c>
      <c r="AN91">
        <v>2603</v>
      </c>
      <c r="AO91">
        <v>102</v>
      </c>
      <c r="AP91">
        <v>0</v>
      </c>
      <c r="AQ91">
        <v>0</v>
      </c>
    </row>
    <row r="92" spans="1:43" x14ac:dyDescent="0.25">
      <c r="A92">
        <v>89</v>
      </c>
      <c r="B92">
        <v>2</v>
      </c>
      <c r="C92">
        <v>2</v>
      </c>
      <c r="D92">
        <v>1</v>
      </c>
      <c r="E92">
        <v>3504</v>
      </c>
      <c r="F92">
        <v>7486</v>
      </c>
      <c r="G92">
        <v>7635</v>
      </c>
      <c r="H92">
        <v>4905</v>
      </c>
      <c r="I92">
        <v>744</v>
      </c>
      <c r="J92">
        <v>2777</v>
      </c>
      <c r="K92">
        <v>377</v>
      </c>
      <c r="L92">
        <v>629</v>
      </c>
      <c r="M92">
        <v>683</v>
      </c>
      <c r="N92">
        <v>1814</v>
      </c>
      <c r="O92">
        <v>150</v>
      </c>
      <c r="P92">
        <v>89.129925880000002</v>
      </c>
      <c r="Q92">
        <v>6.8635115259999999</v>
      </c>
      <c r="R92">
        <v>0.13578553600000001</v>
      </c>
      <c r="S92">
        <v>1545</v>
      </c>
      <c r="T92">
        <v>687</v>
      </c>
      <c r="U92">
        <v>706</v>
      </c>
      <c r="V92">
        <v>3652</v>
      </c>
      <c r="W92">
        <v>1657</v>
      </c>
      <c r="X92">
        <v>858</v>
      </c>
      <c r="Y92">
        <v>114</v>
      </c>
      <c r="Z92">
        <v>404</v>
      </c>
      <c r="AA92">
        <v>798</v>
      </c>
      <c r="AB92">
        <v>3</v>
      </c>
      <c r="AC92">
        <v>75</v>
      </c>
      <c r="AD92">
        <v>151</v>
      </c>
      <c r="AE92">
        <v>0</v>
      </c>
      <c r="AF92">
        <v>14.69370073</v>
      </c>
      <c r="AG92">
        <v>2</v>
      </c>
      <c r="AH92">
        <v>0</v>
      </c>
      <c r="AI92">
        <v>0</v>
      </c>
      <c r="AJ92">
        <v>0</v>
      </c>
      <c r="AK92">
        <v>2.7191200000000002</v>
      </c>
      <c r="AL92">
        <v>1</v>
      </c>
      <c r="AM92">
        <v>0</v>
      </c>
      <c r="AN92">
        <v>3504</v>
      </c>
      <c r="AO92">
        <v>149</v>
      </c>
      <c r="AP92">
        <v>0</v>
      </c>
      <c r="AQ92">
        <v>0</v>
      </c>
    </row>
    <row r="93" spans="1:43" x14ac:dyDescent="0.25">
      <c r="A93">
        <v>90</v>
      </c>
      <c r="B93">
        <v>3</v>
      </c>
      <c r="C93">
        <v>3</v>
      </c>
      <c r="D93">
        <v>1</v>
      </c>
      <c r="E93">
        <v>2097</v>
      </c>
      <c r="F93">
        <v>4327</v>
      </c>
      <c r="G93">
        <v>4517</v>
      </c>
      <c r="H93">
        <v>2828</v>
      </c>
      <c r="I93">
        <v>447</v>
      </c>
      <c r="J93">
        <v>1536</v>
      </c>
      <c r="K93">
        <v>249</v>
      </c>
      <c r="L93">
        <v>477</v>
      </c>
      <c r="M93">
        <v>782</v>
      </c>
      <c r="N93">
        <v>591</v>
      </c>
      <c r="O93">
        <v>86</v>
      </c>
      <c r="P93">
        <v>42</v>
      </c>
      <c r="Q93">
        <v>10.59425353</v>
      </c>
      <c r="R93">
        <v>0.13960767900000001</v>
      </c>
      <c r="S93">
        <v>16946</v>
      </c>
      <c r="T93">
        <v>354</v>
      </c>
      <c r="U93">
        <v>119</v>
      </c>
      <c r="V93">
        <v>2737</v>
      </c>
      <c r="W93">
        <v>819</v>
      </c>
      <c r="X93">
        <v>489</v>
      </c>
      <c r="Y93">
        <v>68</v>
      </c>
      <c r="Z93">
        <v>265</v>
      </c>
      <c r="AA93">
        <v>16508</v>
      </c>
      <c r="AB93">
        <v>2</v>
      </c>
      <c r="AC93">
        <v>37</v>
      </c>
      <c r="AD93">
        <v>66</v>
      </c>
      <c r="AE93">
        <v>0</v>
      </c>
      <c r="AF93">
        <v>106.8119015</v>
      </c>
      <c r="AG93">
        <v>1</v>
      </c>
      <c r="AH93">
        <v>235</v>
      </c>
      <c r="AI93">
        <v>3184</v>
      </c>
      <c r="AJ93">
        <v>0</v>
      </c>
      <c r="AK93">
        <v>30.645510000000002</v>
      </c>
      <c r="AL93">
        <v>1</v>
      </c>
      <c r="AM93">
        <v>0</v>
      </c>
      <c r="AN93">
        <v>2097</v>
      </c>
      <c r="AO93">
        <v>190</v>
      </c>
      <c r="AP93">
        <v>0</v>
      </c>
      <c r="AQ93">
        <v>0</v>
      </c>
    </row>
    <row r="94" spans="1:43" x14ac:dyDescent="0.25">
      <c r="A94">
        <v>91</v>
      </c>
      <c r="B94">
        <v>3</v>
      </c>
      <c r="C94">
        <v>3</v>
      </c>
      <c r="D94">
        <v>1</v>
      </c>
      <c r="E94">
        <v>2154</v>
      </c>
      <c r="F94">
        <v>4108</v>
      </c>
      <c r="G94">
        <v>4676</v>
      </c>
      <c r="H94">
        <v>2377</v>
      </c>
      <c r="I94">
        <v>855</v>
      </c>
      <c r="J94">
        <v>1179</v>
      </c>
      <c r="K94">
        <v>409</v>
      </c>
      <c r="L94">
        <v>244</v>
      </c>
      <c r="M94">
        <v>291</v>
      </c>
      <c r="N94">
        <v>1214</v>
      </c>
      <c r="O94">
        <v>320</v>
      </c>
      <c r="P94">
        <v>91.216945580000001</v>
      </c>
      <c r="Q94">
        <v>100.0756784</v>
      </c>
      <c r="R94">
        <v>0.15340668599999999</v>
      </c>
      <c r="S94">
        <v>583</v>
      </c>
      <c r="T94">
        <v>164</v>
      </c>
      <c r="U94">
        <v>530</v>
      </c>
      <c r="V94">
        <v>2243</v>
      </c>
      <c r="W94">
        <v>915</v>
      </c>
      <c r="X94">
        <v>632</v>
      </c>
      <c r="Y94">
        <v>17</v>
      </c>
      <c r="Z94">
        <v>151</v>
      </c>
      <c r="AA94">
        <v>334</v>
      </c>
      <c r="AB94">
        <v>1</v>
      </c>
      <c r="AC94">
        <v>27</v>
      </c>
      <c r="AD94">
        <v>53</v>
      </c>
      <c r="AE94">
        <v>0</v>
      </c>
      <c r="AF94">
        <v>7.911992701</v>
      </c>
      <c r="AG94">
        <v>1</v>
      </c>
      <c r="AH94">
        <v>0</v>
      </c>
      <c r="AI94">
        <v>0</v>
      </c>
      <c r="AJ94">
        <v>0</v>
      </c>
      <c r="AK94">
        <v>1.40693</v>
      </c>
      <c r="AL94">
        <v>1</v>
      </c>
      <c r="AM94">
        <v>0</v>
      </c>
      <c r="AN94">
        <v>2154</v>
      </c>
      <c r="AO94">
        <v>568</v>
      </c>
      <c r="AP94">
        <v>0</v>
      </c>
      <c r="AQ94">
        <v>0</v>
      </c>
    </row>
    <row r="95" spans="1:43" x14ac:dyDescent="0.25">
      <c r="A95">
        <v>92</v>
      </c>
      <c r="B95">
        <v>3</v>
      </c>
      <c r="C95">
        <v>3</v>
      </c>
      <c r="D95">
        <v>1</v>
      </c>
      <c r="E95">
        <v>1052</v>
      </c>
      <c r="F95">
        <v>2590</v>
      </c>
      <c r="G95">
        <v>2612</v>
      </c>
      <c r="H95">
        <v>1366</v>
      </c>
      <c r="I95">
        <v>847</v>
      </c>
      <c r="J95">
        <v>117</v>
      </c>
      <c r="K95">
        <v>208</v>
      </c>
      <c r="L95">
        <v>138</v>
      </c>
      <c r="M95">
        <v>170</v>
      </c>
      <c r="N95">
        <v>546</v>
      </c>
      <c r="O95">
        <v>283</v>
      </c>
      <c r="P95">
        <v>83.186943350000007</v>
      </c>
      <c r="Q95">
        <v>75</v>
      </c>
      <c r="R95">
        <v>0.33747029299999998</v>
      </c>
      <c r="S95">
        <v>247</v>
      </c>
      <c r="T95">
        <v>32</v>
      </c>
      <c r="U95">
        <v>515</v>
      </c>
      <c r="V95">
        <v>803</v>
      </c>
      <c r="W95">
        <v>1072</v>
      </c>
      <c r="X95">
        <v>1161</v>
      </c>
      <c r="Y95">
        <v>9</v>
      </c>
      <c r="Z95">
        <v>87</v>
      </c>
      <c r="AA95">
        <v>108</v>
      </c>
      <c r="AB95">
        <v>0</v>
      </c>
      <c r="AC95">
        <v>8</v>
      </c>
      <c r="AD95">
        <v>35</v>
      </c>
      <c r="AE95">
        <v>0</v>
      </c>
      <c r="AF95">
        <v>0</v>
      </c>
      <c r="AG95">
        <v>3</v>
      </c>
      <c r="AH95">
        <v>16</v>
      </c>
      <c r="AI95">
        <v>0</v>
      </c>
      <c r="AJ95">
        <v>0</v>
      </c>
      <c r="AK95">
        <v>1.5113399999999999</v>
      </c>
      <c r="AL95">
        <v>1</v>
      </c>
      <c r="AM95">
        <v>0</v>
      </c>
      <c r="AN95">
        <v>1052</v>
      </c>
      <c r="AO95">
        <v>22</v>
      </c>
      <c r="AP95">
        <v>0</v>
      </c>
      <c r="AQ95">
        <v>0</v>
      </c>
    </row>
    <row r="96" spans="1:43" x14ac:dyDescent="0.25">
      <c r="A96">
        <v>93</v>
      </c>
      <c r="B96">
        <v>3</v>
      </c>
      <c r="C96">
        <v>3</v>
      </c>
      <c r="D96">
        <v>1</v>
      </c>
      <c r="E96">
        <v>4095</v>
      </c>
      <c r="F96">
        <v>7266</v>
      </c>
      <c r="G96">
        <v>7274</v>
      </c>
      <c r="H96">
        <v>5082</v>
      </c>
      <c r="I96">
        <v>1187</v>
      </c>
      <c r="J96">
        <v>3057</v>
      </c>
      <c r="K96">
        <v>672</v>
      </c>
      <c r="L96">
        <v>764</v>
      </c>
      <c r="M96">
        <v>888</v>
      </c>
      <c r="N96">
        <v>1775</v>
      </c>
      <c r="O96">
        <v>227</v>
      </c>
      <c r="P96">
        <v>109.1479848</v>
      </c>
      <c r="Q96">
        <v>1.435944069</v>
      </c>
      <c r="R96">
        <v>0.19470674299999999</v>
      </c>
      <c r="S96">
        <v>910</v>
      </c>
      <c r="T96">
        <v>156</v>
      </c>
      <c r="U96">
        <v>393</v>
      </c>
      <c r="V96">
        <v>3052</v>
      </c>
      <c r="W96">
        <v>2409</v>
      </c>
      <c r="X96">
        <v>1085</v>
      </c>
      <c r="Y96">
        <v>32</v>
      </c>
      <c r="Z96">
        <v>293</v>
      </c>
      <c r="AA96">
        <v>334</v>
      </c>
      <c r="AB96">
        <v>2</v>
      </c>
      <c r="AC96">
        <v>138</v>
      </c>
      <c r="AD96">
        <v>111</v>
      </c>
      <c r="AE96">
        <v>0</v>
      </c>
      <c r="AF96">
        <v>0</v>
      </c>
      <c r="AG96">
        <v>3</v>
      </c>
      <c r="AH96">
        <v>0</v>
      </c>
      <c r="AI96">
        <v>0</v>
      </c>
      <c r="AJ96">
        <v>0</v>
      </c>
      <c r="AK96">
        <v>2.3006899999999999</v>
      </c>
      <c r="AL96">
        <v>1</v>
      </c>
      <c r="AM96">
        <v>0</v>
      </c>
      <c r="AN96">
        <v>4095</v>
      </c>
      <c r="AO96">
        <v>8</v>
      </c>
      <c r="AP96">
        <v>0</v>
      </c>
      <c r="AQ96">
        <v>0</v>
      </c>
    </row>
    <row r="97" spans="1:43" x14ac:dyDescent="0.25">
      <c r="A97">
        <v>94</v>
      </c>
      <c r="B97">
        <v>3</v>
      </c>
      <c r="C97">
        <v>3</v>
      </c>
      <c r="D97">
        <v>1</v>
      </c>
      <c r="E97">
        <v>1388</v>
      </c>
      <c r="F97">
        <v>2900</v>
      </c>
      <c r="G97">
        <v>2916</v>
      </c>
      <c r="H97">
        <v>1822</v>
      </c>
      <c r="I97">
        <v>300</v>
      </c>
      <c r="J97">
        <v>992</v>
      </c>
      <c r="K97">
        <v>214</v>
      </c>
      <c r="L97">
        <v>175</v>
      </c>
      <c r="M97">
        <v>195</v>
      </c>
      <c r="N97">
        <v>802</v>
      </c>
      <c r="O97">
        <v>68</v>
      </c>
      <c r="P97">
        <v>36</v>
      </c>
      <c r="Q97">
        <v>8.4922399080000002</v>
      </c>
      <c r="R97">
        <v>0.14579124600000001</v>
      </c>
      <c r="S97">
        <v>1136</v>
      </c>
      <c r="T97">
        <v>131</v>
      </c>
      <c r="U97">
        <v>337</v>
      </c>
      <c r="V97">
        <v>1109</v>
      </c>
      <c r="W97">
        <v>878</v>
      </c>
      <c r="X97">
        <v>329</v>
      </c>
      <c r="Y97">
        <v>145</v>
      </c>
      <c r="Z97">
        <v>311</v>
      </c>
      <c r="AA97">
        <v>572</v>
      </c>
      <c r="AB97">
        <v>2</v>
      </c>
      <c r="AC97">
        <v>56</v>
      </c>
      <c r="AD97">
        <v>50</v>
      </c>
      <c r="AE97">
        <v>0</v>
      </c>
      <c r="AF97">
        <v>53.123379559999997</v>
      </c>
      <c r="AG97">
        <v>2</v>
      </c>
      <c r="AH97">
        <v>0</v>
      </c>
      <c r="AI97">
        <v>0</v>
      </c>
      <c r="AJ97">
        <v>0</v>
      </c>
      <c r="AK97">
        <v>3.3924699999999999</v>
      </c>
      <c r="AL97">
        <v>1</v>
      </c>
      <c r="AM97">
        <v>0</v>
      </c>
      <c r="AN97">
        <v>1388</v>
      </c>
      <c r="AO97">
        <v>16</v>
      </c>
      <c r="AP97">
        <v>0</v>
      </c>
      <c r="AQ97">
        <v>0</v>
      </c>
    </row>
    <row r="98" spans="1:43" x14ac:dyDescent="0.25">
      <c r="A98">
        <v>95</v>
      </c>
      <c r="B98">
        <v>3</v>
      </c>
      <c r="C98">
        <v>3</v>
      </c>
      <c r="D98">
        <v>1</v>
      </c>
      <c r="E98">
        <v>1470</v>
      </c>
      <c r="F98">
        <v>2905</v>
      </c>
      <c r="G98">
        <v>2919</v>
      </c>
      <c r="H98">
        <v>1778</v>
      </c>
      <c r="I98">
        <v>626</v>
      </c>
      <c r="J98">
        <v>812</v>
      </c>
      <c r="K98">
        <v>199</v>
      </c>
      <c r="L98">
        <v>199</v>
      </c>
      <c r="M98">
        <v>304</v>
      </c>
      <c r="N98">
        <v>767</v>
      </c>
      <c r="O98">
        <v>86</v>
      </c>
      <c r="P98">
        <v>51</v>
      </c>
      <c r="Q98">
        <v>4.2803615209999997</v>
      </c>
      <c r="R98">
        <v>0.177613941</v>
      </c>
      <c r="S98">
        <v>743</v>
      </c>
      <c r="T98">
        <v>186</v>
      </c>
      <c r="U98">
        <v>289</v>
      </c>
      <c r="V98">
        <v>1290</v>
      </c>
      <c r="W98">
        <v>660</v>
      </c>
      <c r="X98">
        <v>408</v>
      </c>
      <c r="Y98">
        <v>9</v>
      </c>
      <c r="Z98">
        <v>266</v>
      </c>
      <c r="AA98">
        <v>388</v>
      </c>
      <c r="AB98">
        <v>1</v>
      </c>
      <c r="AC98">
        <v>28</v>
      </c>
      <c r="AD98">
        <v>51</v>
      </c>
      <c r="AE98">
        <v>0</v>
      </c>
      <c r="AF98">
        <v>0</v>
      </c>
      <c r="AG98">
        <v>3</v>
      </c>
      <c r="AH98">
        <v>0</v>
      </c>
      <c r="AI98">
        <v>0</v>
      </c>
      <c r="AJ98">
        <v>0</v>
      </c>
      <c r="AK98">
        <v>2.22532</v>
      </c>
      <c r="AL98">
        <v>1</v>
      </c>
      <c r="AM98">
        <v>0</v>
      </c>
      <c r="AN98">
        <v>1470</v>
      </c>
      <c r="AO98">
        <v>14</v>
      </c>
      <c r="AP98">
        <v>0</v>
      </c>
      <c r="AQ98">
        <v>0</v>
      </c>
    </row>
    <row r="99" spans="1:43" x14ac:dyDescent="0.25">
      <c r="A99">
        <v>96</v>
      </c>
      <c r="B99">
        <v>3</v>
      </c>
      <c r="C99">
        <v>3</v>
      </c>
      <c r="D99">
        <v>1</v>
      </c>
      <c r="E99">
        <v>1138</v>
      </c>
      <c r="F99">
        <v>2556</v>
      </c>
      <c r="G99">
        <v>2573</v>
      </c>
      <c r="H99">
        <v>1513</v>
      </c>
      <c r="I99">
        <v>467</v>
      </c>
      <c r="J99">
        <v>720</v>
      </c>
      <c r="K99">
        <v>81</v>
      </c>
      <c r="L99">
        <v>205</v>
      </c>
      <c r="M99">
        <v>245</v>
      </c>
      <c r="N99">
        <v>610</v>
      </c>
      <c r="O99">
        <v>75</v>
      </c>
      <c r="P99">
        <v>44</v>
      </c>
      <c r="Q99">
        <v>2.241886273</v>
      </c>
      <c r="R99">
        <v>0.17610308499999999</v>
      </c>
      <c r="S99">
        <v>549</v>
      </c>
      <c r="T99">
        <v>118</v>
      </c>
      <c r="U99">
        <v>289</v>
      </c>
      <c r="V99">
        <v>960</v>
      </c>
      <c r="W99">
        <v>709</v>
      </c>
      <c r="X99">
        <v>356</v>
      </c>
      <c r="Y99">
        <v>19</v>
      </c>
      <c r="Z99">
        <v>213</v>
      </c>
      <c r="AA99">
        <v>229</v>
      </c>
      <c r="AB99">
        <v>5</v>
      </c>
      <c r="AC99">
        <v>31</v>
      </c>
      <c r="AD99">
        <v>52</v>
      </c>
      <c r="AE99">
        <v>0</v>
      </c>
      <c r="AF99">
        <v>9.6074197080000001</v>
      </c>
      <c r="AG99">
        <v>3</v>
      </c>
      <c r="AH99">
        <v>0</v>
      </c>
      <c r="AI99">
        <v>0</v>
      </c>
      <c r="AJ99">
        <v>0</v>
      </c>
      <c r="AK99">
        <v>2.19556</v>
      </c>
      <c r="AL99">
        <v>1</v>
      </c>
      <c r="AM99">
        <v>0</v>
      </c>
      <c r="AN99">
        <v>1138</v>
      </c>
      <c r="AO99">
        <v>17</v>
      </c>
      <c r="AP99">
        <v>0</v>
      </c>
      <c r="AQ99">
        <v>0</v>
      </c>
    </row>
    <row r="100" spans="1:43" x14ac:dyDescent="0.25">
      <c r="A100">
        <v>97</v>
      </c>
      <c r="B100">
        <v>3</v>
      </c>
      <c r="C100">
        <v>3</v>
      </c>
      <c r="D100">
        <v>1</v>
      </c>
      <c r="E100">
        <v>1763</v>
      </c>
      <c r="F100">
        <v>3450</v>
      </c>
      <c r="G100">
        <v>3450</v>
      </c>
      <c r="H100">
        <v>2204</v>
      </c>
      <c r="I100">
        <v>446</v>
      </c>
      <c r="J100">
        <v>1254</v>
      </c>
      <c r="K100">
        <v>264</v>
      </c>
      <c r="L100">
        <v>218</v>
      </c>
      <c r="M100">
        <v>256</v>
      </c>
      <c r="N100">
        <v>1039</v>
      </c>
      <c r="O100">
        <v>84</v>
      </c>
      <c r="P100">
        <v>47.056349930000003</v>
      </c>
      <c r="Q100">
        <v>8.3014765080000004</v>
      </c>
      <c r="R100">
        <v>0.17199999999999999</v>
      </c>
      <c r="S100">
        <v>1088</v>
      </c>
      <c r="T100">
        <v>232</v>
      </c>
      <c r="U100">
        <v>200</v>
      </c>
      <c r="V100">
        <v>1490</v>
      </c>
      <c r="W100">
        <v>854</v>
      </c>
      <c r="X100">
        <v>541</v>
      </c>
      <c r="Y100">
        <v>101</v>
      </c>
      <c r="Z100">
        <v>284</v>
      </c>
      <c r="AA100">
        <v>515</v>
      </c>
      <c r="AB100">
        <v>2</v>
      </c>
      <c r="AC100">
        <v>117</v>
      </c>
      <c r="AD100">
        <v>69</v>
      </c>
      <c r="AE100">
        <v>0</v>
      </c>
      <c r="AF100">
        <v>55.949091240000001</v>
      </c>
      <c r="AG100">
        <v>3</v>
      </c>
      <c r="AH100">
        <v>0</v>
      </c>
      <c r="AI100">
        <v>0</v>
      </c>
      <c r="AJ100">
        <v>0</v>
      </c>
      <c r="AK100">
        <v>2.7963200000000001</v>
      </c>
      <c r="AL100">
        <v>1</v>
      </c>
      <c r="AM100">
        <v>0</v>
      </c>
      <c r="AN100">
        <v>1763</v>
      </c>
      <c r="AO100">
        <v>0</v>
      </c>
      <c r="AP100">
        <v>0</v>
      </c>
      <c r="AQ100">
        <v>0</v>
      </c>
    </row>
    <row r="101" spans="1:43" x14ac:dyDescent="0.25">
      <c r="A101">
        <v>98</v>
      </c>
      <c r="B101">
        <v>3</v>
      </c>
      <c r="C101">
        <v>3</v>
      </c>
      <c r="D101">
        <v>1</v>
      </c>
      <c r="E101">
        <v>2062</v>
      </c>
      <c r="F101">
        <v>3905</v>
      </c>
      <c r="G101">
        <v>3905</v>
      </c>
      <c r="H101">
        <v>2681</v>
      </c>
      <c r="I101">
        <v>710</v>
      </c>
      <c r="J101">
        <v>1218</v>
      </c>
      <c r="K101">
        <v>230</v>
      </c>
      <c r="L101">
        <v>301</v>
      </c>
      <c r="M101">
        <v>323</v>
      </c>
      <c r="N101">
        <v>1203</v>
      </c>
      <c r="O101">
        <v>106</v>
      </c>
      <c r="P101">
        <v>60.12509481</v>
      </c>
      <c r="Q101">
        <v>7.9985206020000001</v>
      </c>
      <c r="R101">
        <v>0.169992422</v>
      </c>
      <c r="S101">
        <v>1063</v>
      </c>
      <c r="T101">
        <v>164</v>
      </c>
      <c r="U101">
        <v>369</v>
      </c>
      <c r="V101">
        <v>1687</v>
      </c>
      <c r="W101">
        <v>965</v>
      </c>
      <c r="X101">
        <v>542</v>
      </c>
      <c r="Y101">
        <v>171</v>
      </c>
      <c r="Z101">
        <v>316</v>
      </c>
      <c r="AA101">
        <v>486</v>
      </c>
      <c r="AB101">
        <v>2</v>
      </c>
      <c r="AC101">
        <v>39</v>
      </c>
      <c r="AD101">
        <v>49</v>
      </c>
      <c r="AE101">
        <v>0</v>
      </c>
      <c r="AF101">
        <v>22.040551099999998</v>
      </c>
      <c r="AG101">
        <v>3</v>
      </c>
      <c r="AH101">
        <v>0</v>
      </c>
      <c r="AI101">
        <v>0</v>
      </c>
      <c r="AJ101">
        <v>0</v>
      </c>
      <c r="AK101">
        <v>2.6210100000000001</v>
      </c>
      <c r="AL101">
        <v>1</v>
      </c>
      <c r="AM101">
        <v>0</v>
      </c>
      <c r="AN101">
        <v>2062</v>
      </c>
      <c r="AO101">
        <v>0</v>
      </c>
      <c r="AP101">
        <v>0</v>
      </c>
      <c r="AQ101">
        <v>0</v>
      </c>
    </row>
    <row r="102" spans="1:43" x14ac:dyDescent="0.25">
      <c r="A102">
        <v>99</v>
      </c>
      <c r="B102">
        <v>3</v>
      </c>
      <c r="C102">
        <v>3</v>
      </c>
      <c r="D102">
        <v>1</v>
      </c>
      <c r="E102">
        <v>1905</v>
      </c>
      <c r="F102">
        <v>3515</v>
      </c>
      <c r="G102">
        <v>3644</v>
      </c>
      <c r="H102">
        <v>2190</v>
      </c>
      <c r="I102">
        <v>464</v>
      </c>
      <c r="J102">
        <v>1655</v>
      </c>
      <c r="K102">
        <v>403</v>
      </c>
      <c r="L102">
        <v>299</v>
      </c>
      <c r="M102">
        <v>376</v>
      </c>
      <c r="N102">
        <v>839</v>
      </c>
      <c r="O102">
        <v>72</v>
      </c>
      <c r="P102">
        <v>38.315211759999997</v>
      </c>
      <c r="Q102">
        <v>8.5445893349999995</v>
      </c>
      <c r="R102">
        <v>0.18507853399999999</v>
      </c>
      <c r="S102">
        <v>889</v>
      </c>
      <c r="T102">
        <v>55</v>
      </c>
      <c r="U102">
        <v>362</v>
      </c>
      <c r="V102">
        <v>1884</v>
      </c>
      <c r="W102">
        <v>677</v>
      </c>
      <c r="X102">
        <v>638</v>
      </c>
      <c r="Y102">
        <v>23</v>
      </c>
      <c r="Z102">
        <v>132</v>
      </c>
      <c r="AA102">
        <v>393</v>
      </c>
      <c r="AB102">
        <v>1</v>
      </c>
      <c r="AC102">
        <v>252</v>
      </c>
      <c r="AD102">
        <v>88</v>
      </c>
      <c r="AE102">
        <v>0</v>
      </c>
      <c r="AF102">
        <v>8.477135037</v>
      </c>
      <c r="AG102">
        <v>2</v>
      </c>
      <c r="AH102">
        <v>272</v>
      </c>
      <c r="AI102">
        <v>0</v>
      </c>
      <c r="AJ102">
        <v>0</v>
      </c>
      <c r="AK102">
        <v>3.6861000000000002</v>
      </c>
      <c r="AL102">
        <v>1</v>
      </c>
      <c r="AM102">
        <v>0</v>
      </c>
      <c r="AN102">
        <v>1905</v>
      </c>
      <c r="AO102">
        <v>129</v>
      </c>
      <c r="AP102">
        <v>0</v>
      </c>
      <c r="AQ102">
        <v>0</v>
      </c>
    </row>
    <row r="103" spans="1:43" x14ac:dyDescent="0.25">
      <c r="A103">
        <v>100</v>
      </c>
      <c r="B103">
        <v>3</v>
      </c>
      <c r="C103">
        <v>3</v>
      </c>
      <c r="D103">
        <v>1</v>
      </c>
      <c r="E103">
        <v>1735</v>
      </c>
      <c r="F103">
        <v>3556</v>
      </c>
      <c r="G103">
        <v>3649</v>
      </c>
      <c r="H103">
        <v>2445</v>
      </c>
      <c r="I103">
        <v>251</v>
      </c>
      <c r="J103">
        <v>1490</v>
      </c>
      <c r="K103">
        <v>417</v>
      </c>
      <c r="L103">
        <v>443</v>
      </c>
      <c r="M103">
        <v>199</v>
      </c>
      <c r="N103">
        <v>687</v>
      </c>
      <c r="O103">
        <v>80</v>
      </c>
      <c r="P103">
        <v>27</v>
      </c>
      <c r="Q103">
        <v>31.22940715</v>
      </c>
      <c r="R103">
        <v>0.163006345</v>
      </c>
      <c r="S103">
        <v>2483</v>
      </c>
      <c r="T103">
        <v>211</v>
      </c>
      <c r="U103">
        <v>266</v>
      </c>
      <c r="V103">
        <v>2038</v>
      </c>
      <c r="W103">
        <v>894</v>
      </c>
      <c r="X103">
        <v>471</v>
      </c>
      <c r="Y103">
        <v>214</v>
      </c>
      <c r="Z103">
        <v>711</v>
      </c>
      <c r="AA103">
        <v>1300</v>
      </c>
      <c r="AB103">
        <v>2</v>
      </c>
      <c r="AC103">
        <v>84</v>
      </c>
      <c r="AD103">
        <v>172</v>
      </c>
      <c r="AE103">
        <v>0</v>
      </c>
      <c r="AF103">
        <v>163.32613499999999</v>
      </c>
      <c r="AG103">
        <v>1</v>
      </c>
      <c r="AH103">
        <v>0</v>
      </c>
      <c r="AI103">
        <v>0</v>
      </c>
      <c r="AJ103">
        <v>0</v>
      </c>
      <c r="AK103">
        <v>5.7337199999999999</v>
      </c>
      <c r="AL103">
        <v>2</v>
      </c>
      <c r="AM103">
        <v>0</v>
      </c>
      <c r="AN103">
        <v>1735</v>
      </c>
      <c r="AO103">
        <v>93</v>
      </c>
      <c r="AP103">
        <v>0</v>
      </c>
      <c r="AQ103">
        <v>0</v>
      </c>
    </row>
    <row r="104" spans="1:43" x14ac:dyDescent="0.25">
      <c r="A104">
        <v>101</v>
      </c>
      <c r="B104">
        <v>3</v>
      </c>
      <c r="C104">
        <v>3</v>
      </c>
      <c r="D104">
        <v>1</v>
      </c>
      <c r="E104">
        <v>2755</v>
      </c>
      <c r="F104">
        <v>5557</v>
      </c>
      <c r="G104">
        <v>5612</v>
      </c>
      <c r="H104">
        <v>3723</v>
      </c>
      <c r="I104">
        <v>259</v>
      </c>
      <c r="J104">
        <v>2414</v>
      </c>
      <c r="K104">
        <v>701</v>
      </c>
      <c r="L104">
        <v>646</v>
      </c>
      <c r="M104">
        <v>559</v>
      </c>
      <c r="N104">
        <v>861</v>
      </c>
      <c r="O104">
        <v>87</v>
      </c>
      <c r="P104">
        <v>34.595892980000002</v>
      </c>
      <c r="Q104">
        <v>33.273571269999998</v>
      </c>
      <c r="R104">
        <v>0.128151931</v>
      </c>
      <c r="S104">
        <v>3849</v>
      </c>
      <c r="T104">
        <v>205</v>
      </c>
      <c r="U104">
        <v>495</v>
      </c>
      <c r="V104">
        <v>3023</v>
      </c>
      <c r="W104">
        <v>1526</v>
      </c>
      <c r="X104">
        <v>686</v>
      </c>
      <c r="Y104">
        <v>264</v>
      </c>
      <c r="Z104">
        <v>775</v>
      </c>
      <c r="AA104">
        <v>2000</v>
      </c>
      <c r="AB104">
        <v>21</v>
      </c>
      <c r="AC104">
        <v>415</v>
      </c>
      <c r="AD104">
        <v>374</v>
      </c>
      <c r="AE104">
        <v>0</v>
      </c>
      <c r="AF104">
        <v>196.66953290000001</v>
      </c>
      <c r="AG104">
        <v>1</v>
      </c>
      <c r="AH104">
        <v>0</v>
      </c>
      <c r="AI104">
        <v>0</v>
      </c>
      <c r="AJ104">
        <v>0</v>
      </c>
      <c r="AK104">
        <v>5.4246699999999999</v>
      </c>
      <c r="AL104">
        <v>2</v>
      </c>
      <c r="AM104">
        <v>0</v>
      </c>
      <c r="AN104">
        <v>2755</v>
      </c>
      <c r="AO104">
        <v>55</v>
      </c>
      <c r="AP104">
        <v>0</v>
      </c>
      <c r="AQ104">
        <v>0</v>
      </c>
    </row>
    <row r="105" spans="1:43" x14ac:dyDescent="0.25">
      <c r="A105">
        <v>102</v>
      </c>
      <c r="B105">
        <v>3</v>
      </c>
      <c r="C105">
        <v>3</v>
      </c>
      <c r="D105">
        <v>1</v>
      </c>
      <c r="E105">
        <v>2598</v>
      </c>
      <c r="F105">
        <v>5132</v>
      </c>
      <c r="G105">
        <v>5272</v>
      </c>
      <c r="H105">
        <v>3703</v>
      </c>
      <c r="I105">
        <v>227</v>
      </c>
      <c r="J105">
        <v>2495</v>
      </c>
      <c r="K105">
        <v>403</v>
      </c>
      <c r="L105">
        <v>327</v>
      </c>
      <c r="M105">
        <v>536</v>
      </c>
      <c r="N105">
        <v>1325</v>
      </c>
      <c r="O105">
        <v>81</v>
      </c>
      <c r="P105">
        <v>45.308406550000001</v>
      </c>
      <c r="Q105">
        <v>9.1280265850000006</v>
      </c>
      <c r="R105">
        <v>0.11620568000000001</v>
      </c>
      <c r="S105">
        <v>2010</v>
      </c>
      <c r="T105">
        <v>181</v>
      </c>
      <c r="U105">
        <v>342</v>
      </c>
      <c r="V105">
        <v>2706</v>
      </c>
      <c r="W105">
        <v>1326</v>
      </c>
      <c r="X105">
        <v>534</v>
      </c>
      <c r="Y105">
        <v>156</v>
      </c>
      <c r="Z105">
        <v>253</v>
      </c>
      <c r="AA105">
        <v>1094</v>
      </c>
      <c r="AB105">
        <v>2</v>
      </c>
      <c r="AC105">
        <v>195</v>
      </c>
      <c r="AD105">
        <v>310</v>
      </c>
      <c r="AE105">
        <v>0</v>
      </c>
      <c r="AF105">
        <v>0</v>
      </c>
      <c r="AG105">
        <v>2</v>
      </c>
      <c r="AH105">
        <v>0</v>
      </c>
      <c r="AI105">
        <v>0</v>
      </c>
      <c r="AJ105">
        <v>0</v>
      </c>
      <c r="AK105">
        <v>3.91153</v>
      </c>
      <c r="AL105">
        <v>1</v>
      </c>
      <c r="AM105">
        <v>0</v>
      </c>
      <c r="AN105">
        <v>2598</v>
      </c>
      <c r="AO105">
        <v>140</v>
      </c>
      <c r="AP105">
        <v>0</v>
      </c>
      <c r="AQ105">
        <v>0</v>
      </c>
    </row>
    <row r="106" spans="1:43" x14ac:dyDescent="0.25">
      <c r="A106">
        <v>103</v>
      </c>
      <c r="B106">
        <v>3</v>
      </c>
      <c r="C106">
        <v>3</v>
      </c>
      <c r="D106">
        <v>1</v>
      </c>
      <c r="E106">
        <v>2875</v>
      </c>
      <c r="F106">
        <v>5287</v>
      </c>
      <c r="G106">
        <v>5322</v>
      </c>
      <c r="H106">
        <v>3589</v>
      </c>
      <c r="I106">
        <v>586</v>
      </c>
      <c r="J106">
        <v>2080</v>
      </c>
      <c r="K106">
        <v>596</v>
      </c>
      <c r="L106">
        <v>484</v>
      </c>
      <c r="M106">
        <v>398</v>
      </c>
      <c r="N106">
        <v>1412</v>
      </c>
      <c r="O106">
        <v>137</v>
      </c>
      <c r="P106">
        <v>67</v>
      </c>
      <c r="Q106">
        <v>10.463206680000001</v>
      </c>
      <c r="R106">
        <v>0.21915121300000001</v>
      </c>
      <c r="S106">
        <v>1367</v>
      </c>
      <c r="T106">
        <v>70</v>
      </c>
      <c r="U106">
        <v>230</v>
      </c>
      <c r="V106">
        <v>1955</v>
      </c>
      <c r="W106">
        <v>2196</v>
      </c>
      <c r="X106">
        <v>866</v>
      </c>
      <c r="Y106">
        <v>90</v>
      </c>
      <c r="Z106">
        <v>358</v>
      </c>
      <c r="AA106">
        <v>712</v>
      </c>
      <c r="AB106">
        <v>2</v>
      </c>
      <c r="AC106">
        <v>106</v>
      </c>
      <c r="AD106">
        <v>99</v>
      </c>
      <c r="AE106">
        <v>0</v>
      </c>
      <c r="AF106">
        <v>15.8239854</v>
      </c>
      <c r="AG106">
        <v>2</v>
      </c>
      <c r="AH106">
        <v>993</v>
      </c>
      <c r="AI106">
        <v>0</v>
      </c>
      <c r="AJ106">
        <v>0</v>
      </c>
      <c r="AK106">
        <v>2.6218599999999999</v>
      </c>
      <c r="AL106">
        <v>1</v>
      </c>
      <c r="AM106">
        <v>0</v>
      </c>
      <c r="AN106">
        <v>2875</v>
      </c>
      <c r="AO106">
        <v>35</v>
      </c>
      <c r="AP106">
        <v>0</v>
      </c>
      <c r="AQ106">
        <v>0</v>
      </c>
    </row>
    <row r="107" spans="1:43" x14ac:dyDescent="0.25">
      <c r="A107">
        <v>104</v>
      </c>
      <c r="B107">
        <v>3</v>
      </c>
      <c r="C107">
        <v>3</v>
      </c>
      <c r="D107">
        <v>1</v>
      </c>
      <c r="E107">
        <v>2216</v>
      </c>
      <c r="F107">
        <v>3341</v>
      </c>
      <c r="G107">
        <v>3364</v>
      </c>
      <c r="H107">
        <v>2522</v>
      </c>
      <c r="I107">
        <v>127</v>
      </c>
      <c r="J107">
        <v>2093</v>
      </c>
      <c r="K107">
        <v>377</v>
      </c>
      <c r="L107">
        <v>288</v>
      </c>
      <c r="M107">
        <v>415</v>
      </c>
      <c r="N107">
        <v>1126</v>
      </c>
      <c r="O107">
        <v>68</v>
      </c>
      <c r="P107">
        <v>24.3456428</v>
      </c>
      <c r="Q107">
        <v>20.987660949999999</v>
      </c>
      <c r="R107">
        <v>0.13298790999999999</v>
      </c>
      <c r="S107">
        <v>2203</v>
      </c>
      <c r="T107">
        <v>78</v>
      </c>
      <c r="U107">
        <v>133</v>
      </c>
      <c r="V107">
        <v>1652</v>
      </c>
      <c r="W107">
        <v>1108</v>
      </c>
      <c r="X107">
        <v>322</v>
      </c>
      <c r="Y107">
        <v>314</v>
      </c>
      <c r="Z107">
        <v>658</v>
      </c>
      <c r="AA107">
        <v>984</v>
      </c>
      <c r="AB107">
        <v>2</v>
      </c>
      <c r="AC107">
        <v>75</v>
      </c>
      <c r="AD107">
        <v>170</v>
      </c>
      <c r="AE107">
        <v>0</v>
      </c>
      <c r="AF107">
        <v>69.512507299999996</v>
      </c>
      <c r="AG107">
        <v>2</v>
      </c>
      <c r="AH107">
        <v>0</v>
      </c>
      <c r="AI107">
        <v>0</v>
      </c>
      <c r="AJ107">
        <v>0</v>
      </c>
      <c r="AK107">
        <v>4.5693000000000001</v>
      </c>
      <c r="AL107">
        <v>1</v>
      </c>
      <c r="AM107">
        <v>0</v>
      </c>
      <c r="AN107">
        <v>2216</v>
      </c>
      <c r="AO107">
        <v>23</v>
      </c>
      <c r="AP107">
        <v>0</v>
      </c>
      <c r="AQ107">
        <v>0</v>
      </c>
    </row>
    <row r="108" spans="1:43" x14ac:dyDescent="0.25">
      <c r="A108">
        <v>105</v>
      </c>
      <c r="B108">
        <v>3</v>
      </c>
      <c r="C108">
        <v>3</v>
      </c>
      <c r="D108">
        <v>1</v>
      </c>
      <c r="E108">
        <v>3188</v>
      </c>
      <c r="F108">
        <v>5744</v>
      </c>
      <c r="G108">
        <v>5875</v>
      </c>
      <c r="H108">
        <v>4213</v>
      </c>
      <c r="I108">
        <v>360</v>
      </c>
      <c r="J108">
        <v>2855</v>
      </c>
      <c r="K108">
        <v>775</v>
      </c>
      <c r="L108">
        <v>514</v>
      </c>
      <c r="M108">
        <v>517</v>
      </c>
      <c r="N108">
        <v>1373</v>
      </c>
      <c r="O108">
        <v>80</v>
      </c>
      <c r="P108">
        <v>34.507257269999997</v>
      </c>
      <c r="Q108">
        <v>25.823092979999998</v>
      </c>
      <c r="R108">
        <v>0.13674788700000001</v>
      </c>
      <c r="S108">
        <v>1921</v>
      </c>
      <c r="T108">
        <v>60</v>
      </c>
      <c r="U108">
        <v>573</v>
      </c>
      <c r="V108">
        <v>3182</v>
      </c>
      <c r="W108">
        <v>1213</v>
      </c>
      <c r="X108">
        <v>657</v>
      </c>
      <c r="Y108">
        <v>176</v>
      </c>
      <c r="Z108">
        <v>276</v>
      </c>
      <c r="AA108">
        <v>1276</v>
      </c>
      <c r="AB108">
        <v>7</v>
      </c>
      <c r="AC108">
        <v>67</v>
      </c>
      <c r="AD108">
        <v>119</v>
      </c>
      <c r="AE108">
        <v>218.14494160000001</v>
      </c>
      <c r="AF108">
        <v>111.8981825</v>
      </c>
      <c r="AG108">
        <v>1</v>
      </c>
      <c r="AH108">
        <v>0</v>
      </c>
      <c r="AI108">
        <v>0</v>
      </c>
      <c r="AJ108">
        <v>0</v>
      </c>
      <c r="AK108">
        <v>4.2681899999999997</v>
      </c>
      <c r="AL108">
        <v>1</v>
      </c>
      <c r="AM108">
        <v>0</v>
      </c>
      <c r="AN108">
        <v>3188</v>
      </c>
      <c r="AO108">
        <v>131</v>
      </c>
      <c r="AP108">
        <v>0</v>
      </c>
      <c r="AQ108">
        <v>0</v>
      </c>
    </row>
    <row r="109" spans="1:43" x14ac:dyDescent="0.25">
      <c r="A109">
        <v>106</v>
      </c>
      <c r="B109">
        <v>3</v>
      </c>
      <c r="C109">
        <v>3</v>
      </c>
      <c r="D109">
        <v>1</v>
      </c>
      <c r="E109">
        <v>3341</v>
      </c>
      <c r="F109">
        <v>6196</v>
      </c>
      <c r="G109">
        <v>7012</v>
      </c>
      <c r="H109">
        <v>4512</v>
      </c>
      <c r="I109">
        <v>229</v>
      </c>
      <c r="J109">
        <v>3426</v>
      </c>
      <c r="K109">
        <v>914</v>
      </c>
      <c r="L109">
        <v>555</v>
      </c>
      <c r="M109">
        <v>730</v>
      </c>
      <c r="N109">
        <v>1121</v>
      </c>
      <c r="O109">
        <v>110</v>
      </c>
      <c r="P109">
        <v>26.55352328</v>
      </c>
      <c r="Q109">
        <v>46.06398712</v>
      </c>
      <c r="R109">
        <v>0.16795687000000001</v>
      </c>
      <c r="S109">
        <v>4242</v>
      </c>
      <c r="T109">
        <v>103</v>
      </c>
      <c r="U109">
        <v>342</v>
      </c>
      <c r="V109">
        <v>3248</v>
      </c>
      <c r="W109">
        <v>2221</v>
      </c>
      <c r="X109">
        <v>949</v>
      </c>
      <c r="Y109">
        <v>433</v>
      </c>
      <c r="Z109">
        <v>940</v>
      </c>
      <c r="AA109">
        <v>2101</v>
      </c>
      <c r="AB109">
        <v>3</v>
      </c>
      <c r="AC109">
        <v>151</v>
      </c>
      <c r="AD109">
        <v>614</v>
      </c>
      <c r="AE109">
        <v>180.84554750000001</v>
      </c>
      <c r="AF109">
        <v>155.41414230000001</v>
      </c>
      <c r="AG109">
        <v>1</v>
      </c>
      <c r="AH109">
        <v>0</v>
      </c>
      <c r="AI109">
        <v>43</v>
      </c>
      <c r="AJ109">
        <v>140</v>
      </c>
      <c r="AK109">
        <v>4.2157900000000001</v>
      </c>
      <c r="AL109">
        <v>2</v>
      </c>
      <c r="AM109">
        <v>0</v>
      </c>
      <c r="AN109">
        <v>3341</v>
      </c>
      <c r="AO109">
        <v>816</v>
      </c>
      <c r="AP109">
        <v>0</v>
      </c>
      <c r="AQ109">
        <v>0</v>
      </c>
    </row>
    <row r="110" spans="1:43" x14ac:dyDescent="0.25">
      <c r="A110">
        <v>107</v>
      </c>
      <c r="B110">
        <v>3</v>
      </c>
      <c r="C110">
        <v>3</v>
      </c>
      <c r="D110">
        <v>1</v>
      </c>
      <c r="E110">
        <v>963</v>
      </c>
      <c r="F110">
        <v>1906</v>
      </c>
      <c r="G110">
        <v>2715</v>
      </c>
      <c r="H110">
        <v>1339</v>
      </c>
      <c r="I110">
        <v>84</v>
      </c>
      <c r="J110">
        <v>1013</v>
      </c>
      <c r="K110">
        <v>207</v>
      </c>
      <c r="L110">
        <v>163</v>
      </c>
      <c r="M110">
        <v>202</v>
      </c>
      <c r="N110">
        <v>394</v>
      </c>
      <c r="O110">
        <v>223</v>
      </c>
      <c r="P110">
        <v>13.00409267</v>
      </c>
      <c r="Q110">
        <v>114.4309908</v>
      </c>
      <c r="R110">
        <v>8.4615385000000001E-2</v>
      </c>
      <c r="S110">
        <v>27447</v>
      </c>
      <c r="T110">
        <v>68</v>
      </c>
      <c r="U110">
        <v>175</v>
      </c>
      <c r="V110">
        <v>1027</v>
      </c>
      <c r="W110">
        <v>567</v>
      </c>
      <c r="X110">
        <v>125</v>
      </c>
      <c r="Y110">
        <v>1199</v>
      </c>
      <c r="Z110">
        <v>2766</v>
      </c>
      <c r="AA110">
        <v>4517</v>
      </c>
      <c r="AB110">
        <v>5</v>
      </c>
      <c r="AC110">
        <v>9716</v>
      </c>
      <c r="AD110">
        <v>9244</v>
      </c>
      <c r="AE110">
        <v>116.4193212</v>
      </c>
      <c r="AF110">
        <v>136.76444530000001</v>
      </c>
      <c r="AG110">
        <v>1</v>
      </c>
      <c r="AH110">
        <v>0</v>
      </c>
      <c r="AI110">
        <v>0</v>
      </c>
      <c r="AJ110">
        <v>0</v>
      </c>
      <c r="AK110">
        <v>4.1709500000000004</v>
      </c>
      <c r="AL110">
        <v>2</v>
      </c>
      <c r="AM110">
        <v>0</v>
      </c>
      <c r="AN110">
        <v>963</v>
      </c>
      <c r="AO110">
        <v>809</v>
      </c>
      <c r="AP110">
        <v>0</v>
      </c>
      <c r="AQ110">
        <v>0</v>
      </c>
    </row>
    <row r="111" spans="1:43" x14ac:dyDescent="0.25">
      <c r="A111">
        <v>108</v>
      </c>
      <c r="B111">
        <v>3</v>
      </c>
      <c r="C111">
        <v>3</v>
      </c>
      <c r="D111">
        <v>1</v>
      </c>
      <c r="E111">
        <v>927</v>
      </c>
      <c r="F111">
        <v>1632</v>
      </c>
      <c r="G111">
        <v>1890</v>
      </c>
      <c r="H111">
        <v>1133</v>
      </c>
      <c r="I111">
        <v>46</v>
      </c>
      <c r="J111">
        <v>949</v>
      </c>
      <c r="K111">
        <v>335</v>
      </c>
      <c r="L111">
        <v>109</v>
      </c>
      <c r="M111">
        <v>67</v>
      </c>
      <c r="N111">
        <v>412</v>
      </c>
      <c r="O111">
        <v>113.7</v>
      </c>
      <c r="P111">
        <v>12.601911380000001</v>
      </c>
      <c r="Q111">
        <v>113.83697189999999</v>
      </c>
      <c r="R111">
        <v>0.174837566</v>
      </c>
      <c r="S111">
        <v>4887</v>
      </c>
      <c r="T111">
        <v>32</v>
      </c>
      <c r="U111">
        <v>184</v>
      </c>
      <c r="V111">
        <v>909</v>
      </c>
      <c r="W111">
        <v>256</v>
      </c>
      <c r="X111">
        <v>216</v>
      </c>
      <c r="Y111">
        <v>304</v>
      </c>
      <c r="Z111">
        <v>1272</v>
      </c>
      <c r="AA111">
        <v>2395</v>
      </c>
      <c r="AB111">
        <v>3</v>
      </c>
      <c r="AC111">
        <v>602</v>
      </c>
      <c r="AD111">
        <v>311</v>
      </c>
      <c r="AE111">
        <v>140.72044159999999</v>
      </c>
      <c r="AF111">
        <v>126.02674089999999</v>
      </c>
      <c r="AG111">
        <v>2</v>
      </c>
      <c r="AH111">
        <v>0</v>
      </c>
      <c r="AI111">
        <v>1431</v>
      </c>
      <c r="AJ111">
        <v>201</v>
      </c>
      <c r="AK111">
        <v>3.0046300000000001</v>
      </c>
      <c r="AL111">
        <v>3</v>
      </c>
      <c r="AM111">
        <v>0</v>
      </c>
      <c r="AN111">
        <v>927</v>
      </c>
      <c r="AO111">
        <v>258</v>
      </c>
      <c r="AP111">
        <v>0</v>
      </c>
      <c r="AQ111">
        <v>0</v>
      </c>
    </row>
    <row r="112" spans="1:43" x14ac:dyDescent="0.25">
      <c r="A112">
        <v>109</v>
      </c>
      <c r="B112">
        <v>3</v>
      </c>
      <c r="C112">
        <v>3</v>
      </c>
      <c r="D112">
        <v>1</v>
      </c>
      <c r="E112">
        <v>3523</v>
      </c>
      <c r="F112">
        <v>6884</v>
      </c>
      <c r="G112">
        <v>7276</v>
      </c>
      <c r="H112">
        <v>5229</v>
      </c>
      <c r="I112">
        <v>28</v>
      </c>
      <c r="J112">
        <v>3275</v>
      </c>
      <c r="K112">
        <v>746</v>
      </c>
      <c r="L112">
        <v>393</v>
      </c>
      <c r="M112">
        <v>283</v>
      </c>
      <c r="N112">
        <v>2118</v>
      </c>
      <c r="O112">
        <v>142.80000000000001</v>
      </c>
      <c r="P112">
        <v>22.500518809999999</v>
      </c>
      <c r="Q112">
        <v>176.98014939999999</v>
      </c>
      <c r="R112">
        <v>0.10610465099999999</v>
      </c>
      <c r="S112">
        <v>6327</v>
      </c>
      <c r="T112">
        <v>341</v>
      </c>
      <c r="U112">
        <v>916</v>
      </c>
      <c r="V112">
        <v>3938</v>
      </c>
      <c r="W112">
        <v>1333</v>
      </c>
      <c r="X112">
        <v>621</v>
      </c>
      <c r="Y112">
        <v>125</v>
      </c>
      <c r="Z112">
        <v>2796</v>
      </c>
      <c r="AA112">
        <v>1361</v>
      </c>
      <c r="AB112">
        <v>3</v>
      </c>
      <c r="AC112">
        <v>438</v>
      </c>
      <c r="AD112">
        <v>1604</v>
      </c>
      <c r="AE112">
        <v>0</v>
      </c>
      <c r="AF112">
        <v>142.981011</v>
      </c>
      <c r="AG112">
        <v>2</v>
      </c>
      <c r="AH112">
        <v>0</v>
      </c>
      <c r="AI112">
        <v>0</v>
      </c>
      <c r="AJ112">
        <v>0</v>
      </c>
      <c r="AK112">
        <v>3.47472</v>
      </c>
      <c r="AL112">
        <v>3</v>
      </c>
      <c r="AM112">
        <v>0</v>
      </c>
      <c r="AN112">
        <v>3523</v>
      </c>
      <c r="AO112">
        <v>392</v>
      </c>
      <c r="AP112">
        <v>0</v>
      </c>
      <c r="AQ112">
        <v>0</v>
      </c>
    </row>
    <row r="113" spans="1:43" x14ac:dyDescent="0.25">
      <c r="A113">
        <v>110</v>
      </c>
      <c r="B113">
        <v>3</v>
      </c>
      <c r="C113">
        <v>3</v>
      </c>
      <c r="D113">
        <v>1</v>
      </c>
      <c r="E113">
        <v>2737</v>
      </c>
      <c r="F113">
        <v>6234</v>
      </c>
      <c r="G113">
        <v>7250</v>
      </c>
      <c r="H113">
        <v>4239</v>
      </c>
      <c r="I113">
        <v>30</v>
      </c>
      <c r="J113">
        <v>2806</v>
      </c>
      <c r="K113">
        <v>522</v>
      </c>
      <c r="L113">
        <v>231</v>
      </c>
      <c r="M113">
        <v>481</v>
      </c>
      <c r="N113">
        <v>1488</v>
      </c>
      <c r="O113">
        <v>263.89999999999998</v>
      </c>
      <c r="P113">
        <v>11.423406419999999</v>
      </c>
      <c r="Q113">
        <v>66.993271609999994</v>
      </c>
      <c r="R113">
        <v>6.2325854E-2</v>
      </c>
      <c r="S113">
        <v>7053</v>
      </c>
      <c r="T113">
        <v>779</v>
      </c>
      <c r="U113">
        <v>431</v>
      </c>
      <c r="V113">
        <v>4269</v>
      </c>
      <c r="W113">
        <v>650</v>
      </c>
      <c r="X113">
        <v>332</v>
      </c>
      <c r="Y113">
        <v>124</v>
      </c>
      <c r="Z113">
        <v>2892</v>
      </c>
      <c r="AA113">
        <v>2786</v>
      </c>
      <c r="AB113">
        <v>1</v>
      </c>
      <c r="AC113">
        <v>1053</v>
      </c>
      <c r="AD113">
        <v>197</v>
      </c>
      <c r="AE113">
        <v>163.89127740000001</v>
      </c>
      <c r="AF113">
        <v>136.76444530000001</v>
      </c>
      <c r="AG113">
        <v>3</v>
      </c>
      <c r="AH113">
        <v>0</v>
      </c>
      <c r="AI113">
        <v>0</v>
      </c>
      <c r="AJ113">
        <v>0</v>
      </c>
      <c r="AK113">
        <v>5.2002899999999999</v>
      </c>
      <c r="AL113">
        <v>3</v>
      </c>
      <c r="AM113">
        <v>0</v>
      </c>
      <c r="AN113">
        <v>2737</v>
      </c>
      <c r="AO113">
        <v>1016</v>
      </c>
      <c r="AP113">
        <v>0</v>
      </c>
      <c r="AQ113">
        <v>0</v>
      </c>
    </row>
    <row r="114" spans="1:43" x14ac:dyDescent="0.25">
      <c r="A114">
        <v>111</v>
      </c>
      <c r="B114">
        <v>3</v>
      </c>
      <c r="C114">
        <v>3</v>
      </c>
      <c r="D114">
        <v>1</v>
      </c>
      <c r="E114">
        <v>2114</v>
      </c>
      <c r="F114">
        <v>3789</v>
      </c>
      <c r="G114">
        <v>4456</v>
      </c>
      <c r="H114">
        <v>3127</v>
      </c>
      <c r="I114">
        <v>107</v>
      </c>
      <c r="J114">
        <v>2085</v>
      </c>
      <c r="K114">
        <v>104</v>
      </c>
      <c r="L114">
        <v>177</v>
      </c>
      <c r="M114">
        <v>460</v>
      </c>
      <c r="N114">
        <v>1355</v>
      </c>
      <c r="O114">
        <v>327</v>
      </c>
      <c r="P114">
        <v>17.509032470000001</v>
      </c>
      <c r="Q114">
        <v>220.99233319999999</v>
      </c>
      <c r="R114">
        <v>2.9358275E-2</v>
      </c>
      <c r="S114">
        <v>7604</v>
      </c>
      <c r="T114">
        <v>168</v>
      </c>
      <c r="U114">
        <v>227</v>
      </c>
      <c r="V114">
        <v>2691</v>
      </c>
      <c r="W114">
        <v>523</v>
      </c>
      <c r="X114">
        <v>41</v>
      </c>
      <c r="Y114">
        <v>262</v>
      </c>
      <c r="Z114">
        <v>2176</v>
      </c>
      <c r="AA114">
        <v>2609</v>
      </c>
      <c r="AB114">
        <v>4</v>
      </c>
      <c r="AC114">
        <v>1303</v>
      </c>
      <c r="AD114">
        <v>1250</v>
      </c>
      <c r="AE114">
        <v>0</v>
      </c>
      <c r="AF114">
        <v>80.815354020000001</v>
      </c>
      <c r="AG114">
        <v>3</v>
      </c>
      <c r="AH114">
        <v>0</v>
      </c>
      <c r="AI114">
        <v>0</v>
      </c>
      <c r="AJ114">
        <v>0</v>
      </c>
      <c r="AK114">
        <v>1.8264899999999999</v>
      </c>
      <c r="AL114">
        <v>2</v>
      </c>
      <c r="AM114">
        <v>0</v>
      </c>
      <c r="AN114">
        <v>2114</v>
      </c>
      <c r="AO114">
        <v>667</v>
      </c>
      <c r="AP114">
        <v>0</v>
      </c>
      <c r="AQ114">
        <v>0</v>
      </c>
    </row>
    <row r="115" spans="1:43" x14ac:dyDescent="0.25">
      <c r="A115">
        <v>112</v>
      </c>
      <c r="B115">
        <v>3</v>
      </c>
      <c r="C115">
        <v>3</v>
      </c>
      <c r="D115">
        <v>1</v>
      </c>
      <c r="E115">
        <v>1095</v>
      </c>
      <c r="F115">
        <v>2111</v>
      </c>
      <c r="G115">
        <v>2119</v>
      </c>
      <c r="H115">
        <v>1563</v>
      </c>
      <c r="I115">
        <v>195</v>
      </c>
      <c r="J115">
        <v>811</v>
      </c>
      <c r="K115">
        <v>196</v>
      </c>
      <c r="L115">
        <v>134</v>
      </c>
      <c r="M115">
        <v>137</v>
      </c>
      <c r="N115">
        <v>618</v>
      </c>
      <c r="O115">
        <v>67</v>
      </c>
      <c r="P115">
        <v>28.4122077</v>
      </c>
      <c r="Q115">
        <v>12.22631979</v>
      </c>
      <c r="R115">
        <v>0.122211896</v>
      </c>
      <c r="S115">
        <v>1011</v>
      </c>
      <c r="T115">
        <v>79</v>
      </c>
      <c r="U115">
        <v>147</v>
      </c>
      <c r="V115">
        <v>1234</v>
      </c>
      <c r="W115">
        <v>379</v>
      </c>
      <c r="X115">
        <v>187</v>
      </c>
      <c r="Y115">
        <v>50</v>
      </c>
      <c r="Z115">
        <v>346</v>
      </c>
      <c r="AA115">
        <v>362</v>
      </c>
      <c r="AB115">
        <v>1</v>
      </c>
      <c r="AC115">
        <v>158</v>
      </c>
      <c r="AD115">
        <v>94</v>
      </c>
      <c r="AE115">
        <v>0</v>
      </c>
      <c r="AF115">
        <v>0</v>
      </c>
      <c r="AG115">
        <v>3</v>
      </c>
      <c r="AH115">
        <v>0</v>
      </c>
      <c r="AI115">
        <v>0</v>
      </c>
      <c r="AJ115">
        <v>0</v>
      </c>
      <c r="AK115">
        <v>2.9855200000000002</v>
      </c>
      <c r="AL115">
        <v>1</v>
      </c>
      <c r="AM115">
        <v>0</v>
      </c>
      <c r="AN115">
        <v>1095</v>
      </c>
      <c r="AO115">
        <v>8</v>
      </c>
      <c r="AP115">
        <v>0</v>
      </c>
      <c r="AQ115">
        <v>0</v>
      </c>
    </row>
    <row r="116" spans="1:43" x14ac:dyDescent="0.25">
      <c r="A116">
        <v>113</v>
      </c>
      <c r="B116">
        <v>3</v>
      </c>
      <c r="C116">
        <v>3</v>
      </c>
      <c r="D116">
        <v>1</v>
      </c>
      <c r="E116">
        <v>2686</v>
      </c>
      <c r="F116">
        <v>5137</v>
      </c>
      <c r="G116">
        <v>5159</v>
      </c>
      <c r="H116">
        <v>2977</v>
      </c>
      <c r="I116">
        <v>808</v>
      </c>
      <c r="J116">
        <v>1851</v>
      </c>
      <c r="K116">
        <v>578</v>
      </c>
      <c r="L116">
        <v>298</v>
      </c>
      <c r="M116">
        <v>504</v>
      </c>
      <c r="N116">
        <v>1306</v>
      </c>
      <c r="O116">
        <v>186</v>
      </c>
      <c r="P116">
        <v>84.505819119999998</v>
      </c>
      <c r="Q116">
        <v>28.205755109999998</v>
      </c>
      <c r="R116">
        <v>0.17185128999999999</v>
      </c>
      <c r="S116">
        <v>1369</v>
      </c>
      <c r="T116">
        <v>327</v>
      </c>
      <c r="U116">
        <v>390</v>
      </c>
      <c r="V116">
        <v>2302</v>
      </c>
      <c r="W116">
        <v>1271</v>
      </c>
      <c r="X116">
        <v>702</v>
      </c>
      <c r="Y116">
        <v>32</v>
      </c>
      <c r="Z116">
        <v>444</v>
      </c>
      <c r="AA116">
        <v>559</v>
      </c>
      <c r="AB116">
        <v>3</v>
      </c>
      <c r="AC116">
        <v>162</v>
      </c>
      <c r="AD116">
        <v>169</v>
      </c>
      <c r="AE116">
        <v>0</v>
      </c>
      <c r="AF116">
        <v>0</v>
      </c>
      <c r="AG116">
        <v>3</v>
      </c>
      <c r="AH116">
        <v>0</v>
      </c>
      <c r="AI116">
        <v>0</v>
      </c>
      <c r="AJ116">
        <v>0</v>
      </c>
      <c r="AK116">
        <v>2.21976</v>
      </c>
      <c r="AL116">
        <v>1</v>
      </c>
      <c r="AM116">
        <v>0</v>
      </c>
      <c r="AN116">
        <v>2686</v>
      </c>
      <c r="AO116">
        <v>22</v>
      </c>
      <c r="AP116">
        <v>0</v>
      </c>
      <c r="AQ116">
        <v>0</v>
      </c>
    </row>
    <row r="117" spans="1:43" x14ac:dyDescent="0.25">
      <c r="A117">
        <v>114</v>
      </c>
      <c r="B117">
        <v>3</v>
      </c>
      <c r="C117">
        <v>3</v>
      </c>
      <c r="D117">
        <v>1</v>
      </c>
      <c r="E117">
        <v>1753</v>
      </c>
      <c r="F117">
        <v>3707</v>
      </c>
      <c r="G117">
        <v>3783</v>
      </c>
      <c r="H117">
        <v>2460</v>
      </c>
      <c r="I117">
        <v>570</v>
      </c>
      <c r="J117">
        <v>1232</v>
      </c>
      <c r="K117">
        <v>213</v>
      </c>
      <c r="L117">
        <v>238</v>
      </c>
      <c r="M117">
        <v>224</v>
      </c>
      <c r="N117">
        <v>1070</v>
      </c>
      <c r="O117">
        <v>146</v>
      </c>
      <c r="P117">
        <v>50.945761699999998</v>
      </c>
      <c r="Q117">
        <v>24.548658880000001</v>
      </c>
      <c r="R117">
        <v>0.147449522</v>
      </c>
      <c r="S117">
        <v>1528</v>
      </c>
      <c r="T117">
        <v>237</v>
      </c>
      <c r="U117">
        <v>323</v>
      </c>
      <c r="V117">
        <v>1813</v>
      </c>
      <c r="W117">
        <v>801</v>
      </c>
      <c r="X117">
        <v>377</v>
      </c>
      <c r="Y117">
        <v>353</v>
      </c>
      <c r="Z117">
        <v>366</v>
      </c>
      <c r="AA117">
        <v>528</v>
      </c>
      <c r="AB117">
        <v>2</v>
      </c>
      <c r="AC117">
        <v>81</v>
      </c>
      <c r="AD117">
        <v>198</v>
      </c>
      <c r="AE117">
        <v>0</v>
      </c>
      <c r="AF117">
        <v>0</v>
      </c>
      <c r="AG117">
        <v>3</v>
      </c>
      <c r="AH117">
        <v>556</v>
      </c>
      <c r="AI117">
        <v>0</v>
      </c>
      <c r="AJ117">
        <v>0</v>
      </c>
      <c r="AK117">
        <v>2.4330500000000002</v>
      </c>
      <c r="AL117">
        <v>1</v>
      </c>
      <c r="AM117">
        <v>0</v>
      </c>
      <c r="AN117">
        <v>1753</v>
      </c>
      <c r="AO117">
        <v>76</v>
      </c>
      <c r="AP117">
        <v>0</v>
      </c>
      <c r="AQ117">
        <v>0</v>
      </c>
    </row>
    <row r="118" spans="1:43" x14ac:dyDescent="0.25">
      <c r="A118">
        <v>115</v>
      </c>
      <c r="B118">
        <v>3</v>
      </c>
      <c r="C118">
        <v>3</v>
      </c>
      <c r="D118">
        <v>1</v>
      </c>
      <c r="E118">
        <v>770</v>
      </c>
      <c r="F118">
        <v>1744</v>
      </c>
      <c r="G118">
        <v>1890</v>
      </c>
      <c r="H118">
        <v>1158</v>
      </c>
      <c r="I118">
        <v>206</v>
      </c>
      <c r="J118">
        <v>512</v>
      </c>
      <c r="K118">
        <v>116</v>
      </c>
      <c r="L118">
        <v>231</v>
      </c>
      <c r="M118">
        <v>88</v>
      </c>
      <c r="N118">
        <v>332</v>
      </c>
      <c r="O118">
        <v>74</v>
      </c>
      <c r="P118">
        <v>17.641881869999999</v>
      </c>
      <c r="Q118">
        <v>29.57344509</v>
      </c>
      <c r="R118">
        <v>0.252849304</v>
      </c>
      <c r="S118">
        <v>753</v>
      </c>
      <c r="T118">
        <v>71</v>
      </c>
      <c r="U118">
        <v>200</v>
      </c>
      <c r="V118">
        <v>1059</v>
      </c>
      <c r="W118">
        <v>454</v>
      </c>
      <c r="X118">
        <v>453</v>
      </c>
      <c r="Y118">
        <v>19</v>
      </c>
      <c r="Z118">
        <v>276</v>
      </c>
      <c r="AA118">
        <v>381</v>
      </c>
      <c r="AB118">
        <v>1</v>
      </c>
      <c r="AC118">
        <v>39</v>
      </c>
      <c r="AD118">
        <v>37</v>
      </c>
      <c r="AE118">
        <v>0</v>
      </c>
      <c r="AF118">
        <v>118.6798905</v>
      </c>
      <c r="AG118">
        <v>1</v>
      </c>
      <c r="AH118">
        <v>0</v>
      </c>
      <c r="AI118">
        <v>0</v>
      </c>
      <c r="AJ118">
        <v>0</v>
      </c>
      <c r="AK118">
        <v>2.6724399999999999</v>
      </c>
      <c r="AL118">
        <v>1</v>
      </c>
      <c r="AM118">
        <v>0</v>
      </c>
      <c r="AN118">
        <v>770</v>
      </c>
      <c r="AO118">
        <v>146</v>
      </c>
      <c r="AP118">
        <v>0</v>
      </c>
      <c r="AQ118">
        <v>0</v>
      </c>
    </row>
    <row r="119" spans="1:43" x14ac:dyDescent="0.25">
      <c r="A119">
        <v>116</v>
      </c>
      <c r="B119">
        <v>3</v>
      </c>
      <c r="C119">
        <v>3</v>
      </c>
      <c r="D119">
        <v>1</v>
      </c>
      <c r="E119">
        <v>1864</v>
      </c>
      <c r="F119">
        <v>4160</v>
      </c>
      <c r="G119">
        <v>4355</v>
      </c>
      <c r="H119">
        <v>2805</v>
      </c>
      <c r="I119">
        <v>457</v>
      </c>
      <c r="J119">
        <v>1411</v>
      </c>
      <c r="K119">
        <v>339</v>
      </c>
      <c r="L119">
        <v>338</v>
      </c>
      <c r="M119">
        <v>331</v>
      </c>
      <c r="N119">
        <v>861</v>
      </c>
      <c r="O119">
        <v>143</v>
      </c>
      <c r="P119">
        <v>36</v>
      </c>
      <c r="Q119">
        <v>62.49499788</v>
      </c>
      <c r="R119">
        <v>0.15737373700000001</v>
      </c>
      <c r="S119">
        <v>5789</v>
      </c>
      <c r="T119">
        <v>263</v>
      </c>
      <c r="U119">
        <v>469</v>
      </c>
      <c r="V119">
        <v>2254</v>
      </c>
      <c r="W119">
        <v>1001</v>
      </c>
      <c r="X119">
        <v>688</v>
      </c>
      <c r="Y119">
        <v>697</v>
      </c>
      <c r="Z119">
        <v>2354</v>
      </c>
      <c r="AA119">
        <v>1468</v>
      </c>
      <c r="AB119">
        <v>5</v>
      </c>
      <c r="AC119">
        <v>404</v>
      </c>
      <c r="AD119">
        <v>861</v>
      </c>
      <c r="AE119">
        <v>0</v>
      </c>
      <c r="AF119">
        <v>121.5056022</v>
      </c>
      <c r="AG119">
        <v>1</v>
      </c>
      <c r="AH119">
        <v>460</v>
      </c>
      <c r="AI119">
        <v>0</v>
      </c>
      <c r="AJ119">
        <v>0</v>
      </c>
      <c r="AK119">
        <v>3.74682</v>
      </c>
      <c r="AL119">
        <v>2</v>
      </c>
      <c r="AM119">
        <v>0</v>
      </c>
      <c r="AN119">
        <v>1864</v>
      </c>
      <c r="AO119">
        <v>195</v>
      </c>
      <c r="AP119">
        <v>0</v>
      </c>
      <c r="AQ119">
        <v>0</v>
      </c>
    </row>
    <row r="120" spans="1:43" x14ac:dyDescent="0.25">
      <c r="A120">
        <v>117</v>
      </c>
      <c r="B120">
        <v>3</v>
      </c>
      <c r="C120">
        <v>3</v>
      </c>
      <c r="D120">
        <v>1</v>
      </c>
      <c r="E120">
        <v>1518</v>
      </c>
      <c r="F120">
        <v>3729</v>
      </c>
      <c r="G120">
        <v>3761</v>
      </c>
      <c r="H120">
        <v>2424</v>
      </c>
      <c r="I120">
        <v>302</v>
      </c>
      <c r="J120">
        <v>1155</v>
      </c>
      <c r="K120">
        <v>237</v>
      </c>
      <c r="L120">
        <v>214</v>
      </c>
      <c r="M120">
        <v>384</v>
      </c>
      <c r="N120">
        <v>678</v>
      </c>
      <c r="O120">
        <v>70</v>
      </c>
      <c r="P120">
        <v>35.23716314</v>
      </c>
      <c r="Q120">
        <v>9</v>
      </c>
      <c r="R120">
        <v>0.123702032</v>
      </c>
      <c r="S120">
        <v>1234</v>
      </c>
      <c r="T120">
        <v>258</v>
      </c>
      <c r="U120">
        <v>744</v>
      </c>
      <c r="V120">
        <v>2005</v>
      </c>
      <c r="W120">
        <v>691</v>
      </c>
      <c r="X120">
        <v>474</v>
      </c>
      <c r="Y120">
        <v>21</v>
      </c>
      <c r="Z120">
        <v>561</v>
      </c>
      <c r="AA120">
        <v>521</v>
      </c>
      <c r="AB120">
        <v>2</v>
      </c>
      <c r="AC120">
        <v>67</v>
      </c>
      <c r="AD120">
        <v>62</v>
      </c>
      <c r="AE120">
        <v>0</v>
      </c>
      <c r="AF120">
        <v>124.3313139</v>
      </c>
      <c r="AG120">
        <v>1</v>
      </c>
      <c r="AH120">
        <v>0</v>
      </c>
      <c r="AI120">
        <v>0</v>
      </c>
      <c r="AJ120">
        <v>0</v>
      </c>
      <c r="AK120">
        <v>3.3837299999999999</v>
      </c>
      <c r="AL120">
        <v>3</v>
      </c>
      <c r="AM120">
        <v>0</v>
      </c>
      <c r="AN120">
        <v>1518</v>
      </c>
      <c r="AO120">
        <v>32</v>
      </c>
      <c r="AP120">
        <v>0</v>
      </c>
      <c r="AQ120">
        <v>0</v>
      </c>
    </row>
    <row r="121" spans="1:43" x14ac:dyDescent="0.25">
      <c r="A121">
        <v>118</v>
      </c>
      <c r="B121">
        <v>3</v>
      </c>
      <c r="C121">
        <v>3</v>
      </c>
      <c r="D121">
        <v>1</v>
      </c>
      <c r="E121">
        <v>1466</v>
      </c>
      <c r="F121">
        <v>3906</v>
      </c>
      <c r="G121">
        <v>3930</v>
      </c>
      <c r="H121">
        <v>2340</v>
      </c>
      <c r="I121">
        <v>286</v>
      </c>
      <c r="J121">
        <v>1125</v>
      </c>
      <c r="K121">
        <v>466</v>
      </c>
      <c r="L121">
        <v>309</v>
      </c>
      <c r="M121">
        <v>310</v>
      </c>
      <c r="N121">
        <v>380</v>
      </c>
      <c r="O121">
        <v>62</v>
      </c>
      <c r="P121">
        <v>27.435379730000001</v>
      </c>
      <c r="Q121">
        <v>8</v>
      </c>
      <c r="R121">
        <v>9.3023255999999999E-2</v>
      </c>
      <c r="S121">
        <v>904</v>
      </c>
      <c r="T121">
        <v>202</v>
      </c>
      <c r="U121">
        <v>703</v>
      </c>
      <c r="V121">
        <v>2235</v>
      </c>
      <c r="W121">
        <v>693</v>
      </c>
      <c r="X121">
        <v>344</v>
      </c>
      <c r="Y121">
        <v>63</v>
      </c>
      <c r="Z121">
        <v>334</v>
      </c>
      <c r="AA121">
        <v>425</v>
      </c>
      <c r="AB121">
        <v>2</v>
      </c>
      <c r="AC121">
        <v>32</v>
      </c>
      <c r="AD121">
        <v>48</v>
      </c>
      <c r="AE121">
        <v>0</v>
      </c>
      <c r="AF121">
        <v>74.598788319999997</v>
      </c>
      <c r="AG121">
        <v>2</v>
      </c>
      <c r="AH121">
        <v>0</v>
      </c>
      <c r="AI121">
        <v>0</v>
      </c>
      <c r="AJ121">
        <v>0</v>
      </c>
      <c r="AK121">
        <v>4.1646000000000001</v>
      </c>
      <c r="AL121">
        <v>3</v>
      </c>
      <c r="AM121">
        <v>0</v>
      </c>
      <c r="AN121">
        <v>1466</v>
      </c>
      <c r="AO121">
        <v>24</v>
      </c>
      <c r="AP121">
        <v>0</v>
      </c>
      <c r="AQ121">
        <v>0</v>
      </c>
    </row>
    <row r="122" spans="1:43" x14ac:dyDescent="0.25">
      <c r="A122">
        <v>119</v>
      </c>
      <c r="B122">
        <v>3</v>
      </c>
      <c r="C122">
        <v>3</v>
      </c>
      <c r="D122">
        <v>1</v>
      </c>
      <c r="E122">
        <v>734</v>
      </c>
      <c r="F122">
        <v>1829</v>
      </c>
      <c r="G122">
        <v>1847</v>
      </c>
      <c r="H122">
        <v>1168</v>
      </c>
      <c r="I122">
        <v>308</v>
      </c>
      <c r="J122">
        <v>457</v>
      </c>
      <c r="K122">
        <v>156</v>
      </c>
      <c r="L122">
        <v>82</v>
      </c>
      <c r="M122">
        <v>119</v>
      </c>
      <c r="N122">
        <v>380</v>
      </c>
      <c r="O122">
        <v>39</v>
      </c>
      <c r="P122">
        <v>20</v>
      </c>
      <c r="Q122">
        <v>6.1719685230000003</v>
      </c>
      <c r="R122">
        <v>0.13835877899999999</v>
      </c>
      <c r="S122">
        <v>558</v>
      </c>
      <c r="T122">
        <v>99</v>
      </c>
      <c r="U122">
        <v>178</v>
      </c>
      <c r="V122">
        <v>1000</v>
      </c>
      <c r="W122">
        <v>459</v>
      </c>
      <c r="X122">
        <v>257</v>
      </c>
      <c r="Y122">
        <v>88</v>
      </c>
      <c r="Z122">
        <v>93</v>
      </c>
      <c r="AA122">
        <v>319</v>
      </c>
      <c r="AB122">
        <v>1</v>
      </c>
      <c r="AC122">
        <v>23</v>
      </c>
      <c r="AD122">
        <v>34</v>
      </c>
      <c r="AE122">
        <v>0</v>
      </c>
      <c r="AF122">
        <v>60.470229930000002</v>
      </c>
      <c r="AG122">
        <v>2</v>
      </c>
      <c r="AH122">
        <v>67</v>
      </c>
      <c r="AI122">
        <v>0</v>
      </c>
      <c r="AJ122">
        <v>0</v>
      </c>
      <c r="AK122">
        <v>3.3951099999999999</v>
      </c>
      <c r="AL122">
        <v>3</v>
      </c>
      <c r="AM122">
        <v>0</v>
      </c>
      <c r="AN122">
        <v>734</v>
      </c>
      <c r="AO122">
        <v>18</v>
      </c>
      <c r="AP122">
        <v>0</v>
      </c>
      <c r="AQ122">
        <v>0</v>
      </c>
    </row>
    <row r="123" spans="1:43" x14ac:dyDescent="0.25">
      <c r="A123">
        <v>120</v>
      </c>
      <c r="B123">
        <v>3</v>
      </c>
      <c r="C123">
        <v>3</v>
      </c>
      <c r="D123">
        <v>1</v>
      </c>
      <c r="E123">
        <v>1109</v>
      </c>
      <c r="F123">
        <v>2559</v>
      </c>
      <c r="G123">
        <v>2599</v>
      </c>
      <c r="H123">
        <v>1724</v>
      </c>
      <c r="I123">
        <v>407</v>
      </c>
      <c r="J123">
        <v>725</v>
      </c>
      <c r="K123">
        <v>255</v>
      </c>
      <c r="L123">
        <v>233</v>
      </c>
      <c r="M123">
        <v>53</v>
      </c>
      <c r="N123">
        <v>590</v>
      </c>
      <c r="O123">
        <v>78</v>
      </c>
      <c r="P123">
        <v>30.13647096</v>
      </c>
      <c r="Q123">
        <v>12.423915620000001</v>
      </c>
      <c r="R123">
        <v>0.15017543899999999</v>
      </c>
      <c r="S123">
        <v>705</v>
      </c>
      <c r="T123">
        <v>107</v>
      </c>
      <c r="U123">
        <v>212</v>
      </c>
      <c r="V123">
        <v>1484</v>
      </c>
      <c r="W123">
        <v>571</v>
      </c>
      <c r="X123">
        <v>321</v>
      </c>
      <c r="Y123">
        <v>54</v>
      </c>
      <c r="Z123">
        <v>86</v>
      </c>
      <c r="AA123">
        <v>396</v>
      </c>
      <c r="AB123">
        <v>0</v>
      </c>
      <c r="AC123">
        <v>30</v>
      </c>
      <c r="AD123">
        <v>139</v>
      </c>
      <c r="AE123">
        <v>0</v>
      </c>
      <c r="AF123">
        <v>62.730799269999999</v>
      </c>
      <c r="AG123">
        <v>2</v>
      </c>
      <c r="AH123">
        <v>0</v>
      </c>
      <c r="AI123">
        <v>0</v>
      </c>
      <c r="AJ123">
        <v>0</v>
      </c>
      <c r="AK123">
        <v>3.0219200000000002</v>
      </c>
      <c r="AL123">
        <v>2</v>
      </c>
      <c r="AM123">
        <v>0</v>
      </c>
      <c r="AN123">
        <v>1109</v>
      </c>
      <c r="AO123">
        <v>40</v>
      </c>
      <c r="AP123">
        <v>0</v>
      </c>
      <c r="AQ123">
        <v>0</v>
      </c>
    </row>
    <row r="124" spans="1:43" x14ac:dyDescent="0.25">
      <c r="A124">
        <v>121</v>
      </c>
      <c r="B124">
        <v>3</v>
      </c>
      <c r="C124">
        <v>3</v>
      </c>
      <c r="D124">
        <v>1</v>
      </c>
      <c r="E124">
        <v>1398</v>
      </c>
      <c r="F124">
        <v>3326</v>
      </c>
      <c r="G124">
        <v>3391</v>
      </c>
      <c r="H124">
        <v>1838</v>
      </c>
      <c r="I124">
        <v>848</v>
      </c>
      <c r="J124">
        <v>455</v>
      </c>
      <c r="K124">
        <v>159</v>
      </c>
      <c r="L124">
        <v>389</v>
      </c>
      <c r="M124">
        <v>302</v>
      </c>
      <c r="N124">
        <v>543</v>
      </c>
      <c r="O124">
        <v>140</v>
      </c>
      <c r="P124">
        <v>52.483605840000003</v>
      </c>
      <c r="Q124">
        <v>14.22992438</v>
      </c>
      <c r="R124">
        <v>0.194542254</v>
      </c>
      <c r="S124">
        <v>685</v>
      </c>
      <c r="T124">
        <v>269</v>
      </c>
      <c r="U124">
        <v>327</v>
      </c>
      <c r="V124">
        <v>1317</v>
      </c>
      <c r="W124">
        <v>844</v>
      </c>
      <c r="X124">
        <v>483</v>
      </c>
      <c r="Y124">
        <v>65</v>
      </c>
      <c r="Z124">
        <v>237</v>
      </c>
      <c r="AA124">
        <v>237</v>
      </c>
      <c r="AB124">
        <v>1</v>
      </c>
      <c r="AC124">
        <v>79</v>
      </c>
      <c r="AD124">
        <v>66</v>
      </c>
      <c r="AE124">
        <v>0</v>
      </c>
      <c r="AF124">
        <v>0</v>
      </c>
      <c r="AG124">
        <v>3</v>
      </c>
      <c r="AH124">
        <v>0</v>
      </c>
      <c r="AI124">
        <v>0</v>
      </c>
      <c r="AJ124">
        <v>0</v>
      </c>
      <c r="AK124">
        <v>2.22709</v>
      </c>
      <c r="AL124">
        <v>1</v>
      </c>
      <c r="AM124">
        <v>0</v>
      </c>
      <c r="AN124">
        <v>1398</v>
      </c>
      <c r="AO124">
        <v>65</v>
      </c>
      <c r="AP124">
        <v>0</v>
      </c>
      <c r="AQ124">
        <v>0</v>
      </c>
    </row>
    <row r="125" spans="1:43" x14ac:dyDescent="0.25">
      <c r="A125">
        <v>122</v>
      </c>
      <c r="B125">
        <v>3</v>
      </c>
      <c r="C125">
        <v>3</v>
      </c>
      <c r="D125">
        <v>1</v>
      </c>
      <c r="E125">
        <v>2458</v>
      </c>
      <c r="F125">
        <v>5425</v>
      </c>
      <c r="G125">
        <v>5455</v>
      </c>
      <c r="H125">
        <v>3037</v>
      </c>
      <c r="I125">
        <v>1386</v>
      </c>
      <c r="J125">
        <v>1025</v>
      </c>
      <c r="K125">
        <v>604</v>
      </c>
      <c r="L125">
        <v>442</v>
      </c>
      <c r="M125">
        <v>300</v>
      </c>
      <c r="N125">
        <v>1096</v>
      </c>
      <c r="O125">
        <v>160</v>
      </c>
      <c r="P125">
        <v>72.383895480000007</v>
      </c>
      <c r="Q125">
        <v>7.6197772109999997</v>
      </c>
      <c r="R125">
        <v>0.19442917400000001</v>
      </c>
      <c r="S125">
        <v>1534</v>
      </c>
      <c r="T125">
        <v>457</v>
      </c>
      <c r="U125">
        <v>463</v>
      </c>
      <c r="V125">
        <v>1468</v>
      </c>
      <c r="W125">
        <v>2138</v>
      </c>
      <c r="X125">
        <v>635</v>
      </c>
      <c r="Y125">
        <v>52</v>
      </c>
      <c r="Z125">
        <v>647</v>
      </c>
      <c r="AA125">
        <v>574</v>
      </c>
      <c r="AB125">
        <v>3</v>
      </c>
      <c r="AC125">
        <v>111</v>
      </c>
      <c r="AD125">
        <v>147</v>
      </c>
      <c r="AE125">
        <v>0</v>
      </c>
      <c r="AF125">
        <v>9.6074197080000001</v>
      </c>
      <c r="AG125">
        <v>3</v>
      </c>
      <c r="AH125">
        <v>0</v>
      </c>
      <c r="AI125">
        <v>0</v>
      </c>
      <c r="AJ125">
        <v>0</v>
      </c>
      <c r="AK125">
        <v>2.5650300000000001</v>
      </c>
      <c r="AL125">
        <v>1</v>
      </c>
      <c r="AM125">
        <v>0</v>
      </c>
      <c r="AN125">
        <v>2458</v>
      </c>
      <c r="AO125">
        <v>30</v>
      </c>
      <c r="AP125">
        <v>0</v>
      </c>
      <c r="AQ125">
        <v>0</v>
      </c>
    </row>
    <row r="126" spans="1:43" x14ac:dyDescent="0.25">
      <c r="A126">
        <v>123</v>
      </c>
      <c r="B126">
        <v>3</v>
      </c>
      <c r="C126">
        <v>3</v>
      </c>
      <c r="D126">
        <v>1</v>
      </c>
      <c r="E126">
        <v>1664</v>
      </c>
      <c r="F126">
        <v>3795</v>
      </c>
      <c r="G126">
        <v>3819</v>
      </c>
      <c r="H126">
        <v>2543</v>
      </c>
      <c r="I126">
        <v>718</v>
      </c>
      <c r="J126">
        <v>990</v>
      </c>
      <c r="K126">
        <v>205</v>
      </c>
      <c r="L126">
        <v>302</v>
      </c>
      <c r="M126">
        <v>425</v>
      </c>
      <c r="N126">
        <v>732</v>
      </c>
      <c r="O126">
        <v>89</v>
      </c>
      <c r="P126">
        <v>37</v>
      </c>
      <c r="Q126">
        <v>23.340138150000001</v>
      </c>
      <c r="R126">
        <v>0.18247326799999999</v>
      </c>
      <c r="S126">
        <v>1976</v>
      </c>
      <c r="T126">
        <v>194</v>
      </c>
      <c r="U126">
        <v>353</v>
      </c>
      <c r="V126">
        <v>1995</v>
      </c>
      <c r="W126">
        <v>966</v>
      </c>
      <c r="X126">
        <v>581</v>
      </c>
      <c r="Y126">
        <v>173</v>
      </c>
      <c r="Z126">
        <v>369</v>
      </c>
      <c r="AA126">
        <v>1133</v>
      </c>
      <c r="AB126">
        <v>2</v>
      </c>
      <c r="AC126">
        <v>137</v>
      </c>
      <c r="AD126">
        <v>162</v>
      </c>
      <c r="AE126">
        <v>0</v>
      </c>
      <c r="AF126">
        <v>77.424499999999995</v>
      </c>
      <c r="AG126">
        <v>1</v>
      </c>
      <c r="AH126">
        <v>0</v>
      </c>
      <c r="AI126">
        <v>0</v>
      </c>
      <c r="AJ126">
        <v>0</v>
      </c>
      <c r="AK126">
        <v>4.9073799999999999</v>
      </c>
      <c r="AL126">
        <v>1</v>
      </c>
      <c r="AM126">
        <v>0</v>
      </c>
      <c r="AN126">
        <v>1664</v>
      </c>
      <c r="AO126">
        <v>24</v>
      </c>
      <c r="AP126">
        <v>0</v>
      </c>
      <c r="AQ126">
        <v>0</v>
      </c>
    </row>
    <row r="127" spans="1:43" x14ac:dyDescent="0.25">
      <c r="A127">
        <v>124</v>
      </c>
      <c r="B127">
        <v>3</v>
      </c>
      <c r="C127">
        <v>3</v>
      </c>
      <c r="D127">
        <v>1</v>
      </c>
      <c r="E127">
        <v>1371</v>
      </c>
      <c r="F127">
        <v>3559</v>
      </c>
      <c r="G127">
        <v>3596</v>
      </c>
      <c r="H127">
        <v>2038</v>
      </c>
      <c r="I127">
        <v>607</v>
      </c>
      <c r="J127">
        <v>644</v>
      </c>
      <c r="K127">
        <v>231</v>
      </c>
      <c r="L127">
        <v>332</v>
      </c>
      <c r="M127">
        <v>193</v>
      </c>
      <c r="N127">
        <v>629</v>
      </c>
      <c r="O127">
        <v>94</v>
      </c>
      <c r="P127">
        <v>39.057077249999999</v>
      </c>
      <c r="Q127">
        <v>4.3525764469999997</v>
      </c>
      <c r="R127">
        <v>0.13930348300000001</v>
      </c>
      <c r="S127">
        <v>443</v>
      </c>
      <c r="T127">
        <v>354</v>
      </c>
      <c r="U127">
        <v>607</v>
      </c>
      <c r="V127">
        <v>1297</v>
      </c>
      <c r="W127">
        <v>1039</v>
      </c>
      <c r="X127">
        <v>324</v>
      </c>
      <c r="Y127">
        <v>97</v>
      </c>
      <c r="Z127">
        <v>91</v>
      </c>
      <c r="AA127">
        <v>200</v>
      </c>
      <c r="AB127">
        <v>1</v>
      </c>
      <c r="AC127">
        <v>18</v>
      </c>
      <c r="AD127">
        <v>36</v>
      </c>
      <c r="AE127">
        <v>0</v>
      </c>
      <c r="AF127">
        <v>36.169109489999997</v>
      </c>
      <c r="AG127">
        <v>3</v>
      </c>
      <c r="AH127">
        <v>0</v>
      </c>
      <c r="AI127">
        <v>0</v>
      </c>
      <c r="AJ127">
        <v>0</v>
      </c>
      <c r="AK127">
        <v>3.1736200000000001</v>
      </c>
      <c r="AL127">
        <v>1</v>
      </c>
      <c r="AM127">
        <v>0</v>
      </c>
      <c r="AN127">
        <v>1371</v>
      </c>
      <c r="AO127">
        <v>37</v>
      </c>
      <c r="AP127">
        <v>0</v>
      </c>
      <c r="AQ127">
        <v>0</v>
      </c>
    </row>
    <row r="128" spans="1:43" x14ac:dyDescent="0.25">
      <c r="A128">
        <v>125</v>
      </c>
      <c r="B128">
        <v>3</v>
      </c>
      <c r="C128">
        <v>3</v>
      </c>
      <c r="D128">
        <v>1</v>
      </c>
      <c r="E128">
        <v>1138</v>
      </c>
      <c r="F128">
        <v>2894</v>
      </c>
      <c r="G128">
        <v>2901</v>
      </c>
      <c r="H128">
        <v>1680</v>
      </c>
      <c r="I128">
        <v>754</v>
      </c>
      <c r="J128">
        <v>275</v>
      </c>
      <c r="K128">
        <v>230</v>
      </c>
      <c r="L128">
        <v>157</v>
      </c>
      <c r="M128">
        <v>252</v>
      </c>
      <c r="N128">
        <v>504</v>
      </c>
      <c r="O128">
        <v>82</v>
      </c>
      <c r="P128">
        <v>38.079586259999999</v>
      </c>
      <c r="Q128">
        <v>6.0310691160000003</v>
      </c>
      <c r="R128">
        <v>0.239222829</v>
      </c>
      <c r="S128">
        <v>358</v>
      </c>
      <c r="T128">
        <v>103</v>
      </c>
      <c r="U128">
        <v>366</v>
      </c>
      <c r="V128">
        <v>1014</v>
      </c>
      <c r="W128">
        <v>1048</v>
      </c>
      <c r="X128">
        <v>610</v>
      </c>
      <c r="Y128">
        <v>14</v>
      </c>
      <c r="Z128">
        <v>88</v>
      </c>
      <c r="AA128">
        <v>205</v>
      </c>
      <c r="AB128">
        <v>1</v>
      </c>
      <c r="AC128">
        <v>14</v>
      </c>
      <c r="AD128">
        <v>36</v>
      </c>
      <c r="AE128">
        <v>0</v>
      </c>
      <c r="AF128">
        <v>11.30284672</v>
      </c>
      <c r="AG128">
        <v>3</v>
      </c>
      <c r="AH128">
        <v>0</v>
      </c>
      <c r="AI128">
        <v>0</v>
      </c>
      <c r="AJ128">
        <v>0</v>
      </c>
      <c r="AK128">
        <v>2.55444</v>
      </c>
      <c r="AL128">
        <v>1</v>
      </c>
      <c r="AM128">
        <v>0</v>
      </c>
      <c r="AN128">
        <v>1138</v>
      </c>
      <c r="AO128">
        <v>7</v>
      </c>
      <c r="AP128">
        <v>0</v>
      </c>
      <c r="AQ128">
        <v>0</v>
      </c>
    </row>
    <row r="129" spans="1:43" x14ac:dyDescent="0.25">
      <c r="A129">
        <v>126</v>
      </c>
      <c r="B129">
        <v>3</v>
      </c>
      <c r="C129">
        <v>3</v>
      </c>
      <c r="D129">
        <v>1</v>
      </c>
      <c r="E129">
        <v>1338</v>
      </c>
      <c r="F129">
        <v>3654</v>
      </c>
      <c r="G129">
        <v>3654</v>
      </c>
      <c r="H129">
        <v>2047</v>
      </c>
      <c r="I129">
        <v>792</v>
      </c>
      <c r="J129">
        <v>554</v>
      </c>
      <c r="K129">
        <v>286</v>
      </c>
      <c r="L129">
        <v>206</v>
      </c>
      <c r="M129">
        <v>211</v>
      </c>
      <c r="N129">
        <v>621</v>
      </c>
      <c r="O129">
        <v>122</v>
      </c>
      <c r="P129">
        <v>63.129755869999997</v>
      </c>
      <c r="Q129">
        <v>2.25540283</v>
      </c>
      <c r="R129">
        <v>0.140367186</v>
      </c>
      <c r="S129">
        <v>272</v>
      </c>
      <c r="T129">
        <v>253</v>
      </c>
      <c r="U129">
        <v>756</v>
      </c>
      <c r="V129">
        <v>1442</v>
      </c>
      <c r="W129">
        <v>1184</v>
      </c>
      <c r="X129">
        <v>453</v>
      </c>
      <c r="Y129">
        <v>1</v>
      </c>
      <c r="Z129">
        <v>56</v>
      </c>
      <c r="AA129">
        <v>173</v>
      </c>
      <c r="AB129">
        <v>0</v>
      </c>
      <c r="AC129">
        <v>8</v>
      </c>
      <c r="AD129">
        <v>34</v>
      </c>
      <c r="AE129">
        <v>0</v>
      </c>
      <c r="AF129">
        <v>0</v>
      </c>
      <c r="AG129">
        <v>3</v>
      </c>
      <c r="AH129">
        <v>0</v>
      </c>
      <c r="AI129">
        <v>0</v>
      </c>
      <c r="AJ129">
        <v>0</v>
      </c>
      <c r="AK129">
        <v>2.3574999999999999</v>
      </c>
      <c r="AL129">
        <v>1</v>
      </c>
      <c r="AM129">
        <v>0</v>
      </c>
      <c r="AN129">
        <v>1338</v>
      </c>
      <c r="AO129">
        <v>0</v>
      </c>
      <c r="AP129">
        <v>0</v>
      </c>
      <c r="AQ129">
        <v>0</v>
      </c>
    </row>
    <row r="130" spans="1:43" x14ac:dyDescent="0.25">
      <c r="A130">
        <v>127</v>
      </c>
      <c r="B130">
        <v>3</v>
      </c>
      <c r="C130">
        <v>3</v>
      </c>
      <c r="D130">
        <v>1</v>
      </c>
      <c r="E130">
        <v>1835</v>
      </c>
      <c r="F130">
        <v>4027</v>
      </c>
      <c r="G130">
        <v>4035</v>
      </c>
      <c r="H130">
        <v>2665</v>
      </c>
      <c r="I130">
        <v>910</v>
      </c>
      <c r="J130">
        <v>839</v>
      </c>
      <c r="K130">
        <v>154</v>
      </c>
      <c r="L130">
        <v>233</v>
      </c>
      <c r="M130">
        <v>322</v>
      </c>
      <c r="N130">
        <v>1114</v>
      </c>
      <c r="O130">
        <v>128</v>
      </c>
      <c r="P130">
        <v>71.047392840000001</v>
      </c>
      <c r="Q130">
        <v>8.1357107390000003</v>
      </c>
      <c r="R130">
        <v>0.15141955800000001</v>
      </c>
      <c r="S130">
        <v>781</v>
      </c>
      <c r="T130">
        <v>249</v>
      </c>
      <c r="U130">
        <v>387</v>
      </c>
      <c r="V130">
        <v>1724</v>
      </c>
      <c r="W130">
        <v>971</v>
      </c>
      <c r="X130">
        <v>573</v>
      </c>
      <c r="Y130">
        <v>109</v>
      </c>
      <c r="Z130">
        <v>125</v>
      </c>
      <c r="AA130">
        <v>450</v>
      </c>
      <c r="AB130">
        <v>1</v>
      </c>
      <c r="AC130">
        <v>30</v>
      </c>
      <c r="AD130">
        <v>66</v>
      </c>
      <c r="AE130">
        <v>0</v>
      </c>
      <c r="AF130">
        <v>29.38740146</v>
      </c>
      <c r="AG130">
        <v>2</v>
      </c>
      <c r="AH130">
        <v>0</v>
      </c>
      <c r="AI130">
        <v>0</v>
      </c>
      <c r="AJ130">
        <v>0</v>
      </c>
      <c r="AK130">
        <v>2.1243799999999999</v>
      </c>
      <c r="AL130">
        <v>1</v>
      </c>
      <c r="AM130">
        <v>0</v>
      </c>
      <c r="AN130">
        <v>1835</v>
      </c>
      <c r="AO130">
        <v>8</v>
      </c>
      <c r="AP130">
        <v>0</v>
      </c>
      <c r="AQ130">
        <v>0</v>
      </c>
    </row>
    <row r="131" spans="1:43" x14ac:dyDescent="0.25">
      <c r="A131">
        <v>128</v>
      </c>
      <c r="B131">
        <v>3</v>
      </c>
      <c r="C131">
        <v>3</v>
      </c>
      <c r="D131">
        <v>1</v>
      </c>
      <c r="E131">
        <v>2585</v>
      </c>
      <c r="F131">
        <v>5585</v>
      </c>
      <c r="G131">
        <v>5616</v>
      </c>
      <c r="H131">
        <v>3713</v>
      </c>
      <c r="I131">
        <v>821</v>
      </c>
      <c r="J131">
        <v>1740</v>
      </c>
      <c r="K131">
        <v>235</v>
      </c>
      <c r="L131">
        <v>383</v>
      </c>
      <c r="M131">
        <v>563</v>
      </c>
      <c r="N131">
        <v>1389</v>
      </c>
      <c r="O131">
        <v>119</v>
      </c>
      <c r="P131">
        <v>69.062089630000003</v>
      </c>
      <c r="Q131">
        <v>7.7314626229999996</v>
      </c>
      <c r="R131">
        <v>0.122371596</v>
      </c>
      <c r="S131">
        <v>1007</v>
      </c>
      <c r="T131">
        <v>318</v>
      </c>
      <c r="U131">
        <v>661</v>
      </c>
      <c r="V131">
        <v>2559</v>
      </c>
      <c r="W131">
        <v>1375</v>
      </c>
      <c r="X131">
        <v>558</v>
      </c>
      <c r="Y131">
        <v>52</v>
      </c>
      <c r="Z131">
        <v>368</v>
      </c>
      <c r="AA131">
        <v>422</v>
      </c>
      <c r="AB131">
        <v>3</v>
      </c>
      <c r="AC131">
        <v>60</v>
      </c>
      <c r="AD131">
        <v>102</v>
      </c>
      <c r="AE131">
        <v>0</v>
      </c>
      <c r="AF131">
        <v>31.6479708</v>
      </c>
      <c r="AG131">
        <v>3</v>
      </c>
      <c r="AH131">
        <v>0</v>
      </c>
      <c r="AI131">
        <v>0</v>
      </c>
      <c r="AJ131">
        <v>0</v>
      </c>
      <c r="AK131">
        <v>2.46333</v>
      </c>
      <c r="AL131">
        <v>1</v>
      </c>
      <c r="AM131">
        <v>0</v>
      </c>
      <c r="AN131">
        <v>2585</v>
      </c>
      <c r="AO131">
        <v>31</v>
      </c>
      <c r="AP131">
        <v>0</v>
      </c>
      <c r="AQ131">
        <v>0</v>
      </c>
    </row>
    <row r="132" spans="1:43" x14ac:dyDescent="0.25">
      <c r="A132">
        <v>129</v>
      </c>
      <c r="B132">
        <v>3</v>
      </c>
      <c r="C132">
        <v>3</v>
      </c>
      <c r="D132">
        <v>1</v>
      </c>
      <c r="E132">
        <v>2118</v>
      </c>
      <c r="F132">
        <v>4324</v>
      </c>
      <c r="G132">
        <v>4324</v>
      </c>
      <c r="H132">
        <v>2595</v>
      </c>
      <c r="I132">
        <v>802</v>
      </c>
      <c r="J132">
        <v>1180</v>
      </c>
      <c r="K132">
        <v>171</v>
      </c>
      <c r="L132">
        <v>208</v>
      </c>
      <c r="M132">
        <v>468</v>
      </c>
      <c r="N132">
        <v>1273</v>
      </c>
      <c r="O132">
        <v>148</v>
      </c>
      <c r="P132">
        <v>76.266225419999998</v>
      </c>
      <c r="Q132">
        <v>1.1525225059999999</v>
      </c>
      <c r="R132">
        <v>0.18939737200000001</v>
      </c>
      <c r="S132">
        <v>401</v>
      </c>
      <c r="T132">
        <v>270</v>
      </c>
      <c r="U132">
        <v>415</v>
      </c>
      <c r="V132">
        <v>1735</v>
      </c>
      <c r="W132">
        <v>1112</v>
      </c>
      <c r="X132">
        <v>650</v>
      </c>
      <c r="Y132">
        <v>7</v>
      </c>
      <c r="Z132">
        <v>139</v>
      </c>
      <c r="AA132">
        <v>171</v>
      </c>
      <c r="AB132">
        <v>1</v>
      </c>
      <c r="AC132">
        <v>23</v>
      </c>
      <c r="AD132">
        <v>60</v>
      </c>
      <c r="AE132">
        <v>0</v>
      </c>
      <c r="AF132">
        <v>0</v>
      </c>
      <c r="AG132">
        <v>2</v>
      </c>
      <c r="AH132">
        <v>0</v>
      </c>
      <c r="AI132">
        <v>0</v>
      </c>
      <c r="AJ132">
        <v>0</v>
      </c>
      <c r="AK132">
        <v>2.0758700000000001</v>
      </c>
      <c r="AL132">
        <v>1</v>
      </c>
      <c r="AM132">
        <v>0</v>
      </c>
      <c r="AN132">
        <v>2118</v>
      </c>
      <c r="AO132">
        <v>0</v>
      </c>
      <c r="AP132">
        <v>0</v>
      </c>
      <c r="AQ132">
        <v>0</v>
      </c>
    </row>
    <row r="133" spans="1:43" x14ac:dyDescent="0.25">
      <c r="A133">
        <v>130</v>
      </c>
      <c r="B133">
        <v>3</v>
      </c>
      <c r="C133">
        <v>3</v>
      </c>
      <c r="D133">
        <v>1</v>
      </c>
      <c r="E133">
        <v>1856</v>
      </c>
      <c r="F133">
        <v>4240</v>
      </c>
      <c r="G133">
        <v>4240</v>
      </c>
      <c r="H133">
        <v>2076</v>
      </c>
      <c r="I133">
        <v>1300</v>
      </c>
      <c r="J133">
        <v>466</v>
      </c>
      <c r="K133">
        <v>456</v>
      </c>
      <c r="L133">
        <v>293</v>
      </c>
      <c r="M133">
        <v>314</v>
      </c>
      <c r="N133">
        <v>794</v>
      </c>
      <c r="O133">
        <v>307</v>
      </c>
      <c r="P133">
        <v>103</v>
      </c>
      <c r="Q133">
        <v>44.616108879999999</v>
      </c>
      <c r="R133">
        <v>0.23728813600000001</v>
      </c>
      <c r="S133">
        <v>926</v>
      </c>
      <c r="T133">
        <v>277</v>
      </c>
      <c r="U133">
        <v>827</v>
      </c>
      <c r="V133">
        <v>1152</v>
      </c>
      <c r="W133">
        <v>1291</v>
      </c>
      <c r="X133">
        <v>789</v>
      </c>
      <c r="Y133">
        <v>178</v>
      </c>
      <c r="Z133">
        <v>284</v>
      </c>
      <c r="AA133">
        <v>395</v>
      </c>
      <c r="AB133">
        <v>13</v>
      </c>
      <c r="AC133">
        <v>19</v>
      </c>
      <c r="AD133">
        <v>37</v>
      </c>
      <c r="AE133">
        <v>0</v>
      </c>
      <c r="AF133">
        <v>0</v>
      </c>
      <c r="AG133">
        <v>2</v>
      </c>
      <c r="AH133">
        <v>803</v>
      </c>
      <c r="AI133">
        <v>0</v>
      </c>
      <c r="AJ133">
        <v>0</v>
      </c>
      <c r="AK133">
        <v>1.6004400000000001</v>
      </c>
      <c r="AL133">
        <v>1</v>
      </c>
      <c r="AM133">
        <v>0</v>
      </c>
      <c r="AN133">
        <v>1856</v>
      </c>
      <c r="AO133">
        <v>0</v>
      </c>
      <c r="AP133">
        <v>0</v>
      </c>
      <c r="AQ133">
        <v>0</v>
      </c>
    </row>
    <row r="134" spans="1:43" x14ac:dyDescent="0.25">
      <c r="A134">
        <v>131</v>
      </c>
      <c r="B134">
        <v>3</v>
      </c>
      <c r="C134">
        <v>3</v>
      </c>
      <c r="D134">
        <v>1</v>
      </c>
      <c r="E134">
        <v>2711</v>
      </c>
      <c r="F134">
        <v>6601</v>
      </c>
      <c r="G134">
        <v>6601</v>
      </c>
      <c r="H134">
        <v>3098</v>
      </c>
      <c r="I134">
        <v>2496</v>
      </c>
      <c r="J134">
        <v>35</v>
      </c>
      <c r="K134">
        <v>401</v>
      </c>
      <c r="L134">
        <v>546</v>
      </c>
      <c r="M134">
        <v>506</v>
      </c>
      <c r="N134">
        <v>1273</v>
      </c>
      <c r="O134">
        <v>348</v>
      </c>
      <c r="P134">
        <v>199.12458459999999</v>
      </c>
      <c r="Q134">
        <v>1.120884209</v>
      </c>
      <c r="R134">
        <v>0.27888153100000002</v>
      </c>
      <c r="S134">
        <v>643</v>
      </c>
      <c r="T134">
        <v>331</v>
      </c>
      <c r="U134">
        <v>1019</v>
      </c>
      <c r="V134">
        <v>1691</v>
      </c>
      <c r="W134">
        <v>1782</v>
      </c>
      <c r="X134">
        <v>1614</v>
      </c>
      <c r="Y134">
        <v>17</v>
      </c>
      <c r="Z134">
        <v>185</v>
      </c>
      <c r="AA134">
        <v>253</v>
      </c>
      <c r="AB134">
        <v>2</v>
      </c>
      <c r="AC134">
        <v>109</v>
      </c>
      <c r="AD134">
        <v>77</v>
      </c>
      <c r="AE134">
        <v>0</v>
      </c>
      <c r="AF134">
        <v>0</v>
      </c>
      <c r="AG134">
        <v>3</v>
      </c>
      <c r="AH134">
        <v>0</v>
      </c>
      <c r="AI134">
        <v>0</v>
      </c>
      <c r="AJ134">
        <v>0</v>
      </c>
      <c r="AK134">
        <v>1.5453300000000001</v>
      </c>
      <c r="AL134">
        <v>1</v>
      </c>
      <c r="AM134">
        <v>0</v>
      </c>
      <c r="AN134">
        <v>2711</v>
      </c>
      <c r="AO134">
        <v>0</v>
      </c>
      <c r="AP134">
        <v>0</v>
      </c>
      <c r="AQ134">
        <v>0</v>
      </c>
    </row>
    <row r="135" spans="1:43" x14ac:dyDescent="0.25">
      <c r="A135">
        <v>132</v>
      </c>
      <c r="B135">
        <v>3</v>
      </c>
      <c r="C135">
        <v>3</v>
      </c>
      <c r="D135">
        <v>1</v>
      </c>
      <c r="E135">
        <v>1553</v>
      </c>
      <c r="F135">
        <v>4139</v>
      </c>
      <c r="G135">
        <v>4139</v>
      </c>
      <c r="H135">
        <v>2136</v>
      </c>
      <c r="I135">
        <v>1083</v>
      </c>
      <c r="J135">
        <v>374</v>
      </c>
      <c r="K135">
        <v>318</v>
      </c>
      <c r="L135">
        <v>254</v>
      </c>
      <c r="M135">
        <v>298</v>
      </c>
      <c r="N135">
        <v>684</v>
      </c>
      <c r="O135">
        <v>205</v>
      </c>
      <c r="P135">
        <v>133.34385879999999</v>
      </c>
      <c r="Q135">
        <v>15</v>
      </c>
      <c r="R135">
        <v>0.31304347799999999</v>
      </c>
      <c r="S135">
        <v>687</v>
      </c>
      <c r="T135">
        <v>165</v>
      </c>
      <c r="U135">
        <v>479</v>
      </c>
      <c r="V135">
        <v>1162</v>
      </c>
      <c r="W135">
        <v>1167</v>
      </c>
      <c r="X135">
        <v>931</v>
      </c>
      <c r="Y135">
        <v>143</v>
      </c>
      <c r="Z135">
        <v>112</v>
      </c>
      <c r="AA135">
        <v>353</v>
      </c>
      <c r="AB135">
        <v>1</v>
      </c>
      <c r="AC135">
        <v>53</v>
      </c>
      <c r="AD135">
        <v>25</v>
      </c>
      <c r="AE135">
        <v>0</v>
      </c>
      <c r="AF135">
        <v>11.86798905</v>
      </c>
      <c r="AG135">
        <v>3</v>
      </c>
      <c r="AH135">
        <v>1150</v>
      </c>
      <c r="AI135">
        <v>0</v>
      </c>
      <c r="AJ135">
        <v>0</v>
      </c>
      <c r="AK135">
        <v>1.74895</v>
      </c>
      <c r="AL135">
        <v>1</v>
      </c>
      <c r="AM135">
        <v>0</v>
      </c>
      <c r="AN135">
        <v>1553</v>
      </c>
      <c r="AO135">
        <v>0</v>
      </c>
      <c r="AP135">
        <v>0</v>
      </c>
      <c r="AQ135">
        <v>0</v>
      </c>
    </row>
    <row r="136" spans="1:43" x14ac:dyDescent="0.25">
      <c r="A136">
        <v>133</v>
      </c>
      <c r="B136">
        <v>3</v>
      </c>
      <c r="C136">
        <v>3</v>
      </c>
      <c r="D136">
        <v>1</v>
      </c>
      <c r="E136">
        <v>2491</v>
      </c>
      <c r="F136">
        <v>6124</v>
      </c>
      <c r="G136">
        <v>6138</v>
      </c>
      <c r="H136">
        <v>3718</v>
      </c>
      <c r="I136">
        <v>1812</v>
      </c>
      <c r="J136">
        <v>463</v>
      </c>
      <c r="K136">
        <v>363</v>
      </c>
      <c r="L136">
        <v>306</v>
      </c>
      <c r="M136">
        <v>533</v>
      </c>
      <c r="N136">
        <v>1264</v>
      </c>
      <c r="O136">
        <v>280</v>
      </c>
      <c r="P136">
        <v>116.152519</v>
      </c>
      <c r="Q136">
        <v>69.791868280000003</v>
      </c>
      <c r="R136">
        <v>0.26471524000000002</v>
      </c>
      <c r="S136">
        <v>2130</v>
      </c>
      <c r="T136">
        <v>187</v>
      </c>
      <c r="U136">
        <v>684</v>
      </c>
      <c r="V136">
        <v>2095</v>
      </c>
      <c r="W136">
        <v>1729</v>
      </c>
      <c r="X136">
        <v>1228</v>
      </c>
      <c r="Y136">
        <v>62</v>
      </c>
      <c r="Z136">
        <v>188</v>
      </c>
      <c r="AA136">
        <v>1697</v>
      </c>
      <c r="AB136">
        <v>1</v>
      </c>
      <c r="AC136">
        <v>39</v>
      </c>
      <c r="AD136">
        <v>143</v>
      </c>
      <c r="AE136">
        <v>0</v>
      </c>
      <c r="AF136">
        <v>0</v>
      </c>
      <c r="AG136">
        <v>3</v>
      </c>
      <c r="AH136">
        <v>6</v>
      </c>
      <c r="AI136">
        <v>6408</v>
      </c>
      <c r="AJ136">
        <v>20510</v>
      </c>
      <c r="AK136">
        <v>1.6882299999999999</v>
      </c>
      <c r="AL136">
        <v>1</v>
      </c>
      <c r="AM136">
        <v>0</v>
      </c>
      <c r="AN136">
        <v>2491</v>
      </c>
      <c r="AO136">
        <v>14</v>
      </c>
      <c r="AP136">
        <v>0</v>
      </c>
      <c r="AQ136">
        <v>0</v>
      </c>
    </row>
    <row r="137" spans="1:43" x14ac:dyDescent="0.25">
      <c r="A137">
        <v>134</v>
      </c>
      <c r="B137">
        <v>3</v>
      </c>
      <c r="C137">
        <v>3</v>
      </c>
      <c r="D137">
        <v>1</v>
      </c>
      <c r="E137">
        <v>2403</v>
      </c>
      <c r="F137">
        <v>7100</v>
      </c>
      <c r="G137">
        <v>7150</v>
      </c>
      <c r="H137">
        <v>3853</v>
      </c>
      <c r="I137">
        <v>1981</v>
      </c>
      <c r="J137">
        <v>325</v>
      </c>
      <c r="K137">
        <v>333</v>
      </c>
      <c r="L137">
        <v>443</v>
      </c>
      <c r="M137">
        <v>637</v>
      </c>
      <c r="N137">
        <v>982</v>
      </c>
      <c r="O137">
        <v>254</v>
      </c>
      <c r="P137">
        <v>118.4882163</v>
      </c>
      <c r="Q137">
        <v>21.020131679999999</v>
      </c>
      <c r="R137">
        <v>0.22367474200000001</v>
      </c>
      <c r="S137">
        <v>1243</v>
      </c>
      <c r="T137">
        <v>383</v>
      </c>
      <c r="U137">
        <v>1227</v>
      </c>
      <c r="V137">
        <v>2733</v>
      </c>
      <c r="W137">
        <v>2121</v>
      </c>
      <c r="X137">
        <v>1412</v>
      </c>
      <c r="Y137">
        <v>55</v>
      </c>
      <c r="Z137">
        <v>327</v>
      </c>
      <c r="AA137">
        <v>645</v>
      </c>
      <c r="AB137">
        <v>3</v>
      </c>
      <c r="AC137">
        <v>81</v>
      </c>
      <c r="AD137">
        <v>132</v>
      </c>
      <c r="AE137">
        <v>0</v>
      </c>
      <c r="AF137">
        <v>8.477135037</v>
      </c>
      <c r="AG137">
        <v>3</v>
      </c>
      <c r="AH137">
        <v>0</v>
      </c>
      <c r="AI137">
        <v>0</v>
      </c>
      <c r="AJ137">
        <v>0</v>
      </c>
      <c r="AK137">
        <v>2.4367000000000001</v>
      </c>
      <c r="AL137">
        <v>1</v>
      </c>
      <c r="AM137">
        <v>0</v>
      </c>
      <c r="AN137">
        <v>2403</v>
      </c>
      <c r="AO137">
        <v>50</v>
      </c>
      <c r="AP137">
        <v>0</v>
      </c>
      <c r="AQ137">
        <v>0</v>
      </c>
    </row>
    <row r="138" spans="1:43" x14ac:dyDescent="0.25">
      <c r="A138">
        <v>135</v>
      </c>
      <c r="B138">
        <v>3</v>
      </c>
      <c r="C138">
        <v>3</v>
      </c>
      <c r="D138">
        <v>1</v>
      </c>
      <c r="E138">
        <v>1833</v>
      </c>
      <c r="F138">
        <v>5604</v>
      </c>
      <c r="G138">
        <v>5604</v>
      </c>
      <c r="H138">
        <v>3041</v>
      </c>
      <c r="I138">
        <v>1140</v>
      </c>
      <c r="J138">
        <v>539</v>
      </c>
      <c r="K138">
        <v>398</v>
      </c>
      <c r="L138">
        <v>421</v>
      </c>
      <c r="M138">
        <v>483</v>
      </c>
      <c r="N138">
        <v>540</v>
      </c>
      <c r="O138">
        <v>100</v>
      </c>
      <c r="P138">
        <v>59</v>
      </c>
      <c r="Q138">
        <v>8.6254386380000003</v>
      </c>
      <c r="R138">
        <v>0.155081047</v>
      </c>
      <c r="S138">
        <v>603</v>
      </c>
      <c r="T138">
        <v>137</v>
      </c>
      <c r="U138">
        <v>994</v>
      </c>
      <c r="V138">
        <v>2664</v>
      </c>
      <c r="W138">
        <v>1450</v>
      </c>
      <c r="X138">
        <v>796</v>
      </c>
      <c r="Y138">
        <v>65</v>
      </c>
      <c r="Z138">
        <v>84</v>
      </c>
      <c r="AA138">
        <v>401</v>
      </c>
      <c r="AB138">
        <v>0</v>
      </c>
      <c r="AC138">
        <v>13</v>
      </c>
      <c r="AD138">
        <v>40</v>
      </c>
      <c r="AE138">
        <v>0</v>
      </c>
      <c r="AF138">
        <v>22.040551099999998</v>
      </c>
      <c r="AG138">
        <v>3</v>
      </c>
      <c r="AH138">
        <v>0</v>
      </c>
      <c r="AI138">
        <v>0</v>
      </c>
      <c r="AJ138">
        <v>0</v>
      </c>
      <c r="AK138">
        <v>2.8360400000000001</v>
      </c>
      <c r="AL138">
        <v>1</v>
      </c>
      <c r="AM138">
        <v>0</v>
      </c>
      <c r="AN138">
        <v>1833</v>
      </c>
      <c r="AO138">
        <v>0</v>
      </c>
      <c r="AP138">
        <v>0</v>
      </c>
      <c r="AQ138">
        <v>0</v>
      </c>
    </row>
    <row r="139" spans="1:43" x14ac:dyDescent="0.25">
      <c r="A139">
        <v>136</v>
      </c>
      <c r="B139">
        <v>3</v>
      </c>
      <c r="C139">
        <v>3</v>
      </c>
      <c r="D139">
        <v>1</v>
      </c>
      <c r="E139">
        <v>1018</v>
      </c>
      <c r="F139">
        <v>2851</v>
      </c>
      <c r="G139">
        <v>2862</v>
      </c>
      <c r="H139">
        <v>1660</v>
      </c>
      <c r="I139">
        <v>941</v>
      </c>
      <c r="J139">
        <v>37</v>
      </c>
      <c r="K139">
        <v>205</v>
      </c>
      <c r="L139">
        <v>187</v>
      </c>
      <c r="M139">
        <v>203</v>
      </c>
      <c r="N139">
        <v>414</v>
      </c>
      <c r="O139">
        <v>87</v>
      </c>
      <c r="P139">
        <v>50.103036490000001</v>
      </c>
      <c r="Q139">
        <v>9</v>
      </c>
      <c r="R139">
        <v>0.28536519100000002</v>
      </c>
      <c r="S139">
        <v>864</v>
      </c>
      <c r="T139">
        <v>92</v>
      </c>
      <c r="U139">
        <v>444</v>
      </c>
      <c r="V139">
        <v>1236</v>
      </c>
      <c r="W139">
        <v>864</v>
      </c>
      <c r="X139">
        <v>880</v>
      </c>
      <c r="Y139">
        <v>4</v>
      </c>
      <c r="Z139">
        <v>121</v>
      </c>
      <c r="AA139">
        <v>664</v>
      </c>
      <c r="AB139">
        <v>1</v>
      </c>
      <c r="AC139">
        <v>13</v>
      </c>
      <c r="AD139">
        <v>61</v>
      </c>
      <c r="AE139">
        <v>0</v>
      </c>
      <c r="AF139">
        <v>0</v>
      </c>
      <c r="AG139">
        <v>3</v>
      </c>
      <c r="AH139">
        <v>0</v>
      </c>
      <c r="AI139">
        <v>0</v>
      </c>
      <c r="AJ139">
        <v>0</v>
      </c>
      <c r="AK139">
        <v>2.3512900000000001</v>
      </c>
      <c r="AL139">
        <v>1</v>
      </c>
      <c r="AM139">
        <v>0</v>
      </c>
      <c r="AN139">
        <v>1018</v>
      </c>
      <c r="AO139">
        <v>11</v>
      </c>
      <c r="AP139">
        <v>0</v>
      </c>
      <c r="AQ139">
        <v>0</v>
      </c>
    </row>
    <row r="140" spans="1:43" x14ac:dyDescent="0.25">
      <c r="A140">
        <v>137</v>
      </c>
      <c r="B140">
        <v>3</v>
      </c>
      <c r="C140">
        <v>3</v>
      </c>
      <c r="D140">
        <v>1</v>
      </c>
      <c r="E140">
        <v>1578</v>
      </c>
      <c r="F140">
        <v>4424</v>
      </c>
      <c r="G140">
        <v>4446</v>
      </c>
      <c r="H140">
        <v>2694</v>
      </c>
      <c r="I140">
        <v>1322</v>
      </c>
      <c r="J140">
        <v>149</v>
      </c>
      <c r="K140">
        <v>358</v>
      </c>
      <c r="L140">
        <v>383</v>
      </c>
      <c r="M140">
        <v>354</v>
      </c>
      <c r="N140">
        <v>489</v>
      </c>
      <c r="O140">
        <v>137</v>
      </c>
      <c r="P140">
        <v>84.321996319999997</v>
      </c>
      <c r="Q140">
        <v>4.6336670780000002</v>
      </c>
      <c r="R140">
        <v>0.19041868000000001</v>
      </c>
      <c r="S140">
        <v>466</v>
      </c>
      <c r="T140">
        <v>285</v>
      </c>
      <c r="U140">
        <v>628</v>
      </c>
      <c r="V140">
        <v>1696</v>
      </c>
      <c r="W140">
        <v>1328</v>
      </c>
      <c r="X140">
        <v>778</v>
      </c>
      <c r="Y140">
        <v>35</v>
      </c>
      <c r="Z140">
        <v>61</v>
      </c>
      <c r="AA140">
        <v>273</v>
      </c>
      <c r="AB140">
        <v>1</v>
      </c>
      <c r="AC140">
        <v>11</v>
      </c>
      <c r="AD140">
        <v>85</v>
      </c>
      <c r="AE140">
        <v>0</v>
      </c>
      <c r="AF140">
        <v>0</v>
      </c>
      <c r="AG140">
        <v>3</v>
      </c>
      <c r="AH140">
        <v>0</v>
      </c>
      <c r="AI140">
        <v>0</v>
      </c>
      <c r="AJ140">
        <v>0</v>
      </c>
      <c r="AK140">
        <v>2.0584199999999999</v>
      </c>
      <c r="AL140">
        <v>1</v>
      </c>
      <c r="AM140">
        <v>0</v>
      </c>
      <c r="AN140">
        <v>1578</v>
      </c>
      <c r="AO140">
        <v>22</v>
      </c>
      <c r="AP140">
        <v>0</v>
      </c>
      <c r="AQ140">
        <v>0</v>
      </c>
    </row>
    <row r="141" spans="1:43" x14ac:dyDescent="0.25">
      <c r="A141">
        <v>138</v>
      </c>
      <c r="B141">
        <v>3</v>
      </c>
      <c r="C141">
        <v>3</v>
      </c>
      <c r="D141">
        <v>1</v>
      </c>
      <c r="E141">
        <v>2851</v>
      </c>
      <c r="F141">
        <v>8137</v>
      </c>
      <c r="G141">
        <v>8172</v>
      </c>
      <c r="H141">
        <v>4530</v>
      </c>
      <c r="I141">
        <v>2238</v>
      </c>
      <c r="J141">
        <v>382</v>
      </c>
      <c r="K141">
        <v>587</v>
      </c>
      <c r="L141">
        <v>764</v>
      </c>
      <c r="M141">
        <v>734</v>
      </c>
      <c r="N141">
        <v>770</v>
      </c>
      <c r="O141">
        <v>292</v>
      </c>
      <c r="P141">
        <v>120.4723738</v>
      </c>
      <c r="Q141">
        <v>30.484234879999999</v>
      </c>
      <c r="R141">
        <v>0.24662589600000001</v>
      </c>
      <c r="S141">
        <v>2835</v>
      </c>
      <c r="T141">
        <v>248</v>
      </c>
      <c r="U141">
        <v>1296</v>
      </c>
      <c r="V141">
        <v>2576</v>
      </c>
      <c r="W141">
        <v>3026</v>
      </c>
      <c r="X141">
        <v>1806</v>
      </c>
      <c r="Y141">
        <v>214</v>
      </c>
      <c r="Z141">
        <v>313</v>
      </c>
      <c r="AA141">
        <v>1203</v>
      </c>
      <c r="AB141">
        <v>3</v>
      </c>
      <c r="AC141">
        <v>80</v>
      </c>
      <c r="AD141">
        <v>1022</v>
      </c>
      <c r="AE141">
        <v>0</v>
      </c>
      <c r="AF141">
        <v>21.475408760000001</v>
      </c>
      <c r="AG141">
        <v>3</v>
      </c>
      <c r="AH141">
        <v>0</v>
      </c>
      <c r="AI141">
        <v>0</v>
      </c>
      <c r="AJ141">
        <v>0</v>
      </c>
      <c r="AK141">
        <v>2.4792200000000002</v>
      </c>
      <c r="AL141">
        <v>1</v>
      </c>
      <c r="AM141">
        <v>0</v>
      </c>
      <c r="AN141">
        <v>2851</v>
      </c>
      <c r="AO141">
        <v>35</v>
      </c>
      <c r="AP141">
        <v>0</v>
      </c>
      <c r="AQ141">
        <v>0</v>
      </c>
    </row>
    <row r="142" spans="1:43" x14ac:dyDescent="0.25">
      <c r="A142">
        <v>139</v>
      </c>
      <c r="B142">
        <v>3</v>
      </c>
      <c r="C142">
        <v>3</v>
      </c>
      <c r="D142">
        <v>1</v>
      </c>
      <c r="E142">
        <v>1325</v>
      </c>
      <c r="F142">
        <v>4226</v>
      </c>
      <c r="G142">
        <v>4267</v>
      </c>
      <c r="H142">
        <v>2288</v>
      </c>
      <c r="I142">
        <v>1164</v>
      </c>
      <c r="J142">
        <v>23</v>
      </c>
      <c r="K142">
        <v>324</v>
      </c>
      <c r="L142">
        <v>476</v>
      </c>
      <c r="M142">
        <v>318</v>
      </c>
      <c r="N142">
        <v>206</v>
      </c>
      <c r="O142">
        <v>161</v>
      </c>
      <c r="P142">
        <v>65</v>
      </c>
      <c r="Q142">
        <v>21.25063943</v>
      </c>
      <c r="R142">
        <v>0.20528064300000001</v>
      </c>
      <c r="S142">
        <v>1038</v>
      </c>
      <c r="T142">
        <v>238</v>
      </c>
      <c r="U142">
        <v>1024</v>
      </c>
      <c r="V142">
        <v>1858</v>
      </c>
      <c r="W142">
        <v>1519</v>
      </c>
      <c r="X142">
        <v>805</v>
      </c>
      <c r="Y142">
        <v>71</v>
      </c>
      <c r="Z142">
        <v>207</v>
      </c>
      <c r="AA142">
        <v>557</v>
      </c>
      <c r="AB142">
        <v>10</v>
      </c>
      <c r="AC142">
        <v>60</v>
      </c>
      <c r="AD142">
        <v>133</v>
      </c>
      <c r="AE142">
        <v>0</v>
      </c>
      <c r="AF142">
        <v>6.7817080289999998</v>
      </c>
      <c r="AG142">
        <v>3</v>
      </c>
      <c r="AH142">
        <v>475</v>
      </c>
      <c r="AI142">
        <v>0</v>
      </c>
      <c r="AJ142">
        <v>0</v>
      </c>
      <c r="AK142">
        <v>2.3257300000000001</v>
      </c>
      <c r="AL142">
        <v>1</v>
      </c>
      <c r="AM142">
        <v>0</v>
      </c>
      <c r="AN142">
        <v>1325</v>
      </c>
      <c r="AO142">
        <v>41</v>
      </c>
      <c r="AP142">
        <v>0</v>
      </c>
      <c r="AQ142">
        <v>0</v>
      </c>
    </row>
    <row r="143" spans="1:43" x14ac:dyDescent="0.25">
      <c r="A143">
        <v>140</v>
      </c>
      <c r="B143">
        <v>3</v>
      </c>
      <c r="C143">
        <v>3</v>
      </c>
      <c r="D143">
        <v>1</v>
      </c>
      <c r="E143">
        <v>1269</v>
      </c>
      <c r="F143">
        <v>3460</v>
      </c>
      <c r="G143">
        <v>3460</v>
      </c>
      <c r="H143">
        <v>1980</v>
      </c>
      <c r="I143">
        <v>1061</v>
      </c>
      <c r="J143">
        <v>133</v>
      </c>
      <c r="K143">
        <v>344</v>
      </c>
      <c r="L143">
        <v>305</v>
      </c>
      <c r="M143">
        <v>238</v>
      </c>
      <c r="N143">
        <v>375</v>
      </c>
      <c r="O143">
        <v>101</v>
      </c>
      <c r="P143">
        <v>61.171252979999998</v>
      </c>
      <c r="Q143">
        <v>3.916740157</v>
      </c>
      <c r="R143">
        <v>0.21505893700000001</v>
      </c>
      <c r="S143">
        <v>366</v>
      </c>
      <c r="T143">
        <v>194</v>
      </c>
      <c r="U143">
        <v>455</v>
      </c>
      <c r="V143">
        <v>1449</v>
      </c>
      <c r="W143">
        <v>1108</v>
      </c>
      <c r="X143">
        <v>706</v>
      </c>
      <c r="Y143">
        <v>35</v>
      </c>
      <c r="Z143">
        <v>48</v>
      </c>
      <c r="AA143">
        <v>218</v>
      </c>
      <c r="AB143">
        <v>1</v>
      </c>
      <c r="AC143">
        <v>35</v>
      </c>
      <c r="AD143">
        <v>29</v>
      </c>
      <c r="AE143">
        <v>0</v>
      </c>
      <c r="AF143">
        <v>0</v>
      </c>
      <c r="AG143">
        <v>3</v>
      </c>
      <c r="AH143">
        <v>0</v>
      </c>
      <c r="AI143">
        <v>0</v>
      </c>
      <c r="AJ143">
        <v>0</v>
      </c>
      <c r="AK143">
        <v>2.0654599999999999</v>
      </c>
      <c r="AL143">
        <v>1</v>
      </c>
      <c r="AM143">
        <v>0</v>
      </c>
      <c r="AN143">
        <v>1269</v>
      </c>
      <c r="AO143">
        <v>0</v>
      </c>
      <c r="AP143">
        <v>0</v>
      </c>
      <c r="AQ143">
        <v>0</v>
      </c>
    </row>
    <row r="144" spans="1:43" x14ac:dyDescent="0.25">
      <c r="A144">
        <v>141</v>
      </c>
      <c r="B144">
        <v>3</v>
      </c>
      <c r="C144">
        <v>3</v>
      </c>
      <c r="D144">
        <v>1</v>
      </c>
      <c r="E144">
        <v>811</v>
      </c>
      <c r="F144">
        <v>2526</v>
      </c>
      <c r="G144">
        <v>2587</v>
      </c>
      <c r="H144">
        <v>1164</v>
      </c>
      <c r="I144">
        <v>536</v>
      </c>
      <c r="J144">
        <v>302</v>
      </c>
      <c r="K144">
        <v>166</v>
      </c>
      <c r="L144">
        <v>233</v>
      </c>
      <c r="M144">
        <v>183</v>
      </c>
      <c r="N144">
        <v>224</v>
      </c>
      <c r="O144">
        <v>53</v>
      </c>
      <c r="P144">
        <v>25.20067714</v>
      </c>
      <c r="Q144">
        <v>5.9854466400000002</v>
      </c>
      <c r="R144">
        <v>0.129285015</v>
      </c>
      <c r="S144">
        <v>358</v>
      </c>
      <c r="T144">
        <v>106</v>
      </c>
      <c r="U144">
        <v>384</v>
      </c>
      <c r="V144">
        <v>1258</v>
      </c>
      <c r="W144">
        <v>812</v>
      </c>
      <c r="X144">
        <v>326</v>
      </c>
      <c r="Y144">
        <v>13</v>
      </c>
      <c r="Z144">
        <v>58</v>
      </c>
      <c r="AA144">
        <v>228</v>
      </c>
      <c r="AB144">
        <v>0</v>
      </c>
      <c r="AC144">
        <v>21</v>
      </c>
      <c r="AD144">
        <v>38</v>
      </c>
      <c r="AE144">
        <v>0</v>
      </c>
      <c r="AF144">
        <v>15.8239854</v>
      </c>
      <c r="AG144">
        <v>3</v>
      </c>
      <c r="AH144">
        <v>0</v>
      </c>
      <c r="AI144">
        <v>0</v>
      </c>
      <c r="AJ144">
        <v>0</v>
      </c>
      <c r="AK144">
        <v>2.9965899999999999</v>
      </c>
      <c r="AL144">
        <v>1</v>
      </c>
      <c r="AM144">
        <v>0</v>
      </c>
      <c r="AN144">
        <v>811</v>
      </c>
      <c r="AO144">
        <v>61</v>
      </c>
      <c r="AP144">
        <v>0</v>
      </c>
      <c r="AQ144">
        <v>0</v>
      </c>
    </row>
    <row r="145" spans="1:43" x14ac:dyDescent="0.25">
      <c r="A145">
        <v>142</v>
      </c>
      <c r="B145">
        <v>3</v>
      </c>
      <c r="C145">
        <v>3</v>
      </c>
      <c r="D145">
        <v>1</v>
      </c>
      <c r="E145">
        <v>160</v>
      </c>
      <c r="F145">
        <v>284</v>
      </c>
      <c r="G145">
        <v>894</v>
      </c>
      <c r="H145">
        <v>157</v>
      </c>
      <c r="I145">
        <v>10</v>
      </c>
      <c r="J145">
        <v>160</v>
      </c>
      <c r="K145">
        <v>57</v>
      </c>
      <c r="L145">
        <v>36</v>
      </c>
      <c r="M145">
        <v>27</v>
      </c>
      <c r="N145">
        <v>43</v>
      </c>
      <c r="O145">
        <v>824</v>
      </c>
      <c r="P145">
        <v>7.6913332470000002</v>
      </c>
      <c r="Q145">
        <v>506.55330880000002</v>
      </c>
      <c r="R145">
        <v>0.13015873</v>
      </c>
      <c r="S145">
        <v>10218</v>
      </c>
      <c r="T145">
        <v>36</v>
      </c>
      <c r="U145">
        <v>11</v>
      </c>
      <c r="V145">
        <v>160</v>
      </c>
      <c r="W145">
        <v>48</v>
      </c>
      <c r="X145">
        <v>38</v>
      </c>
      <c r="Y145">
        <v>943</v>
      </c>
      <c r="Z145">
        <v>2287</v>
      </c>
      <c r="AA145">
        <v>1666</v>
      </c>
      <c r="AB145">
        <v>15</v>
      </c>
      <c r="AC145">
        <v>2299</v>
      </c>
      <c r="AD145">
        <v>3008</v>
      </c>
      <c r="AE145">
        <v>0</v>
      </c>
      <c r="AF145">
        <v>13.56341606</v>
      </c>
      <c r="AG145">
        <v>1</v>
      </c>
      <c r="AH145">
        <v>86</v>
      </c>
      <c r="AI145">
        <v>0</v>
      </c>
      <c r="AJ145">
        <v>0</v>
      </c>
      <c r="AK145">
        <v>2.3852199999999999</v>
      </c>
      <c r="AL145">
        <v>3</v>
      </c>
      <c r="AM145">
        <v>0</v>
      </c>
      <c r="AN145">
        <v>160</v>
      </c>
      <c r="AO145">
        <v>610</v>
      </c>
      <c r="AP145">
        <v>0</v>
      </c>
      <c r="AQ145">
        <v>0</v>
      </c>
    </row>
    <row r="146" spans="1:43" x14ac:dyDescent="0.25">
      <c r="A146">
        <v>143</v>
      </c>
      <c r="B146">
        <v>3</v>
      </c>
      <c r="C146">
        <v>3</v>
      </c>
      <c r="D146">
        <v>1</v>
      </c>
      <c r="E146">
        <v>337</v>
      </c>
      <c r="F146">
        <v>780</v>
      </c>
      <c r="G146">
        <v>809</v>
      </c>
      <c r="H146">
        <v>603</v>
      </c>
      <c r="I146">
        <v>215</v>
      </c>
      <c r="J146">
        <v>106</v>
      </c>
      <c r="K146">
        <v>122</v>
      </c>
      <c r="L146">
        <v>90</v>
      </c>
      <c r="M146">
        <v>76</v>
      </c>
      <c r="N146">
        <v>44</v>
      </c>
      <c r="O146">
        <v>53</v>
      </c>
      <c r="P146">
        <v>16.24356629</v>
      </c>
      <c r="Q146">
        <v>11.62749629</v>
      </c>
      <c r="R146">
        <v>0.40615058300000001</v>
      </c>
      <c r="S146">
        <v>884</v>
      </c>
      <c r="T146">
        <v>0</v>
      </c>
      <c r="U146">
        <v>124</v>
      </c>
      <c r="V146">
        <v>159</v>
      </c>
      <c r="W146">
        <v>284</v>
      </c>
      <c r="X146">
        <v>336</v>
      </c>
      <c r="Y146">
        <v>28</v>
      </c>
      <c r="Z146">
        <v>94</v>
      </c>
      <c r="AA146">
        <v>557</v>
      </c>
      <c r="AB146">
        <v>1</v>
      </c>
      <c r="AC146">
        <v>62</v>
      </c>
      <c r="AD146">
        <v>142</v>
      </c>
      <c r="AE146">
        <v>0</v>
      </c>
      <c r="AF146">
        <v>12.43313139</v>
      </c>
      <c r="AG146">
        <v>3</v>
      </c>
      <c r="AH146">
        <v>0</v>
      </c>
      <c r="AI146">
        <v>0</v>
      </c>
      <c r="AJ146">
        <v>0</v>
      </c>
      <c r="AK146">
        <v>3.1002800000000001</v>
      </c>
      <c r="AL146">
        <v>2</v>
      </c>
      <c r="AM146">
        <v>0</v>
      </c>
      <c r="AN146">
        <v>337</v>
      </c>
      <c r="AO146">
        <v>29</v>
      </c>
      <c r="AP146">
        <v>0</v>
      </c>
      <c r="AQ146">
        <v>0</v>
      </c>
    </row>
    <row r="147" spans="1:43" x14ac:dyDescent="0.25">
      <c r="A147">
        <v>144</v>
      </c>
      <c r="B147">
        <v>3</v>
      </c>
      <c r="C147">
        <v>3</v>
      </c>
      <c r="D147">
        <v>1</v>
      </c>
      <c r="E147">
        <v>1459</v>
      </c>
      <c r="F147">
        <v>3514</v>
      </c>
      <c r="G147">
        <v>3539</v>
      </c>
      <c r="H147">
        <v>1492</v>
      </c>
      <c r="I147">
        <v>521</v>
      </c>
      <c r="J147">
        <v>810</v>
      </c>
      <c r="K147">
        <v>860</v>
      </c>
      <c r="L147">
        <v>258</v>
      </c>
      <c r="M147">
        <v>174</v>
      </c>
      <c r="N147">
        <v>173</v>
      </c>
      <c r="O147">
        <v>122</v>
      </c>
      <c r="P147">
        <v>38.386629599999999</v>
      </c>
      <c r="Q147">
        <v>9.3657585670000003</v>
      </c>
      <c r="R147">
        <v>0.16635160700000001</v>
      </c>
      <c r="S147">
        <v>680</v>
      </c>
      <c r="T147">
        <v>545</v>
      </c>
      <c r="U147">
        <v>830</v>
      </c>
      <c r="V147">
        <v>1318</v>
      </c>
      <c r="W147">
        <v>871</v>
      </c>
      <c r="X147">
        <v>446</v>
      </c>
      <c r="Y147">
        <v>2</v>
      </c>
      <c r="Z147">
        <v>216</v>
      </c>
      <c r="AA147">
        <v>434</v>
      </c>
      <c r="AB147">
        <v>0</v>
      </c>
      <c r="AC147">
        <v>10</v>
      </c>
      <c r="AD147">
        <v>18</v>
      </c>
      <c r="AE147">
        <v>0</v>
      </c>
      <c r="AF147">
        <v>0</v>
      </c>
      <c r="AG147">
        <v>3</v>
      </c>
      <c r="AH147">
        <v>196</v>
      </c>
      <c r="AI147">
        <v>0</v>
      </c>
      <c r="AJ147">
        <v>0</v>
      </c>
      <c r="AK147">
        <v>3.1021999999999998</v>
      </c>
      <c r="AL147">
        <v>1</v>
      </c>
      <c r="AM147">
        <v>0</v>
      </c>
      <c r="AN147">
        <v>1459</v>
      </c>
      <c r="AO147">
        <v>25</v>
      </c>
      <c r="AP147">
        <v>0</v>
      </c>
      <c r="AQ147">
        <v>0</v>
      </c>
    </row>
    <row r="148" spans="1:43" x14ac:dyDescent="0.25">
      <c r="A148">
        <v>145</v>
      </c>
      <c r="B148">
        <v>3</v>
      </c>
      <c r="C148">
        <v>3</v>
      </c>
      <c r="D148">
        <v>1</v>
      </c>
      <c r="E148">
        <v>1319</v>
      </c>
      <c r="F148">
        <v>3398</v>
      </c>
      <c r="G148">
        <v>3419</v>
      </c>
      <c r="H148">
        <v>1231</v>
      </c>
      <c r="I148">
        <v>128</v>
      </c>
      <c r="J148">
        <v>1114</v>
      </c>
      <c r="K148">
        <v>971</v>
      </c>
      <c r="L148">
        <v>298</v>
      </c>
      <c r="M148">
        <v>40</v>
      </c>
      <c r="N148">
        <v>3</v>
      </c>
      <c r="O148">
        <v>243</v>
      </c>
      <c r="P148">
        <v>56.568177009999999</v>
      </c>
      <c r="Q148">
        <v>75.090100329999999</v>
      </c>
      <c r="R148">
        <v>9.9393620000000002E-2</v>
      </c>
      <c r="S148">
        <v>815</v>
      </c>
      <c r="T148">
        <v>350</v>
      </c>
      <c r="U148">
        <v>1171</v>
      </c>
      <c r="V148">
        <v>1140</v>
      </c>
      <c r="W148">
        <v>637</v>
      </c>
      <c r="X148">
        <v>291</v>
      </c>
      <c r="Y148">
        <v>3</v>
      </c>
      <c r="Z148">
        <v>102</v>
      </c>
      <c r="AA148">
        <v>411</v>
      </c>
      <c r="AB148">
        <v>0</v>
      </c>
      <c r="AC148">
        <v>29</v>
      </c>
      <c r="AD148">
        <v>270</v>
      </c>
      <c r="AE148">
        <v>0</v>
      </c>
      <c r="AF148">
        <v>0</v>
      </c>
      <c r="AG148">
        <v>3</v>
      </c>
      <c r="AH148">
        <v>0</v>
      </c>
      <c r="AI148">
        <v>0</v>
      </c>
      <c r="AJ148">
        <v>0</v>
      </c>
      <c r="AK148">
        <v>1.6173</v>
      </c>
      <c r="AL148">
        <v>1</v>
      </c>
      <c r="AM148">
        <v>0</v>
      </c>
      <c r="AN148">
        <v>1319</v>
      </c>
      <c r="AO148">
        <v>21</v>
      </c>
      <c r="AP148">
        <v>0</v>
      </c>
      <c r="AQ148">
        <v>0</v>
      </c>
    </row>
    <row r="149" spans="1:43" x14ac:dyDescent="0.25">
      <c r="A149">
        <v>146</v>
      </c>
      <c r="B149">
        <v>3</v>
      </c>
      <c r="C149">
        <v>3</v>
      </c>
      <c r="D149">
        <v>1</v>
      </c>
      <c r="E149">
        <v>539</v>
      </c>
      <c r="F149">
        <v>1103</v>
      </c>
      <c r="G149">
        <v>1103</v>
      </c>
      <c r="H149">
        <v>659</v>
      </c>
      <c r="I149">
        <v>194</v>
      </c>
      <c r="J149">
        <v>346</v>
      </c>
      <c r="K149">
        <v>97</v>
      </c>
      <c r="L149">
        <v>110</v>
      </c>
      <c r="M149">
        <v>149</v>
      </c>
      <c r="N149">
        <v>185</v>
      </c>
      <c r="O149">
        <v>689</v>
      </c>
      <c r="P149">
        <v>7.0438427179999996</v>
      </c>
      <c r="Q149">
        <v>651</v>
      </c>
      <c r="R149">
        <v>5.6313993E-2</v>
      </c>
      <c r="S149">
        <v>85</v>
      </c>
      <c r="T149">
        <v>84</v>
      </c>
      <c r="U149">
        <v>203</v>
      </c>
      <c r="V149">
        <v>499</v>
      </c>
      <c r="W149">
        <v>268</v>
      </c>
      <c r="X149">
        <v>57</v>
      </c>
      <c r="Y149">
        <v>0</v>
      </c>
      <c r="Z149">
        <v>18</v>
      </c>
      <c r="AA149">
        <v>52</v>
      </c>
      <c r="AB149">
        <v>0</v>
      </c>
      <c r="AC149">
        <v>14</v>
      </c>
      <c r="AD149">
        <v>1</v>
      </c>
      <c r="AE149">
        <v>0</v>
      </c>
      <c r="AF149">
        <v>0</v>
      </c>
      <c r="AG149">
        <v>3</v>
      </c>
      <c r="AH149">
        <v>0</v>
      </c>
      <c r="AI149">
        <v>0</v>
      </c>
      <c r="AJ149">
        <v>0</v>
      </c>
      <c r="AK149">
        <v>0.93050999999999995</v>
      </c>
      <c r="AL149">
        <v>2</v>
      </c>
      <c r="AM149">
        <v>0</v>
      </c>
      <c r="AN149">
        <v>539</v>
      </c>
      <c r="AO149">
        <v>0</v>
      </c>
      <c r="AP149">
        <v>0</v>
      </c>
      <c r="AQ149">
        <v>0</v>
      </c>
    </row>
    <row r="150" spans="1:43" x14ac:dyDescent="0.25">
      <c r="A150">
        <v>147</v>
      </c>
      <c r="B150">
        <v>3</v>
      </c>
      <c r="C150">
        <v>3</v>
      </c>
      <c r="D150">
        <v>1</v>
      </c>
      <c r="E150">
        <v>1235</v>
      </c>
      <c r="F150">
        <v>3618</v>
      </c>
      <c r="G150">
        <v>3817</v>
      </c>
      <c r="H150">
        <v>2088</v>
      </c>
      <c r="I150">
        <v>954</v>
      </c>
      <c r="J150">
        <v>340</v>
      </c>
      <c r="K150">
        <v>302</v>
      </c>
      <c r="L150">
        <v>284</v>
      </c>
      <c r="M150">
        <v>286</v>
      </c>
      <c r="N150">
        <v>364</v>
      </c>
      <c r="O150">
        <v>206</v>
      </c>
      <c r="P150">
        <v>63.056769260000003</v>
      </c>
      <c r="Q150">
        <v>46.904000869999997</v>
      </c>
      <c r="R150">
        <v>0.19137849400000001</v>
      </c>
      <c r="S150">
        <v>1604</v>
      </c>
      <c r="T150">
        <v>73</v>
      </c>
      <c r="U150">
        <v>664</v>
      </c>
      <c r="V150">
        <v>1425</v>
      </c>
      <c r="W150">
        <v>1232</v>
      </c>
      <c r="X150">
        <v>585</v>
      </c>
      <c r="Y150">
        <v>30</v>
      </c>
      <c r="Z150">
        <v>188</v>
      </c>
      <c r="AA150">
        <v>426</v>
      </c>
      <c r="AB150">
        <v>5</v>
      </c>
      <c r="AC150">
        <v>448</v>
      </c>
      <c r="AD150">
        <v>507</v>
      </c>
      <c r="AE150">
        <v>0</v>
      </c>
      <c r="AF150">
        <v>0</v>
      </c>
      <c r="AG150">
        <v>3</v>
      </c>
      <c r="AH150">
        <v>0</v>
      </c>
      <c r="AI150">
        <v>0</v>
      </c>
      <c r="AJ150">
        <v>0</v>
      </c>
      <c r="AK150">
        <v>2.4988700000000001</v>
      </c>
      <c r="AL150">
        <v>2</v>
      </c>
      <c r="AM150">
        <v>0</v>
      </c>
      <c r="AN150">
        <v>1235</v>
      </c>
      <c r="AO150">
        <v>199</v>
      </c>
      <c r="AP150">
        <v>0</v>
      </c>
      <c r="AQ150">
        <v>0</v>
      </c>
    </row>
    <row r="151" spans="1:43" x14ac:dyDescent="0.25">
      <c r="A151">
        <v>148</v>
      </c>
      <c r="B151">
        <v>3</v>
      </c>
      <c r="C151">
        <v>3</v>
      </c>
      <c r="D151">
        <v>1</v>
      </c>
      <c r="E151">
        <v>1167</v>
      </c>
      <c r="F151">
        <v>3328</v>
      </c>
      <c r="G151">
        <v>3350</v>
      </c>
      <c r="H151">
        <v>1543</v>
      </c>
      <c r="I151">
        <v>750</v>
      </c>
      <c r="J151">
        <v>312</v>
      </c>
      <c r="K151">
        <v>525</v>
      </c>
      <c r="L151">
        <v>142</v>
      </c>
      <c r="M151">
        <v>263</v>
      </c>
      <c r="N151">
        <v>251</v>
      </c>
      <c r="O151">
        <v>204</v>
      </c>
      <c r="P151">
        <v>55.136304850000002</v>
      </c>
      <c r="Q151">
        <v>58.00686262</v>
      </c>
      <c r="R151">
        <v>0.20698192600000001</v>
      </c>
      <c r="S151">
        <v>2162</v>
      </c>
      <c r="T151">
        <v>229</v>
      </c>
      <c r="U151">
        <v>957</v>
      </c>
      <c r="V151">
        <v>1384</v>
      </c>
      <c r="W151">
        <v>564</v>
      </c>
      <c r="X151">
        <v>662</v>
      </c>
      <c r="Y151">
        <v>30</v>
      </c>
      <c r="Z151">
        <v>247</v>
      </c>
      <c r="AA151">
        <v>485</v>
      </c>
      <c r="AB151">
        <v>2</v>
      </c>
      <c r="AC151">
        <v>599</v>
      </c>
      <c r="AD151">
        <v>799</v>
      </c>
      <c r="AE151">
        <v>0</v>
      </c>
      <c r="AF151">
        <v>0</v>
      </c>
      <c r="AG151">
        <v>3</v>
      </c>
      <c r="AH151">
        <v>0</v>
      </c>
      <c r="AI151">
        <v>0</v>
      </c>
      <c r="AJ151">
        <v>0</v>
      </c>
      <c r="AK151">
        <v>2.4553500000000001</v>
      </c>
      <c r="AL151">
        <v>1</v>
      </c>
      <c r="AM151">
        <v>0</v>
      </c>
      <c r="AN151">
        <v>1167</v>
      </c>
      <c r="AO151">
        <v>22</v>
      </c>
      <c r="AP151">
        <v>0</v>
      </c>
      <c r="AQ151">
        <v>0</v>
      </c>
    </row>
    <row r="152" spans="1:43" x14ac:dyDescent="0.25">
      <c r="A152">
        <v>149</v>
      </c>
      <c r="B152">
        <v>3</v>
      </c>
      <c r="C152">
        <v>3</v>
      </c>
      <c r="D152">
        <v>1</v>
      </c>
      <c r="E152">
        <v>1731</v>
      </c>
      <c r="F152">
        <v>4436</v>
      </c>
      <c r="G152">
        <v>4553</v>
      </c>
      <c r="H152">
        <v>2524</v>
      </c>
      <c r="I152">
        <v>788</v>
      </c>
      <c r="J152">
        <v>847</v>
      </c>
      <c r="K152">
        <v>461</v>
      </c>
      <c r="L152">
        <v>423</v>
      </c>
      <c r="M152">
        <v>281</v>
      </c>
      <c r="N152">
        <v>565</v>
      </c>
      <c r="O152">
        <v>517</v>
      </c>
      <c r="P152">
        <v>84.037004240000002</v>
      </c>
      <c r="Q152">
        <v>140</v>
      </c>
      <c r="R152">
        <v>0.17975460100000001</v>
      </c>
      <c r="S152">
        <v>1025</v>
      </c>
      <c r="T152">
        <v>362</v>
      </c>
      <c r="U152">
        <v>520</v>
      </c>
      <c r="V152">
        <v>1913</v>
      </c>
      <c r="W152">
        <v>1295</v>
      </c>
      <c r="X152">
        <v>553</v>
      </c>
      <c r="Y152">
        <v>10</v>
      </c>
      <c r="Z152">
        <v>525</v>
      </c>
      <c r="AA152">
        <v>296</v>
      </c>
      <c r="AB152">
        <v>1</v>
      </c>
      <c r="AC152">
        <v>22</v>
      </c>
      <c r="AD152">
        <v>171</v>
      </c>
      <c r="AE152">
        <v>0</v>
      </c>
      <c r="AF152">
        <v>0</v>
      </c>
      <c r="AG152">
        <v>3</v>
      </c>
      <c r="AH152">
        <v>0</v>
      </c>
      <c r="AI152">
        <v>0</v>
      </c>
      <c r="AJ152">
        <v>0</v>
      </c>
      <c r="AK152">
        <v>1.62368</v>
      </c>
      <c r="AL152">
        <v>1</v>
      </c>
      <c r="AM152">
        <v>0</v>
      </c>
      <c r="AN152">
        <v>1731</v>
      </c>
      <c r="AO152">
        <v>117</v>
      </c>
      <c r="AP152">
        <v>0</v>
      </c>
      <c r="AQ152">
        <v>0</v>
      </c>
    </row>
    <row r="153" spans="1:43" x14ac:dyDescent="0.25">
      <c r="A153">
        <v>150</v>
      </c>
      <c r="B153">
        <v>3</v>
      </c>
      <c r="C153">
        <v>3</v>
      </c>
      <c r="D153">
        <v>1</v>
      </c>
      <c r="E153">
        <v>1346</v>
      </c>
      <c r="F153">
        <v>3537</v>
      </c>
      <c r="G153">
        <v>3651</v>
      </c>
      <c r="H153">
        <v>1773</v>
      </c>
      <c r="I153">
        <v>469</v>
      </c>
      <c r="J153">
        <v>775</v>
      </c>
      <c r="K153">
        <v>523</v>
      </c>
      <c r="L153">
        <v>296</v>
      </c>
      <c r="M153">
        <v>341</v>
      </c>
      <c r="N153">
        <v>187</v>
      </c>
      <c r="O153">
        <v>158</v>
      </c>
      <c r="P153">
        <v>35.118033060000002</v>
      </c>
      <c r="Q153">
        <v>70</v>
      </c>
      <c r="R153">
        <v>0.222531646</v>
      </c>
      <c r="S153">
        <v>2125</v>
      </c>
      <c r="T153">
        <v>135</v>
      </c>
      <c r="U153">
        <v>598</v>
      </c>
      <c r="V153">
        <v>1161</v>
      </c>
      <c r="W153">
        <v>1182</v>
      </c>
      <c r="X153">
        <v>671</v>
      </c>
      <c r="Y153">
        <v>217</v>
      </c>
      <c r="Z153">
        <v>438</v>
      </c>
      <c r="AA153">
        <v>710</v>
      </c>
      <c r="AB153">
        <v>1</v>
      </c>
      <c r="AC153">
        <v>171</v>
      </c>
      <c r="AD153">
        <v>588</v>
      </c>
      <c r="AE153">
        <v>0</v>
      </c>
      <c r="AF153">
        <v>0</v>
      </c>
      <c r="AG153">
        <v>3</v>
      </c>
      <c r="AH153">
        <v>0</v>
      </c>
      <c r="AI153">
        <v>0</v>
      </c>
      <c r="AJ153">
        <v>0</v>
      </c>
      <c r="AK153">
        <v>2.4153199999999999</v>
      </c>
      <c r="AL153">
        <v>1</v>
      </c>
      <c r="AM153">
        <v>0</v>
      </c>
      <c r="AN153">
        <v>1346</v>
      </c>
      <c r="AO153">
        <v>114</v>
      </c>
      <c r="AP153">
        <v>0</v>
      </c>
      <c r="AQ153">
        <v>0</v>
      </c>
    </row>
    <row r="154" spans="1:43" x14ac:dyDescent="0.25">
      <c r="A154">
        <v>151</v>
      </c>
      <c r="B154">
        <v>3</v>
      </c>
      <c r="C154">
        <v>3</v>
      </c>
      <c r="D154">
        <v>1</v>
      </c>
      <c r="E154">
        <v>660</v>
      </c>
      <c r="F154">
        <v>1656</v>
      </c>
      <c r="G154">
        <v>1676</v>
      </c>
      <c r="H154">
        <v>876</v>
      </c>
      <c r="I154">
        <v>416</v>
      </c>
      <c r="J154">
        <v>217</v>
      </c>
      <c r="K154">
        <v>292</v>
      </c>
      <c r="L154">
        <v>87</v>
      </c>
      <c r="M154">
        <v>125</v>
      </c>
      <c r="N154">
        <v>160</v>
      </c>
      <c r="O154">
        <v>59</v>
      </c>
      <c r="P154">
        <v>27.25314011</v>
      </c>
      <c r="Q154">
        <v>1.6572826350000001</v>
      </c>
      <c r="R154">
        <v>0.20291216500000001</v>
      </c>
      <c r="S154">
        <v>140</v>
      </c>
      <c r="T154">
        <v>86</v>
      </c>
      <c r="U154">
        <v>205</v>
      </c>
      <c r="V154">
        <v>786</v>
      </c>
      <c r="W154">
        <v>655</v>
      </c>
      <c r="X154">
        <v>281</v>
      </c>
      <c r="Y154">
        <v>25</v>
      </c>
      <c r="Z154">
        <v>11</v>
      </c>
      <c r="AA154">
        <v>95</v>
      </c>
      <c r="AB154">
        <v>0</v>
      </c>
      <c r="AC154">
        <v>4</v>
      </c>
      <c r="AD154">
        <v>5</v>
      </c>
      <c r="AE154">
        <v>0</v>
      </c>
      <c r="AF154">
        <v>0</v>
      </c>
      <c r="AG154">
        <v>3</v>
      </c>
      <c r="AH154">
        <v>0</v>
      </c>
      <c r="AI154">
        <v>0</v>
      </c>
      <c r="AJ154">
        <v>0</v>
      </c>
      <c r="AK154">
        <v>2.1616499999999998</v>
      </c>
      <c r="AL154">
        <v>1</v>
      </c>
      <c r="AM154">
        <v>0</v>
      </c>
      <c r="AN154">
        <v>660</v>
      </c>
      <c r="AO154">
        <v>20</v>
      </c>
      <c r="AP154">
        <v>0</v>
      </c>
      <c r="AQ154">
        <v>0</v>
      </c>
    </row>
    <row r="155" spans="1:43" x14ac:dyDescent="0.25">
      <c r="A155">
        <v>152</v>
      </c>
      <c r="B155">
        <v>3</v>
      </c>
      <c r="C155">
        <v>3</v>
      </c>
      <c r="D155">
        <v>1</v>
      </c>
      <c r="E155">
        <v>1450</v>
      </c>
      <c r="F155">
        <v>3791</v>
      </c>
      <c r="G155">
        <v>3832</v>
      </c>
      <c r="H155">
        <v>2172</v>
      </c>
      <c r="I155">
        <v>1176</v>
      </c>
      <c r="J155">
        <v>174</v>
      </c>
      <c r="K155">
        <v>258</v>
      </c>
      <c r="L155">
        <v>269</v>
      </c>
      <c r="M155">
        <v>337</v>
      </c>
      <c r="N155">
        <v>587</v>
      </c>
      <c r="O155">
        <v>182</v>
      </c>
      <c r="P155">
        <v>72.218958310000005</v>
      </c>
      <c r="Q155">
        <v>27</v>
      </c>
      <c r="R155">
        <v>0.24130273899999999</v>
      </c>
      <c r="S155">
        <v>949</v>
      </c>
      <c r="T155">
        <v>180</v>
      </c>
      <c r="U155">
        <v>417</v>
      </c>
      <c r="V155">
        <v>1270</v>
      </c>
      <c r="W155">
        <v>1224</v>
      </c>
      <c r="X155">
        <v>755</v>
      </c>
      <c r="Y155">
        <v>15</v>
      </c>
      <c r="Z155">
        <v>543</v>
      </c>
      <c r="AA155">
        <v>304</v>
      </c>
      <c r="AB155">
        <v>1</v>
      </c>
      <c r="AC155">
        <v>29</v>
      </c>
      <c r="AD155">
        <v>57</v>
      </c>
      <c r="AE155">
        <v>0</v>
      </c>
      <c r="AF155">
        <v>0</v>
      </c>
      <c r="AG155">
        <v>3</v>
      </c>
      <c r="AH155">
        <v>1047</v>
      </c>
      <c r="AI155">
        <v>0</v>
      </c>
      <c r="AJ155">
        <v>0</v>
      </c>
      <c r="AK155">
        <v>1.86768</v>
      </c>
      <c r="AL155">
        <v>1</v>
      </c>
      <c r="AM155">
        <v>0</v>
      </c>
      <c r="AN155">
        <v>1450</v>
      </c>
      <c r="AO155">
        <v>41</v>
      </c>
      <c r="AP155">
        <v>0</v>
      </c>
      <c r="AQ155">
        <v>0</v>
      </c>
    </row>
    <row r="156" spans="1:43" x14ac:dyDescent="0.25">
      <c r="A156">
        <v>153</v>
      </c>
      <c r="B156">
        <v>3</v>
      </c>
      <c r="C156">
        <v>3</v>
      </c>
      <c r="D156">
        <v>1</v>
      </c>
      <c r="E156">
        <v>1218</v>
      </c>
      <c r="F156">
        <v>3646</v>
      </c>
      <c r="G156">
        <v>3646</v>
      </c>
      <c r="H156">
        <v>2103</v>
      </c>
      <c r="I156">
        <v>1062</v>
      </c>
      <c r="J156">
        <v>120</v>
      </c>
      <c r="K156">
        <v>254</v>
      </c>
      <c r="L156">
        <v>347</v>
      </c>
      <c r="M156">
        <v>266</v>
      </c>
      <c r="N156">
        <v>358</v>
      </c>
      <c r="O156">
        <v>101</v>
      </c>
      <c r="P156">
        <v>59.16605388</v>
      </c>
      <c r="Q156">
        <v>1.330016074</v>
      </c>
      <c r="R156">
        <v>0.217945898</v>
      </c>
      <c r="S156">
        <v>254</v>
      </c>
      <c r="T156">
        <v>60</v>
      </c>
      <c r="U156">
        <v>620</v>
      </c>
      <c r="V156">
        <v>1556</v>
      </c>
      <c r="W156">
        <v>1332</v>
      </c>
      <c r="X156">
        <v>721</v>
      </c>
      <c r="Y156">
        <v>2</v>
      </c>
      <c r="Z156">
        <v>22</v>
      </c>
      <c r="AA156">
        <v>175</v>
      </c>
      <c r="AB156">
        <v>0</v>
      </c>
      <c r="AC156">
        <v>29</v>
      </c>
      <c r="AD156">
        <v>26</v>
      </c>
      <c r="AE156">
        <v>0</v>
      </c>
      <c r="AF156">
        <v>0</v>
      </c>
      <c r="AG156">
        <v>3</v>
      </c>
      <c r="AH156">
        <v>0</v>
      </c>
      <c r="AI156">
        <v>0</v>
      </c>
      <c r="AJ156">
        <v>0</v>
      </c>
      <c r="AK156">
        <v>2.3807200000000002</v>
      </c>
      <c r="AL156">
        <v>1</v>
      </c>
      <c r="AM156">
        <v>0</v>
      </c>
      <c r="AN156">
        <v>1218</v>
      </c>
      <c r="AO156">
        <v>0</v>
      </c>
      <c r="AP156">
        <v>0</v>
      </c>
      <c r="AQ156">
        <v>0</v>
      </c>
    </row>
    <row r="157" spans="1:43" x14ac:dyDescent="0.25">
      <c r="A157">
        <v>154</v>
      </c>
      <c r="B157">
        <v>3</v>
      </c>
      <c r="C157">
        <v>3</v>
      </c>
      <c r="D157">
        <v>1</v>
      </c>
      <c r="E157">
        <v>1160</v>
      </c>
      <c r="F157">
        <v>3084</v>
      </c>
      <c r="G157">
        <v>3096</v>
      </c>
      <c r="H157">
        <v>1631</v>
      </c>
      <c r="I157">
        <v>943</v>
      </c>
      <c r="J157">
        <v>148</v>
      </c>
      <c r="K157">
        <v>322</v>
      </c>
      <c r="L157">
        <v>306</v>
      </c>
      <c r="M157">
        <v>277</v>
      </c>
      <c r="N157">
        <v>257</v>
      </c>
      <c r="O157">
        <v>92</v>
      </c>
      <c r="P157">
        <v>48</v>
      </c>
      <c r="Q157">
        <v>15.14368189</v>
      </c>
      <c r="R157">
        <v>0.28902541199999998</v>
      </c>
      <c r="S157">
        <v>638</v>
      </c>
      <c r="T157">
        <v>83</v>
      </c>
      <c r="U157">
        <v>294</v>
      </c>
      <c r="V157">
        <v>798</v>
      </c>
      <c r="W157">
        <v>1330</v>
      </c>
      <c r="X157">
        <v>865</v>
      </c>
      <c r="Y157">
        <v>110</v>
      </c>
      <c r="Z157">
        <v>97</v>
      </c>
      <c r="AA157">
        <v>393</v>
      </c>
      <c r="AB157">
        <v>0</v>
      </c>
      <c r="AC157">
        <v>20</v>
      </c>
      <c r="AD157">
        <v>18</v>
      </c>
      <c r="AE157">
        <v>0</v>
      </c>
      <c r="AF157">
        <v>22.605693429999999</v>
      </c>
      <c r="AG157">
        <v>3</v>
      </c>
      <c r="AH157">
        <v>0</v>
      </c>
      <c r="AI157">
        <v>0</v>
      </c>
      <c r="AJ157">
        <v>0</v>
      </c>
      <c r="AK157">
        <v>2.1931500000000002</v>
      </c>
      <c r="AL157">
        <v>1</v>
      </c>
      <c r="AM157">
        <v>0</v>
      </c>
      <c r="AN157">
        <v>1160</v>
      </c>
      <c r="AO157">
        <v>12</v>
      </c>
      <c r="AP157">
        <v>0</v>
      </c>
      <c r="AQ157">
        <v>0</v>
      </c>
    </row>
    <row r="158" spans="1:43" x14ac:dyDescent="0.25">
      <c r="A158">
        <v>155</v>
      </c>
      <c r="B158">
        <v>3</v>
      </c>
      <c r="C158">
        <v>3</v>
      </c>
      <c r="D158">
        <v>1</v>
      </c>
      <c r="E158">
        <v>1088</v>
      </c>
      <c r="F158">
        <v>3249</v>
      </c>
      <c r="G158">
        <v>3263</v>
      </c>
      <c r="H158">
        <v>1694</v>
      </c>
      <c r="I158">
        <v>832</v>
      </c>
      <c r="J158">
        <v>125</v>
      </c>
      <c r="K158">
        <v>238</v>
      </c>
      <c r="L158">
        <v>359</v>
      </c>
      <c r="M158">
        <v>226</v>
      </c>
      <c r="N158">
        <v>261</v>
      </c>
      <c r="O158">
        <v>82</v>
      </c>
      <c r="P158">
        <v>49.227266970000002</v>
      </c>
      <c r="Q158">
        <v>3</v>
      </c>
      <c r="R158">
        <v>0.209266007</v>
      </c>
      <c r="S158">
        <v>415</v>
      </c>
      <c r="T158">
        <v>237</v>
      </c>
      <c r="U158">
        <v>617</v>
      </c>
      <c r="V158">
        <v>1202</v>
      </c>
      <c r="W158">
        <v>977</v>
      </c>
      <c r="X158">
        <v>620</v>
      </c>
      <c r="Y158">
        <v>13</v>
      </c>
      <c r="Z158">
        <v>57</v>
      </c>
      <c r="AA158">
        <v>300</v>
      </c>
      <c r="AB158">
        <v>0</v>
      </c>
      <c r="AC158">
        <v>4</v>
      </c>
      <c r="AD158">
        <v>41</v>
      </c>
      <c r="AE158">
        <v>0</v>
      </c>
      <c r="AF158">
        <v>0</v>
      </c>
      <c r="AG158">
        <v>3</v>
      </c>
      <c r="AH158">
        <v>0</v>
      </c>
      <c r="AI158">
        <v>0</v>
      </c>
      <c r="AJ158">
        <v>0</v>
      </c>
      <c r="AK158">
        <v>2.2143099999999998</v>
      </c>
      <c r="AL158">
        <v>1</v>
      </c>
      <c r="AM158">
        <v>0</v>
      </c>
      <c r="AN158">
        <v>1088</v>
      </c>
      <c r="AO158">
        <v>14</v>
      </c>
      <c r="AP158">
        <v>0</v>
      </c>
      <c r="AQ158">
        <v>0</v>
      </c>
    </row>
    <row r="159" spans="1:43" x14ac:dyDescent="0.25">
      <c r="A159">
        <v>156</v>
      </c>
      <c r="B159">
        <v>3</v>
      </c>
      <c r="C159">
        <v>3</v>
      </c>
      <c r="D159">
        <v>1</v>
      </c>
      <c r="E159">
        <v>711</v>
      </c>
      <c r="F159">
        <v>2161</v>
      </c>
      <c r="G159">
        <v>2161</v>
      </c>
      <c r="H159">
        <v>1247</v>
      </c>
      <c r="I159">
        <v>483</v>
      </c>
      <c r="J159">
        <v>164</v>
      </c>
      <c r="K159">
        <v>209</v>
      </c>
      <c r="L159">
        <v>215</v>
      </c>
      <c r="M159">
        <v>159</v>
      </c>
      <c r="N159">
        <v>128</v>
      </c>
      <c r="O159">
        <v>45</v>
      </c>
      <c r="P159">
        <v>25.053021300000001</v>
      </c>
      <c r="Q159">
        <v>6.5653384429999999</v>
      </c>
      <c r="R159">
        <v>0.21818907100000001</v>
      </c>
      <c r="S159">
        <v>275</v>
      </c>
      <c r="T159">
        <v>95</v>
      </c>
      <c r="U159">
        <v>338</v>
      </c>
      <c r="V159">
        <v>886</v>
      </c>
      <c r="W159">
        <v>663</v>
      </c>
      <c r="X159">
        <v>383</v>
      </c>
      <c r="Y159">
        <v>5</v>
      </c>
      <c r="Z159">
        <v>41</v>
      </c>
      <c r="AA159">
        <v>199</v>
      </c>
      <c r="AB159">
        <v>1</v>
      </c>
      <c r="AC159">
        <v>13</v>
      </c>
      <c r="AD159">
        <v>16</v>
      </c>
      <c r="AE159">
        <v>0</v>
      </c>
      <c r="AF159">
        <v>0</v>
      </c>
      <c r="AG159">
        <v>3</v>
      </c>
      <c r="AH159">
        <v>0</v>
      </c>
      <c r="AI159">
        <v>0</v>
      </c>
      <c r="AJ159">
        <v>0</v>
      </c>
      <c r="AK159">
        <v>2.8854600000000001</v>
      </c>
      <c r="AL159">
        <v>1</v>
      </c>
      <c r="AM159">
        <v>0</v>
      </c>
      <c r="AN159">
        <v>711</v>
      </c>
      <c r="AO159">
        <v>0</v>
      </c>
      <c r="AP159">
        <v>0</v>
      </c>
      <c r="AQ159">
        <v>0</v>
      </c>
    </row>
    <row r="160" spans="1:43" x14ac:dyDescent="0.25">
      <c r="A160">
        <v>157</v>
      </c>
      <c r="B160">
        <v>3</v>
      </c>
      <c r="C160">
        <v>3</v>
      </c>
      <c r="D160">
        <v>1</v>
      </c>
      <c r="E160">
        <v>812</v>
      </c>
      <c r="F160">
        <v>2218</v>
      </c>
      <c r="G160">
        <v>2218</v>
      </c>
      <c r="H160">
        <v>871</v>
      </c>
      <c r="I160">
        <v>349</v>
      </c>
      <c r="J160">
        <v>410</v>
      </c>
      <c r="K160">
        <v>487</v>
      </c>
      <c r="L160">
        <v>148</v>
      </c>
      <c r="M160">
        <v>93</v>
      </c>
      <c r="N160">
        <v>87</v>
      </c>
      <c r="O160">
        <v>66</v>
      </c>
      <c r="P160">
        <v>31.57830551</v>
      </c>
      <c r="Q160">
        <v>32</v>
      </c>
      <c r="R160">
        <v>0.112119013</v>
      </c>
      <c r="S160">
        <v>184</v>
      </c>
      <c r="T160">
        <v>137</v>
      </c>
      <c r="U160">
        <v>642</v>
      </c>
      <c r="V160">
        <v>864</v>
      </c>
      <c r="W160">
        <v>797</v>
      </c>
      <c r="X160">
        <v>183</v>
      </c>
      <c r="Y160">
        <v>2</v>
      </c>
      <c r="Z160">
        <v>8</v>
      </c>
      <c r="AA160">
        <v>154</v>
      </c>
      <c r="AB160">
        <v>0</v>
      </c>
      <c r="AC160">
        <v>18</v>
      </c>
      <c r="AD160">
        <v>2</v>
      </c>
      <c r="AE160">
        <v>0</v>
      </c>
      <c r="AF160">
        <v>0</v>
      </c>
      <c r="AG160">
        <v>3</v>
      </c>
      <c r="AH160">
        <v>0</v>
      </c>
      <c r="AI160">
        <v>0</v>
      </c>
      <c r="AJ160">
        <v>0</v>
      </c>
      <c r="AK160">
        <v>2.3173599999999999</v>
      </c>
      <c r="AL160">
        <v>1</v>
      </c>
      <c r="AM160">
        <v>0</v>
      </c>
      <c r="AN160">
        <v>812</v>
      </c>
      <c r="AO160">
        <v>0</v>
      </c>
      <c r="AP160">
        <v>0</v>
      </c>
      <c r="AQ160">
        <v>0</v>
      </c>
    </row>
    <row r="161" spans="1:43" x14ac:dyDescent="0.25">
      <c r="A161">
        <v>158</v>
      </c>
      <c r="B161">
        <v>3</v>
      </c>
      <c r="C161">
        <v>3</v>
      </c>
      <c r="D161">
        <v>1</v>
      </c>
      <c r="E161">
        <v>379</v>
      </c>
      <c r="F161">
        <v>827</v>
      </c>
      <c r="G161">
        <v>828</v>
      </c>
      <c r="H161">
        <v>366</v>
      </c>
      <c r="I161">
        <v>119</v>
      </c>
      <c r="J161">
        <v>227</v>
      </c>
      <c r="K161">
        <v>254</v>
      </c>
      <c r="L161">
        <v>52</v>
      </c>
      <c r="M161">
        <v>16</v>
      </c>
      <c r="N161">
        <v>50</v>
      </c>
      <c r="O161">
        <v>397</v>
      </c>
      <c r="P161">
        <v>9.0572343790000005</v>
      </c>
      <c r="Q161">
        <v>32.827639320000003</v>
      </c>
      <c r="R161">
        <v>0.24680432599999999</v>
      </c>
      <c r="S161">
        <v>383</v>
      </c>
      <c r="T161">
        <v>60</v>
      </c>
      <c r="U161">
        <v>230</v>
      </c>
      <c r="V161">
        <v>273</v>
      </c>
      <c r="W161">
        <v>178</v>
      </c>
      <c r="X161">
        <v>209</v>
      </c>
      <c r="Y161">
        <v>0</v>
      </c>
      <c r="Z161">
        <v>6</v>
      </c>
      <c r="AA161">
        <v>370</v>
      </c>
      <c r="AB161">
        <v>0</v>
      </c>
      <c r="AC161">
        <v>0</v>
      </c>
      <c r="AD161">
        <v>7</v>
      </c>
      <c r="AE161">
        <v>0</v>
      </c>
      <c r="AF161">
        <v>0</v>
      </c>
      <c r="AG161">
        <v>3</v>
      </c>
      <c r="AH161">
        <v>176</v>
      </c>
      <c r="AI161">
        <v>0</v>
      </c>
      <c r="AJ161">
        <v>0</v>
      </c>
      <c r="AK161">
        <v>1.9985900000000001</v>
      </c>
      <c r="AL161">
        <v>1</v>
      </c>
      <c r="AM161">
        <v>0</v>
      </c>
      <c r="AN161">
        <v>379</v>
      </c>
      <c r="AO161">
        <v>1</v>
      </c>
      <c r="AP161">
        <v>0</v>
      </c>
      <c r="AQ161">
        <v>0</v>
      </c>
    </row>
    <row r="162" spans="1:43" x14ac:dyDescent="0.25">
      <c r="A162">
        <v>159</v>
      </c>
      <c r="B162">
        <v>3</v>
      </c>
      <c r="C162">
        <v>3</v>
      </c>
      <c r="D162">
        <v>1</v>
      </c>
      <c r="E162">
        <v>1598</v>
      </c>
      <c r="F162">
        <v>4234</v>
      </c>
      <c r="G162">
        <v>4260</v>
      </c>
      <c r="H162">
        <v>2130</v>
      </c>
      <c r="I162">
        <v>1053</v>
      </c>
      <c r="J162">
        <v>419</v>
      </c>
      <c r="K162">
        <v>410</v>
      </c>
      <c r="L162">
        <v>511</v>
      </c>
      <c r="M162">
        <v>388</v>
      </c>
      <c r="N162">
        <v>301</v>
      </c>
      <c r="O162">
        <v>179</v>
      </c>
      <c r="P162">
        <v>83.160736330000006</v>
      </c>
      <c r="Q162">
        <v>8.7140724519999999</v>
      </c>
      <c r="R162">
        <v>0.19244604300000001</v>
      </c>
      <c r="S162">
        <v>365</v>
      </c>
      <c r="T162">
        <v>225</v>
      </c>
      <c r="U162">
        <v>668</v>
      </c>
      <c r="V162">
        <v>1436</v>
      </c>
      <c r="W162">
        <v>1573</v>
      </c>
      <c r="X162">
        <v>815</v>
      </c>
      <c r="Y162">
        <v>24</v>
      </c>
      <c r="Z162">
        <v>51</v>
      </c>
      <c r="AA162">
        <v>246</v>
      </c>
      <c r="AB162">
        <v>1</v>
      </c>
      <c r="AC162">
        <v>10</v>
      </c>
      <c r="AD162">
        <v>33</v>
      </c>
      <c r="AE162">
        <v>0</v>
      </c>
      <c r="AF162">
        <v>0</v>
      </c>
      <c r="AG162">
        <v>3</v>
      </c>
      <c r="AH162">
        <v>0</v>
      </c>
      <c r="AI162">
        <v>0</v>
      </c>
      <c r="AJ162">
        <v>0</v>
      </c>
      <c r="AK162">
        <v>2.0030600000000001</v>
      </c>
      <c r="AL162">
        <v>1</v>
      </c>
      <c r="AM162">
        <v>0</v>
      </c>
      <c r="AN162">
        <v>1598</v>
      </c>
      <c r="AO162">
        <v>26</v>
      </c>
      <c r="AP162">
        <v>0</v>
      </c>
      <c r="AQ162">
        <v>0</v>
      </c>
    </row>
    <row r="163" spans="1:43" x14ac:dyDescent="0.25">
      <c r="A163">
        <v>160</v>
      </c>
      <c r="B163">
        <v>3</v>
      </c>
      <c r="C163">
        <v>3</v>
      </c>
      <c r="D163">
        <v>1</v>
      </c>
      <c r="E163">
        <v>1470</v>
      </c>
      <c r="F163">
        <v>4362</v>
      </c>
      <c r="G163">
        <v>4362</v>
      </c>
      <c r="H163">
        <v>2340</v>
      </c>
      <c r="I163">
        <v>1157</v>
      </c>
      <c r="J163">
        <v>150</v>
      </c>
      <c r="K163">
        <v>162</v>
      </c>
      <c r="L163">
        <v>620</v>
      </c>
      <c r="M163">
        <v>331</v>
      </c>
      <c r="N163">
        <v>340</v>
      </c>
      <c r="O163">
        <v>95</v>
      </c>
      <c r="P163">
        <v>62.056791089999997</v>
      </c>
      <c r="Q163">
        <v>2.2907140940000001</v>
      </c>
      <c r="R163">
        <v>0.228658537</v>
      </c>
      <c r="S163">
        <v>377</v>
      </c>
      <c r="T163">
        <v>223</v>
      </c>
      <c r="U163">
        <v>867</v>
      </c>
      <c r="V163">
        <v>1346</v>
      </c>
      <c r="W163">
        <v>1468</v>
      </c>
      <c r="X163">
        <v>767</v>
      </c>
      <c r="Y163">
        <v>8</v>
      </c>
      <c r="Z163">
        <v>88</v>
      </c>
      <c r="AA163">
        <v>242</v>
      </c>
      <c r="AB163">
        <v>1</v>
      </c>
      <c r="AC163">
        <v>13</v>
      </c>
      <c r="AD163">
        <v>25</v>
      </c>
      <c r="AE163">
        <v>0</v>
      </c>
      <c r="AF163">
        <v>0</v>
      </c>
      <c r="AG163">
        <v>3</v>
      </c>
      <c r="AH163">
        <v>0</v>
      </c>
      <c r="AI163">
        <v>0</v>
      </c>
      <c r="AJ163">
        <v>0</v>
      </c>
      <c r="AK163">
        <v>2.4870899999999998</v>
      </c>
      <c r="AL163">
        <v>1</v>
      </c>
      <c r="AM163">
        <v>0</v>
      </c>
      <c r="AN163">
        <v>1470</v>
      </c>
      <c r="AO163">
        <v>0</v>
      </c>
      <c r="AP163">
        <v>0</v>
      </c>
      <c r="AQ163">
        <v>0</v>
      </c>
    </row>
    <row r="164" spans="1:43" x14ac:dyDescent="0.25">
      <c r="A164">
        <v>161</v>
      </c>
      <c r="B164">
        <v>3</v>
      </c>
      <c r="C164">
        <v>3</v>
      </c>
      <c r="D164">
        <v>1</v>
      </c>
      <c r="E164">
        <v>1179</v>
      </c>
      <c r="F164">
        <v>3338</v>
      </c>
      <c r="G164">
        <v>3344</v>
      </c>
      <c r="H164">
        <v>2066</v>
      </c>
      <c r="I164">
        <v>930</v>
      </c>
      <c r="J164">
        <v>216</v>
      </c>
      <c r="K164">
        <v>197</v>
      </c>
      <c r="L164">
        <v>380</v>
      </c>
      <c r="M164">
        <v>225</v>
      </c>
      <c r="N164">
        <v>372</v>
      </c>
      <c r="O164">
        <v>82</v>
      </c>
      <c r="P164">
        <v>50.114611269999997</v>
      </c>
      <c r="Q164">
        <v>5.3921460229999996</v>
      </c>
      <c r="R164">
        <v>0.201094035</v>
      </c>
      <c r="S164">
        <v>462</v>
      </c>
      <c r="T164">
        <v>161</v>
      </c>
      <c r="U164">
        <v>443</v>
      </c>
      <c r="V164">
        <v>1454</v>
      </c>
      <c r="W164">
        <v>897</v>
      </c>
      <c r="X164">
        <v>666</v>
      </c>
      <c r="Y164">
        <v>15</v>
      </c>
      <c r="Z164">
        <v>71</v>
      </c>
      <c r="AA164">
        <v>324</v>
      </c>
      <c r="AB164">
        <v>0</v>
      </c>
      <c r="AC164">
        <v>9</v>
      </c>
      <c r="AD164">
        <v>43</v>
      </c>
      <c r="AE164">
        <v>0</v>
      </c>
      <c r="AF164">
        <v>18.649697079999999</v>
      </c>
      <c r="AG164">
        <v>3</v>
      </c>
      <c r="AH164">
        <v>0</v>
      </c>
      <c r="AI164">
        <v>0</v>
      </c>
      <c r="AJ164">
        <v>0</v>
      </c>
      <c r="AK164">
        <v>2.6601699999999999</v>
      </c>
      <c r="AL164">
        <v>1</v>
      </c>
      <c r="AM164">
        <v>0</v>
      </c>
      <c r="AN164">
        <v>1179</v>
      </c>
      <c r="AO164">
        <v>6</v>
      </c>
      <c r="AP164">
        <v>0</v>
      </c>
      <c r="AQ164">
        <v>0</v>
      </c>
    </row>
    <row r="165" spans="1:43" x14ac:dyDescent="0.25">
      <c r="A165">
        <v>162</v>
      </c>
      <c r="B165">
        <v>3</v>
      </c>
      <c r="C165">
        <v>3</v>
      </c>
      <c r="D165">
        <v>1</v>
      </c>
      <c r="E165">
        <v>1471</v>
      </c>
      <c r="F165">
        <v>4226</v>
      </c>
      <c r="G165">
        <v>4244</v>
      </c>
      <c r="H165">
        <v>1996</v>
      </c>
      <c r="I165">
        <v>1090</v>
      </c>
      <c r="J165">
        <v>224</v>
      </c>
      <c r="K165">
        <v>382</v>
      </c>
      <c r="L165">
        <v>502</v>
      </c>
      <c r="M165">
        <v>354</v>
      </c>
      <c r="N165">
        <v>229</v>
      </c>
      <c r="O165">
        <v>92</v>
      </c>
      <c r="P165">
        <v>56.003983380000001</v>
      </c>
      <c r="Q165">
        <v>7.9394750890000001</v>
      </c>
      <c r="R165">
        <v>0.304396632</v>
      </c>
      <c r="S165">
        <v>618</v>
      </c>
      <c r="T165">
        <v>71</v>
      </c>
      <c r="U165">
        <v>703</v>
      </c>
      <c r="V165">
        <v>1446</v>
      </c>
      <c r="W165">
        <v>1456</v>
      </c>
      <c r="X165">
        <v>1376</v>
      </c>
      <c r="Y165">
        <v>64</v>
      </c>
      <c r="Z165">
        <v>110</v>
      </c>
      <c r="AA165">
        <v>350</v>
      </c>
      <c r="AB165">
        <v>1</v>
      </c>
      <c r="AC165">
        <v>32</v>
      </c>
      <c r="AD165">
        <v>61</v>
      </c>
      <c r="AE165">
        <v>0</v>
      </c>
      <c r="AF165">
        <v>25.996547450000001</v>
      </c>
      <c r="AG165">
        <v>3</v>
      </c>
      <c r="AH165">
        <v>0</v>
      </c>
      <c r="AI165">
        <v>0</v>
      </c>
      <c r="AJ165">
        <v>0</v>
      </c>
      <c r="AK165">
        <v>2.6898</v>
      </c>
      <c r="AL165">
        <v>1</v>
      </c>
      <c r="AM165">
        <v>0</v>
      </c>
      <c r="AN165">
        <v>1471</v>
      </c>
      <c r="AO165">
        <v>18</v>
      </c>
      <c r="AP165">
        <v>0</v>
      </c>
      <c r="AQ165">
        <v>0</v>
      </c>
    </row>
    <row r="166" spans="1:43" x14ac:dyDescent="0.25">
      <c r="A166">
        <v>163</v>
      </c>
      <c r="B166">
        <v>3</v>
      </c>
      <c r="C166">
        <v>3</v>
      </c>
      <c r="D166">
        <v>1</v>
      </c>
      <c r="E166">
        <v>1337</v>
      </c>
      <c r="F166">
        <v>3878</v>
      </c>
      <c r="G166">
        <v>3882</v>
      </c>
      <c r="H166">
        <v>2268</v>
      </c>
      <c r="I166">
        <v>1086</v>
      </c>
      <c r="J166">
        <v>167</v>
      </c>
      <c r="K166">
        <v>219</v>
      </c>
      <c r="L166">
        <v>483</v>
      </c>
      <c r="M166">
        <v>229</v>
      </c>
      <c r="N166">
        <v>409</v>
      </c>
      <c r="O166">
        <v>94</v>
      </c>
      <c r="P166">
        <v>62.133916120000002</v>
      </c>
      <c r="Q166">
        <v>4.8512243990000004</v>
      </c>
      <c r="R166">
        <v>0.19039263000000001</v>
      </c>
      <c r="S166">
        <v>406</v>
      </c>
      <c r="T166">
        <v>242</v>
      </c>
      <c r="U166">
        <v>530</v>
      </c>
      <c r="V166">
        <v>1410</v>
      </c>
      <c r="W166">
        <v>1370</v>
      </c>
      <c r="X166">
        <v>738</v>
      </c>
      <c r="Y166">
        <v>7</v>
      </c>
      <c r="Z166">
        <v>45</v>
      </c>
      <c r="AA166">
        <v>306</v>
      </c>
      <c r="AB166">
        <v>0</v>
      </c>
      <c r="AC166">
        <v>8</v>
      </c>
      <c r="AD166">
        <v>40</v>
      </c>
      <c r="AE166">
        <v>0</v>
      </c>
      <c r="AF166">
        <v>0</v>
      </c>
      <c r="AG166">
        <v>3</v>
      </c>
      <c r="AH166">
        <v>55</v>
      </c>
      <c r="AI166">
        <v>0</v>
      </c>
      <c r="AJ166">
        <v>0</v>
      </c>
      <c r="AK166">
        <v>2.2250100000000002</v>
      </c>
      <c r="AL166">
        <v>1</v>
      </c>
      <c r="AM166">
        <v>0</v>
      </c>
      <c r="AN166">
        <v>1337</v>
      </c>
      <c r="AO166">
        <v>4</v>
      </c>
      <c r="AP166">
        <v>0</v>
      </c>
      <c r="AQ166">
        <v>0</v>
      </c>
    </row>
    <row r="167" spans="1:43" x14ac:dyDescent="0.25">
      <c r="A167">
        <v>164</v>
      </c>
      <c r="B167">
        <v>3</v>
      </c>
      <c r="C167">
        <v>3</v>
      </c>
      <c r="D167">
        <v>1</v>
      </c>
      <c r="E167">
        <v>2076</v>
      </c>
      <c r="F167">
        <v>6377</v>
      </c>
      <c r="G167">
        <v>6411</v>
      </c>
      <c r="H167">
        <v>3751</v>
      </c>
      <c r="I167">
        <v>1515</v>
      </c>
      <c r="J167">
        <v>391</v>
      </c>
      <c r="K167">
        <v>386</v>
      </c>
      <c r="L167">
        <v>473</v>
      </c>
      <c r="M167">
        <v>552</v>
      </c>
      <c r="N167">
        <v>674</v>
      </c>
      <c r="O167">
        <v>183</v>
      </c>
      <c r="P167">
        <v>87.212395130000004</v>
      </c>
      <c r="Q167">
        <v>23.885995130000001</v>
      </c>
      <c r="R167">
        <v>0.23007796999999999</v>
      </c>
      <c r="S167">
        <v>4142</v>
      </c>
      <c r="T167">
        <v>235</v>
      </c>
      <c r="U167">
        <v>817</v>
      </c>
      <c r="V167">
        <v>2344</v>
      </c>
      <c r="W167">
        <v>2363</v>
      </c>
      <c r="X167">
        <v>1408</v>
      </c>
      <c r="Y167">
        <v>72</v>
      </c>
      <c r="Z167">
        <v>3559</v>
      </c>
      <c r="AA167">
        <v>418</v>
      </c>
      <c r="AB167">
        <v>1</v>
      </c>
      <c r="AC167">
        <v>36</v>
      </c>
      <c r="AD167">
        <v>56</v>
      </c>
      <c r="AE167">
        <v>0</v>
      </c>
      <c r="AF167">
        <v>0</v>
      </c>
      <c r="AG167">
        <v>3</v>
      </c>
      <c r="AH167">
        <v>0</v>
      </c>
      <c r="AI167">
        <v>0</v>
      </c>
      <c r="AJ167">
        <v>0</v>
      </c>
      <c r="AK167">
        <v>2.4238200000000001</v>
      </c>
      <c r="AL167">
        <v>1</v>
      </c>
      <c r="AM167">
        <v>0</v>
      </c>
      <c r="AN167">
        <v>2076</v>
      </c>
      <c r="AO167">
        <v>34</v>
      </c>
      <c r="AP167">
        <v>0</v>
      </c>
      <c r="AQ167">
        <v>0</v>
      </c>
    </row>
    <row r="168" spans="1:43" x14ac:dyDescent="0.25">
      <c r="A168">
        <v>165</v>
      </c>
      <c r="B168">
        <v>3</v>
      </c>
      <c r="C168">
        <v>3</v>
      </c>
      <c r="D168">
        <v>1</v>
      </c>
      <c r="E168">
        <v>2030</v>
      </c>
      <c r="F168">
        <v>5986</v>
      </c>
      <c r="G168">
        <v>5986</v>
      </c>
      <c r="H168">
        <v>3401</v>
      </c>
      <c r="I168">
        <v>1576</v>
      </c>
      <c r="J168">
        <v>299</v>
      </c>
      <c r="K168">
        <v>469</v>
      </c>
      <c r="L168">
        <v>523</v>
      </c>
      <c r="M168">
        <v>454</v>
      </c>
      <c r="N168">
        <v>583</v>
      </c>
      <c r="O168">
        <v>175</v>
      </c>
      <c r="P168">
        <v>76.111441200000002</v>
      </c>
      <c r="Q168">
        <v>46.397370219999999</v>
      </c>
      <c r="R168">
        <v>0.21983397599999999</v>
      </c>
      <c r="S168">
        <v>1141</v>
      </c>
      <c r="T168">
        <v>173</v>
      </c>
      <c r="U168">
        <v>917</v>
      </c>
      <c r="V168">
        <v>2008</v>
      </c>
      <c r="W168">
        <v>2086</v>
      </c>
      <c r="X168">
        <v>1177</v>
      </c>
      <c r="Y168">
        <v>154</v>
      </c>
      <c r="Z168">
        <v>96</v>
      </c>
      <c r="AA168">
        <v>811</v>
      </c>
      <c r="AB168">
        <v>0</v>
      </c>
      <c r="AC168">
        <v>11</v>
      </c>
      <c r="AD168">
        <v>69</v>
      </c>
      <c r="AE168">
        <v>0</v>
      </c>
      <c r="AF168">
        <v>28.257116790000001</v>
      </c>
      <c r="AG168">
        <v>3</v>
      </c>
      <c r="AH168">
        <v>1640</v>
      </c>
      <c r="AI168">
        <v>0</v>
      </c>
      <c r="AJ168">
        <v>0</v>
      </c>
      <c r="AK168">
        <v>2.5922999999999998</v>
      </c>
      <c r="AL168">
        <v>1</v>
      </c>
      <c r="AM168">
        <v>0</v>
      </c>
      <c r="AN168">
        <v>2030</v>
      </c>
      <c r="AO168">
        <v>0</v>
      </c>
      <c r="AP168">
        <v>0</v>
      </c>
      <c r="AQ168">
        <v>0</v>
      </c>
    </row>
    <row r="169" spans="1:43" x14ac:dyDescent="0.25">
      <c r="A169">
        <v>166</v>
      </c>
      <c r="B169">
        <v>3</v>
      </c>
      <c r="C169">
        <v>3</v>
      </c>
      <c r="D169">
        <v>1</v>
      </c>
      <c r="E169">
        <v>2754</v>
      </c>
      <c r="F169">
        <v>7604</v>
      </c>
      <c r="G169">
        <v>7640</v>
      </c>
      <c r="H169">
        <v>4433</v>
      </c>
      <c r="I169">
        <v>2029</v>
      </c>
      <c r="J169">
        <v>493</v>
      </c>
      <c r="K169">
        <v>752</v>
      </c>
      <c r="L169">
        <v>623</v>
      </c>
      <c r="M169">
        <v>569</v>
      </c>
      <c r="N169">
        <v>797</v>
      </c>
      <c r="O169">
        <v>205</v>
      </c>
      <c r="P169">
        <v>122.1208063</v>
      </c>
      <c r="Q169">
        <v>14.873180619999999</v>
      </c>
      <c r="R169">
        <v>0.23269546199999999</v>
      </c>
      <c r="S169">
        <v>1101</v>
      </c>
      <c r="T169">
        <v>282</v>
      </c>
      <c r="U169">
        <v>1062</v>
      </c>
      <c r="V169">
        <v>3335</v>
      </c>
      <c r="W169">
        <v>2499</v>
      </c>
      <c r="X169">
        <v>1480</v>
      </c>
      <c r="Y169">
        <v>25</v>
      </c>
      <c r="Z169">
        <v>114</v>
      </c>
      <c r="AA169">
        <v>807</v>
      </c>
      <c r="AB169">
        <v>1</v>
      </c>
      <c r="AC169">
        <v>31</v>
      </c>
      <c r="AD169">
        <v>123</v>
      </c>
      <c r="AE169">
        <v>0</v>
      </c>
      <c r="AF169">
        <v>7.911992701</v>
      </c>
      <c r="AG169">
        <v>3</v>
      </c>
      <c r="AH169">
        <v>555</v>
      </c>
      <c r="AI169">
        <v>0</v>
      </c>
      <c r="AJ169">
        <v>0</v>
      </c>
      <c r="AK169">
        <v>2.50074</v>
      </c>
      <c r="AL169">
        <v>1</v>
      </c>
      <c r="AM169">
        <v>0</v>
      </c>
      <c r="AN169">
        <v>2754</v>
      </c>
      <c r="AO169">
        <v>36</v>
      </c>
      <c r="AP169">
        <v>0</v>
      </c>
      <c r="AQ169">
        <v>0</v>
      </c>
    </row>
    <row r="170" spans="1:43" x14ac:dyDescent="0.25">
      <c r="A170">
        <v>167</v>
      </c>
      <c r="B170">
        <v>3</v>
      </c>
      <c r="C170">
        <v>3</v>
      </c>
      <c r="D170">
        <v>1</v>
      </c>
      <c r="E170">
        <v>1903</v>
      </c>
      <c r="F170">
        <v>6036</v>
      </c>
      <c r="G170">
        <v>6103</v>
      </c>
      <c r="H170">
        <v>3524</v>
      </c>
      <c r="I170">
        <v>1593</v>
      </c>
      <c r="J170">
        <v>271</v>
      </c>
      <c r="K170">
        <v>412</v>
      </c>
      <c r="L170">
        <v>449</v>
      </c>
      <c r="M170">
        <v>467</v>
      </c>
      <c r="N170">
        <v>603</v>
      </c>
      <c r="O170">
        <v>196</v>
      </c>
      <c r="P170">
        <v>104.3150042</v>
      </c>
      <c r="Q170">
        <v>16.297332340000001</v>
      </c>
      <c r="R170">
        <v>0.19856661</v>
      </c>
      <c r="S170">
        <v>636</v>
      </c>
      <c r="T170">
        <v>388</v>
      </c>
      <c r="U170">
        <v>1024</v>
      </c>
      <c r="V170">
        <v>2440</v>
      </c>
      <c r="W170">
        <v>1818</v>
      </c>
      <c r="X170">
        <v>1075</v>
      </c>
      <c r="Y170">
        <v>17</v>
      </c>
      <c r="Z170">
        <v>109</v>
      </c>
      <c r="AA170">
        <v>389</v>
      </c>
      <c r="AB170">
        <v>1</v>
      </c>
      <c r="AC170">
        <v>23</v>
      </c>
      <c r="AD170">
        <v>97</v>
      </c>
      <c r="AE170">
        <v>0</v>
      </c>
      <c r="AF170">
        <v>0</v>
      </c>
      <c r="AG170">
        <v>3</v>
      </c>
      <c r="AH170">
        <v>0</v>
      </c>
      <c r="AI170">
        <v>0</v>
      </c>
      <c r="AJ170">
        <v>0</v>
      </c>
      <c r="AK170">
        <v>1.99248</v>
      </c>
      <c r="AL170">
        <v>1</v>
      </c>
      <c r="AM170">
        <v>0</v>
      </c>
      <c r="AN170">
        <v>1903</v>
      </c>
      <c r="AO170">
        <v>67</v>
      </c>
      <c r="AP170">
        <v>0</v>
      </c>
      <c r="AQ170">
        <v>0</v>
      </c>
    </row>
    <row r="171" spans="1:43" x14ac:dyDescent="0.25">
      <c r="A171">
        <v>168</v>
      </c>
      <c r="B171">
        <v>4</v>
      </c>
      <c r="C171">
        <v>4</v>
      </c>
      <c r="D171">
        <v>1</v>
      </c>
      <c r="E171">
        <v>3369</v>
      </c>
      <c r="F171">
        <v>7872</v>
      </c>
      <c r="G171">
        <v>7913</v>
      </c>
      <c r="H171">
        <v>4786</v>
      </c>
      <c r="I171">
        <v>2394</v>
      </c>
      <c r="J171">
        <v>760</v>
      </c>
      <c r="K171">
        <v>669</v>
      </c>
      <c r="L171">
        <v>854</v>
      </c>
      <c r="M171">
        <v>923</v>
      </c>
      <c r="N171">
        <v>903</v>
      </c>
      <c r="O171">
        <v>272</v>
      </c>
      <c r="P171">
        <v>142.1034994</v>
      </c>
      <c r="Q171">
        <v>33.895710139999998</v>
      </c>
      <c r="R171">
        <v>0.28236554000000003</v>
      </c>
      <c r="S171">
        <v>882</v>
      </c>
      <c r="T171">
        <v>116</v>
      </c>
      <c r="U171">
        <v>852</v>
      </c>
      <c r="V171">
        <v>3057</v>
      </c>
      <c r="W171">
        <v>2160</v>
      </c>
      <c r="X171">
        <v>1800</v>
      </c>
      <c r="Y171">
        <v>90</v>
      </c>
      <c r="Z171">
        <v>159</v>
      </c>
      <c r="AA171">
        <v>483</v>
      </c>
      <c r="AB171">
        <v>0</v>
      </c>
      <c r="AC171">
        <v>33</v>
      </c>
      <c r="AD171">
        <v>117</v>
      </c>
      <c r="AE171">
        <v>0</v>
      </c>
      <c r="AF171">
        <v>0</v>
      </c>
      <c r="AG171">
        <v>3</v>
      </c>
      <c r="AH171">
        <v>0</v>
      </c>
      <c r="AI171">
        <v>0</v>
      </c>
      <c r="AJ171">
        <v>0</v>
      </c>
      <c r="AK171">
        <v>2.1510199999999999</v>
      </c>
      <c r="AL171">
        <v>1</v>
      </c>
      <c r="AM171">
        <v>0</v>
      </c>
      <c r="AN171">
        <v>3369</v>
      </c>
      <c r="AO171">
        <v>41</v>
      </c>
      <c r="AP171">
        <v>0</v>
      </c>
      <c r="AQ171">
        <v>0</v>
      </c>
    </row>
    <row r="172" spans="1:43" x14ac:dyDescent="0.25">
      <c r="A172">
        <v>169</v>
      </c>
      <c r="B172">
        <v>4</v>
      </c>
      <c r="C172">
        <v>4</v>
      </c>
      <c r="D172">
        <v>1</v>
      </c>
      <c r="E172">
        <v>2385</v>
      </c>
      <c r="F172">
        <v>6406</v>
      </c>
      <c r="G172">
        <v>6425</v>
      </c>
      <c r="H172">
        <v>3228</v>
      </c>
      <c r="I172">
        <v>2273</v>
      </c>
      <c r="J172">
        <v>78</v>
      </c>
      <c r="K172">
        <v>349</v>
      </c>
      <c r="L172">
        <v>551</v>
      </c>
      <c r="M172">
        <v>317</v>
      </c>
      <c r="N172">
        <v>1191</v>
      </c>
      <c r="O172">
        <v>457</v>
      </c>
      <c r="P172">
        <v>270.58680320000002</v>
      </c>
      <c r="Q172">
        <v>22.696892800000001</v>
      </c>
      <c r="R172">
        <v>0.28118361200000003</v>
      </c>
      <c r="S172">
        <v>1378</v>
      </c>
      <c r="T172">
        <v>152</v>
      </c>
      <c r="U172">
        <v>1201</v>
      </c>
      <c r="V172">
        <v>1488</v>
      </c>
      <c r="W172">
        <v>1867</v>
      </c>
      <c r="X172">
        <v>1542</v>
      </c>
      <c r="Y172">
        <v>43</v>
      </c>
      <c r="Z172">
        <v>323</v>
      </c>
      <c r="AA172">
        <v>791</v>
      </c>
      <c r="AB172">
        <v>2</v>
      </c>
      <c r="AC172">
        <v>75</v>
      </c>
      <c r="AD172">
        <v>144</v>
      </c>
      <c r="AE172">
        <v>0</v>
      </c>
      <c r="AF172">
        <v>36.734251829999998</v>
      </c>
      <c r="AG172">
        <v>3</v>
      </c>
      <c r="AH172">
        <v>0</v>
      </c>
      <c r="AI172">
        <v>0</v>
      </c>
      <c r="AJ172">
        <v>0</v>
      </c>
      <c r="AK172">
        <v>1.53746</v>
      </c>
      <c r="AL172">
        <v>1</v>
      </c>
      <c r="AM172">
        <v>0</v>
      </c>
      <c r="AN172">
        <v>2385</v>
      </c>
      <c r="AO172">
        <v>19</v>
      </c>
      <c r="AP172">
        <v>0</v>
      </c>
      <c r="AQ172">
        <v>0</v>
      </c>
    </row>
    <row r="173" spans="1:43" x14ac:dyDescent="0.25">
      <c r="A173">
        <v>170</v>
      </c>
      <c r="B173">
        <v>4</v>
      </c>
      <c r="C173">
        <v>4</v>
      </c>
      <c r="D173">
        <v>1</v>
      </c>
      <c r="E173">
        <v>2056</v>
      </c>
      <c r="F173">
        <v>5310</v>
      </c>
      <c r="G173">
        <v>5356</v>
      </c>
      <c r="H173">
        <v>2651</v>
      </c>
      <c r="I173">
        <v>1563</v>
      </c>
      <c r="J173">
        <v>418</v>
      </c>
      <c r="K173">
        <v>277</v>
      </c>
      <c r="L173">
        <v>330</v>
      </c>
      <c r="M173">
        <v>370</v>
      </c>
      <c r="N173">
        <v>1088</v>
      </c>
      <c r="O173">
        <v>305</v>
      </c>
      <c r="P173">
        <v>164.15404670000001</v>
      </c>
      <c r="Q173">
        <v>24.87090834</v>
      </c>
      <c r="R173">
        <v>0.25241239199999999</v>
      </c>
      <c r="S173">
        <v>2377</v>
      </c>
      <c r="T173">
        <v>189</v>
      </c>
      <c r="U173">
        <v>790</v>
      </c>
      <c r="V173">
        <v>1983</v>
      </c>
      <c r="W173">
        <v>1450</v>
      </c>
      <c r="X173">
        <v>1180</v>
      </c>
      <c r="Y173">
        <v>129</v>
      </c>
      <c r="Z173">
        <v>603</v>
      </c>
      <c r="AA173">
        <v>1338</v>
      </c>
      <c r="AB173">
        <v>3</v>
      </c>
      <c r="AC173">
        <v>118</v>
      </c>
      <c r="AD173">
        <v>186</v>
      </c>
      <c r="AE173">
        <v>0</v>
      </c>
      <c r="AF173">
        <v>26.561689779999998</v>
      </c>
      <c r="AG173">
        <v>3</v>
      </c>
      <c r="AH173">
        <v>0</v>
      </c>
      <c r="AI173">
        <v>0</v>
      </c>
      <c r="AJ173">
        <v>0</v>
      </c>
      <c r="AK173">
        <v>2.0841500000000002</v>
      </c>
      <c r="AL173">
        <v>1</v>
      </c>
      <c r="AM173">
        <v>0</v>
      </c>
      <c r="AN173">
        <v>2056</v>
      </c>
      <c r="AO173">
        <v>46</v>
      </c>
      <c r="AP173">
        <v>0</v>
      </c>
      <c r="AQ173">
        <v>0</v>
      </c>
    </row>
    <row r="174" spans="1:43" x14ac:dyDescent="0.25">
      <c r="A174">
        <v>171</v>
      </c>
      <c r="B174">
        <v>4</v>
      </c>
      <c r="C174">
        <v>4</v>
      </c>
      <c r="D174">
        <v>1</v>
      </c>
      <c r="E174">
        <v>964</v>
      </c>
      <c r="F174">
        <v>2418</v>
      </c>
      <c r="G174">
        <v>2431</v>
      </c>
      <c r="H174">
        <v>1282</v>
      </c>
      <c r="I174">
        <v>800</v>
      </c>
      <c r="J174">
        <v>67</v>
      </c>
      <c r="K174">
        <v>63</v>
      </c>
      <c r="L174">
        <v>96</v>
      </c>
      <c r="M174">
        <v>196</v>
      </c>
      <c r="N174">
        <v>601</v>
      </c>
      <c r="O174">
        <v>132</v>
      </c>
      <c r="P174">
        <v>74</v>
      </c>
      <c r="Q174">
        <v>5.1936936969999996</v>
      </c>
      <c r="R174">
        <v>0.25984571699999998</v>
      </c>
      <c r="S174">
        <v>485</v>
      </c>
      <c r="T174">
        <v>168</v>
      </c>
      <c r="U174">
        <v>254</v>
      </c>
      <c r="V174">
        <v>714</v>
      </c>
      <c r="W174">
        <v>691</v>
      </c>
      <c r="X174">
        <v>492</v>
      </c>
      <c r="Y174">
        <v>117</v>
      </c>
      <c r="Z174">
        <v>75</v>
      </c>
      <c r="AA174">
        <v>181</v>
      </c>
      <c r="AB174">
        <v>14</v>
      </c>
      <c r="AC174">
        <v>67</v>
      </c>
      <c r="AD174">
        <v>31</v>
      </c>
      <c r="AE174">
        <v>0</v>
      </c>
      <c r="AF174">
        <v>11.86798905</v>
      </c>
      <c r="AG174">
        <v>3</v>
      </c>
      <c r="AH174">
        <v>0</v>
      </c>
      <c r="AI174">
        <v>0</v>
      </c>
      <c r="AJ174">
        <v>0</v>
      </c>
      <c r="AK174">
        <v>1.7566999999999999</v>
      </c>
      <c r="AL174">
        <v>1</v>
      </c>
      <c r="AM174">
        <v>0</v>
      </c>
      <c r="AN174">
        <v>964</v>
      </c>
      <c r="AO174">
        <v>13</v>
      </c>
      <c r="AP174">
        <v>0</v>
      </c>
      <c r="AQ174">
        <v>0</v>
      </c>
    </row>
    <row r="175" spans="1:43" x14ac:dyDescent="0.25">
      <c r="A175">
        <v>172</v>
      </c>
      <c r="B175">
        <v>4</v>
      </c>
      <c r="C175">
        <v>4</v>
      </c>
      <c r="D175">
        <v>1</v>
      </c>
      <c r="E175">
        <v>2283</v>
      </c>
      <c r="F175">
        <v>5368</v>
      </c>
      <c r="G175">
        <v>5368</v>
      </c>
      <c r="H175">
        <v>2277</v>
      </c>
      <c r="I175">
        <v>1904</v>
      </c>
      <c r="J175">
        <v>245</v>
      </c>
      <c r="K175">
        <v>334</v>
      </c>
      <c r="L175">
        <v>457</v>
      </c>
      <c r="M175">
        <v>555</v>
      </c>
      <c r="N175">
        <v>933</v>
      </c>
      <c r="O175">
        <v>238</v>
      </c>
      <c r="P175">
        <v>142.9418987</v>
      </c>
      <c r="Q175">
        <v>14.353709970000001</v>
      </c>
      <c r="R175">
        <v>0.38194836999999998</v>
      </c>
      <c r="S175">
        <v>801</v>
      </c>
      <c r="T175">
        <v>106</v>
      </c>
      <c r="U175">
        <v>604</v>
      </c>
      <c r="V175">
        <v>1211</v>
      </c>
      <c r="W175">
        <v>1506</v>
      </c>
      <c r="X175">
        <v>1597</v>
      </c>
      <c r="Y175">
        <v>109</v>
      </c>
      <c r="Z175">
        <v>169</v>
      </c>
      <c r="AA175">
        <v>362</v>
      </c>
      <c r="AB175">
        <v>7</v>
      </c>
      <c r="AC175">
        <v>39</v>
      </c>
      <c r="AD175">
        <v>115</v>
      </c>
      <c r="AE175">
        <v>0</v>
      </c>
      <c r="AF175">
        <v>0</v>
      </c>
      <c r="AG175">
        <v>3</v>
      </c>
      <c r="AH175">
        <v>0</v>
      </c>
      <c r="AI175">
        <v>0</v>
      </c>
      <c r="AJ175">
        <v>0</v>
      </c>
      <c r="AK175">
        <v>1.7716000000000001</v>
      </c>
      <c r="AL175">
        <v>1</v>
      </c>
      <c r="AM175">
        <v>0</v>
      </c>
      <c r="AN175">
        <v>2283</v>
      </c>
      <c r="AO175">
        <v>0</v>
      </c>
      <c r="AP175">
        <v>0</v>
      </c>
      <c r="AQ175">
        <v>0</v>
      </c>
    </row>
    <row r="176" spans="1:43" x14ac:dyDescent="0.25">
      <c r="A176">
        <v>173</v>
      </c>
      <c r="B176">
        <v>4</v>
      </c>
      <c r="C176">
        <v>4</v>
      </c>
      <c r="D176">
        <v>1</v>
      </c>
      <c r="E176">
        <v>1392</v>
      </c>
      <c r="F176">
        <v>3400</v>
      </c>
      <c r="G176">
        <v>3400</v>
      </c>
      <c r="H176">
        <v>1924</v>
      </c>
      <c r="I176">
        <v>1177</v>
      </c>
      <c r="J176">
        <v>151</v>
      </c>
      <c r="K176">
        <v>185</v>
      </c>
      <c r="L176">
        <v>226</v>
      </c>
      <c r="M176">
        <v>243</v>
      </c>
      <c r="N176">
        <v>721</v>
      </c>
      <c r="O176">
        <v>147</v>
      </c>
      <c r="P176">
        <v>91</v>
      </c>
      <c r="Q176">
        <v>1.2570847839999999</v>
      </c>
      <c r="R176">
        <v>0.25885853399999997</v>
      </c>
      <c r="S176">
        <v>377</v>
      </c>
      <c r="T176">
        <v>155</v>
      </c>
      <c r="U176">
        <v>442</v>
      </c>
      <c r="V176">
        <v>1269</v>
      </c>
      <c r="W176">
        <v>887</v>
      </c>
      <c r="X176">
        <v>763</v>
      </c>
      <c r="Y176">
        <v>56</v>
      </c>
      <c r="Z176">
        <v>152</v>
      </c>
      <c r="AA176">
        <v>108</v>
      </c>
      <c r="AB176">
        <v>1</v>
      </c>
      <c r="AC176">
        <v>18</v>
      </c>
      <c r="AD176">
        <v>42</v>
      </c>
      <c r="AE176">
        <v>0</v>
      </c>
      <c r="AF176">
        <v>0</v>
      </c>
      <c r="AG176">
        <v>3</v>
      </c>
      <c r="AH176">
        <v>0</v>
      </c>
      <c r="AI176">
        <v>0</v>
      </c>
      <c r="AJ176">
        <v>0</v>
      </c>
      <c r="AK176">
        <v>1.7705299999999999</v>
      </c>
      <c r="AL176">
        <v>1</v>
      </c>
      <c r="AM176">
        <v>0</v>
      </c>
      <c r="AN176">
        <v>1392</v>
      </c>
      <c r="AO176">
        <v>0</v>
      </c>
      <c r="AP176">
        <v>0</v>
      </c>
      <c r="AQ176">
        <v>0</v>
      </c>
    </row>
    <row r="177" spans="1:43" x14ac:dyDescent="0.25">
      <c r="A177">
        <v>174</v>
      </c>
      <c r="B177">
        <v>4</v>
      </c>
      <c r="C177">
        <v>4</v>
      </c>
      <c r="D177">
        <v>1</v>
      </c>
      <c r="E177">
        <v>2507</v>
      </c>
      <c r="F177">
        <v>5652</v>
      </c>
      <c r="G177">
        <v>5666</v>
      </c>
      <c r="H177">
        <v>3026</v>
      </c>
      <c r="I177">
        <v>1404</v>
      </c>
      <c r="J177">
        <v>1078</v>
      </c>
      <c r="K177">
        <v>544</v>
      </c>
      <c r="L177">
        <v>349</v>
      </c>
      <c r="M177">
        <v>400</v>
      </c>
      <c r="N177">
        <v>1223</v>
      </c>
      <c r="O177">
        <v>182</v>
      </c>
      <c r="P177">
        <v>113.65386410000001</v>
      </c>
      <c r="Q177">
        <v>3.0846779739999999</v>
      </c>
      <c r="R177">
        <v>0.20606950600000001</v>
      </c>
      <c r="S177">
        <v>544</v>
      </c>
      <c r="T177">
        <v>287</v>
      </c>
      <c r="U177">
        <v>531</v>
      </c>
      <c r="V177">
        <v>2236</v>
      </c>
      <c r="W177">
        <v>1618</v>
      </c>
      <c r="X177">
        <v>1123</v>
      </c>
      <c r="Y177">
        <v>10</v>
      </c>
      <c r="Z177">
        <v>136</v>
      </c>
      <c r="AA177">
        <v>281</v>
      </c>
      <c r="AB177">
        <v>1</v>
      </c>
      <c r="AC177">
        <v>26</v>
      </c>
      <c r="AD177">
        <v>90</v>
      </c>
      <c r="AE177">
        <v>0</v>
      </c>
      <c r="AF177">
        <v>0</v>
      </c>
      <c r="AG177">
        <v>3</v>
      </c>
      <c r="AH177">
        <v>0</v>
      </c>
      <c r="AI177">
        <v>0</v>
      </c>
      <c r="AJ177">
        <v>0</v>
      </c>
      <c r="AK177">
        <v>1.8611500000000001</v>
      </c>
      <c r="AL177">
        <v>1</v>
      </c>
      <c r="AM177">
        <v>0</v>
      </c>
      <c r="AN177">
        <v>2507</v>
      </c>
      <c r="AO177">
        <v>14</v>
      </c>
      <c r="AP177">
        <v>0</v>
      </c>
      <c r="AQ177">
        <v>0</v>
      </c>
    </row>
    <row r="178" spans="1:43" x14ac:dyDescent="0.25">
      <c r="A178">
        <v>175</v>
      </c>
      <c r="B178">
        <v>4</v>
      </c>
      <c r="C178">
        <v>4</v>
      </c>
      <c r="D178">
        <v>1</v>
      </c>
      <c r="E178">
        <v>2027</v>
      </c>
      <c r="F178">
        <v>4057</v>
      </c>
      <c r="G178">
        <v>4069</v>
      </c>
      <c r="H178">
        <v>2508</v>
      </c>
      <c r="I178">
        <v>268</v>
      </c>
      <c r="J178">
        <v>1895</v>
      </c>
      <c r="K178">
        <v>242</v>
      </c>
      <c r="L178">
        <v>460</v>
      </c>
      <c r="M178">
        <v>465</v>
      </c>
      <c r="N178">
        <v>854</v>
      </c>
      <c r="O178">
        <v>86</v>
      </c>
      <c r="P178">
        <v>47.159891680000001</v>
      </c>
      <c r="Q178">
        <v>13.162279440000001</v>
      </c>
      <c r="R178">
        <v>0.15609408399999999</v>
      </c>
      <c r="S178">
        <v>1530</v>
      </c>
      <c r="T178">
        <v>195</v>
      </c>
      <c r="U178">
        <v>370</v>
      </c>
      <c r="V178">
        <v>1947</v>
      </c>
      <c r="W178">
        <v>911</v>
      </c>
      <c r="X178">
        <v>560</v>
      </c>
      <c r="Y178">
        <v>113</v>
      </c>
      <c r="Z178">
        <v>244</v>
      </c>
      <c r="AA178">
        <v>1035</v>
      </c>
      <c r="AB178">
        <v>1</v>
      </c>
      <c r="AC178">
        <v>50</v>
      </c>
      <c r="AD178">
        <v>87</v>
      </c>
      <c r="AE178">
        <v>0</v>
      </c>
      <c r="AF178">
        <v>98.334766430000002</v>
      </c>
      <c r="AG178">
        <v>2</v>
      </c>
      <c r="AH178">
        <v>0</v>
      </c>
      <c r="AI178">
        <v>0</v>
      </c>
      <c r="AJ178">
        <v>0</v>
      </c>
      <c r="AK178">
        <v>3.5395500000000002</v>
      </c>
      <c r="AL178">
        <v>1</v>
      </c>
      <c r="AM178">
        <v>0</v>
      </c>
      <c r="AN178">
        <v>2027</v>
      </c>
      <c r="AO178">
        <v>12</v>
      </c>
      <c r="AP178">
        <v>0</v>
      </c>
      <c r="AQ178">
        <v>0</v>
      </c>
    </row>
    <row r="179" spans="1:43" x14ac:dyDescent="0.25">
      <c r="A179">
        <v>176</v>
      </c>
      <c r="B179">
        <v>4</v>
      </c>
      <c r="C179">
        <v>4</v>
      </c>
      <c r="D179">
        <v>1</v>
      </c>
      <c r="E179">
        <v>2078</v>
      </c>
      <c r="F179">
        <v>3987</v>
      </c>
      <c r="G179">
        <v>4048</v>
      </c>
      <c r="H179">
        <v>2343</v>
      </c>
      <c r="I179">
        <v>359</v>
      </c>
      <c r="J179">
        <v>1509</v>
      </c>
      <c r="K179">
        <v>533</v>
      </c>
      <c r="L179">
        <v>370</v>
      </c>
      <c r="M179">
        <v>483</v>
      </c>
      <c r="N179">
        <v>677</v>
      </c>
      <c r="O179">
        <v>91</v>
      </c>
      <c r="P179">
        <v>48.268906620000003</v>
      </c>
      <c r="Q179">
        <v>8.3466836250000007</v>
      </c>
      <c r="R179">
        <v>0.24812394099999999</v>
      </c>
      <c r="S179">
        <v>744</v>
      </c>
      <c r="T179">
        <v>227</v>
      </c>
      <c r="U179">
        <v>479</v>
      </c>
      <c r="V179">
        <v>1580</v>
      </c>
      <c r="W179">
        <v>760</v>
      </c>
      <c r="X179">
        <v>859</v>
      </c>
      <c r="Y179">
        <v>72</v>
      </c>
      <c r="Z179">
        <v>170</v>
      </c>
      <c r="AA179">
        <v>399</v>
      </c>
      <c r="AB179">
        <v>1</v>
      </c>
      <c r="AC179">
        <v>37</v>
      </c>
      <c r="AD179">
        <v>65</v>
      </c>
      <c r="AE179">
        <v>0</v>
      </c>
      <c r="AF179">
        <v>98.334766430000002</v>
      </c>
      <c r="AG179">
        <v>2</v>
      </c>
      <c r="AH179">
        <v>0</v>
      </c>
      <c r="AI179">
        <v>0</v>
      </c>
      <c r="AJ179">
        <v>0</v>
      </c>
      <c r="AK179">
        <v>2.8251200000000001</v>
      </c>
      <c r="AL179">
        <v>1</v>
      </c>
      <c r="AM179">
        <v>0</v>
      </c>
      <c r="AN179">
        <v>2078</v>
      </c>
      <c r="AO179">
        <v>61</v>
      </c>
      <c r="AP179">
        <v>0</v>
      </c>
      <c r="AQ179">
        <v>0</v>
      </c>
    </row>
    <row r="180" spans="1:43" x14ac:dyDescent="0.25">
      <c r="A180">
        <v>177</v>
      </c>
      <c r="B180">
        <v>4</v>
      </c>
      <c r="C180">
        <v>4</v>
      </c>
      <c r="D180">
        <v>1</v>
      </c>
      <c r="E180">
        <v>3392</v>
      </c>
      <c r="F180">
        <v>8471</v>
      </c>
      <c r="G180">
        <v>8611</v>
      </c>
      <c r="H180">
        <v>4689</v>
      </c>
      <c r="I180">
        <v>1376</v>
      </c>
      <c r="J180">
        <v>1860</v>
      </c>
      <c r="K180">
        <v>587</v>
      </c>
      <c r="L180">
        <v>665</v>
      </c>
      <c r="M180">
        <v>770</v>
      </c>
      <c r="N180">
        <v>1371</v>
      </c>
      <c r="O180">
        <v>220</v>
      </c>
      <c r="P180">
        <v>133.53943580000001</v>
      </c>
      <c r="Q180">
        <v>18.537682539999999</v>
      </c>
      <c r="R180">
        <v>0.21114591199999999</v>
      </c>
      <c r="S180">
        <v>1627</v>
      </c>
      <c r="T180">
        <v>296</v>
      </c>
      <c r="U180">
        <v>988</v>
      </c>
      <c r="V180">
        <v>3786</v>
      </c>
      <c r="W180">
        <v>2233</v>
      </c>
      <c r="X180">
        <v>1476</v>
      </c>
      <c r="Y180">
        <v>192</v>
      </c>
      <c r="Z180">
        <v>376</v>
      </c>
      <c r="AA180">
        <v>871</v>
      </c>
      <c r="AB180">
        <v>2</v>
      </c>
      <c r="AC180">
        <v>86</v>
      </c>
      <c r="AD180">
        <v>100</v>
      </c>
      <c r="AE180">
        <v>0</v>
      </c>
      <c r="AF180">
        <v>54.253664239999999</v>
      </c>
      <c r="AG180">
        <v>3</v>
      </c>
      <c r="AH180">
        <v>0</v>
      </c>
      <c r="AI180">
        <v>0</v>
      </c>
      <c r="AJ180">
        <v>0</v>
      </c>
      <c r="AK180">
        <v>2.6940300000000001</v>
      </c>
      <c r="AL180">
        <v>1</v>
      </c>
      <c r="AM180">
        <v>0</v>
      </c>
      <c r="AN180">
        <v>3392</v>
      </c>
      <c r="AO180">
        <v>140</v>
      </c>
      <c r="AP180">
        <v>0</v>
      </c>
      <c r="AQ180">
        <v>0</v>
      </c>
    </row>
    <row r="181" spans="1:43" x14ac:dyDescent="0.25">
      <c r="A181">
        <v>178</v>
      </c>
      <c r="B181">
        <v>4</v>
      </c>
      <c r="C181">
        <v>4</v>
      </c>
      <c r="D181">
        <v>1</v>
      </c>
      <c r="E181">
        <v>2508</v>
      </c>
      <c r="F181">
        <v>6308</v>
      </c>
      <c r="G181">
        <v>6325</v>
      </c>
      <c r="H181">
        <v>3367</v>
      </c>
      <c r="I181">
        <v>1642</v>
      </c>
      <c r="J181">
        <v>773</v>
      </c>
      <c r="K181">
        <v>564</v>
      </c>
      <c r="L181">
        <v>498</v>
      </c>
      <c r="M181">
        <v>466</v>
      </c>
      <c r="N181">
        <v>988</v>
      </c>
      <c r="O181">
        <v>206</v>
      </c>
      <c r="P181">
        <v>121</v>
      </c>
      <c r="Q181">
        <v>7.4046451839999996</v>
      </c>
      <c r="R181">
        <v>0.27600059500000002</v>
      </c>
      <c r="S181">
        <v>818</v>
      </c>
      <c r="T181">
        <v>333</v>
      </c>
      <c r="U181">
        <v>631</v>
      </c>
      <c r="V181">
        <v>2114</v>
      </c>
      <c r="W181">
        <v>1761</v>
      </c>
      <c r="X181">
        <v>1486</v>
      </c>
      <c r="Y181">
        <v>25</v>
      </c>
      <c r="Z181">
        <v>239</v>
      </c>
      <c r="AA181">
        <v>439</v>
      </c>
      <c r="AB181">
        <v>2</v>
      </c>
      <c r="AC181">
        <v>35</v>
      </c>
      <c r="AD181">
        <v>78</v>
      </c>
      <c r="AE181">
        <v>0</v>
      </c>
      <c r="AF181">
        <v>0</v>
      </c>
      <c r="AG181">
        <v>3</v>
      </c>
      <c r="AH181">
        <v>0</v>
      </c>
      <c r="AI181">
        <v>0</v>
      </c>
      <c r="AJ181">
        <v>0</v>
      </c>
      <c r="AK181">
        <v>2.0342600000000002</v>
      </c>
      <c r="AL181">
        <v>1</v>
      </c>
      <c r="AM181">
        <v>0</v>
      </c>
      <c r="AN181">
        <v>2508</v>
      </c>
      <c r="AO181">
        <v>17</v>
      </c>
      <c r="AP181">
        <v>0</v>
      </c>
      <c r="AQ181">
        <v>0</v>
      </c>
    </row>
    <row r="182" spans="1:43" x14ac:dyDescent="0.25">
      <c r="A182">
        <v>179</v>
      </c>
      <c r="B182">
        <v>4</v>
      </c>
      <c r="C182">
        <v>4</v>
      </c>
      <c r="D182">
        <v>1</v>
      </c>
      <c r="E182">
        <v>2952</v>
      </c>
      <c r="F182">
        <v>8172</v>
      </c>
      <c r="G182">
        <v>8180</v>
      </c>
      <c r="H182">
        <v>4103</v>
      </c>
      <c r="I182">
        <v>1952</v>
      </c>
      <c r="J182">
        <v>808</v>
      </c>
      <c r="K182">
        <v>516</v>
      </c>
      <c r="L182">
        <v>773</v>
      </c>
      <c r="M182">
        <v>526</v>
      </c>
      <c r="N182">
        <v>1139</v>
      </c>
      <c r="O182">
        <v>230</v>
      </c>
      <c r="P182">
        <v>134</v>
      </c>
      <c r="Q182">
        <v>11.269459919999999</v>
      </c>
      <c r="R182">
        <v>0.216729589</v>
      </c>
      <c r="S182">
        <v>831</v>
      </c>
      <c r="T182">
        <v>327</v>
      </c>
      <c r="U182">
        <v>1187</v>
      </c>
      <c r="V182">
        <v>2935</v>
      </c>
      <c r="W182">
        <v>2095</v>
      </c>
      <c r="X182">
        <v>1467</v>
      </c>
      <c r="Y182">
        <v>15</v>
      </c>
      <c r="Z182">
        <v>168</v>
      </c>
      <c r="AA182">
        <v>511</v>
      </c>
      <c r="AB182">
        <v>2</v>
      </c>
      <c r="AC182">
        <v>46</v>
      </c>
      <c r="AD182">
        <v>89</v>
      </c>
      <c r="AE182">
        <v>0</v>
      </c>
      <c r="AF182">
        <v>0</v>
      </c>
      <c r="AG182">
        <v>3</v>
      </c>
      <c r="AH182">
        <v>0</v>
      </c>
      <c r="AI182">
        <v>0</v>
      </c>
      <c r="AJ182">
        <v>0</v>
      </c>
      <c r="AK182">
        <v>2.1207099999999999</v>
      </c>
      <c r="AL182">
        <v>1</v>
      </c>
      <c r="AM182">
        <v>0</v>
      </c>
      <c r="AN182">
        <v>2952</v>
      </c>
      <c r="AO182">
        <v>8</v>
      </c>
      <c r="AP182">
        <v>0</v>
      </c>
      <c r="AQ182">
        <v>0</v>
      </c>
    </row>
    <row r="183" spans="1:43" x14ac:dyDescent="0.25">
      <c r="A183">
        <v>180</v>
      </c>
      <c r="B183">
        <v>4</v>
      </c>
      <c r="C183">
        <v>4</v>
      </c>
      <c r="D183">
        <v>1</v>
      </c>
      <c r="E183">
        <v>1834</v>
      </c>
      <c r="F183">
        <v>4571</v>
      </c>
      <c r="G183">
        <v>4576</v>
      </c>
      <c r="H183">
        <v>2709</v>
      </c>
      <c r="I183">
        <v>669</v>
      </c>
      <c r="J183">
        <v>1029</v>
      </c>
      <c r="K183">
        <v>506</v>
      </c>
      <c r="L183">
        <v>466</v>
      </c>
      <c r="M183">
        <v>395</v>
      </c>
      <c r="N183">
        <v>476</v>
      </c>
      <c r="O183">
        <v>93</v>
      </c>
      <c r="P183">
        <v>55</v>
      </c>
      <c r="Q183">
        <v>4.9299690150000002</v>
      </c>
      <c r="R183">
        <v>0.211152112</v>
      </c>
      <c r="S183">
        <v>649</v>
      </c>
      <c r="T183">
        <v>215</v>
      </c>
      <c r="U183">
        <v>578</v>
      </c>
      <c r="V183">
        <v>2009</v>
      </c>
      <c r="W183">
        <v>1086</v>
      </c>
      <c r="X183">
        <v>698</v>
      </c>
      <c r="Y183">
        <v>60</v>
      </c>
      <c r="Z183">
        <v>89</v>
      </c>
      <c r="AA183">
        <v>404</v>
      </c>
      <c r="AB183">
        <v>1</v>
      </c>
      <c r="AC183">
        <v>31</v>
      </c>
      <c r="AD183">
        <v>64</v>
      </c>
      <c r="AE183">
        <v>0</v>
      </c>
      <c r="AF183">
        <v>0</v>
      </c>
      <c r="AG183">
        <v>3</v>
      </c>
      <c r="AH183">
        <v>0</v>
      </c>
      <c r="AI183">
        <v>0</v>
      </c>
      <c r="AJ183">
        <v>0</v>
      </c>
      <c r="AK183">
        <v>2.56569</v>
      </c>
      <c r="AL183">
        <v>1</v>
      </c>
      <c r="AM183">
        <v>0</v>
      </c>
      <c r="AN183">
        <v>1834</v>
      </c>
      <c r="AO183">
        <v>5</v>
      </c>
      <c r="AP183">
        <v>0</v>
      </c>
      <c r="AQ183">
        <v>0</v>
      </c>
    </row>
    <row r="184" spans="1:43" x14ac:dyDescent="0.25">
      <c r="A184">
        <v>181</v>
      </c>
      <c r="B184">
        <v>4</v>
      </c>
      <c r="C184">
        <v>4</v>
      </c>
      <c r="D184">
        <v>1</v>
      </c>
      <c r="E184">
        <v>1903</v>
      </c>
      <c r="F184">
        <v>4888</v>
      </c>
      <c r="G184">
        <v>4888</v>
      </c>
      <c r="H184">
        <v>2734</v>
      </c>
      <c r="I184">
        <v>1350</v>
      </c>
      <c r="J184">
        <v>417</v>
      </c>
      <c r="K184">
        <v>380</v>
      </c>
      <c r="L184">
        <v>371</v>
      </c>
      <c r="M184">
        <v>497</v>
      </c>
      <c r="N184">
        <v>663</v>
      </c>
      <c r="O184">
        <v>205</v>
      </c>
      <c r="P184">
        <v>90.216378359999993</v>
      </c>
      <c r="Q184">
        <v>3.6775559439999999</v>
      </c>
      <c r="R184">
        <v>0.27012252599999997</v>
      </c>
      <c r="S184">
        <v>881</v>
      </c>
      <c r="T184">
        <v>277</v>
      </c>
      <c r="U184">
        <v>500</v>
      </c>
      <c r="V184">
        <v>1684</v>
      </c>
      <c r="W184">
        <v>1400</v>
      </c>
      <c r="X184">
        <v>1164</v>
      </c>
      <c r="Y184">
        <v>64</v>
      </c>
      <c r="Z184">
        <v>114</v>
      </c>
      <c r="AA184">
        <v>524</v>
      </c>
      <c r="AB184">
        <v>10</v>
      </c>
      <c r="AC184">
        <v>62</v>
      </c>
      <c r="AD184">
        <v>107</v>
      </c>
      <c r="AE184">
        <v>0</v>
      </c>
      <c r="AF184">
        <v>0</v>
      </c>
      <c r="AG184">
        <v>3</v>
      </c>
      <c r="AH184">
        <v>0</v>
      </c>
      <c r="AI184">
        <v>0</v>
      </c>
      <c r="AJ184">
        <v>0</v>
      </c>
      <c r="AK184">
        <v>2.1823899999999998</v>
      </c>
      <c r="AL184">
        <v>1</v>
      </c>
      <c r="AM184">
        <v>0</v>
      </c>
      <c r="AN184">
        <v>1903</v>
      </c>
      <c r="AO184">
        <v>0</v>
      </c>
      <c r="AP184">
        <v>0</v>
      </c>
      <c r="AQ184">
        <v>0</v>
      </c>
    </row>
    <row r="185" spans="1:43" x14ac:dyDescent="0.25">
      <c r="A185">
        <v>182</v>
      </c>
      <c r="B185">
        <v>4</v>
      </c>
      <c r="C185">
        <v>4</v>
      </c>
      <c r="D185">
        <v>1</v>
      </c>
      <c r="E185">
        <v>2517</v>
      </c>
      <c r="F185">
        <v>6894</v>
      </c>
      <c r="G185">
        <v>6914</v>
      </c>
      <c r="H185">
        <v>3282</v>
      </c>
      <c r="I185">
        <v>1959</v>
      </c>
      <c r="J185">
        <v>305</v>
      </c>
      <c r="K185">
        <v>473</v>
      </c>
      <c r="L185">
        <v>396</v>
      </c>
      <c r="M185">
        <v>619</v>
      </c>
      <c r="N185">
        <v>1030</v>
      </c>
      <c r="O185">
        <v>234</v>
      </c>
      <c r="P185">
        <v>118</v>
      </c>
      <c r="Q185">
        <v>3.1763013830000002</v>
      </c>
      <c r="R185">
        <v>0.20158794199999999</v>
      </c>
      <c r="S185">
        <v>650</v>
      </c>
      <c r="T185">
        <v>381</v>
      </c>
      <c r="U185">
        <v>1123</v>
      </c>
      <c r="V185">
        <v>2564</v>
      </c>
      <c r="W185">
        <v>1694</v>
      </c>
      <c r="X185">
        <v>1277</v>
      </c>
      <c r="Y185">
        <v>36</v>
      </c>
      <c r="Z185">
        <v>87</v>
      </c>
      <c r="AA185">
        <v>388</v>
      </c>
      <c r="AB185">
        <v>1</v>
      </c>
      <c r="AC185">
        <v>25</v>
      </c>
      <c r="AD185">
        <v>113</v>
      </c>
      <c r="AE185">
        <v>0</v>
      </c>
      <c r="AF185">
        <v>0</v>
      </c>
      <c r="AG185">
        <v>3</v>
      </c>
      <c r="AH185">
        <v>0</v>
      </c>
      <c r="AI185">
        <v>0</v>
      </c>
      <c r="AJ185">
        <v>0</v>
      </c>
      <c r="AK185">
        <v>2.0365799999999998</v>
      </c>
      <c r="AL185">
        <v>2</v>
      </c>
      <c r="AM185">
        <v>0</v>
      </c>
      <c r="AN185">
        <v>2517</v>
      </c>
      <c r="AO185">
        <v>20</v>
      </c>
      <c r="AP185">
        <v>0</v>
      </c>
      <c r="AQ185">
        <v>0</v>
      </c>
    </row>
    <row r="186" spans="1:43" x14ac:dyDescent="0.25">
      <c r="A186">
        <v>183</v>
      </c>
      <c r="B186">
        <v>4</v>
      </c>
      <c r="C186">
        <v>4</v>
      </c>
      <c r="D186">
        <v>1</v>
      </c>
      <c r="E186">
        <v>2669</v>
      </c>
      <c r="F186">
        <v>7069</v>
      </c>
      <c r="G186">
        <v>7095</v>
      </c>
      <c r="H186">
        <v>3690</v>
      </c>
      <c r="I186">
        <v>2145</v>
      </c>
      <c r="J186">
        <v>475</v>
      </c>
      <c r="K186">
        <v>674</v>
      </c>
      <c r="L186">
        <v>337</v>
      </c>
      <c r="M186">
        <v>671</v>
      </c>
      <c r="N186">
        <v>998</v>
      </c>
      <c r="O186">
        <v>284</v>
      </c>
      <c r="P186">
        <v>130</v>
      </c>
      <c r="Q186">
        <v>19.53795105</v>
      </c>
      <c r="R186">
        <v>0.23655162800000001</v>
      </c>
      <c r="S186">
        <v>1460</v>
      </c>
      <c r="T186">
        <v>455</v>
      </c>
      <c r="U186">
        <v>820</v>
      </c>
      <c r="V186">
        <v>2306</v>
      </c>
      <c r="W186">
        <v>1692</v>
      </c>
      <c r="X186">
        <v>1516</v>
      </c>
      <c r="Y186">
        <v>101</v>
      </c>
      <c r="Z186">
        <v>134</v>
      </c>
      <c r="AA186">
        <v>1108</v>
      </c>
      <c r="AB186">
        <v>1</v>
      </c>
      <c r="AC186">
        <v>39</v>
      </c>
      <c r="AD186">
        <v>77</v>
      </c>
      <c r="AE186">
        <v>0</v>
      </c>
      <c r="AF186">
        <v>0</v>
      </c>
      <c r="AG186">
        <v>3</v>
      </c>
      <c r="AH186">
        <v>1600</v>
      </c>
      <c r="AI186">
        <v>0</v>
      </c>
      <c r="AJ186">
        <v>0</v>
      </c>
      <c r="AK186">
        <v>1.98129</v>
      </c>
      <c r="AL186">
        <v>1</v>
      </c>
      <c r="AM186">
        <v>0</v>
      </c>
      <c r="AN186">
        <v>2669</v>
      </c>
      <c r="AO186">
        <v>26</v>
      </c>
      <c r="AP186">
        <v>0</v>
      </c>
      <c r="AQ186">
        <v>0</v>
      </c>
    </row>
    <row r="187" spans="1:43" x14ac:dyDescent="0.25">
      <c r="A187">
        <v>184</v>
      </c>
      <c r="B187">
        <v>4</v>
      </c>
      <c r="C187">
        <v>4</v>
      </c>
      <c r="D187">
        <v>1</v>
      </c>
      <c r="E187">
        <v>3054</v>
      </c>
      <c r="F187">
        <v>8169</v>
      </c>
      <c r="G187">
        <v>8178</v>
      </c>
      <c r="H187">
        <v>4184</v>
      </c>
      <c r="I187">
        <v>2712</v>
      </c>
      <c r="J187">
        <v>201</v>
      </c>
      <c r="K187">
        <v>551</v>
      </c>
      <c r="L187">
        <v>675</v>
      </c>
      <c r="M187">
        <v>725</v>
      </c>
      <c r="N187">
        <v>1138</v>
      </c>
      <c r="O187">
        <v>287</v>
      </c>
      <c r="P187">
        <v>178</v>
      </c>
      <c r="Q187">
        <v>8.5417304640000005</v>
      </c>
      <c r="R187">
        <v>0.28302307399999999</v>
      </c>
      <c r="S187">
        <v>1184</v>
      </c>
      <c r="T187">
        <v>530</v>
      </c>
      <c r="U187">
        <v>1020</v>
      </c>
      <c r="V187">
        <v>2425</v>
      </c>
      <c r="W187">
        <v>2499</v>
      </c>
      <c r="X187">
        <v>2040</v>
      </c>
      <c r="Y187">
        <v>115</v>
      </c>
      <c r="Z187">
        <v>286</v>
      </c>
      <c r="AA187">
        <v>606</v>
      </c>
      <c r="AB187">
        <v>2</v>
      </c>
      <c r="AC187">
        <v>49</v>
      </c>
      <c r="AD187">
        <v>126</v>
      </c>
      <c r="AE187">
        <v>0</v>
      </c>
      <c r="AF187">
        <v>8.477135037</v>
      </c>
      <c r="AG187">
        <v>3</v>
      </c>
      <c r="AH187">
        <v>0</v>
      </c>
      <c r="AI187">
        <v>0</v>
      </c>
      <c r="AJ187">
        <v>0</v>
      </c>
      <c r="AK187">
        <v>2.1110699999999998</v>
      </c>
      <c r="AL187">
        <v>1</v>
      </c>
      <c r="AM187">
        <v>0</v>
      </c>
      <c r="AN187">
        <v>3054</v>
      </c>
      <c r="AO187">
        <v>9</v>
      </c>
      <c r="AP187">
        <v>0</v>
      </c>
      <c r="AQ187">
        <v>0</v>
      </c>
    </row>
    <row r="188" spans="1:43" x14ac:dyDescent="0.25">
      <c r="A188">
        <v>185</v>
      </c>
      <c r="B188">
        <v>4</v>
      </c>
      <c r="C188">
        <v>4</v>
      </c>
      <c r="D188">
        <v>1</v>
      </c>
      <c r="E188">
        <v>2909</v>
      </c>
      <c r="F188">
        <v>7440</v>
      </c>
      <c r="G188">
        <v>7447</v>
      </c>
      <c r="H188">
        <v>3989</v>
      </c>
      <c r="I188">
        <v>2095</v>
      </c>
      <c r="J188">
        <v>636</v>
      </c>
      <c r="K188">
        <v>658</v>
      </c>
      <c r="L188">
        <v>658</v>
      </c>
      <c r="M188">
        <v>607</v>
      </c>
      <c r="N188">
        <v>996</v>
      </c>
      <c r="O188">
        <v>309</v>
      </c>
      <c r="P188">
        <v>145</v>
      </c>
      <c r="Q188">
        <v>44.451417800000002</v>
      </c>
      <c r="R188">
        <v>0.31080265499999998</v>
      </c>
      <c r="S188">
        <v>2019</v>
      </c>
      <c r="T188">
        <v>327</v>
      </c>
      <c r="U188">
        <v>742</v>
      </c>
      <c r="V188">
        <v>2585</v>
      </c>
      <c r="W188">
        <v>2027</v>
      </c>
      <c r="X188">
        <v>2123</v>
      </c>
      <c r="Y188">
        <v>77</v>
      </c>
      <c r="Z188">
        <v>384</v>
      </c>
      <c r="AA188">
        <v>1357</v>
      </c>
      <c r="AB188">
        <v>2</v>
      </c>
      <c r="AC188">
        <v>76</v>
      </c>
      <c r="AD188">
        <v>123</v>
      </c>
      <c r="AE188">
        <v>0</v>
      </c>
      <c r="AF188">
        <v>22.605693429999999</v>
      </c>
      <c r="AG188">
        <v>3</v>
      </c>
      <c r="AH188">
        <v>2236</v>
      </c>
      <c r="AI188">
        <v>0</v>
      </c>
      <c r="AJ188">
        <v>0</v>
      </c>
      <c r="AK188">
        <v>2.20865</v>
      </c>
      <c r="AL188">
        <v>1</v>
      </c>
      <c r="AM188">
        <v>0</v>
      </c>
      <c r="AN188">
        <v>2909</v>
      </c>
      <c r="AO188">
        <v>7</v>
      </c>
      <c r="AP188">
        <v>0</v>
      </c>
      <c r="AQ188">
        <v>0</v>
      </c>
    </row>
    <row r="189" spans="1:43" x14ac:dyDescent="0.25">
      <c r="A189">
        <v>186</v>
      </c>
      <c r="B189">
        <v>4</v>
      </c>
      <c r="C189">
        <v>4</v>
      </c>
      <c r="D189">
        <v>1</v>
      </c>
      <c r="E189">
        <v>2967</v>
      </c>
      <c r="F189">
        <v>7596</v>
      </c>
      <c r="G189">
        <v>7628</v>
      </c>
      <c r="H189">
        <v>4096</v>
      </c>
      <c r="I189">
        <v>2296</v>
      </c>
      <c r="J189">
        <v>398</v>
      </c>
      <c r="K189">
        <v>368</v>
      </c>
      <c r="L189">
        <v>692</v>
      </c>
      <c r="M189">
        <v>588</v>
      </c>
      <c r="N189">
        <v>1321</v>
      </c>
      <c r="O189">
        <v>376</v>
      </c>
      <c r="P189">
        <v>172.0814494</v>
      </c>
      <c r="Q189">
        <v>19.038892879999999</v>
      </c>
      <c r="R189">
        <v>0.23424608399999999</v>
      </c>
      <c r="S189">
        <v>1751</v>
      </c>
      <c r="T189">
        <v>289</v>
      </c>
      <c r="U189">
        <v>1195</v>
      </c>
      <c r="V189">
        <v>2546</v>
      </c>
      <c r="W189">
        <v>2380</v>
      </c>
      <c r="X189">
        <v>1528</v>
      </c>
      <c r="Y189">
        <v>78</v>
      </c>
      <c r="Z189">
        <v>360</v>
      </c>
      <c r="AA189">
        <v>1058</v>
      </c>
      <c r="AB189">
        <v>5</v>
      </c>
      <c r="AC189">
        <v>78</v>
      </c>
      <c r="AD189">
        <v>172</v>
      </c>
      <c r="AE189">
        <v>0</v>
      </c>
      <c r="AF189">
        <v>0</v>
      </c>
      <c r="AG189">
        <v>3</v>
      </c>
      <c r="AH189">
        <v>17</v>
      </c>
      <c r="AI189">
        <v>0</v>
      </c>
      <c r="AJ189">
        <v>0</v>
      </c>
      <c r="AK189">
        <v>1.9832000000000001</v>
      </c>
      <c r="AL189">
        <v>1</v>
      </c>
      <c r="AM189">
        <v>0</v>
      </c>
      <c r="AN189">
        <v>2967</v>
      </c>
      <c r="AO189">
        <v>32</v>
      </c>
      <c r="AP189">
        <v>0</v>
      </c>
      <c r="AQ189">
        <v>0</v>
      </c>
    </row>
    <row r="190" spans="1:43" x14ac:dyDescent="0.25">
      <c r="A190">
        <v>187</v>
      </c>
      <c r="B190">
        <v>4</v>
      </c>
      <c r="C190">
        <v>4</v>
      </c>
      <c r="D190">
        <v>1</v>
      </c>
      <c r="E190">
        <v>1466</v>
      </c>
      <c r="F190">
        <v>3849</v>
      </c>
      <c r="G190">
        <v>3849</v>
      </c>
      <c r="H190">
        <v>1823</v>
      </c>
      <c r="I190">
        <v>1331</v>
      </c>
      <c r="J190">
        <v>12</v>
      </c>
      <c r="K190">
        <v>304</v>
      </c>
      <c r="L190">
        <v>243</v>
      </c>
      <c r="M190">
        <v>230</v>
      </c>
      <c r="N190">
        <v>679</v>
      </c>
      <c r="O190">
        <v>214</v>
      </c>
      <c r="P190">
        <v>116</v>
      </c>
      <c r="Q190">
        <v>10</v>
      </c>
      <c r="R190">
        <v>0.276130653</v>
      </c>
      <c r="S190">
        <v>951</v>
      </c>
      <c r="T190">
        <v>153</v>
      </c>
      <c r="U190">
        <v>633</v>
      </c>
      <c r="V190">
        <v>959</v>
      </c>
      <c r="W190">
        <v>1174</v>
      </c>
      <c r="X190">
        <v>848</v>
      </c>
      <c r="Y190">
        <v>186</v>
      </c>
      <c r="Z190">
        <v>459</v>
      </c>
      <c r="AA190">
        <v>217</v>
      </c>
      <c r="AB190">
        <v>1</v>
      </c>
      <c r="AC190">
        <v>20</v>
      </c>
      <c r="AD190">
        <v>68</v>
      </c>
      <c r="AE190">
        <v>0</v>
      </c>
      <c r="AF190">
        <v>0</v>
      </c>
      <c r="AG190">
        <v>3</v>
      </c>
      <c r="AH190">
        <v>0</v>
      </c>
      <c r="AI190">
        <v>0</v>
      </c>
      <c r="AJ190">
        <v>0</v>
      </c>
      <c r="AK190">
        <v>1.9852000000000001</v>
      </c>
      <c r="AL190">
        <v>2</v>
      </c>
      <c r="AM190">
        <v>0</v>
      </c>
      <c r="AN190">
        <v>1466</v>
      </c>
      <c r="AO190">
        <v>0</v>
      </c>
      <c r="AP190">
        <v>0</v>
      </c>
      <c r="AQ190">
        <v>0</v>
      </c>
    </row>
    <row r="191" spans="1:43" x14ac:dyDescent="0.25">
      <c r="A191">
        <v>188</v>
      </c>
      <c r="B191">
        <v>4</v>
      </c>
      <c r="C191">
        <v>4</v>
      </c>
      <c r="D191">
        <v>1</v>
      </c>
      <c r="E191">
        <v>687</v>
      </c>
      <c r="F191">
        <v>1694</v>
      </c>
      <c r="G191">
        <v>2420</v>
      </c>
      <c r="H191">
        <v>1161</v>
      </c>
      <c r="I191">
        <v>32</v>
      </c>
      <c r="J191">
        <v>720</v>
      </c>
      <c r="K191">
        <v>329</v>
      </c>
      <c r="L191">
        <v>104</v>
      </c>
      <c r="M191">
        <v>157</v>
      </c>
      <c r="N191">
        <v>92</v>
      </c>
      <c r="O191">
        <v>232</v>
      </c>
      <c r="P191">
        <v>11.44996632</v>
      </c>
      <c r="Q191">
        <v>198.43235319999999</v>
      </c>
      <c r="R191">
        <v>7.6323987999999995E-2</v>
      </c>
      <c r="S191">
        <v>5965</v>
      </c>
      <c r="T191">
        <v>14</v>
      </c>
      <c r="U191">
        <v>1830</v>
      </c>
      <c r="V191">
        <v>1330</v>
      </c>
      <c r="W191">
        <v>370</v>
      </c>
      <c r="X191">
        <v>92</v>
      </c>
      <c r="Y191">
        <v>795</v>
      </c>
      <c r="Z191">
        <v>264</v>
      </c>
      <c r="AA191">
        <v>4810</v>
      </c>
      <c r="AB191">
        <v>2</v>
      </c>
      <c r="AC191">
        <v>35</v>
      </c>
      <c r="AD191">
        <v>59</v>
      </c>
      <c r="AE191">
        <v>0</v>
      </c>
      <c r="AF191">
        <v>131.11302190000001</v>
      </c>
      <c r="AG191">
        <v>2</v>
      </c>
      <c r="AH191">
        <v>2571</v>
      </c>
      <c r="AI191">
        <v>20140</v>
      </c>
      <c r="AJ191">
        <v>6966</v>
      </c>
      <c r="AK191">
        <v>2.1265200000000002</v>
      </c>
      <c r="AL191">
        <v>1</v>
      </c>
      <c r="AM191">
        <v>0</v>
      </c>
      <c r="AN191">
        <v>687</v>
      </c>
      <c r="AO191">
        <v>726</v>
      </c>
      <c r="AP191">
        <v>0</v>
      </c>
      <c r="AQ191">
        <v>0</v>
      </c>
    </row>
    <row r="192" spans="1:43" x14ac:dyDescent="0.25">
      <c r="A192">
        <v>189</v>
      </c>
      <c r="B192">
        <v>4</v>
      </c>
      <c r="C192">
        <v>4</v>
      </c>
      <c r="D192">
        <v>1</v>
      </c>
      <c r="E192">
        <v>3243</v>
      </c>
      <c r="F192">
        <v>6715</v>
      </c>
      <c r="G192">
        <v>6715</v>
      </c>
      <c r="H192">
        <v>3317</v>
      </c>
      <c r="I192">
        <v>710</v>
      </c>
      <c r="J192">
        <v>2643</v>
      </c>
      <c r="K192">
        <v>1355</v>
      </c>
      <c r="L192">
        <v>650</v>
      </c>
      <c r="M192">
        <v>601</v>
      </c>
      <c r="N192">
        <v>642</v>
      </c>
      <c r="O192">
        <v>201</v>
      </c>
      <c r="P192">
        <v>73.881580819999996</v>
      </c>
      <c r="Q192">
        <v>13.47807841</v>
      </c>
      <c r="R192">
        <v>0.23180751199999999</v>
      </c>
      <c r="S192">
        <v>889</v>
      </c>
      <c r="T192">
        <v>115</v>
      </c>
      <c r="U192">
        <v>744</v>
      </c>
      <c r="V192">
        <v>3004</v>
      </c>
      <c r="W192">
        <v>1319</v>
      </c>
      <c r="X192">
        <v>1270</v>
      </c>
      <c r="Y192">
        <v>11</v>
      </c>
      <c r="Z192">
        <v>244</v>
      </c>
      <c r="AA192">
        <v>519</v>
      </c>
      <c r="AB192">
        <v>1</v>
      </c>
      <c r="AC192">
        <v>29</v>
      </c>
      <c r="AD192">
        <v>85</v>
      </c>
      <c r="AE192">
        <v>0</v>
      </c>
      <c r="AF192">
        <v>137.89472989999999</v>
      </c>
      <c r="AG192">
        <v>2</v>
      </c>
      <c r="AH192">
        <v>0</v>
      </c>
      <c r="AI192">
        <v>0</v>
      </c>
      <c r="AJ192">
        <v>0</v>
      </c>
      <c r="AK192">
        <v>3.40056</v>
      </c>
      <c r="AL192">
        <v>1</v>
      </c>
      <c r="AM192">
        <v>0</v>
      </c>
      <c r="AN192">
        <v>3243</v>
      </c>
      <c r="AO192">
        <v>0</v>
      </c>
      <c r="AP192">
        <v>0</v>
      </c>
      <c r="AQ192">
        <v>0</v>
      </c>
    </row>
    <row r="193" spans="1:43" x14ac:dyDescent="0.25">
      <c r="A193">
        <v>190</v>
      </c>
      <c r="B193">
        <v>4</v>
      </c>
      <c r="C193">
        <v>4</v>
      </c>
      <c r="D193">
        <v>1</v>
      </c>
      <c r="E193">
        <v>1042</v>
      </c>
      <c r="F193">
        <v>1815</v>
      </c>
      <c r="G193">
        <v>1864</v>
      </c>
      <c r="H193">
        <v>967</v>
      </c>
      <c r="I193">
        <v>193</v>
      </c>
      <c r="J193">
        <v>812</v>
      </c>
      <c r="K193">
        <v>269</v>
      </c>
      <c r="L193">
        <v>320</v>
      </c>
      <c r="M193">
        <v>261</v>
      </c>
      <c r="N193">
        <v>181</v>
      </c>
      <c r="O193">
        <v>1381</v>
      </c>
      <c r="P193">
        <v>15.04332443</v>
      </c>
      <c r="Q193">
        <v>28</v>
      </c>
      <c r="R193">
        <v>0.19504480799999999</v>
      </c>
      <c r="S193">
        <v>793</v>
      </c>
      <c r="T193">
        <v>85</v>
      </c>
      <c r="U193">
        <v>257</v>
      </c>
      <c r="V193">
        <v>783</v>
      </c>
      <c r="W193">
        <v>371</v>
      </c>
      <c r="X193">
        <v>301</v>
      </c>
      <c r="Y193">
        <v>5</v>
      </c>
      <c r="Z193">
        <v>57</v>
      </c>
      <c r="AA193">
        <v>703</v>
      </c>
      <c r="AB193">
        <v>0</v>
      </c>
      <c r="AC193">
        <v>10</v>
      </c>
      <c r="AD193">
        <v>18</v>
      </c>
      <c r="AE193">
        <v>0</v>
      </c>
      <c r="AF193">
        <v>7.3468503649999999</v>
      </c>
      <c r="AG193">
        <v>3</v>
      </c>
      <c r="AH193">
        <v>0</v>
      </c>
      <c r="AI193">
        <v>0</v>
      </c>
      <c r="AJ193">
        <v>0</v>
      </c>
      <c r="AK193">
        <v>2.5689500000000001</v>
      </c>
      <c r="AL193">
        <v>1</v>
      </c>
      <c r="AM193">
        <v>0</v>
      </c>
      <c r="AN193">
        <v>1042</v>
      </c>
      <c r="AO193">
        <v>49</v>
      </c>
      <c r="AP193">
        <v>0</v>
      </c>
      <c r="AQ193">
        <v>0</v>
      </c>
    </row>
    <row r="194" spans="1:43" x14ac:dyDescent="0.25">
      <c r="A194">
        <v>191</v>
      </c>
      <c r="B194">
        <v>5</v>
      </c>
      <c r="C194">
        <v>5</v>
      </c>
      <c r="D194">
        <v>2</v>
      </c>
      <c r="E194">
        <v>1365</v>
      </c>
      <c r="F194">
        <v>3891</v>
      </c>
      <c r="G194">
        <v>3914</v>
      </c>
      <c r="H194">
        <v>1748</v>
      </c>
      <c r="I194">
        <v>1258</v>
      </c>
      <c r="J194">
        <v>135</v>
      </c>
      <c r="K194">
        <v>260</v>
      </c>
      <c r="L194">
        <v>334</v>
      </c>
      <c r="M194">
        <v>285</v>
      </c>
      <c r="N194">
        <v>491</v>
      </c>
      <c r="O194">
        <v>489</v>
      </c>
      <c r="P194">
        <v>125</v>
      </c>
      <c r="Q194">
        <v>26</v>
      </c>
      <c r="R194">
        <v>0.27335811599999998</v>
      </c>
      <c r="S194">
        <v>477</v>
      </c>
      <c r="T194">
        <v>160</v>
      </c>
      <c r="U194">
        <v>615</v>
      </c>
      <c r="V194">
        <v>1272</v>
      </c>
      <c r="W194">
        <v>994</v>
      </c>
      <c r="X194">
        <v>816</v>
      </c>
      <c r="Y194">
        <v>39</v>
      </c>
      <c r="Z194">
        <v>99</v>
      </c>
      <c r="AA194">
        <v>291</v>
      </c>
      <c r="AB194">
        <v>1</v>
      </c>
      <c r="AC194">
        <v>7</v>
      </c>
      <c r="AD194">
        <v>40</v>
      </c>
      <c r="AE194">
        <v>0</v>
      </c>
      <c r="AF194">
        <v>0</v>
      </c>
      <c r="AG194">
        <v>3</v>
      </c>
      <c r="AH194">
        <v>0</v>
      </c>
      <c r="AI194">
        <v>0</v>
      </c>
      <c r="AJ194">
        <v>0</v>
      </c>
      <c r="AK194">
        <v>1.5850599999999999</v>
      </c>
      <c r="AL194">
        <v>1</v>
      </c>
      <c r="AM194">
        <v>0</v>
      </c>
      <c r="AN194">
        <v>1365</v>
      </c>
      <c r="AO194">
        <v>23</v>
      </c>
      <c r="AP194">
        <v>0</v>
      </c>
      <c r="AQ194">
        <v>0</v>
      </c>
    </row>
    <row r="195" spans="1:43" x14ac:dyDescent="0.25">
      <c r="A195">
        <v>192</v>
      </c>
      <c r="B195">
        <v>5</v>
      </c>
      <c r="C195">
        <v>5</v>
      </c>
      <c r="D195">
        <v>2</v>
      </c>
      <c r="E195">
        <v>2655</v>
      </c>
      <c r="F195">
        <v>7598</v>
      </c>
      <c r="G195">
        <v>7613</v>
      </c>
      <c r="H195">
        <v>4498</v>
      </c>
      <c r="I195">
        <v>485</v>
      </c>
      <c r="J195">
        <v>2359</v>
      </c>
      <c r="K195">
        <v>838</v>
      </c>
      <c r="L195">
        <v>903</v>
      </c>
      <c r="M195">
        <v>698</v>
      </c>
      <c r="N195">
        <v>217</v>
      </c>
      <c r="O195">
        <v>143</v>
      </c>
      <c r="P195">
        <v>66</v>
      </c>
      <c r="Q195">
        <v>37</v>
      </c>
      <c r="R195">
        <v>8.2002383999999998E-2</v>
      </c>
      <c r="S195">
        <v>1496</v>
      </c>
      <c r="T195">
        <v>625</v>
      </c>
      <c r="U195">
        <v>1186</v>
      </c>
      <c r="V195">
        <v>4062</v>
      </c>
      <c r="W195">
        <v>1648</v>
      </c>
      <c r="X195">
        <v>536</v>
      </c>
      <c r="Y195">
        <v>581</v>
      </c>
      <c r="Z195">
        <v>162</v>
      </c>
      <c r="AA195">
        <v>708</v>
      </c>
      <c r="AB195">
        <v>1</v>
      </c>
      <c r="AC195">
        <v>14</v>
      </c>
      <c r="AD195">
        <v>30</v>
      </c>
      <c r="AE195">
        <v>0</v>
      </c>
      <c r="AF195">
        <v>49.449954380000001</v>
      </c>
      <c r="AG195">
        <v>3</v>
      </c>
      <c r="AH195">
        <v>0</v>
      </c>
      <c r="AI195">
        <v>0</v>
      </c>
      <c r="AJ195">
        <v>0</v>
      </c>
      <c r="AK195">
        <v>2.8540999999999999</v>
      </c>
      <c r="AL195">
        <v>1</v>
      </c>
      <c r="AM195">
        <v>0</v>
      </c>
      <c r="AN195">
        <v>2655</v>
      </c>
      <c r="AO195">
        <v>15</v>
      </c>
      <c r="AP195">
        <v>0</v>
      </c>
      <c r="AQ195">
        <v>0</v>
      </c>
    </row>
    <row r="196" spans="1:43" x14ac:dyDescent="0.25">
      <c r="A196">
        <v>193</v>
      </c>
      <c r="B196">
        <v>5</v>
      </c>
      <c r="C196">
        <v>5</v>
      </c>
      <c r="D196">
        <v>2</v>
      </c>
      <c r="E196">
        <v>2130</v>
      </c>
      <c r="F196">
        <v>6504</v>
      </c>
      <c r="G196">
        <v>6615</v>
      </c>
      <c r="H196">
        <v>3541</v>
      </c>
      <c r="I196">
        <v>1194</v>
      </c>
      <c r="J196">
        <v>878</v>
      </c>
      <c r="K196">
        <v>391</v>
      </c>
      <c r="L196">
        <v>512</v>
      </c>
      <c r="M196">
        <v>582</v>
      </c>
      <c r="N196">
        <v>644</v>
      </c>
      <c r="O196">
        <v>498</v>
      </c>
      <c r="P196">
        <v>234.6732682</v>
      </c>
      <c r="Q196">
        <v>45.74006893</v>
      </c>
      <c r="R196">
        <v>0.17968403999999999</v>
      </c>
      <c r="S196">
        <v>2318</v>
      </c>
      <c r="T196">
        <v>494</v>
      </c>
      <c r="U196">
        <v>819</v>
      </c>
      <c r="V196">
        <v>2543</v>
      </c>
      <c r="W196">
        <v>1635</v>
      </c>
      <c r="X196">
        <v>989</v>
      </c>
      <c r="Y196">
        <v>95</v>
      </c>
      <c r="Z196">
        <v>266</v>
      </c>
      <c r="AA196">
        <v>1333</v>
      </c>
      <c r="AB196">
        <v>1</v>
      </c>
      <c r="AC196">
        <v>154</v>
      </c>
      <c r="AD196">
        <v>469</v>
      </c>
      <c r="AE196">
        <v>0</v>
      </c>
      <c r="AF196">
        <v>0</v>
      </c>
      <c r="AG196">
        <v>4</v>
      </c>
      <c r="AH196">
        <v>0</v>
      </c>
      <c r="AI196">
        <v>0</v>
      </c>
      <c r="AJ196">
        <v>0</v>
      </c>
      <c r="AK196">
        <v>1.7190700000000001</v>
      </c>
      <c r="AL196">
        <v>1</v>
      </c>
      <c r="AM196">
        <v>0</v>
      </c>
      <c r="AN196">
        <v>2130</v>
      </c>
      <c r="AO196">
        <v>111</v>
      </c>
      <c r="AP196">
        <v>0</v>
      </c>
      <c r="AQ196">
        <v>0</v>
      </c>
    </row>
    <row r="197" spans="1:43" x14ac:dyDescent="0.25">
      <c r="A197">
        <v>194</v>
      </c>
      <c r="B197">
        <v>5</v>
      </c>
      <c r="C197">
        <v>5</v>
      </c>
      <c r="D197">
        <v>2</v>
      </c>
      <c r="E197">
        <v>2118</v>
      </c>
      <c r="F197">
        <v>6031</v>
      </c>
      <c r="G197">
        <v>6312</v>
      </c>
      <c r="H197">
        <v>3397</v>
      </c>
      <c r="I197">
        <v>1512</v>
      </c>
      <c r="J197">
        <v>675</v>
      </c>
      <c r="K197">
        <v>357</v>
      </c>
      <c r="L197">
        <v>591</v>
      </c>
      <c r="M197">
        <v>596</v>
      </c>
      <c r="N197">
        <v>572</v>
      </c>
      <c r="O197">
        <v>390</v>
      </c>
      <c r="P197">
        <v>157</v>
      </c>
      <c r="Q197">
        <v>148.3432574</v>
      </c>
      <c r="R197">
        <v>0.285817031</v>
      </c>
      <c r="S197">
        <v>2017</v>
      </c>
      <c r="T197">
        <v>155</v>
      </c>
      <c r="U197">
        <v>934</v>
      </c>
      <c r="V197">
        <v>2167</v>
      </c>
      <c r="W197">
        <v>1764</v>
      </c>
      <c r="X197">
        <v>1661</v>
      </c>
      <c r="Y197">
        <v>81</v>
      </c>
      <c r="Z197">
        <v>124</v>
      </c>
      <c r="AA197">
        <v>1633</v>
      </c>
      <c r="AB197">
        <v>2</v>
      </c>
      <c r="AC197">
        <v>88</v>
      </c>
      <c r="AD197">
        <v>89</v>
      </c>
      <c r="AE197">
        <v>0</v>
      </c>
      <c r="AF197">
        <v>0</v>
      </c>
      <c r="AG197">
        <v>4</v>
      </c>
      <c r="AH197">
        <v>1278</v>
      </c>
      <c r="AI197">
        <v>0</v>
      </c>
      <c r="AJ197">
        <v>0</v>
      </c>
      <c r="AK197">
        <v>1.8236600000000001</v>
      </c>
      <c r="AL197">
        <v>1</v>
      </c>
      <c r="AM197">
        <v>0</v>
      </c>
      <c r="AN197">
        <v>2118</v>
      </c>
      <c r="AO197">
        <v>281</v>
      </c>
      <c r="AP197">
        <v>0</v>
      </c>
      <c r="AQ197">
        <v>0</v>
      </c>
    </row>
    <row r="198" spans="1:43" x14ac:dyDescent="0.25">
      <c r="A198">
        <v>195</v>
      </c>
      <c r="B198">
        <v>5</v>
      </c>
      <c r="C198">
        <v>5</v>
      </c>
      <c r="D198">
        <v>2</v>
      </c>
      <c r="E198">
        <v>1798</v>
      </c>
      <c r="F198">
        <v>5539</v>
      </c>
      <c r="G198">
        <v>5553</v>
      </c>
      <c r="H198">
        <v>3135</v>
      </c>
      <c r="I198">
        <v>1723</v>
      </c>
      <c r="J198">
        <v>84</v>
      </c>
      <c r="K198">
        <v>229</v>
      </c>
      <c r="L198">
        <v>355</v>
      </c>
      <c r="M198">
        <v>500</v>
      </c>
      <c r="N198">
        <v>716</v>
      </c>
      <c r="O198">
        <v>236</v>
      </c>
      <c r="P198">
        <v>137</v>
      </c>
      <c r="Q198">
        <v>12</v>
      </c>
      <c r="R198">
        <v>0.22372195</v>
      </c>
      <c r="S198">
        <v>256</v>
      </c>
      <c r="T198">
        <v>222</v>
      </c>
      <c r="U198">
        <v>966</v>
      </c>
      <c r="V198">
        <v>1856</v>
      </c>
      <c r="W198">
        <v>1596</v>
      </c>
      <c r="X198">
        <v>1058</v>
      </c>
      <c r="Y198">
        <v>1</v>
      </c>
      <c r="Z198">
        <v>26</v>
      </c>
      <c r="AA198">
        <v>193</v>
      </c>
      <c r="AB198">
        <v>0</v>
      </c>
      <c r="AC198">
        <v>6</v>
      </c>
      <c r="AD198">
        <v>30</v>
      </c>
      <c r="AE198">
        <v>0</v>
      </c>
      <c r="AF198">
        <v>0</v>
      </c>
      <c r="AG198">
        <v>4</v>
      </c>
      <c r="AH198">
        <v>0</v>
      </c>
      <c r="AI198">
        <v>0</v>
      </c>
      <c r="AJ198">
        <v>0</v>
      </c>
      <c r="AK198">
        <v>1.7776400000000001</v>
      </c>
      <c r="AL198">
        <v>1</v>
      </c>
      <c r="AM198">
        <v>0</v>
      </c>
      <c r="AN198">
        <v>1798</v>
      </c>
      <c r="AO198">
        <v>14</v>
      </c>
      <c r="AP198">
        <v>0</v>
      </c>
      <c r="AQ198">
        <v>0</v>
      </c>
    </row>
    <row r="199" spans="1:43" x14ac:dyDescent="0.25">
      <c r="A199">
        <v>196</v>
      </c>
      <c r="B199">
        <v>5</v>
      </c>
      <c r="C199">
        <v>5</v>
      </c>
      <c r="D199">
        <v>2</v>
      </c>
      <c r="E199">
        <v>2042</v>
      </c>
      <c r="F199">
        <v>6701</v>
      </c>
      <c r="G199">
        <v>6711</v>
      </c>
      <c r="H199">
        <v>3620</v>
      </c>
      <c r="I199">
        <v>1867</v>
      </c>
      <c r="J199">
        <v>94</v>
      </c>
      <c r="K199">
        <v>211</v>
      </c>
      <c r="L199">
        <v>646</v>
      </c>
      <c r="M199">
        <v>498</v>
      </c>
      <c r="N199">
        <v>686</v>
      </c>
      <c r="O199">
        <v>581</v>
      </c>
      <c r="P199">
        <v>152</v>
      </c>
      <c r="Q199">
        <v>81</v>
      </c>
      <c r="R199">
        <v>0.234347048</v>
      </c>
      <c r="S199">
        <v>365</v>
      </c>
      <c r="T199">
        <v>333</v>
      </c>
      <c r="U199">
        <v>756</v>
      </c>
      <c r="V199">
        <v>2243</v>
      </c>
      <c r="W199">
        <v>1778</v>
      </c>
      <c r="X199">
        <v>1327</v>
      </c>
      <c r="Y199">
        <v>5</v>
      </c>
      <c r="Z199">
        <v>80</v>
      </c>
      <c r="AA199">
        <v>226</v>
      </c>
      <c r="AB199">
        <v>1</v>
      </c>
      <c r="AC199">
        <v>11</v>
      </c>
      <c r="AD199">
        <v>42</v>
      </c>
      <c r="AE199">
        <v>0</v>
      </c>
      <c r="AF199">
        <v>0</v>
      </c>
      <c r="AG199">
        <v>4</v>
      </c>
      <c r="AH199">
        <v>0</v>
      </c>
      <c r="AI199">
        <v>0</v>
      </c>
      <c r="AJ199">
        <v>0</v>
      </c>
      <c r="AK199">
        <v>1.44126</v>
      </c>
      <c r="AL199">
        <v>1</v>
      </c>
      <c r="AM199">
        <v>0</v>
      </c>
      <c r="AN199">
        <v>2042</v>
      </c>
      <c r="AO199">
        <v>10</v>
      </c>
      <c r="AP199">
        <v>0</v>
      </c>
      <c r="AQ199">
        <v>0</v>
      </c>
    </row>
    <row r="200" spans="1:43" x14ac:dyDescent="0.25">
      <c r="A200">
        <v>197</v>
      </c>
      <c r="B200">
        <v>5</v>
      </c>
      <c r="C200">
        <v>5</v>
      </c>
      <c r="D200">
        <v>2</v>
      </c>
      <c r="E200">
        <v>1854</v>
      </c>
      <c r="F200">
        <v>5767</v>
      </c>
      <c r="G200">
        <v>5793</v>
      </c>
      <c r="H200">
        <v>3386</v>
      </c>
      <c r="I200">
        <v>1564</v>
      </c>
      <c r="J200">
        <v>216</v>
      </c>
      <c r="K200">
        <v>411</v>
      </c>
      <c r="L200">
        <v>317</v>
      </c>
      <c r="M200">
        <v>379</v>
      </c>
      <c r="N200">
        <v>748</v>
      </c>
      <c r="O200">
        <v>165</v>
      </c>
      <c r="P200">
        <v>90</v>
      </c>
      <c r="Q200">
        <v>12</v>
      </c>
      <c r="R200">
        <v>0.24285275100000001</v>
      </c>
      <c r="S200">
        <v>524</v>
      </c>
      <c r="T200">
        <v>269</v>
      </c>
      <c r="U200">
        <v>708</v>
      </c>
      <c r="V200">
        <v>2100</v>
      </c>
      <c r="W200">
        <v>1881</v>
      </c>
      <c r="X200">
        <v>1275</v>
      </c>
      <c r="Y200">
        <v>132</v>
      </c>
      <c r="Z200">
        <v>106</v>
      </c>
      <c r="AA200">
        <v>257</v>
      </c>
      <c r="AB200">
        <v>1</v>
      </c>
      <c r="AC200">
        <v>9</v>
      </c>
      <c r="AD200">
        <v>19</v>
      </c>
      <c r="AE200">
        <v>0</v>
      </c>
      <c r="AF200">
        <v>0</v>
      </c>
      <c r="AG200">
        <v>3</v>
      </c>
      <c r="AH200">
        <v>0</v>
      </c>
      <c r="AI200">
        <v>0</v>
      </c>
      <c r="AJ200">
        <v>0</v>
      </c>
      <c r="AK200">
        <v>1.9584900000000001</v>
      </c>
      <c r="AL200">
        <v>1</v>
      </c>
      <c r="AM200">
        <v>0</v>
      </c>
      <c r="AN200">
        <v>1854</v>
      </c>
      <c r="AO200">
        <v>26</v>
      </c>
      <c r="AP200">
        <v>0</v>
      </c>
      <c r="AQ200">
        <v>0</v>
      </c>
    </row>
    <row r="201" spans="1:43" x14ac:dyDescent="0.25">
      <c r="A201">
        <v>198</v>
      </c>
      <c r="B201">
        <v>5</v>
      </c>
      <c r="C201">
        <v>5</v>
      </c>
      <c r="D201">
        <v>2</v>
      </c>
      <c r="E201">
        <v>1626</v>
      </c>
      <c r="F201">
        <v>4666</v>
      </c>
      <c r="G201">
        <v>4666</v>
      </c>
      <c r="H201">
        <v>2859</v>
      </c>
      <c r="I201">
        <v>402</v>
      </c>
      <c r="J201">
        <v>1240</v>
      </c>
      <c r="K201">
        <v>543</v>
      </c>
      <c r="L201">
        <v>371</v>
      </c>
      <c r="M201">
        <v>382</v>
      </c>
      <c r="N201">
        <v>336</v>
      </c>
      <c r="O201">
        <v>177</v>
      </c>
      <c r="P201">
        <v>94.682220799999996</v>
      </c>
      <c r="Q201">
        <v>33</v>
      </c>
      <c r="R201">
        <v>0.21719976999999999</v>
      </c>
      <c r="S201">
        <v>932</v>
      </c>
      <c r="T201">
        <v>187</v>
      </c>
      <c r="U201">
        <v>704</v>
      </c>
      <c r="V201">
        <v>1870</v>
      </c>
      <c r="W201">
        <v>1250</v>
      </c>
      <c r="X201">
        <v>1020</v>
      </c>
      <c r="Y201">
        <v>8</v>
      </c>
      <c r="Z201">
        <v>28</v>
      </c>
      <c r="AA201">
        <v>862</v>
      </c>
      <c r="AB201">
        <v>0</v>
      </c>
      <c r="AC201">
        <v>28</v>
      </c>
      <c r="AD201">
        <v>6</v>
      </c>
      <c r="AE201">
        <v>0</v>
      </c>
      <c r="AF201">
        <v>0</v>
      </c>
      <c r="AG201">
        <v>3</v>
      </c>
      <c r="AH201">
        <v>458</v>
      </c>
      <c r="AI201">
        <v>0</v>
      </c>
      <c r="AJ201">
        <v>0</v>
      </c>
      <c r="AK201">
        <v>1.9799500000000001</v>
      </c>
      <c r="AL201">
        <v>1</v>
      </c>
      <c r="AM201">
        <v>0</v>
      </c>
      <c r="AN201">
        <v>1626</v>
      </c>
      <c r="AO201">
        <v>0</v>
      </c>
      <c r="AP201">
        <v>0</v>
      </c>
      <c r="AQ201">
        <v>0</v>
      </c>
    </row>
    <row r="202" spans="1:43" x14ac:dyDescent="0.25">
      <c r="A202">
        <v>199</v>
      </c>
      <c r="B202">
        <v>5</v>
      </c>
      <c r="C202">
        <v>5</v>
      </c>
      <c r="D202">
        <v>2</v>
      </c>
      <c r="E202">
        <v>1125</v>
      </c>
      <c r="F202">
        <v>2354</v>
      </c>
      <c r="G202">
        <v>2355</v>
      </c>
      <c r="H202">
        <v>1659</v>
      </c>
      <c r="I202">
        <v>148</v>
      </c>
      <c r="J202">
        <v>1078</v>
      </c>
      <c r="K202">
        <v>137</v>
      </c>
      <c r="L202">
        <v>356</v>
      </c>
      <c r="M202">
        <v>401</v>
      </c>
      <c r="N202">
        <v>226</v>
      </c>
      <c r="O202">
        <v>326</v>
      </c>
      <c r="P202">
        <v>46</v>
      </c>
      <c r="Q202">
        <v>138</v>
      </c>
      <c r="R202">
        <v>0.165060241</v>
      </c>
      <c r="S202">
        <v>1974</v>
      </c>
      <c r="T202">
        <v>117</v>
      </c>
      <c r="U202">
        <v>170</v>
      </c>
      <c r="V202">
        <v>981</v>
      </c>
      <c r="W202">
        <v>769</v>
      </c>
      <c r="X202">
        <v>334</v>
      </c>
      <c r="Y202">
        <v>1048</v>
      </c>
      <c r="Z202">
        <v>149</v>
      </c>
      <c r="AA202">
        <v>725</v>
      </c>
      <c r="AB202">
        <v>1</v>
      </c>
      <c r="AC202">
        <v>14</v>
      </c>
      <c r="AD202">
        <v>37</v>
      </c>
      <c r="AE202">
        <v>0</v>
      </c>
      <c r="AF202">
        <v>0</v>
      </c>
      <c r="AG202">
        <v>3</v>
      </c>
      <c r="AH202">
        <v>0</v>
      </c>
      <c r="AI202">
        <v>0</v>
      </c>
      <c r="AJ202">
        <v>0</v>
      </c>
      <c r="AK202">
        <v>2.1614599999999999</v>
      </c>
      <c r="AL202">
        <v>1</v>
      </c>
      <c r="AM202">
        <v>0</v>
      </c>
      <c r="AN202">
        <v>1125</v>
      </c>
      <c r="AO202">
        <v>1</v>
      </c>
      <c r="AP202">
        <v>0</v>
      </c>
      <c r="AQ202">
        <v>0</v>
      </c>
    </row>
    <row r="203" spans="1:43" x14ac:dyDescent="0.25">
      <c r="A203">
        <v>200</v>
      </c>
      <c r="B203">
        <v>5</v>
      </c>
      <c r="C203">
        <v>5</v>
      </c>
      <c r="D203">
        <v>2</v>
      </c>
      <c r="E203">
        <v>943</v>
      </c>
      <c r="F203">
        <v>2530</v>
      </c>
      <c r="G203">
        <v>2562</v>
      </c>
      <c r="H203">
        <v>1410</v>
      </c>
      <c r="I203">
        <v>801</v>
      </c>
      <c r="J203">
        <v>184</v>
      </c>
      <c r="K203">
        <v>204</v>
      </c>
      <c r="L203">
        <v>309</v>
      </c>
      <c r="M203">
        <v>242</v>
      </c>
      <c r="N203">
        <v>188</v>
      </c>
      <c r="O203">
        <v>1639</v>
      </c>
      <c r="P203">
        <v>176.81325960000001</v>
      </c>
      <c r="Q203">
        <v>177.9519755</v>
      </c>
      <c r="R203">
        <v>0.27392614900000001</v>
      </c>
      <c r="S203">
        <v>4153</v>
      </c>
      <c r="T203">
        <v>63</v>
      </c>
      <c r="U203">
        <v>404</v>
      </c>
      <c r="V203">
        <v>707</v>
      </c>
      <c r="W203">
        <v>781</v>
      </c>
      <c r="X203">
        <v>578</v>
      </c>
      <c r="Y203">
        <v>2313</v>
      </c>
      <c r="Z203">
        <v>325</v>
      </c>
      <c r="AA203">
        <v>1258</v>
      </c>
      <c r="AB203">
        <v>49</v>
      </c>
      <c r="AC203">
        <v>117</v>
      </c>
      <c r="AD203">
        <v>91</v>
      </c>
      <c r="AE203">
        <v>0</v>
      </c>
      <c r="AF203">
        <v>0</v>
      </c>
      <c r="AG203">
        <v>4</v>
      </c>
      <c r="AH203">
        <v>0</v>
      </c>
      <c r="AI203">
        <v>0</v>
      </c>
      <c r="AJ203">
        <v>0</v>
      </c>
      <c r="AK203">
        <v>1.6449199999999999</v>
      </c>
      <c r="AL203">
        <v>1</v>
      </c>
      <c r="AM203">
        <v>0</v>
      </c>
      <c r="AN203">
        <v>943</v>
      </c>
      <c r="AO203">
        <v>32</v>
      </c>
      <c r="AP203">
        <v>0</v>
      </c>
      <c r="AQ203">
        <v>0</v>
      </c>
    </row>
    <row r="204" spans="1:43" x14ac:dyDescent="0.25">
      <c r="A204">
        <v>201</v>
      </c>
      <c r="B204">
        <v>5</v>
      </c>
      <c r="C204">
        <v>5</v>
      </c>
      <c r="D204">
        <v>2</v>
      </c>
      <c r="E204">
        <v>2553</v>
      </c>
      <c r="F204">
        <v>7333</v>
      </c>
      <c r="G204">
        <v>7385</v>
      </c>
      <c r="H204">
        <v>3891</v>
      </c>
      <c r="I204">
        <v>833</v>
      </c>
      <c r="J204">
        <v>1624</v>
      </c>
      <c r="K204">
        <v>1014</v>
      </c>
      <c r="L204">
        <v>534</v>
      </c>
      <c r="M204">
        <v>666</v>
      </c>
      <c r="N204">
        <v>338</v>
      </c>
      <c r="O204">
        <v>244</v>
      </c>
      <c r="P204">
        <v>73.112672070000002</v>
      </c>
      <c r="Q204">
        <v>61.125867530000001</v>
      </c>
      <c r="R204">
        <v>0.18836915300000001</v>
      </c>
      <c r="S204">
        <v>1231</v>
      </c>
      <c r="T204">
        <v>589</v>
      </c>
      <c r="U204">
        <v>1475</v>
      </c>
      <c r="V204">
        <v>3223</v>
      </c>
      <c r="W204">
        <v>1644</v>
      </c>
      <c r="X204">
        <v>1408</v>
      </c>
      <c r="Y204">
        <v>202</v>
      </c>
      <c r="Z204">
        <v>172</v>
      </c>
      <c r="AA204">
        <v>540</v>
      </c>
      <c r="AB204">
        <v>3</v>
      </c>
      <c r="AC204">
        <v>177</v>
      </c>
      <c r="AD204">
        <v>137</v>
      </c>
      <c r="AE204">
        <v>0</v>
      </c>
      <c r="AF204">
        <v>0</v>
      </c>
      <c r="AG204">
        <v>3</v>
      </c>
      <c r="AH204">
        <v>89</v>
      </c>
      <c r="AI204">
        <v>0</v>
      </c>
      <c r="AJ204">
        <v>0</v>
      </c>
      <c r="AK204">
        <v>2.44815</v>
      </c>
      <c r="AL204">
        <v>1</v>
      </c>
      <c r="AM204">
        <v>0</v>
      </c>
      <c r="AN204">
        <v>2553</v>
      </c>
      <c r="AO204">
        <v>52</v>
      </c>
      <c r="AP204">
        <v>0</v>
      </c>
      <c r="AQ204">
        <v>0</v>
      </c>
    </row>
    <row r="205" spans="1:43" x14ac:dyDescent="0.25">
      <c r="A205">
        <v>202</v>
      </c>
      <c r="B205">
        <v>5</v>
      </c>
      <c r="C205">
        <v>5</v>
      </c>
      <c r="D205">
        <v>2</v>
      </c>
      <c r="E205">
        <v>2238</v>
      </c>
      <c r="F205">
        <v>6630</v>
      </c>
      <c r="G205">
        <v>6660</v>
      </c>
      <c r="H205">
        <v>3744</v>
      </c>
      <c r="I205">
        <v>1507</v>
      </c>
      <c r="J205">
        <v>789</v>
      </c>
      <c r="K205">
        <v>419</v>
      </c>
      <c r="L205">
        <v>649</v>
      </c>
      <c r="M205">
        <v>520</v>
      </c>
      <c r="N205">
        <v>654</v>
      </c>
      <c r="O205">
        <v>329</v>
      </c>
      <c r="P205">
        <v>185.93269480000001</v>
      </c>
      <c r="Q205">
        <v>38</v>
      </c>
      <c r="R205">
        <v>0.27321127099999998</v>
      </c>
      <c r="S205">
        <v>569</v>
      </c>
      <c r="T205">
        <v>225</v>
      </c>
      <c r="U205">
        <v>961</v>
      </c>
      <c r="V205">
        <v>2789</v>
      </c>
      <c r="W205">
        <v>1658</v>
      </c>
      <c r="X205">
        <v>1776</v>
      </c>
      <c r="Y205">
        <v>10</v>
      </c>
      <c r="Z205">
        <v>89</v>
      </c>
      <c r="AA205">
        <v>367</v>
      </c>
      <c r="AB205">
        <v>2</v>
      </c>
      <c r="AC205">
        <v>37</v>
      </c>
      <c r="AD205">
        <v>64</v>
      </c>
      <c r="AE205">
        <v>0</v>
      </c>
      <c r="AF205">
        <v>0</v>
      </c>
      <c r="AG205">
        <v>3</v>
      </c>
      <c r="AH205">
        <v>0</v>
      </c>
      <c r="AI205">
        <v>0</v>
      </c>
      <c r="AJ205">
        <v>0</v>
      </c>
      <c r="AK205">
        <v>1.6356200000000001</v>
      </c>
      <c r="AL205">
        <v>1</v>
      </c>
      <c r="AM205">
        <v>0</v>
      </c>
      <c r="AN205">
        <v>2238</v>
      </c>
      <c r="AO205">
        <v>30</v>
      </c>
      <c r="AP205">
        <v>0</v>
      </c>
      <c r="AQ205">
        <v>0</v>
      </c>
    </row>
    <row r="206" spans="1:43" x14ac:dyDescent="0.25">
      <c r="A206">
        <v>203</v>
      </c>
      <c r="B206">
        <v>5</v>
      </c>
      <c r="C206">
        <v>5</v>
      </c>
      <c r="D206">
        <v>2</v>
      </c>
      <c r="E206">
        <v>1508</v>
      </c>
      <c r="F206">
        <v>4521</v>
      </c>
      <c r="G206">
        <v>4521</v>
      </c>
      <c r="H206">
        <v>2579</v>
      </c>
      <c r="I206">
        <v>804</v>
      </c>
      <c r="J206">
        <v>776</v>
      </c>
      <c r="K206">
        <v>323</v>
      </c>
      <c r="L206">
        <v>452</v>
      </c>
      <c r="M206">
        <v>438</v>
      </c>
      <c r="N206">
        <v>294</v>
      </c>
      <c r="O206">
        <v>187</v>
      </c>
      <c r="P206">
        <v>62.327783660000001</v>
      </c>
      <c r="Q206">
        <v>45.210219369999997</v>
      </c>
      <c r="R206">
        <v>0.19339525299999999</v>
      </c>
      <c r="S206">
        <v>2357</v>
      </c>
      <c r="T206">
        <v>51</v>
      </c>
      <c r="U206">
        <v>574</v>
      </c>
      <c r="V206">
        <v>2031</v>
      </c>
      <c r="W206">
        <v>1275</v>
      </c>
      <c r="X206">
        <v>701</v>
      </c>
      <c r="Y206">
        <v>244</v>
      </c>
      <c r="Z206">
        <v>366</v>
      </c>
      <c r="AA206">
        <v>1308</v>
      </c>
      <c r="AB206">
        <v>7</v>
      </c>
      <c r="AC206">
        <v>68</v>
      </c>
      <c r="AD206">
        <v>364</v>
      </c>
      <c r="AE206">
        <v>0</v>
      </c>
      <c r="AF206">
        <v>49.449954380000001</v>
      </c>
      <c r="AG206">
        <v>3</v>
      </c>
      <c r="AH206">
        <v>1072</v>
      </c>
      <c r="AI206">
        <v>0</v>
      </c>
      <c r="AJ206">
        <v>0</v>
      </c>
      <c r="AK206">
        <v>2.85229</v>
      </c>
      <c r="AL206">
        <v>1</v>
      </c>
      <c r="AM206">
        <v>0</v>
      </c>
      <c r="AN206">
        <v>1508</v>
      </c>
      <c r="AO206">
        <v>0</v>
      </c>
      <c r="AP206">
        <v>0</v>
      </c>
      <c r="AQ206">
        <v>0</v>
      </c>
    </row>
    <row r="207" spans="1:43" x14ac:dyDescent="0.25">
      <c r="A207">
        <v>204</v>
      </c>
      <c r="B207">
        <v>5</v>
      </c>
      <c r="C207">
        <v>5</v>
      </c>
      <c r="D207">
        <v>2</v>
      </c>
      <c r="E207">
        <v>2128</v>
      </c>
      <c r="F207">
        <v>5688</v>
      </c>
      <c r="G207">
        <v>5786</v>
      </c>
      <c r="H207">
        <v>3349</v>
      </c>
      <c r="I207">
        <v>1707</v>
      </c>
      <c r="J207">
        <v>493</v>
      </c>
      <c r="K207">
        <v>700</v>
      </c>
      <c r="L207">
        <v>388</v>
      </c>
      <c r="M207">
        <v>561</v>
      </c>
      <c r="N207">
        <v>478</v>
      </c>
      <c r="O207">
        <v>206</v>
      </c>
      <c r="P207">
        <v>92.544215960000002</v>
      </c>
      <c r="Q207">
        <v>30.041841430000002</v>
      </c>
      <c r="R207">
        <v>0.238020177</v>
      </c>
      <c r="S207">
        <v>1034</v>
      </c>
      <c r="T207">
        <v>185</v>
      </c>
      <c r="U207">
        <v>589</v>
      </c>
      <c r="V207">
        <v>2576</v>
      </c>
      <c r="W207">
        <v>1488</v>
      </c>
      <c r="X207">
        <v>1275</v>
      </c>
      <c r="Y207">
        <v>141</v>
      </c>
      <c r="Z207">
        <v>211</v>
      </c>
      <c r="AA207">
        <v>466</v>
      </c>
      <c r="AB207">
        <v>4</v>
      </c>
      <c r="AC207">
        <v>65</v>
      </c>
      <c r="AD207">
        <v>147</v>
      </c>
      <c r="AE207">
        <v>0</v>
      </c>
      <c r="AF207">
        <v>0</v>
      </c>
      <c r="AG207">
        <v>3</v>
      </c>
      <c r="AH207">
        <v>0</v>
      </c>
      <c r="AI207">
        <v>58</v>
      </c>
      <c r="AJ207">
        <v>57</v>
      </c>
      <c r="AK207">
        <v>2.4009100000000001</v>
      </c>
      <c r="AL207">
        <v>1</v>
      </c>
      <c r="AM207">
        <v>0</v>
      </c>
      <c r="AN207">
        <v>2128</v>
      </c>
      <c r="AO207">
        <v>98</v>
      </c>
      <c r="AP207">
        <v>0</v>
      </c>
      <c r="AQ207">
        <v>0</v>
      </c>
    </row>
    <row r="208" spans="1:43" x14ac:dyDescent="0.25">
      <c r="A208">
        <v>205</v>
      </c>
      <c r="B208">
        <v>5</v>
      </c>
      <c r="C208">
        <v>5</v>
      </c>
      <c r="D208">
        <v>2</v>
      </c>
      <c r="E208">
        <v>2385</v>
      </c>
      <c r="F208">
        <v>7467</v>
      </c>
      <c r="G208">
        <v>7486</v>
      </c>
      <c r="H208">
        <v>4273</v>
      </c>
      <c r="I208">
        <v>1991</v>
      </c>
      <c r="J208">
        <v>438</v>
      </c>
      <c r="K208">
        <v>439</v>
      </c>
      <c r="L208">
        <v>438</v>
      </c>
      <c r="M208">
        <v>805</v>
      </c>
      <c r="N208">
        <v>705</v>
      </c>
      <c r="O208">
        <v>231</v>
      </c>
      <c r="P208">
        <v>150.26553699999999</v>
      </c>
      <c r="Q208">
        <v>10.42459571</v>
      </c>
      <c r="R208">
        <v>0.24072940900000001</v>
      </c>
      <c r="S208">
        <v>368</v>
      </c>
      <c r="T208">
        <v>224</v>
      </c>
      <c r="U208">
        <v>706</v>
      </c>
      <c r="V208">
        <v>2775</v>
      </c>
      <c r="W208">
        <v>2575</v>
      </c>
      <c r="X208">
        <v>1549</v>
      </c>
      <c r="Y208">
        <v>6</v>
      </c>
      <c r="Z208">
        <v>83</v>
      </c>
      <c r="AA208">
        <v>235</v>
      </c>
      <c r="AB208">
        <v>1</v>
      </c>
      <c r="AC208">
        <v>14</v>
      </c>
      <c r="AD208">
        <v>29</v>
      </c>
      <c r="AE208">
        <v>0</v>
      </c>
      <c r="AF208">
        <v>0</v>
      </c>
      <c r="AG208">
        <v>3</v>
      </c>
      <c r="AH208">
        <v>0</v>
      </c>
      <c r="AI208">
        <v>0</v>
      </c>
      <c r="AJ208">
        <v>0</v>
      </c>
      <c r="AK208">
        <v>1.87215</v>
      </c>
      <c r="AL208">
        <v>1</v>
      </c>
      <c r="AM208">
        <v>0</v>
      </c>
      <c r="AN208">
        <v>2385</v>
      </c>
      <c r="AO208">
        <v>19</v>
      </c>
      <c r="AP208">
        <v>0</v>
      </c>
      <c r="AQ208">
        <v>0</v>
      </c>
    </row>
    <row r="209" spans="1:43" x14ac:dyDescent="0.25">
      <c r="A209">
        <v>206</v>
      </c>
      <c r="B209">
        <v>5</v>
      </c>
      <c r="C209">
        <v>5</v>
      </c>
      <c r="D209">
        <v>2</v>
      </c>
      <c r="E209">
        <v>1323</v>
      </c>
      <c r="F209">
        <v>3628</v>
      </c>
      <c r="G209">
        <v>3628</v>
      </c>
      <c r="H209">
        <v>1861</v>
      </c>
      <c r="I209">
        <v>969</v>
      </c>
      <c r="J209">
        <v>344</v>
      </c>
      <c r="K209">
        <v>299</v>
      </c>
      <c r="L209">
        <v>199</v>
      </c>
      <c r="M209">
        <v>290</v>
      </c>
      <c r="N209">
        <v>538</v>
      </c>
      <c r="O209">
        <v>571</v>
      </c>
      <c r="P209">
        <v>115</v>
      </c>
      <c r="Q209">
        <v>3</v>
      </c>
      <c r="R209">
        <v>0.21452485199999999</v>
      </c>
      <c r="S209">
        <v>191</v>
      </c>
      <c r="T209">
        <v>66</v>
      </c>
      <c r="U209">
        <v>588</v>
      </c>
      <c r="V209">
        <v>1141</v>
      </c>
      <c r="W209">
        <v>1282</v>
      </c>
      <c r="X209">
        <v>637</v>
      </c>
      <c r="Y209">
        <v>2</v>
      </c>
      <c r="Z209">
        <v>59</v>
      </c>
      <c r="AA209">
        <v>95</v>
      </c>
      <c r="AB209">
        <v>0</v>
      </c>
      <c r="AC209">
        <v>6</v>
      </c>
      <c r="AD209">
        <v>29</v>
      </c>
      <c r="AE209">
        <v>0</v>
      </c>
      <c r="AF209">
        <v>0</v>
      </c>
      <c r="AG209">
        <v>3</v>
      </c>
      <c r="AH209">
        <v>0</v>
      </c>
      <c r="AI209">
        <v>0</v>
      </c>
      <c r="AJ209">
        <v>0</v>
      </c>
      <c r="AK209">
        <v>1.5617799999999999</v>
      </c>
      <c r="AL209">
        <v>1</v>
      </c>
      <c r="AM209">
        <v>0</v>
      </c>
      <c r="AN209">
        <v>1323</v>
      </c>
      <c r="AO209">
        <v>0</v>
      </c>
      <c r="AP209">
        <v>0</v>
      </c>
      <c r="AQ209">
        <v>0</v>
      </c>
    </row>
    <row r="210" spans="1:43" x14ac:dyDescent="0.25">
      <c r="A210">
        <v>207</v>
      </c>
      <c r="B210">
        <v>5</v>
      </c>
      <c r="C210">
        <v>5</v>
      </c>
      <c r="D210">
        <v>2</v>
      </c>
      <c r="E210">
        <v>1059</v>
      </c>
      <c r="F210">
        <v>3600</v>
      </c>
      <c r="G210">
        <v>3600</v>
      </c>
      <c r="H210">
        <v>1936</v>
      </c>
      <c r="I210">
        <v>880</v>
      </c>
      <c r="J210">
        <v>185</v>
      </c>
      <c r="K210">
        <v>294</v>
      </c>
      <c r="L210">
        <v>252</v>
      </c>
      <c r="M210">
        <v>242</v>
      </c>
      <c r="N210">
        <v>275</v>
      </c>
      <c r="O210">
        <v>280</v>
      </c>
      <c r="P210">
        <v>87.802848740000002</v>
      </c>
      <c r="Q210">
        <v>111.49700249999999</v>
      </c>
      <c r="R210">
        <v>0.22091380099999999</v>
      </c>
      <c r="S210">
        <v>933</v>
      </c>
      <c r="T210">
        <v>160</v>
      </c>
      <c r="U210">
        <v>724</v>
      </c>
      <c r="V210">
        <v>1412</v>
      </c>
      <c r="W210">
        <v>1137</v>
      </c>
      <c r="X210">
        <v>661</v>
      </c>
      <c r="Y210">
        <v>53</v>
      </c>
      <c r="Z210">
        <v>118</v>
      </c>
      <c r="AA210">
        <v>310</v>
      </c>
      <c r="AB210">
        <v>2</v>
      </c>
      <c r="AC210">
        <v>417</v>
      </c>
      <c r="AD210">
        <v>33</v>
      </c>
      <c r="AE210">
        <v>0</v>
      </c>
      <c r="AF210">
        <v>0</v>
      </c>
      <c r="AG210">
        <v>3</v>
      </c>
      <c r="AH210">
        <v>0</v>
      </c>
      <c r="AI210">
        <v>0</v>
      </c>
      <c r="AJ210">
        <v>0</v>
      </c>
      <c r="AK210">
        <v>1.5712299999999999</v>
      </c>
      <c r="AL210">
        <v>1</v>
      </c>
      <c r="AM210">
        <v>0</v>
      </c>
      <c r="AN210">
        <v>1059</v>
      </c>
      <c r="AO210">
        <v>0</v>
      </c>
      <c r="AP210">
        <v>0</v>
      </c>
      <c r="AQ210">
        <v>0</v>
      </c>
    </row>
    <row r="211" spans="1:43" x14ac:dyDescent="0.25">
      <c r="A211">
        <v>208</v>
      </c>
      <c r="B211">
        <v>5</v>
      </c>
      <c r="C211">
        <v>5</v>
      </c>
      <c r="D211">
        <v>2</v>
      </c>
      <c r="E211">
        <v>2094</v>
      </c>
      <c r="F211">
        <v>5033</v>
      </c>
      <c r="G211">
        <v>5053</v>
      </c>
      <c r="H211">
        <v>2494</v>
      </c>
      <c r="I211">
        <v>1441</v>
      </c>
      <c r="J211">
        <v>706</v>
      </c>
      <c r="K211">
        <v>411</v>
      </c>
      <c r="L211">
        <v>407</v>
      </c>
      <c r="M211">
        <v>373</v>
      </c>
      <c r="N211">
        <v>907</v>
      </c>
      <c r="O211">
        <v>3702</v>
      </c>
      <c r="P211">
        <v>379.35224929999998</v>
      </c>
      <c r="Q211">
        <v>1739.547579</v>
      </c>
      <c r="R211">
        <v>0.21352657</v>
      </c>
      <c r="S211">
        <v>7484</v>
      </c>
      <c r="T211">
        <v>273</v>
      </c>
      <c r="U211">
        <v>815</v>
      </c>
      <c r="V211">
        <v>1445</v>
      </c>
      <c r="W211">
        <v>1552</v>
      </c>
      <c r="X211">
        <v>868</v>
      </c>
      <c r="Y211">
        <v>447</v>
      </c>
      <c r="Z211">
        <v>2698</v>
      </c>
      <c r="AA211">
        <v>1022</v>
      </c>
      <c r="AB211">
        <v>46</v>
      </c>
      <c r="AC211">
        <v>2591</v>
      </c>
      <c r="AD211">
        <v>680</v>
      </c>
      <c r="AE211">
        <v>0</v>
      </c>
      <c r="AF211">
        <v>0</v>
      </c>
      <c r="AG211">
        <v>4</v>
      </c>
      <c r="AH211">
        <v>0</v>
      </c>
      <c r="AI211">
        <v>0</v>
      </c>
      <c r="AJ211">
        <v>0</v>
      </c>
      <c r="AK211">
        <v>1.3980399999999999</v>
      </c>
      <c r="AL211">
        <v>1</v>
      </c>
      <c r="AM211">
        <v>0</v>
      </c>
      <c r="AN211">
        <v>2094</v>
      </c>
      <c r="AO211">
        <v>20</v>
      </c>
      <c r="AP211">
        <v>0</v>
      </c>
      <c r="AQ211">
        <v>0</v>
      </c>
    </row>
    <row r="212" spans="1:43" x14ac:dyDescent="0.25">
      <c r="A212">
        <v>209</v>
      </c>
      <c r="B212">
        <v>5</v>
      </c>
      <c r="C212">
        <v>5</v>
      </c>
      <c r="D212">
        <v>2</v>
      </c>
      <c r="E212">
        <v>2603</v>
      </c>
      <c r="F212">
        <v>7654</v>
      </c>
      <c r="G212">
        <v>7684</v>
      </c>
      <c r="H212">
        <v>4049</v>
      </c>
      <c r="I212">
        <v>2386</v>
      </c>
      <c r="J212">
        <v>209</v>
      </c>
      <c r="K212">
        <v>288</v>
      </c>
      <c r="L212">
        <v>669</v>
      </c>
      <c r="M212">
        <v>664</v>
      </c>
      <c r="N212">
        <v>984</v>
      </c>
      <c r="O212">
        <v>866</v>
      </c>
      <c r="P212">
        <v>378.15807439999998</v>
      </c>
      <c r="Q212">
        <v>51</v>
      </c>
      <c r="R212">
        <v>0.25219185100000002</v>
      </c>
      <c r="S212">
        <v>520</v>
      </c>
      <c r="T212">
        <v>302</v>
      </c>
      <c r="U212">
        <v>1024</v>
      </c>
      <c r="V212">
        <v>2333</v>
      </c>
      <c r="W212">
        <v>2158</v>
      </c>
      <c r="X212">
        <v>1599</v>
      </c>
      <c r="Y212">
        <v>8</v>
      </c>
      <c r="Z212">
        <v>96</v>
      </c>
      <c r="AA212">
        <v>318</v>
      </c>
      <c r="AB212">
        <v>1</v>
      </c>
      <c r="AC212">
        <v>44</v>
      </c>
      <c r="AD212">
        <v>53</v>
      </c>
      <c r="AE212">
        <v>0</v>
      </c>
      <c r="AF212">
        <v>0</v>
      </c>
      <c r="AG212">
        <v>4</v>
      </c>
      <c r="AH212">
        <v>0</v>
      </c>
      <c r="AI212">
        <v>0</v>
      </c>
      <c r="AJ212">
        <v>0</v>
      </c>
      <c r="AK212">
        <v>1.26416</v>
      </c>
      <c r="AL212">
        <v>1</v>
      </c>
      <c r="AM212">
        <v>0</v>
      </c>
      <c r="AN212">
        <v>2603</v>
      </c>
      <c r="AO212">
        <v>30</v>
      </c>
      <c r="AP212">
        <v>0</v>
      </c>
      <c r="AQ212">
        <v>0</v>
      </c>
    </row>
    <row r="213" spans="1:43" x14ac:dyDescent="0.25">
      <c r="A213">
        <v>210</v>
      </c>
      <c r="B213">
        <v>5</v>
      </c>
      <c r="C213">
        <v>5</v>
      </c>
      <c r="D213">
        <v>2</v>
      </c>
      <c r="E213">
        <v>1075</v>
      </c>
      <c r="F213">
        <v>3453</v>
      </c>
      <c r="G213">
        <v>3453</v>
      </c>
      <c r="H213">
        <v>1783</v>
      </c>
      <c r="I213">
        <v>603</v>
      </c>
      <c r="J213">
        <v>472</v>
      </c>
      <c r="K213">
        <v>347</v>
      </c>
      <c r="L213">
        <v>312</v>
      </c>
      <c r="M213">
        <v>256</v>
      </c>
      <c r="N213">
        <v>160</v>
      </c>
      <c r="O213">
        <v>121</v>
      </c>
      <c r="P213">
        <v>72.075159889999995</v>
      </c>
      <c r="Q213">
        <v>20.13570322</v>
      </c>
      <c r="R213">
        <v>0.160377358</v>
      </c>
      <c r="S213">
        <v>608</v>
      </c>
      <c r="T213">
        <v>145</v>
      </c>
      <c r="U213">
        <v>723</v>
      </c>
      <c r="V213">
        <v>1247</v>
      </c>
      <c r="W213">
        <v>936</v>
      </c>
      <c r="X213">
        <v>502</v>
      </c>
      <c r="Y213">
        <v>70</v>
      </c>
      <c r="Z213">
        <v>70</v>
      </c>
      <c r="AA213">
        <v>193</v>
      </c>
      <c r="AB213">
        <v>1</v>
      </c>
      <c r="AC213">
        <v>151</v>
      </c>
      <c r="AD213">
        <v>123</v>
      </c>
      <c r="AE213">
        <v>0</v>
      </c>
      <c r="AF213">
        <v>0</v>
      </c>
      <c r="AG213">
        <v>3</v>
      </c>
      <c r="AH213">
        <v>0</v>
      </c>
      <c r="AI213">
        <v>0</v>
      </c>
      <c r="AJ213">
        <v>0</v>
      </c>
      <c r="AK213">
        <v>2.0599599999999998</v>
      </c>
      <c r="AL213">
        <v>1</v>
      </c>
      <c r="AM213">
        <v>0</v>
      </c>
      <c r="AN213">
        <v>1075</v>
      </c>
      <c r="AO213">
        <v>0</v>
      </c>
      <c r="AP213">
        <v>0</v>
      </c>
      <c r="AQ213">
        <v>0</v>
      </c>
    </row>
    <row r="214" spans="1:43" x14ac:dyDescent="0.25">
      <c r="A214">
        <v>211</v>
      </c>
      <c r="B214">
        <v>5</v>
      </c>
      <c r="C214">
        <v>5</v>
      </c>
      <c r="D214">
        <v>2</v>
      </c>
      <c r="E214">
        <v>2878</v>
      </c>
      <c r="F214">
        <v>7388</v>
      </c>
      <c r="G214">
        <v>7514</v>
      </c>
      <c r="H214">
        <v>4187</v>
      </c>
      <c r="I214">
        <v>1310</v>
      </c>
      <c r="J214">
        <v>1618</v>
      </c>
      <c r="K214">
        <v>758</v>
      </c>
      <c r="L214">
        <v>1147</v>
      </c>
      <c r="M214">
        <v>410</v>
      </c>
      <c r="N214">
        <v>564</v>
      </c>
      <c r="O214">
        <v>232</v>
      </c>
      <c r="P214">
        <v>132.89775299999999</v>
      </c>
      <c r="Q214">
        <v>30.7627767</v>
      </c>
      <c r="R214">
        <v>0.17056813900000001</v>
      </c>
      <c r="S214">
        <v>1808</v>
      </c>
      <c r="T214">
        <v>510</v>
      </c>
      <c r="U214">
        <v>1278</v>
      </c>
      <c r="V214">
        <v>2940</v>
      </c>
      <c r="W214">
        <v>1927</v>
      </c>
      <c r="X214">
        <v>911</v>
      </c>
      <c r="Y214">
        <v>233</v>
      </c>
      <c r="Z214">
        <v>439</v>
      </c>
      <c r="AA214">
        <v>698</v>
      </c>
      <c r="AB214">
        <v>2</v>
      </c>
      <c r="AC214">
        <v>248</v>
      </c>
      <c r="AD214">
        <v>188</v>
      </c>
      <c r="AE214">
        <v>0</v>
      </c>
      <c r="AF214">
        <v>49.449954380000001</v>
      </c>
      <c r="AG214">
        <v>2</v>
      </c>
      <c r="AH214">
        <v>0</v>
      </c>
      <c r="AI214">
        <v>0</v>
      </c>
      <c r="AJ214">
        <v>0</v>
      </c>
      <c r="AK214">
        <v>2.4573299999999998</v>
      </c>
      <c r="AL214">
        <v>1</v>
      </c>
      <c r="AM214">
        <v>0</v>
      </c>
      <c r="AN214">
        <v>2878</v>
      </c>
      <c r="AO214">
        <v>126</v>
      </c>
      <c r="AP214">
        <v>0</v>
      </c>
      <c r="AQ214">
        <v>0</v>
      </c>
    </row>
    <row r="215" spans="1:43" x14ac:dyDescent="0.25">
      <c r="A215">
        <v>212</v>
      </c>
      <c r="B215">
        <v>5</v>
      </c>
      <c r="C215">
        <v>5</v>
      </c>
      <c r="D215">
        <v>2</v>
      </c>
      <c r="E215">
        <v>1289</v>
      </c>
      <c r="F215">
        <v>4010</v>
      </c>
      <c r="G215">
        <v>4045</v>
      </c>
      <c r="H215">
        <v>2412</v>
      </c>
      <c r="I215">
        <v>1085</v>
      </c>
      <c r="J215">
        <v>155</v>
      </c>
      <c r="K215">
        <v>310</v>
      </c>
      <c r="L215">
        <v>151</v>
      </c>
      <c r="M215">
        <v>297</v>
      </c>
      <c r="N215">
        <v>529</v>
      </c>
      <c r="O215">
        <v>2734</v>
      </c>
      <c r="P215">
        <v>192.87688439999999</v>
      </c>
      <c r="Q215">
        <v>1855.842533</v>
      </c>
      <c r="R215">
        <v>0.163385381</v>
      </c>
      <c r="S215">
        <v>40159</v>
      </c>
      <c r="T215">
        <v>167</v>
      </c>
      <c r="U215">
        <v>744</v>
      </c>
      <c r="V215">
        <v>1338</v>
      </c>
      <c r="W215">
        <v>1428</v>
      </c>
      <c r="X215">
        <v>567</v>
      </c>
      <c r="Y215">
        <v>1061</v>
      </c>
      <c r="Z215">
        <v>11878</v>
      </c>
      <c r="AA215">
        <v>4810</v>
      </c>
      <c r="AB215">
        <v>284</v>
      </c>
      <c r="AC215">
        <v>19317</v>
      </c>
      <c r="AD215">
        <v>2809</v>
      </c>
      <c r="AE215">
        <v>0</v>
      </c>
      <c r="AF215">
        <v>0</v>
      </c>
      <c r="AG215">
        <v>3</v>
      </c>
      <c r="AH215">
        <v>1239</v>
      </c>
      <c r="AI215">
        <v>0</v>
      </c>
      <c r="AJ215">
        <v>0</v>
      </c>
      <c r="AK215">
        <v>1.5560099999999999</v>
      </c>
      <c r="AL215">
        <v>2</v>
      </c>
      <c r="AM215">
        <v>0</v>
      </c>
      <c r="AN215">
        <v>1289</v>
      </c>
      <c r="AO215">
        <v>35</v>
      </c>
      <c r="AP215">
        <v>0</v>
      </c>
      <c r="AQ215">
        <v>0</v>
      </c>
    </row>
    <row r="216" spans="1:43" x14ac:dyDescent="0.25">
      <c r="A216">
        <v>213</v>
      </c>
      <c r="B216">
        <v>5</v>
      </c>
      <c r="C216">
        <v>5</v>
      </c>
      <c r="D216">
        <v>2</v>
      </c>
      <c r="E216">
        <v>2797</v>
      </c>
      <c r="F216">
        <v>7010</v>
      </c>
      <c r="G216">
        <v>7051</v>
      </c>
      <c r="H216">
        <v>3683</v>
      </c>
      <c r="I216">
        <v>1835</v>
      </c>
      <c r="J216">
        <v>790</v>
      </c>
      <c r="K216">
        <v>601</v>
      </c>
      <c r="L216">
        <v>636</v>
      </c>
      <c r="M216">
        <v>726</v>
      </c>
      <c r="N216">
        <v>835</v>
      </c>
      <c r="O216">
        <v>661</v>
      </c>
      <c r="P216">
        <v>281</v>
      </c>
      <c r="Q216">
        <v>45.75174741</v>
      </c>
      <c r="R216">
        <v>0.26388161300000001</v>
      </c>
      <c r="S216">
        <v>1121</v>
      </c>
      <c r="T216">
        <v>291</v>
      </c>
      <c r="U216">
        <v>934</v>
      </c>
      <c r="V216">
        <v>2511</v>
      </c>
      <c r="W216">
        <v>1858</v>
      </c>
      <c r="X216">
        <v>1736</v>
      </c>
      <c r="Y216">
        <v>117</v>
      </c>
      <c r="Z216">
        <v>118</v>
      </c>
      <c r="AA216">
        <v>772</v>
      </c>
      <c r="AB216">
        <v>1</v>
      </c>
      <c r="AC216">
        <v>24</v>
      </c>
      <c r="AD216">
        <v>89</v>
      </c>
      <c r="AE216">
        <v>0</v>
      </c>
      <c r="AF216">
        <v>0</v>
      </c>
      <c r="AG216">
        <v>4</v>
      </c>
      <c r="AH216">
        <v>130</v>
      </c>
      <c r="AI216">
        <v>0</v>
      </c>
      <c r="AJ216">
        <v>0</v>
      </c>
      <c r="AK216">
        <v>1.49762</v>
      </c>
      <c r="AL216">
        <v>1</v>
      </c>
      <c r="AM216">
        <v>0</v>
      </c>
      <c r="AN216">
        <v>2797</v>
      </c>
      <c r="AO216">
        <v>41</v>
      </c>
      <c r="AP216">
        <v>0</v>
      </c>
      <c r="AQ216">
        <v>0</v>
      </c>
    </row>
    <row r="217" spans="1:43" x14ac:dyDescent="0.25">
      <c r="A217">
        <v>214</v>
      </c>
      <c r="B217">
        <v>5</v>
      </c>
      <c r="C217">
        <v>5</v>
      </c>
      <c r="D217">
        <v>2</v>
      </c>
      <c r="E217">
        <v>2215</v>
      </c>
      <c r="F217">
        <v>5983</v>
      </c>
      <c r="G217">
        <v>6080</v>
      </c>
      <c r="H217">
        <v>3422</v>
      </c>
      <c r="I217">
        <v>2131</v>
      </c>
      <c r="J217">
        <v>24</v>
      </c>
      <c r="K217">
        <v>370</v>
      </c>
      <c r="L217">
        <v>563</v>
      </c>
      <c r="M217">
        <v>635</v>
      </c>
      <c r="N217">
        <v>644</v>
      </c>
      <c r="O217">
        <v>449</v>
      </c>
      <c r="P217">
        <v>270</v>
      </c>
      <c r="Q217">
        <v>37.129124390000001</v>
      </c>
      <c r="R217">
        <v>0.22944145899999999</v>
      </c>
      <c r="S217">
        <v>880</v>
      </c>
      <c r="T217">
        <v>342</v>
      </c>
      <c r="U217">
        <v>711</v>
      </c>
      <c r="V217">
        <v>2058</v>
      </c>
      <c r="W217">
        <v>1820</v>
      </c>
      <c r="X217">
        <v>957</v>
      </c>
      <c r="Y217">
        <v>84</v>
      </c>
      <c r="Z217">
        <v>122</v>
      </c>
      <c r="AA217">
        <v>363</v>
      </c>
      <c r="AB217">
        <v>1</v>
      </c>
      <c r="AC217">
        <v>30</v>
      </c>
      <c r="AD217">
        <v>280</v>
      </c>
      <c r="AE217">
        <v>0</v>
      </c>
      <c r="AF217">
        <v>0</v>
      </c>
      <c r="AG217">
        <v>4</v>
      </c>
      <c r="AH217">
        <v>0</v>
      </c>
      <c r="AI217">
        <v>0</v>
      </c>
      <c r="AJ217">
        <v>0</v>
      </c>
      <c r="AK217">
        <v>1.37625</v>
      </c>
      <c r="AL217">
        <v>1</v>
      </c>
      <c r="AM217">
        <v>0</v>
      </c>
      <c r="AN217">
        <v>2215</v>
      </c>
      <c r="AO217">
        <v>97</v>
      </c>
      <c r="AP217">
        <v>0</v>
      </c>
      <c r="AQ217">
        <v>0</v>
      </c>
    </row>
    <row r="218" spans="1:43" x14ac:dyDescent="0.25">
      <c r="A218">
        <v>215</v>
      </c>
      <c r="B218">
        <v>5</v>
      </c>
      <c r="C218">
        <v>5</v>
      </c>
      <c r="D218">
        <v>2</v>
      </c>
      <c r="E218">
        <v>2056</v>
      </c>
      <c r="F218">
        <v>5846</v>
      </c>
      <c r="G218">
        <v>5870</v>
      </c>
      <c r="H218">
        <v>3044</v>
      </c>
      <c r="I218">
        <v>1021</v>
      </c>
      <c r="J218">
        <v>956</v>
      </c>
      <c r="K218">
        <v>398</v>
      </c>
      <c r="L218">
        <v>559</v>
      </c>
      <c r="M218">
        <v>569</v>
      </c>
      <c r="N218">
        <v>527</v>
      </c>
      <c r="O218">
        <v>261.39999999999998</v>
      </c>
      <c r="P218">
        <v>167.95947530000001</v>
      </c>
      <c r="Q218">
        <v>33</v>
      </c>
      <c r="R218">
        <v>0.154092072</v>
      </c>
      <c r="S218">
        <v>479</v>
      </c>
      <c r="T218">
        <v>202</v>
      </c>
      <c r="U218">
        <v>1237</v>
      </c>
      <c r="V218">
        <v>2071</v>
      </c>
      <c r="W218">
        <v>1830</v>
      </c>
      <c r="X218">
        <v>663</v>
      </c>
      <c r="Y218">
        <v>63</v>
      </c>
      <c r="Z218">
        <v>147</v>
      </c>
      <c r="AA218">
        <v>258</v>
      </c>
      <c r="AB218">
        <v>0</v>
      </c>
      <c r="AC218">
        <v>4</v>
      </c>
      <c r="AD218">
        <v>7</v>
      </c>
      <c r="AE218">
        <v>0</v>
      </c>
      <c r="AF218">
        <v>0</v>
      </c>
      <c r="AG218">
        <v>4</v>
      </c>
      <c r="AH218">
        <v>0</v>
      </c>
      <c r="AI218">
        <v>0</v>
      </c>
      <c r="AJ218">
        <v>0</v>
      </c>
      <c r="AK218">
        <v>1.8341499999999999</v>
      </c>
      <c r="AL218">
        <v>1</v>
      </c>
      <c r="AM218">
        <v>0</v>
      </c>
      <c r="AN218">
        <v>2056</v>
      </c>
      <c r="AO218">
        <v>24</v>
      </c>
      <c r="AP218">
        <v>0</v>
      </c>
      <c r="AQ218">
        <v>0</v>
      </c>
    </row>
    <row r="219" spans="1:43" x14ac:dyDescent="0.25">
      <c r="A219">
        <v>216</v>
      </c>
      <c r="B219">
        <v>5</v>
      </c>
      <c r="C219">
        <v>5</v>
      </c>
      <c r="D219">
        <v>2</v>
      </c>
      <c r="E219">
        <v>1422</v>
      </c>
      <c r="F219">
        <v>3410</v>
      </c>
      <c r="G219">
        <v>3421</v>
      </c>
      <c r="H219">
        <v>1945</v>
      </c>
      <c r="I219">
        <v>861</v>
      </c>
      <c r="J219">
        <v>545</v>
      </c>
      <c r="K219">
        <v>323</v>
      </c>
      <c r="L219">
        <v>278</v>
      </c>
      <c r="M219">
        <v>397</v>
      </c>
      <c r="N219">
        <v>428</v>
      </c>
      <c r="O219">
        <v>267.2</v>
      </c>
      <c r="P219">
        <v>79.798794180000002</v>
      </c>
      <c r="Q219">
        <v>105.14452319999999</v>
      </c>
      <c r="R219">
        <v>0.170584862</v>
      </c>
      <c r="S219">
        <v>3335</v>
      </c>
      <c r="T219">
        <v>56</v>
      </c>
      <c r="U219">
        <v>592</v>
      </c>
      <c r="V219">
        <v>1042</v>
      </c>
      <c r="W219">
        <v>1186</v>
      </c>
      <c r="X219">
        <v>457</v>
      </c>
      <c r="Y219">
        <v>111</v>
      </c>
      <c r="Z219">
        <v>70</v>
      </c>
      <c r="AA219">
        <v>3052</v>
      </c>
      <c r="AB219">
        <v>1</v>
      </c>
      <c r="AC219">
        <v>33</v>
      </c>
      <c r="AD219">
        <v>68</v>
      </c>
      <c r="AE219">
        <v>0</v>
      </c>
      <c r="AF219">
        <v>0</v>
      </c>
      <c r="AG219">
        <v>3</v>
      </c>
      <c r="AH219">
        <v>1053</v>
      </c>
      <c r="AI219">
        <v>0</v>
      </c>
      <c r="AJ219">
        <v>0</v>
      </c>
      <c r="AK219">
        <v>1.7844500000000001</v>
      </c>
      <c r="AL219">
        <v>1</v>
      </c>
      <c r="AM219">
        <v>0</v>
      </c>
      <c r="AN219">
        <v>1422</v>
      </c>
      <c r="AO219">
        <v>11</v>
      </c>
      <c r="AP219">
        <v>0</v>
      </c>
      <c r="AQ219">
        <v>0</v>
      </c>
    </row>
    <row r="220" spans="1:43" x14ac:dyDescent="0.25">
      <c r="A220">
        <v>217</v>
      </c>
      <c r="B220">
        <v>5</v>
      </c>
      <c r="C220">
        <v>5</v>
      </c>
      <c r="D220">
        <v>2</v>
      </c>
      <c r="E220">
        <v>1322</v>
      </c>
      <c r="F220">
        <v>4100</v>
      </c>
      <c r="G220">
        <v>4200</v>
      </c>
      <c r="H220">
        <v>2223</v>
      </c>
      <c r="I220">
        <v>1227</v>
      </c>
      <c r="J220">
        <v>21</v>
      </c>
      <c r="K220">
        <v>129</v>
      </c>
      <c r="L220">
        <v>213</v>
      </c>
      <c r="M220">
        <v>371</v>
      </c>
      <c r="N220">
        <v>613</v>
      </c>
      <c r="O220">
        <v>280</v>
      </c>
      <c r="P220">
        <v>169</v>
      </c>
      <c r="Q220">
        <v>22</v>
      </c>
      <c r="R220">
        <v>0.209906708</v>
      </c>
      <c r="S220">
        <v>437</v>
      </c>
      <c r="T220">
        <v>252</v>
      </c>
      <c r="U220">
        <v>714</v>
      </c>
      <c r="V220">
        <v>1420</v>
      </c>
      <c r="W220">
        <v>1097</v>
      </c>
      <c r="X220">
        <v>822</v>
      </c>
      <c r="Y220">
        <v>47</v>
      </c>
      <c r="Z220">
        <v>65</v>
      </c>
      <c r="AA220">
        <v>266</v>
      </c>
      <c r="AB220">
        <v>1</v>
      </c>
      <c r="AC220">
        <v>9</v>
      </c>
      <c r="AD220">
        <v>49</v>
      </c>
      <c r="AE220">
        <v>0</v>
      </c>
      <c r="AF220">
        <v>0</v>
      </c>
      <c r="AG220">
        <v>4</v>
      </c>
      <c r="AH220">
        <v>0</v>
      </c>
      <c r="AI220">
        <v>387</v>
      </c>
      <c r="AJ220">
        <v>0</v>
      </c>
      <c r="AK220">
        <v>2.0548500000000001</v>
      </c>
      <c r="AL220">
        <v>1</v>
      </c>
      <c r="AM220">
        <v>0</v>
      </c>
      <c r="AN220">
        <v>1322</v>
      </c>
      <c r="AO220">
        <v>100</v>
      </c>
      <c r="AP220">
        <v>0</v>
      </c>
      <c r="AQ220">
        <v>0</v>
      </c>
    </row>
    <row r="221" spans="1:43" x14ac:dyDescent="0.25">
      <c r="A221">
        <v>218</v>
      </c>
      <c r="B221">
        <v>5</v>
      </c>
      <c r="C221">
        <v>5</v>
      </c>
      <c r="D221">
        <v>2</v>
      </c>
      <c r="E221">
        <v>1479</v>
      </c>
      <c r="F221">
        <v>4074</v>
      </c>
      <c r="G221">
        <v>4104</v>
      </c>
      <c r="H221">
        <v>2006</v>
      </c>
      <c r="I221">
        <v>924</v>
      </c>
      <c r="J221">
        <v>497</v>
      </c>
      <c r="K221">
        <v>435</v>
      </c>
      <c r="L221">
        <v>378</v>
      </c>
      <c r="M221">
        <v>246</v>
      </c>
      <c r="N221">
        <v>419</v>
      </c>
      <c r="O221">
        <v>217</v>
      </c>
      <c r="P221">
        <v>120</v>
      </c>
      <c r="Q221">
        <v>12</v>
      </c>
      <c r="R221">
        <v>0.28058540999999998</v>
      </c>
      <c r="S221">
        <v>1908</v>
      </c>
      <c r="T221">
        <v>299</v>
      </c>
      <c r="U221">
        <v>477</v>
      </c>
      <c r="V221">
        <v>1499</v>
      </c>
      <c r="W221">
        <v>897</v>
      </c>
      <c r="X221">
        <v>1041</v>
      </c>
      <c r="Y221">
        <v>247</v>
      </c>
      <c r="Z221">
        <v>373</v>
      </c>
      <c r="AA221">
        <v>1151</v>
      </c>
      <c r="AB221">
        <v>2</v>
      </c>
      <c r="AC221">
        <v>40</v>
      </c>
      <c r="AD221">
        <v>95</v>
      </c>
      <c r="AE221">
        <v>0</v>
      </c>
      <c r="AF221">
        <v>49.449954380000001</v>
      </c>
      <c r="AG221">
        <v>3</v>
      </c>
      <c r="AH221">
        <v>0</v>
      </c>
      <c r="AI221">
        <v>0</v>
      </c>
      <c r="AJ221">
        <v>0</v>
      </c>
      <c r="AK221">
        <v>1.67272</v>
      </c>
      <c r="AL221">
        <v>1</v>
      </c>
      <c r="AM221">
        <v>0</v>
      </c>
      <c r="AN221">
        <v>1479</v>
      </c>
      <c r="AO221">
        <v>30</v>
      </c>
      <c r="AP221">
        <v>0</v>
      </c>
      <c r="AQ221">
        <v>0</v>
      </c>
    </row>
    <row r="222" spans="1:43" x14ac:dyDescent="0.25">
      <c r="A222">
        <v>219</v>
      </c>
      <c r="B222">
        <v>5</v>
      </c>
      <c r="C222">
        <v>5</v>
      </c>
      <c r="D222">
        <v>2</v>
      </c>
      <c r="E222">
        <v>2060</v>
      </c>
      <c r="F222">
        <v>6448</v>
      </c>
      <c r="G222">
        <v>6462</v>
      </c>
      <c r="H222">
        <v>3328</v>
      </c>
      <c r="I222">
        <v>1880</v>
      </c>
      <c r="J222">
        <v>97</v>
      </c>
      <c r="K222">
        <v>372</v>
      </c>
      <c r="L222">
        <v>411</v>
      </c>
      <c r="M222">
        <v>496</v>
      </c>
      <c r="N222">
        <v>780</v>
      </c>
      <c r="O222">
        <v>239</v>
      </c>
      <c r="P222">
        <v>154</v>
      </c>
      <c r="Q222">
        <v>12</v>
      </c>
      <c r="R222">
        <v>0.29864983899999997</v>
      </c>
      <c r="S222">
        <v>424</v>
      </c>
      <c r="T222">
        <v>303</v>
      </c>
      <c r="U222">
        <v>818</v>
      </c>
      <c r="V222">
        <v>2069</v>
      </c>
      <c r="W222">
        <v>1635</v>
      </c>
      <c r="X222">
        <v>1711</v>
      </c>
      <c r="Y222">
        <v>83</v>
      </c>
      <c r="Z222">
        <v>60</v>
      </c>
      <c r="AA222">
        <v>236</v>
      </c>
      <c r="AB222">
        <v>1</v>
      </c>
      <c r="AC222">
        <v>12</v>
      </c>
      <c r="AD222">
        <v>32</v>
      </c>
      <c r="AE222">
        <v>0</v>
      </c>
      <c r="AF222">
        <v>0</v>
      </c>
      <c r="AG222">
        <v>3</v>
      </c>
      <c r="AH222">
        <v>0</v>
      </c>
      <c r="AI222">
        <v>0</v>
      </c>
      <c r="AJ222">
        <v>0</v>
      </c>
      <c r="AK222">
        <v>1.74305</v>
      </c>
      <c r="AL222">
        <v>1</v>
      </c>
      <c r="AM222">
        <v>0</v>
      </c>
      <c r="AN222">
        <v>2060</v>
      </c>
      <c r="AO222">
        <v>14</v>
      </c>
      <c r="AP222">
        <v>0</v>
      </c>
      <c r="AQ222">
        <v>0</v>
      </c>
    </row>
    <row r="223" spans="1:43" x14ac:dyDescent="0.25">
      <c r="A223">
        <v>220</v>
      </c>
      <c r="B223">
        <v>5</v>
      </c>
      <c r="C223">
        <v>5</v>
      </c>
      <c r="D223">
        <v>2</v>
      </c>
      <c r="E223">
        <v>1902</v>
      </c>
      <c r="F223">
        <v>5383</v>
      </c>
      <c r="G223">
        <v>5414</v>
      </c>
      <c r="H223">
        <v>3206</v>
      </c>
      <c r="I223">
        <v>1258</v>
      </c>
      <c r="J223">
        <v>531</v>
      </c>
      <c r="K223">
        <v>374</v>
      </c>
      <c r="L223">
        <v>355</v>
      </c>
      <c r="M223">
        <v>535</v>
      </c>
      <c r="N223">
        <v>644</v>
      </c>
      <c r="O223">
        <v>449</v>
      </c>
      <c r="P223">
        <v>194.4945769</v>
      </c>
      <c r="Q223">
        <v>87.488967639999998</v>
      </c>
      <c r="R223">
        <v>0.16256854800000001</v>
      </c>
      <c r="S223">
        <v>424</v>
      </c>
      <c r="T223">
        <v>218</v>
      </c>
      <c r="U223">
        <v>896</v>
      </c>
      <c r="V223">
        <v>2146</v>
      </c>
      <c r="W223">
        <v>1446</v>
      </c>
      <c r="X223">
        <v>708</v>
      </c>
      <c r="Y223">
        <v>11</v>
      </c>
      <c r="Z223">
        <v>77</v>
      </c>
      <c r="AA223">
        <v>279</v>
      </c>
      <c r="AB223">
        <v>1</v>
      </c>
      <c r="AC223">
        <v>15</v>
      </c>
      <c r="AD223">
        <v>41</v>
      </c>
      <c r="AE223">
        <v>0</v>
      </c>
      <c r="AF223">
        <v>0</v>
      </c>
      <c r="AG223">
        <v>4</v>
      </c>
      <c r="AH223">
        <v>0</v>
      </c>
      <c r="AI223">
        <v>0</v>
      </c>
      <c r="AJ223">
        <v>0</v>
      </c>
      <c r="AK223">
        <v>1.34304</v>
      </c>
      <c r="AL223">
        <v>1</v>
      </c>
      <c r="AM223">
        <v>0</v>
      </c>
      <c r="AN223">
        <v>1902</v>
      </c>
      <c r="AO223">
        <v>31</v>
      </c>
      <c r="AP223">
        <v>0</v>
      </c>
      <c r="AQ223">
        <v>0</v>
      </c>
    </row>
    <row r="224" spans="1:43" x14ac:dyDescent="0.25">
      <c r="A224">
        <v>221</v>
      </c>
      <c r="B224">
        <v>5</v>
      </c>
      <c r="C224">
        <v>5</v>
      </c>
      <c r="D224">
        <v>2</v>
      </c>
      <c r="E224">
        <v>1531</v>
      </c>
      <c r="F224">
        <v>4628</v>
      </c>
      <c r="G224">
        <v>4628</v>
      </c>
      <c r="H224">
        <v>2516</v>
      </c>
      <c r="I224">
        <v>1094</v>
      </c>
      <c r="J224">
        <v>325</v>
      </c>
      <c r="K224">
        <v>289</v>
      </c>
      <c r="L224">
        <v>224</v>
      </c>
      <c r="M224">
        <v>377</v>
      </c>
      <c r="N224">
        <v>640</v>
      </c>
      <c r="O224">
        <v>305</v>
      </c>
      <c r="P224">
        <v>156</v>
      </c>
      <c r="Q224">
        <v>36</v>
      </c>
      <c r="R224">
        <v>0.23067357499999999</v>
      </c>
      <c r="S224">
        <v>297</v>
      </c>
      <c r="T224">
        <v>270</v>
      </c>
      <c r="U224">
        <v>731</v>
      </c>
      <c r="V224">
        <v>1386</v>
      </c>
      <c r="W224">
        <v>1336</v>
      </c>
      <c r="X224">
        <v>889</v>
      </c>
      <c r="Y224">
        <v>77</v>
      </c>
      <c r="Z224">
        <v>43</v>
      </c>
      <c r="AA224">
        <v>138</v>
      </c>
      <c r="AB224">
        <v>0</v>
      </c>
      <c r="AC224">
        <v>8</v>
      </c>
      <c r="AD224">
        <v>31</v>
      </c>
      <c r="AE224">
        <v>0</v>
      </c>
      <c r="AF224">
        <v>0</v>
      </c>
      <c r="AG224">
        <v>4</v>
      </c>
      <c r="AH224">
        <v>0</v>
      </c>
      <c r="AI224">
        <v>0</v>
      </c>
      <c r="AJ224">
        <v>0</v>
      </c>
      <c r="AK224">
        <v>1.3578600000000001</v>
      </c>
      <c r="AL224">
        <v>1</v>
      </c>
      <c r="AM224">
        <v>0</v>
      </c>
      <c r="AN224">
        <v>1531</v>
      </c>
      <c r="AO224">
        <v>0</v>
      </c>
      <c r="AP224">
        <v>0</v>
      </c>
      <c r="AQ224">
        <v>0</v>
      </c>
    </row>
    <row r="225" spans="1:43" x14ac:dyDescent="0.25">
      <c r="A225">
        <v>222</v>
      </c>
      <c r="B225">
        <v>5</v>
      </c>
      <c r="C225">
        <v>5</v>
      </c>
      <c r="D225">
        <v>2</v>
      </c>
      <c r="E225">
        <v>1705</v>
      </c>
      <c r="F225">
        <v>4032</v>
      </c>
      <c r="G225">
        <v>4049</v>
      </c>
      <c r="H225">
        <v>2534</v>
      </c>
      <c r="I225">
        <v>1171</v>
      </c>
      <c r="J225">
        <v>492</v>
      </c>
      <c r="K225">
        <v>287</v>
      </c>
      <c r="L225">
        <v>400</v>
      </c>
      <c r="M225">
        <v>385</v>
      </c>
      <c r="N225">
        <v>637</v>
      </c>
      <c r="O225">
        <v>285</v>
      </c>
      <c r="P225">
        <v>157.57481820000001</v>
      </c>
      <c r="Q225">
        <v>25.153242580000001</v>
      </c>
      <c r="R225">
        <v>0.20296909199999999</v>
      </c>
      <c r="S225">
        <v>822</v>
      </c>
      <c r="T225">
        <v>155</v>
      </c>
      <c r="U225">
        <v>532</v>
      </c>
      <c r="V225">
        <v>1434</v>
      </c>
      <c r="W225">
        <v>1157</v>
      </c>
      <c r="X225">
        <v>642</v>
      </c>
      <c r="Y225">
        <v>138</v>
      </c>
      <c r="Z225">
        <v>99</v>
      </c>
      <c r="AA225">
        <v>464</v>
      </c>
      <c r="AB225">
        <v>1</v>
      </c>
      <c r="AC225">
        <v>71</v>
      </c>
      <c r="AD225">
        <v>49</v>
      </c>
      <c r="AE225">
        <v>0</v>
      </c>
      <c r="AF225">
        <v>0</v>
      </c>
      <c r="AG225">
        <v>4</v>
      </c>
      <c r="AH225">
        <v>0</v>
      </c>
      <c r="AI225">
        <v>0</v>
      </c>
      <c r="AJ225">
        <v>0</v>
      </c>
      <c r="AK225">
        <v>1.4585900000000001</v>
      </c>
      <c r="AL225">
        <v>1</v>
      </c>
      <c r="AM225">
        <v>0</v>
      </c>
      <c r="AN225">
        <v>1705</v>
      </c>
      <c r="AO225">
        <v>17</v>
      </c>
      <c r="AP225">
        <v>0</v>
      </c>
      <c r="AQ225">
        <v>0</v>
      </c>
    </row>
    <row r="226" spans="1:43" x14ac:dyDescent="0.25">
      <c r="A226">
        <v>223</v>
      </c>
      <c r="B226">
        <v>5</v>
      </c>
      <c r="C226">
        <v>5</v>
      </c>
      <c r="D226">
        <v>2</v>
      </c>
      <c r="E226">
        <v>2017</v>
      </c>
      <c r="F226">
        <v>4430</v>
      </c>
      <c r="G226">
        <v>4471</v>
      </c>
      <c r="H226">
        <v>2837</v>
      </c>
      <c r="I226">
        <v>1109</v>
      </c>
      <c r="J226">
        <v>791</v>
      </c>
      <c r="K226">
        <v>348</v>
      </c>
      <c r="L226">
        <v>462</v>
      </c>
      <c r="M226">
        <v>502</v>
      </c>
      <c r="N226">
        <v>702</v>
      </c>
      <c r="O226">
        <v>835</v>
      </c>
      <c r="P226">
        <v>205.27781490000001</v>
      </c>
      <c r="Q226">
        <v>335.72748250000001</v>
      </c>
      <c r="R226">
        <v>0.18426229499999999</v>
      </c>
      <c r="S226">
        <v>1410</v>
      </c>
      <c r="T226">
        <v>115</v>
      </c>
      <c r="U226">
        <v>618</v>
      </c>
      <c r="V226">
        <v>1770</v>
      </c>
      <c r="W226">
        <v>1232</v>
      </c>
      <c r="X226">
        <v>660</v>
      </c>
      <c r="Y226">
        <v>127</v>
      </c>
      <c r="Z226">
        <v>272</v>
      </c>
      <c r="AA226">
        <v>535</v>
      </c>
      <c r="AB226">
        <v>3</v>
      </c>
      <c r="AC226">
        <v>89</v>
      </c>
      <c r="AD226">
        <v>384</v>
      </c>
      <c r="AE226">
        <v>0</v>
      </c>
      <c r="AF226">
        <v>0</v>
      </c>
      <c r="AG226">
        <v>4</v>
      </c>
      <c r="AH226">
        <v>471</v>
      </c>
      <c r="AI226">
        <v>0</v>
      </c>
      <c r="AJ226">
        <v>0</v>
      </c>
      <c r="AK226">
        <v>1.12347</v>
      </c>
      <c r="AL226">
        <v>1</v>
      </c>
      <c r="AM226">
        <v>0</v>
      </c>
      <c r="AN226">
        <v>2017</v>
      </c>
      <c r="AO226">
        <v>41</v>
      </c>
      <c r="AP226">
        <v>0</v>
      </c>
      <c r="AQ226">
        <v>0</v>
      </c>
    </row>
    <row r="227" spans="1:43" x14ac:dyDescent="0.25">
      <c r="A227">
        <v>224</v>
      </c>
      <c r="B227">
        <v>5</v>
      </c>
      <c r="C227">
        <v>5</v>
      </c>
      <c r="D227">
        <v>2</v>
      </c>
      <c r="E227">
        <v>1153</v>
      </c>
      <c r="F227">
        <v>3179</v>
      </c>
      <c r="G227">
        <v>3179</v>
      </c>
      <c r="H227">
        <v>1687</v>
      </c>
      <c r="I227">
        <v>1023</v>
      </c>
      <c r="J227">
        <v>66</v>
      </c>
      <c r="K227">
        <v>155</v>
      </c>
      <c r="L227">
        <v>176</v>
      </c>
      <c r="M227">
        <v>203</v>
      </c>
      <c r="N227">
        <v>620</v>
      </c>
      <c r="O227">
        <v>1761</v>
      </c>
      <c r="P227">
        <v>217.076786</v>
      </c>
      <c r="Q227">
        <v>88.737175010000001</v>
      </c>
      <c r="R227">
        <v>0.26567076699999997</v>
      </c>
      <c r="S227">
        <v>429</v>
      </c>
      <c r="T227">
        <v>284</v>
      </c>
      <c r="U227">
        <v>436</v>
      </c>
      <c r="V227">
        <v>895</v>
      </c>
      <c r="W227">
        <v>1011</v>
      </c>
      <c r="X227">
        <v>652</v>
      </c>
      <c r="Y227">
        <v>19</v>
      </c>
      <c r="Z227">
        <v>82</v>
      </c>
      <c r="AA227">
        <v>219</v>
      </c>
      <c r="AB227">
        <v>2</v>
      </c>
      <c r="AC227">
        <v>19</v>
      </c>
      <c r="AD227">
        <v>88</v>
      </c>
      <c r="AE227">
        <v>0</v>
      </c>
      <c r="AF227">
        <v>0</v>
      </c>
      <c r="AG227">
        <v>4</v>
      </c>
      <c r="AH227">
        <v>0</v>
      </c>
      <c r="AI227">
        <v>0</v>
      </c>
      <c r="AJ227">
        <v>0</v>
      </c>
      <c r="AK227">
        <v>1.2291000000000001</v>
      </c>
      <c r="AL227">
        <v>1</v>
      </c>
      <c r="AM227">
        <v>0</v>
      </c>
      <c r="AN227">
        <v>1153</v>
      </c>
      <c r="AO227">
        <v>0</v>
      </c>
      <c r="AP227">
        <v>0</v>
      </c>
      <c r="AQ227">
        <v>0</v>
      </c>
    </row>
    <row r="228" spans="1:43" x14ac:dyDescent="0.25">
      <c r="A228">
        <v>225</v>
      </c>
      <c r="B228">
        <v>5</v>
      </c>
      <c r="C228">
        <v>5</v>
      </c>
      <c r="D228">
        <v>2</v>
      </c>
      <c r="E228">
        <v>1362</v>
      </c>
      <c r="F228">
        <v>3578</v>
      </c>
      <c r="G228">
        <v>3578</v>
      </c>
      <c r="H228">
        <v>1681</v>
      </c>
      <c r="I228">
        <v>1309</v>
      </c>
      <c r="J228">
        <v>33</v>
      </c>
      <c r="K228">
        <v>221</v>
      </c>
      <c r="L228">
        <v>295</v>
      </c>
      <c r="M228">
        <v>313</v>
      </c>
      <c r="N228">
        <v>531</v>
      </c>
      <c r="O228">
        <v>1050</v>
      </c>
      <c r="P228">
        <v>217.54007770000001</v>
      </c>
      <c r="Q228">
        <v>44.748204319999999</v>
      </c>
      <c r="R228">
        <v>0.24939726800000001</v>
      </c>
      <c r="S228">
        <v>1112</v>
      </c>
      <c r="T228">
        <v>181</v>
      </c>
      <c r="U228">
        <v>752</v>
      </c>
      <c r="V228">
        <v>799</v>
      </c>
      <c r="W228">
        <v>1186</v>
      </c>
      <c r="X228">
        <v>644</v>
      </c>
      <c r="Y228">
        <v>169</v>
      </c>
      <c r="Z228">
        <v>159</v>
      </c>
      <c r="AA228">
        <v>609</v>
      </c>
      <c r="AB228">
        <v>2</v>
      </c>
      <c r="AC228">
        <v>54</v>
      </c>
      <c r="AD228">
        <v>119</v>
      </c>
      <c r="AE228">
        <v>0</v>
      </c>
      <c r="AF228">
        <v>0</v>
      </c>
      <c r="AG228">
        <v>4</v>
      </c>
      <c r="AH228">
        <v>16</v>
      </c>
      <c r="AI228">
        <v>0</v>
      </c>
      <c r="AJ228">
        <v>0</v>
      </c>
      <c r="AK228">
        <v>1.34937</v>
      </c>
      <c r="AL228">
        <v>1</v>
      </c>
      <c r="AM228">
        <v>0</v>
      </c>
      <c r="AN228">
        <v>1362</v>
      </c>
      <c r="AO228">
        <v>0</v>
      </c>
      <c r="AP228">
        <v>0</v>
      </c>
      <c r="AQ228">
        <v>0</v>
      </c>
    </row>
    <row r="229" spans="1:43" x14ac:dyDescent="0.25">
      <c r="A229">
        <v>226</v>
      </c>
      <c r="B229">
        <v>5</v>
      </c>
      <c r="C229">
        <v>5</v>
      </c>
      <c r="D229">
        <v>2</v>
      </c>
      <c r="E229">
        <v>2351</v>
      </c>
      <c r="F229">
        <v>6340</v>
      </c>
      <c r="G229">
        <v>6359</v>
      </c>
      <c r="H229">
        <v>3306</v>
      </c>
      <c r="I229">
        <v>1985</v>
      </c>
      <c r="J229">
        <v>284</v>
      </c>
      <c r="K229">
        <v>242</v>
      </c>
      <c r="L229">
        <v>569</v>
      </c>
      <c r="M229">
        <v>648</v>
      </c>
      <c r="N229">
        <v>891</v>
      </c>
      <c r="O229">
        <v>1997</v>
      </c>
      <c r="P229">
        <v>522.67696020000005</v>
      </c>
      <c r="Q229">
        <v>149.75275389999999</v>
      </c>
      <c r="R229">
        <v>0.244475787</v>
      </c>
      <c r="S229">
        <v>1111</v>
      </c>
      <c r="T229">
        <v>254</v>
      </c>
      <c r="U229">
        <v>987</v>
      </c>
      <c r="V229">
        <v>1788</v>
      </c>
      <c r="W229">
        <v>1752</v>
      </c>
      <c r="X229">
        <v>1349</v>
      </c>
      <c r="Y229">
        <v>253</v>
      </c>
      <c r="Z229">
        <v>217</v>
      </c>
      <c r="AA229">
        <v>498</v>
      </c>
      <c r="AB229">
        <v>7</v>
      </c>
      <c r="AC229">
        <v>31</v>
      </c>
      <c r="AD229">
        <v>105</v>
      </c>
      <c r="AE229">
        <v>0</v>
      </c>
      <c r="AF229">
        <v>0</v>
      </c>
      <c r="AG229">
        <v>4</v>
      </c>
      <c r="AH229">
        <v>108</v>
      </c>
      <c r="AI229">
        <v>0</v>
      </c>
      <c r="AJ229">
        <v>0</v>
      </c>
      <c r="AK229">
        <v>1.1472100000000001</v>
      </c>
      <c r="AL229">
        <v>1</v>
      </c>
      <c r="AM229">
        <v>0</v>
      </c>
      <c r="AN229">
        <v>2351</v>
      </c>
      <c r="AO229">
        <v>19</v>
      </c>
      <c r="AP229">
        <v>0</v>
      </c>
      <c r="AQ229">
        <v>0</v>
      </c>
    </row>
    <row r="230" spans="1:43" x14ac:dyDescent="0.25">
      <c r="A230">
        <v>227</v>
      </c>
      <c r="B230">
        <v>5</v>
      </c>
      <c r="C230">
        <v>5</v>
      </c>
      <c r="D230">
        <v>2</v>
      </c>
      <c r="E230">
        <v>2105</v>
      </c>
      <c r="F230">
        <v>5615</v>
      </c>
      <c r="G230">
        <v>5615</v>
      </c>
      <c r="H230">
        <v>2334</v>
      </c>
      <c r="I230">
        <v>1847</v>
      </c>
      <c r="J230">
        <v>168</v>
      </c>
      <c r="K230">
        <v>300</v>
      </c>
      <c r="L230">
        <v>563</v>
      </c>
      <c r="M230">
        <v>449</v>
      </c>
      <c r="N230">
        <v>798</v>
      </c>
      <c r="O230">
        <v>2831</v>
      </c>
      <c r="P230">
        <v>533</v>
      </c>
      <c r="Q230">
        <v>193</v>
      </c>
      <c r="R230">
        <v>0.31672108599999999</v>
      </c>
      <c r="S230">
        <v>411</v>
      </c>
      <c r="T230">
        <v>372</v>
      </c>
      <c r="U230">
        <v>1041</v>
      </c>
      <c r="V230">
        <v>1189</v>
      </c>
      <c r="W230">
        <v>1384</v>
      </c>
      <c r="X230">
        <v>1587</v>
      </c>
      <c r="Y230">
        <v>5</v>
      </c>
      <c r="Z230">
        <v>73</v>
      </c>
      <c r="AA230">
        <v>185</v>
      </c>
      <c r="AB230">
        <v>8</v>
      </c>
      <c r="AC230">
        <v>86</v>
      </c>
      <c r="AD230">
        <v>54</v>
      </c>
      <c r="AE230">
        <v>0</v>
      </c>
      <c r="AF230">
        <v>0</v>
      </c>
      <c r="AG230">
        <v>4</v>
      </c>
      <c r="AH230">
        <v>740</v>
      </c>
      <c r="AI230">
        <v>0</v>
      </c>
      <c r="AJ230">
        <v>0</v>
      </c>
      <c r="AK230">
        <v>1.05613</v>
      </c>
      <c r="AL230">
        <v>1</v>
      </c>
      <c r="AM230">
        <v>0</v>
      </c>
      <c r="AN230">
        <v>2105</v>
      </c>
      <c r="AO230">
        <v>0</v>
      </c>
      <c r="AP230">
        <v>0</v>
      </c>
      <c r="AQ230">
        <v>0</v>
      </c>
    </row>
    <row r="231" spans="1:43" x14ac:dyDescent="0.25">
      <c r="A231">
        <v>228</v>
      </c>
      <c r="B231">
        <v>5</v>
      </c>
      <c r="C231">
        <v>5</v>
      </c>
      <c r="D231">
        <v>2</v>
      </c>
      <c r="E231">
        <v>100</v>
      </c>
      <c r="F231">
        <v>307</v>
      </c>
      <c r="G231">
        <v>309</v>
      </c>
      <c r="H231">
        <v>172</v>
      </c>
      <c r="I231">
        <v>84</v>
      </c>
      <c r="J231">
        <v>7</v>
      </c>
      <c r="K231">
        <v>5</v>
      </c>
      <c r="L231">
        <v>3</v>
      </c>
      <c r="M231">
        <v>35</v>
      </c>
      <c r="N231">
        <v>57</v>
      </c>
      <c r="O231">
        <v>232</v>
      </c>
      <c r="P231">
        <v>2</v>
      </c>
      <c r="Q231">
        <v>207</v>
      </c>
      <c r="R231">
        <v>0.21220930199999999</v>
      </c>
      <c r="S231">
        <v>16</v>
      </c>
      <c r="T231">
        <v>7</v>
      </c>
      <c r="U231">
        <v>56</v>
      </c>
      <c r="V231">
        <v>121</v>
      </c>
      <c r="W231">
        <v>97</v>
      </c>
      <c r="X231">
        <v>48</v>
      </c>
      <c r="Y231">
        <v>0</v>
      </c>
      <c r="Z231">
        <v>2</v>
      </c>
      <c r="AA231">
        <v>12</v>
      </c>
      <c r="AB231">
        <v>0</v>
      </c>
      <c r="AC231">
        <v>1</v>
      </c>
      <c r="AD231">
        <v>1</v>
      </c>
      <c r="AE231">
        <v>0</v>
      </c>
      <c r="AF231">
        <v>0</v>
      </c>
      <c r="AG231">
        <v>4</v>
      </c>
      <c r="AH231">
        <v>0</v>
      </c>
      <c r="AI231">
        <v>0</v>
      </c>
      <c r="AJ231">
        <v>0</v>
      </c>
      <c r="AK231">
        <v>0.91096999999999995</v>
      </c>
      <c r="AL231">
        <v>1</v>
      </c>
      <c r="AM231">
        <v>0</v>
      </c>
      <c r="AN231">
        <v>100</v>
      </c>
      <c r="AO231">
        <v>2</v>
      </c>
      <c r="AP231">
        <v>0</v>
      </c>
      <c r="AQ231">
        <v>0</v>
      </c>
    </row>
    <row r="232" spans="1:43" x14ac:dyDescent="0.25">
      <c r="A232">
        <v>229</v>
      </c>
      <c r="B232">
        <v>5</v>
      </c>
      <c r="C232">
        <v>5</v>
      </c>
      <c r="D232">
        <v>2</v>
      </c>
      <c r="E232">
        <v>1803</v>
      </c>
      <c r="F232">
        <v>5219</v>
      </c>
      <c r="G232">
        <v>5255</v>
      </c>
      <c r="H232">
        <v>3108</v>
      </c>
      <c r="I232">
        <v>1416</v>
      </c>
      <c r="J232">
        <v>373</v>
      </c>
      <c r="K232">
        <v>183</v>
      </c>
      <c r="L232">
        <v>236</v>
      </c>
      <c r="M232">
        <v>446</v>
      </c>
      <c r="N232">
        <v>933</v>
      </c>
      <c r="O232">
        <v>546</v>
      </c>
      <c r="P232">
        <v>325.11618049999998</v>
      </c>
      <c r="Q232">
        <v>179</v>
      </c>
      <c r="R232">
        <v>0.24077424</v>
      </c>
      <c r="S232">
        <v>842</v>
      </c>
      <c r="T232">
        <v>195</v>
      </c>
      <c r="U232">
        <v>803</v>
      </c>
      <c r="V232">
        <v>1780</v>
      </c>
      <c r="W232">
        <v>1645</v>
      </c>
      <c r="X232">
        <v>898</v>
      </c>
      <c r="Y232">
        <v>15</v>
      </c>
      <c r="Z232">
        <v>75</v>
      </c>
      <c r="AA232">
        <v>690</v>
      </c>
      <c r="AB232">
        <v>1</v>
      </c>
      <c r="AC232">
        <v>23</v>
      </c>
      <c r="AD232">
        <v>38</v>
      </c>
      <c r="AE232">
        <v>0</v>
      </c>
      <c r="AF232">
        <v>0</v>
      </c>
      <c r="AG232">
        <v>4</v>
      </c>
      <c r="AH232">
        <v>0</v>
      </c>
      <c r="AI232">
        <v>2413</v>
      </c>
      <c r="AJ232">
        <v>14656</v>
      </c>
      <c r="AK232">
        <v>1.1800299999999999</v>
      </c>
      <c r="AL232">
        <v>1</v>
      </c>
      <c r="AM232">
        <v>0</v>
      </c>
      <c r="AN232">
        <v>1803</v>
      </c>
      <c r="AO232">
        <v>36</v>
      </c>
      <c r="AP232">
        <v>0</v>
      </c>
      <c r="AQ232">
        <v>0</v>
      </c>
    </row>
    <row r="233" spans="1:43" x14ac:dyDescent="0.25">
      <c r="A233">
        <v>230</v>
      </c>
      <c r="B233">
        <v>5</v>
      </c>
      <c r="C233">
        <v>5</v>
      </c>
      <c r="D233">
        <v>2</v>
      </c>
      <c r="E233">
        <v>2994</v>
      </c>
      <c r="F233">
        <v>8025</v>
      </c>
      <c r="G233">
        <v>8038</v>
      </c>
      <c r="H233">
        <v>4692</v>
      </c>
      <c r="I233">
        <v>1698</v>
      </c>
      <c r="J233">
        <v>1207</v>
      </c>
      <c r="K233">
        <v>561</v>
      </c>
      <c r="L233">
        <v>544</v>
      </c>
      <c r="M233">
        <v>591</v>
      </c>
      <c r="N233">
        <v>1294</v>
      </c>
      <c r="O233">
        <v>361</v>
      </c>
      <c r="P233">
        <v>211</v>
      </c>
      <c r="Q233">
        <v>57</v>
      </c>
      <c r="R233">
        <v>0.206368579</v>
      </c>
      <c r="S233">
        <v>1441</v>
      </c>
      <c r="T233">
        <v>432</v>
      </c>
      <c r="U233">
        <v>1116</v>
      </c>
      <c r="V233">
        <v>2958</v>
      </c>
      <c r="W233">
        <v>2766</v>
      </c>
      <c r="X233">
        <v>1343</v>
      </c>
      <c r="Y233">
        <v>452</v>
      </c>
      <c r="Z233">
        <v>76</v>
      </c>
      <c r="AA233">
        <v>811</v>
      </c>
      <c r="AB233">
        <v>0</v>
      </c>
      <c r="AC233">
        <v>84</v>
      </c>
      <c r="AD233">
        <v>18</v>
      </c>
      <c r="AE233">
        <v>0</v>
      </c>
      <c r="AF233">
        <v>0</v>
      </c>
      <c r="AG233">
        <v>4</v>
      </c>
      <c r="AH233">
        <v>0</v>
      </c>
      <c r="AI233">
        <v>0</v>
      </c>
      <c r="AJ233">
        <v>0</v>
      </c>
      <c r="AK233">
        <v>1.7060999999999999</v>
      </c>
      <c r="AL233">
        <v>1</v>
      </c>
      <c r="AM233">
        <v>0</v>
      </c>
      <c r="AN233">
        <v>2994</v>
      </c>
      <c r="AO233">
        <v>13</v>
      </c>
      <c r="AP233">
        <v>0</v>
      </c>
      <c r="AQ233">
        <v>0</v>
      </c>
    </row>
    <row r="234" spans="1:43" x14ac:dyDescent="0.25">
      <c r="A234">
        <v>231</v>
      </c>
      <c r="B234">
        <v>5</v>
      </c>
      <c r="C234">
        <v>5</v>
      </c>
      <c r="D234">
        <v>2</v>
      </c>
      <c r="E234">
        <v>1501</v>
      </c>
      <c r="F234">
        <v>4748</v>
      </c>
      <c r="G234">
        <v>4851</v>
      </c>
      <c r="H234">
        <v>2538</v>
      </c>
      <c r="I234">
        <v>1386</v>
      </c>
      <c r="J234">
        <v>95</v>
      </c>
      <c r="K234">
        <v>253</v>
      </c>
      <c r="L234">
        <v>226</v>
      </c>
      <c r="M234">
        <v>334</v>
      </c>
      <c r="N234">
        <v>689</v>
      </c>
      <c r="O234">
        <v>287</v>
      </c>
      <c r="P234">
        <v>196.7930058</v>
      </c>
      <c r="Q234">
        <v>17</v>
      </c>
      <c r="R234">
        <v>0.293973172</v>
      </c>
      <c r="S234">
        <v>341</v>
      </c>
      <c r="T234">
        <v>154</v>
      </c>
      <c r="U234">
        <v>607</v>
      </c>
      <c r="V234">
        <v>1600</v>
      </c>
      <c r="W234">
        <v>1398</v>
      </c>
      <c r="X234">
        <v>1338</v>
      </c>
      <c r="Y234">
        <v>8</v>
      </c>
      <c r="Z234">
        <v>76</v>
      </c>
      <c r="AA234">
        <v>192</v>
      </c>
      <c r="AB234">
        <v>1</v>
      </c>
      <c r="AC234">
        <v>29</v>
      </c>
      <c r="AD234">
        <v>35</v>
      </c>
      <c r="AE234">
        <v>0</v>
      </c>
      <c r="AF234">
        <v>0</v>
      </c>
      <c r="AG234">
        <v>4</v>
      </c>
      <c r="AH234">
        <v>0</v>
      </c>
      <c r="AI234">
        <v>0</v>
      </c>
      <c r="AJ234">
        <v>0</v>
      </c>
      <c r="AK234">
        <v>1.38358</v>
      </c>
      <c r="AL234">
        <v>1</v>
      </c>
      <c r="AM234">
        <v>0</v>
      </c>
      <c r="AN234">
        <v>1501</v>
      </c>
      <c r="AO234">
        <v>103</v>
      </c>
      <c r="AP234">
        <v>0</v>
      </c>
      <c r="AQ234">
        <v>0</v>
      </c>
    </row>
    <row r="235" spans="1:43" x14ac:dyDescent="0.25">
      <c r="A235">
        <v>232</v>
      </c>
      <c r="B235">
        <v>5</v>
      </c>
      <c r="C235">
        <v>5</v>
      </c>
      <c r="D235">
        <v>2</v>
      </c>
      <c r="E235">
        <v>1870</v>
      </c>
      <c r="F235">
        <v>5212</v>
      </c>
      <c r="G235">
        <v>5413</v>
      </c>
      <c r="H235">
        <v>2525</v>
      </c>
      <c r="I235">
        <v>1755</v>
      </c>
      <c r="J235">
        <v>79</v>
      </c>
      <c r="K235">
        <v>406</v>
      </c>
      <c r="L235">
        <v>411</v>
      </c>
      <c r="M235">
        <v>410</v>
      </c>
      <c r="N235">
        <v>642</v>
      </c>
      <c r="O235">
        <v>459</v>
      </c>
      <c r="P235">
        <v>295.22926740000003</v>
      </c>
      <c r="Q235">
        <v>27</v>
      </c>
      <c r="R235">
        <v>0.273210489</v>
      </c>
      <c r="S235">
        <v>407</v>
      </c>
      <c r="T235">
        <v>307</v>
      </c>
      <c r="U235">
        <v>734</v>
      </c>
      <c r="V235">
        <v>1789</v>
      </c>
      <c r="W235">
        <v>1334</v>
      </c>
      <c r="X235">
        <v>1222</v>
      </c>
      <c r="Y235">
        <v>9</v>
      </c>
      <c r="Z235">
        <v>118</v>
      </c>
      <c r="AA235">
        <v>236</v>
      </c>
      <c r="AB235">
        <v>1</v>
      </c>
      <c r="AC235">
        <v>15</v>
      </c>
      <c r="AD235">
        <v>28</v>
      </c>
      <c r="AE235">
        <v>0</v>
      </c>
      <c r="AF235">
        <v>0</v>
      </c>
      <c r="AG235">
        <v>4</v>
      </c>
      <c r="AH235">
        <v>18</v>
      </c>
      <c r="AI235">
        <v>0</v>
      </c>
      <c r="AJ235">
        <v>0</v>
      </c>
      <c r="AK235">
        <v>1.2486299999999999</v>
      </c>
      <c r="AL235">
        <v>1</v>
      </c>
      <c r="AM235">
        <v>0</v>
      </c>
      <c r="AN235">
        <v>1870</v>
      </c>
      <c r="AO235">
        <v>201</v>
      </c>
      <c r="AP235">
        <v>0</v>
      </c>
      <c r="AQ235">
        <v>0</v>
      </c>
    </row>
    <row r="236" spans="1:43" x14ac:dyDescent="0.25">
      <c r="A236">
        <v>233</v>
      </c>
      <c r="B236">
        <v>5</v>
      </c>
      <c r="C236">
        <v>5</v>
      </c>
      <c r="D236">
        <v>2</v>
      </c>
      <c r="E236">
        <v>3063</v>
      </c>
      <c r="F236">
        <v>7448</v>
      </c>
      <c r="G236">
        <v>7460</v>
      </c>
      <c r="H236">
        <v>3722</v>
      </c>
      <c r="I236">
        <v>1592</v>
      </c>
      <c r="J236">
        <v>1449</v>
      </c>
      <c r="K236">
        <v>484</v>
      </c>
      <c r="L236">
        <v>787</v>
      </c>
      <c r="M236">
        <v>803</v>
      </c>
      <c r="N236">
        <v>993</v>
      </c>
      <c r="O236">
        <v>708</v>
      </c>
      <c r="P236">
        <v>290.87621819999998</v>
      </c>
      <c r="Q236">
        <v>159</v>
      </c>
      <c r="R236">
        <v>0.24714171800000001</v>
      </c>
      <c r="S236">
        <v>538</v>
      </c>
      <c r="T236">
        <v>508</v>
      </c>
      <c r="U236">
        <v>1076</v>
      </c>
      <c r="V236">
        <v>2331</v>
      </c>
      <c r="W236">
        <v>1864</v>
      </c>
      <c r="X236">
        <v>1417</v>
      </c>
      <c r="Y236">
        <v>85</v>
      </c>
      <c r="Z236">
        <v>105</v>
      </c>
      <c r="AA236">
        <v>240</v>
      </c>
      <c r="AB236">
        <v>2</v>
      </c>
      <c r="AC236">
        <v>22</v>
      </c>
      <c r="AD236">
        <v>84</v>
      </c>
      <c r="AE236">
        <v>0</v>
      </c>
      <c r="AF236">
        <v>0</v>
      </c>
      <c r="AG236">
        <v>4</v>
      </c>
      <c r="AH236">
        <v>0</v>
      </c>
      <c r="AI236">
        <v>0</v>
      </c>
      <c r="AJ236">
        <v>0</v>
      </c>
      <c r="AK236">
        <v>1.2195400000000001</v>
      </c>
      <c r="AL236">
        <v>1</v>
      </c>
      <c r="AM236">
        <v>0</v>
      </c>
      <c r="AN236">
        <v>3063</v>
      </c>
      <c r="AO236">
        <v>12</v>
      </c>
      <c r="AP236">
        <v>0</v>
      </c>
      <c r="AQ236">
        <v>0</v>
      </c>
    </row>
    <row r="237" spans="1:43" x14ac:dyDescent="0.25">
      <c r="A237">
        <v>234</v>
      </c>
      <c r="B237">
        <v>5</v>
      </c>
      <c r="C237">
        <v>5</v>
      </c>
      <c r="D237">
        <v>2</v>
      </c>
      <c r="E237">
        <v>1603</v>
      </c>
      <c r="F237">
        <v>3169</v>
      </c>
      <c r="G237">
        <v>3169</v>
      </c>
      <c r="H237">
        <v>2044</v>
      </c>
      <c r="I237">
        <v>35</v>
      </c>
      <c r="J237">
        <v>1543</v>
      </c>
      <c r="K237">
        <v>435</v>
      </c>
      <c r="L237">
        <v>350</v>
      </c>
      <c r="M237">
        <v>402</v>
      </c>
      <c r="N237">
        <v>419</v>
      </c>
      <c r="O237">
        <v>549</v>
      </c>
      <c r="P237">
        <v>37.889438490000003</v>
      </c>
      <c r="Q237">
        <v>192.66164910000001</v>
      </c>
      <c r="R237">
        <v>0.17035398199999999</v>
      </c>
      <c r="S237">
        <v>7548</v>
      </c>
      <c r="T237">
        <v>78</v>
      </c>
      <c r="U237">
        <v>354</v>
      </c>
      <c r="V237">
        <v>1593</v>
      </c>
      <c r="W237">
        <v>547</v>
      </c>
      <c r="X237">
        <v>437</v>
      </c>
      <c r="Y237">
        <v>1190</v>
      </c>
      <c r="Z237">
        <v>2110</v>
      </c>
      <c r="AA237">
        <v>1226</v>
      </c>
      <c r="AB237">
        <v>5</v>
      </c>
      <c r="AC237">
        <v>269</v>
      </c>
      <c r="AD237">
        <v>2748</v>
      </c>
      <c r="AE237">
        <v>0</v>
      </c>
      <c r="AF237">
        <v>0</v>
      </c>
      <c r="AG237">
        <v>3</v>
      </c>
      <c r="AH237">
        <v>0</v>
      </c>
      <c r="AI237">
        <v>0</v>
      </c>
      <c r="AJ237">
        <v>0</v>
      </c>
      <c r="AK237">
        <v>2.4302800000000002</v>
      </c>
      <c r="AL237">
        <v>1</v>
      </c>
      <c r="AM237">
        <v>0</v>
      </c>
      <c r="AN237">
        <v>1603</v>
      </c>
      <c r="AO237">
        <v>0</v>
      </c>
      <c r="AP237">
        <v>0</v>
      </c>
      <c r="AQ237">
        <v>0</v>
      </c>
    </row>
    <row r="238" spans="1:43" x14ac:dyDescent="0.25">
      <c r="A238">
        <v>235</v>
      </c>
      <c r="B238">
        <v>5</v>
      </c>
      <c r="C238">
        <v>5</v>
      </c>
      <c r="D238">
        <v>2</v>
      </c>
      <c r="E238">
        <v>1167</v>
      </c>
      <c r="F238">
        <v>3174</v>
      </c>
      <c r="G238">
        <v>3193</v>
      </c>
      <c r="H238">
        <v>1740</v>
      </c>
      <c r="I238">
        <v>1122</v>
      </c>
      <c r="J238">
        <v>20</v>
      </c>
      <c r="K238">
        <v>173</v>
      </c>
      <c r="L238">
        <v>225</v>
      </c>
      <c r="M238">
        <v>284</v>
      </c>
      <c r="N238">
        <v>484</v>
      </c>
      <c r="O238">
        <v>223</v>
      </c>
      <c r="P238">
        <v>135.54446060000001</v>
      </c>
      <c r="Q238">
        <v>14</v>
      </c>
      <c r="R238">
        <v>0.23495264299999999</v>
      </c>
      <c r="S238">
        <v>858</v>
      </c>
      <c r="T238">
        <v>236</v>
      </c>
      <c r="U238">
        <v>388</v>
      </c>
      <c r="V238">
        <v>959</v>
      </c>
      <c r="W238">
        <v>972</v>
      </c>
      <c r="X238">
        <v>583</v>
      </c>
      <c r="Y238">
        <v>5</v>
      </c>
      <c r="Z238">
        <v>50</v>
      </c>
      <c r="AA238">
        <v>430</v>
      </c>
      <c r="AB238">
        <v>1</v>
      </c>
      <c r="AC238">
        <v>56</v>
      </c>
      <c r="AD238">
        <v>316</v>
      </c>
      <c r="AE238">
        <v>0</v>
      </c>
      <c r="AF238">
        <v>0</v>
      </c>
      <c r="AG238">
        <v>4</v>
      </c>
      <c r="AH238">
        <v>0</v>
      </c>
      <c r="AI238">
        <v>0</v>
      </c>
      <c r="AJ238">
        <v>0</v>
      </c>
      <c r="AK238">
        <v>1.4681500000000001</v>
      </c>
      <c r="AL238">
        <v>1</v>
      </c>
      <c r="AM238">
        <v>0</v>
      </c>
      <c r="AN238">
        <v>1167</v>
      </c>
      <c r="AO238">
        <v>19</v>
      </c>
      <c r="AP238">
        <v>0</v>
      </c>
      <c r="AQ238">
        <v>0</v>
      </c>
    </row>
    <row r="239" spans="1:43" x14ac:dyDescent="0.25">
      <c r="A239">
        <v>236</v>
      </c>
      <c r="B239">
        <v>5</v>
      </c>
      <c r="C239">
        <v>5</v>
      </c>
      <c r="D239">
        <v>2</v>
      </c>
      <c r="E239">
        <v>2132</v>
      </c>
      <c r="F239">
        <v>5621</v>
      </c>
      <c r="G239">
        <v>5680</v>
      </c>
      <c r="H239">
        <v>2727</v>
      </c>
      <c r="I239">
        <v>1546</v>
      </c>
      <c r="J239">
        <v>607</v>
      </c>
      <c r="K239">
        <v>308</v>
      </c>
      <c r="L239">
        <v>622</v>
      </c>
      <c r="M239">
        <v>468</v>
      </c>
      <c r="N239">
        <v>736</v>
      </c>
      <c r="O239">
        <v>486</v>
      </c>
      <c r="P239">
        <v>197</v>
      </c>
      <c r="Q239">
        <v>58.530976180000003</v>
      </c>
      <c r="R239">
        <v>0.227679354</v>
      </c>
      <c r="S239">
        <v>847</v>
      </c>
      <c r="T239">
        <v>168</v>
      </c>
      <c r="U239">
        <v>957</v>
      </c>
      <c r="V239">
        <v>1885</v>
      </c>
      <c r="W239">
        <v>1487</v>
      </c>
      <c r="X239">
        <v>971</v>
      </c>
      <c r="Y239">
        <v>106</v>
      </c>
      <c r="Z239">
        <v>150</v>
      </c>
      <c r="AA239">
        <v>481</v>
      </c>
      <c r="AB239">
        <v>1</v>
      </c>
      <c r="AC239">
        <v>33</v>
      </c>
      <c r="AD239">
        <v>76</v>
      </c>
      <c r="AE239">
        <v>0</v>
      </c>
      <c r="AF239">
        <v>0</v>
      </c>
      <c r="AG239">
        <v>4</v>
      </c>
      <c r="AH239">
        <v>1061</v>
      </c>
      <c r="AI239">
        <v>0</v>
      </c>
      <c r="AJ239">
        <v>0</v>
      </c>
      <c r="AK239">
        <v>1.4479</v>
      </c>
      <c r="AL239">
        <v>1</v>
      </c>
      <c r="AM239">
        <v>0</v>
      </c>
      <c r="AN239">
        <v>2132</v>
      </c>
      <c r="AO239">
        <v>59</v>
      </c>
      <c r="AP239">
        <v>0</v>
      </c>
      <c r="AQ239">
        <v>0</v>
      </c>
    </row>
    <row r="240" spans="1:43" x14ac:dyDescent="0.25">
      <c r="A240">
        <v>237</v>
      </c>
      <c r="B240">
        <v>5</v>
      </c>
      <c r="C240">
        <v>5</v>
      </c>
      <c r="D240">
        <v>2</v>
      </c>
      <c r="E240">
        <v>2586</v>
      </c>
      <c r="F240">
        <v>7605</v>
      </c>
      <c r="G240">
        <v>7648</v>
      </c>
      <c r="H240">
        <v>4679</v>
      </c>
      <c r="I240">
        <v>974</v>
      </c>
      <c r="J240">
        <v>1664</v>
      </c>
      <c r="K240">
        <v>666</v>
      </c>
      <c r="L240">
        <v>631</v>
      </c>
      <c r="M240">
        <v>756</v>
      </c>
      <c r="N240">
        <v>526</v>
      </c>
      <c r="O240">
        <v>273</v>
      </c>
      <c r="P240">
        <v>113.3888972</v>
      </c>
      <c r="Q240">
        <v>52.59538568</v>
      </c>
      <c r="R240">
        <v>0.123811845</v>
      </c>
      <c r="S240">
        <v>1718</v>
      </c>
      <c r="T240">
        <v>272</v>
      </c>
      <c r="U240">
        <v>1492</v>
      </c>
      <c r="V240">
        <v>3794</v>
      </c>
      <c r="W240">
        <v>1550</v>
      </c>
      <c r="X240">
        <v>735</v>
      </c>
      <c r="Y240">
        <v>191</v>
      </c>
      <c r="Z240">
        <v>268</v>
      </c>
      <c r="AA240">
        <v>1120</v>
      </c>
      <c r="AB240">
        <v>4</v>
      </c>
      <c r="AC240">
        <v>48</v>
      </c>
      <c r="AD240">
        <v>87</v>
      </c>
      <c r="AE240">
        <v>0</v>
      </c>
      <c r="AF240">
        <v>0</v>
      </c>
      <c r="AG240">
        <v>3</v>
      </c>
      <c r="AH240">
        <v>0</v>
      </c>
      <c r="AI240">
        <v>0</v>
      </c>
      <c r="AJ240">
        <v>0</v>
      </c>
      <c r="AK240">
        <v>2.4213900000000002</v>
      </c>
      <c r="AL240">
        <v>2</v>
      </c>
      <c r="AM240">
        <v>0</v>
      </c>
      <c r="AN240">
        <v>2586</v>
      </c>
      <c r="AO240">
        <v>43</v>
      </c>
      <c r="AP240">
        <v>0</v>
      </c>
      <c r="AQ240">
        <v>0</v>
      </c>
    </row>
    <row r="241" spans="1:43" x14ac:dyDescent="0.25">
      <c r="A241">
        <v>238</v>
      </c>
      <c r="B241">
        <v>5</v>
      </c>
      <c r="C241">
        <v>5</v>
      </c>
      <c r="D241">
        <v>2</v>
      </c>
      <c r="E241">
        <v>918</v>
      </c>
      <c r="F241">
        <v>3203</v>
      </c>
      <c r="G241">
        <v>3203</v>
      </c>
      <c r="H241">
        <v>1811</v>
      </c>
      <c r="I241">
        <v>823</v>
      </c>
      <c r="J241">
        <v>193</v>
      </c>
      <c r="K241">
        <v>100</v>
      </c>
      <c r="L241">
        <v>250</v>
      </c>
      <c r="M241">
        <v>261</v>
      </c>
      <c r="N241">
        <v>311</v>
      </c>
      <c r="O241">
        <v>426</v>
      </c>
      <c r="P241">
        <v>135</v>
      </c>
      <c r="Q241">
        <v>163.17508140000001</v>
      </c>
      <c r="R241">
        <v>0.12971640000000001</v>
      </c>
      <c r="S241">
        <v>960</v>
      </c>
      <c r="T241">
        <v>200</v>
      </c>
      <c r="U241">
        <v>829</v>
      </c>
      <c r="V241">
        <v>1653</v>
      </c>
      <c r="W241">
        <v>872</v>
      </c>
      <c r="X241">
        <v>319</v>
      </c>
      <c r="Y241">
        <v>53</v>
      </c>
      <c r="Z241">
        <v>164</v>
      </c>
      <c r="AA241">
        <v>383</v>
      </c>
      <c r="AB241">
        <v>3</v>
      </c>
      <c r="AC241">
        <v>262</v>
      </c>
      <c r="AD241">
        <v>95</v>
      </c>
      <c r="AE241">
        <v>0</v>
      </c>
      <c r="AF241">
        <v>0</v>
      </c>
      <c r="AG241">
        <v>3</v>
      </c>
      <c r="AH241">
        <v>0</v>
      </c>
      <c r="AI241">
        <v>0</v>
      </c>
      <c r="AJ241">
        <v>0</v>
      </c>
      <c r="AK241">
        <v>1.2797499999999999</v>
      </c>
      <c r="AL241">
        <v>3</v>
      </c>
      <c r="AM241">
        <v>0</v>
      </c>
      <c r="AN241">
        <v>918</v>
      </c>
      <c r="AO241">
        <v>0</v>
      </c>
      <c r="AP241">
        <v>0</v>
      </c>
      <c r="AQ241">
        <v>0</v>
      </c>
    </row>
    <row r="242" spans="1:43" x14ac:dyDescent="0.25">
      <c r="A242">
        <v>239</v>
      </c>
      <c r="B242">
        <v>5</v>
      </c>
      <c r="C242">
        <v>5</v>
      </c>
      <c r="D242">
        <v>2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1686</v>
      </c>
      <c r="P242">
        <v>0</v>
      </c>
      <c r="Q242">
        <v>1681</v>
      </c>
      <c r="R242">
        <v>0</v>
      </c>
      <c r="S242">
        <v>9734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297</v>
      </c>
      <c r="Z242">
        <v>909</v>
      </c>
      <c r="AA242">
        <v>1163</v>
      </c>
      <c r="AB242">
        <v>3</v>
      </c>
      <c r="AC242">
        <v>7273</v>
      </c>
      <c r="AD242">
        <v>89</v>
      </c>
      <c r="AE242">
        <v>0</v>
      </c>
      <c r="AF242">
        <v>0</v>
      </c>
      <c r="AG242">
        <v>3</v>
      </c>
      <c r="AH242">
        <v>0</v>
      </c>
      <c r="AI242">
        <v>0</v>
      </c>
      <c r="AJ242">
        <v>0</v>
      </c>
      <c r="AK242">
        <v>1.02339</v>
      </c>
      <c r="AL242">
        <v>3</v>
      </c>
      <c r="AM242">
        <v>0</v>
      </c>
      <c r="AN242">
        <v>0</v>
      </c>
      <c r="AO242">
        <v>0</v>
      </c>
      <c r="AP242">
        <v>0</v>
      </c>
      <c r="AQ242">
        <v>0</v>
      </c>
    </row>
    <row r="243" spans="1:43" x14ac:dyDescent="0.25">
      <c r="A243">
        <v>240</v>
      </c>
      <c r="B243">
        <v>5</v>
      </c>
      <c r="C243">
        <v>5</v>
      </c>
      <c r="D243">
        <v>2</v>
      </c>
      <c r="E243">
        <v>1877</v>
      </c>
      <c r="F243">
        <v>4812</v>
      </c>
      <c r="G243">
        <v>4874</v>
      </c>
      <c r="H243">
        <v>2657</v>
      </c>
      <c r="I243">
        <v>833</v>
      </c>
      <c r="J243">
        <v>1000</v>
      </c>
      <c r="K243">
        <v>466</v>
      </c>
      <c r="L243">
        <v>314</v>
      </c>
      <c r="M243">
        <v>508</v>
      </c>
      <c r="N243">
        <v>580</v>
      </c>
      <c r="O243">
        <v>500</v>
      </c>
      <c r="P243">
        <v>159.41414140000001</v>
      </c>
      <c r="Q243">
        <v>184</v>
      </c>
      <c r="R243">
        <v>0.19703309199999999</v>
      </c>
      <c r="S243">
        <v>3156</v>
      </c>
      <c r="T243">
        <v>375</v>
      </c>
      <c r="U243">
        <v>659</v>
      </c>
      <c r="V243">
        <v>1632</v>
      </c>
      <c r="W243">
        <v>1584</v>
      </c>
      <c r="X243">
        <v>804</v>
      </c>
      <c r="Y243">
        <v>291</v>
      </c>
      <c r="Z243">
        <v>532</v>
      </c>
      <c r="AA243">
        <v>1936</v>
      </c>
      <c r="AB243">
        <v>4</v>
      </c>
      <c r="AC243">
        <v>235</v>
      </c>
      <c r="AD243">
        <v>158</v>
      </c>
      <c r="AE243">
        <v>0</v>
      </c>
      <c r="AF243">
        <v>0</v>
      </c>
      <c r="AG243">
        <v>3</v>
      </c>
      <c r="AH243">
        <v>0</v>
      </c>
      <c r="AI243">
        <v>0</v>
      </c>
      <c r="AJ243">
        <v>0</v>
      </c>
      <c r="AK243">
        <v>1.6395299999999999</v>
      </c>
      <c r="AL243">
        <v>2</v>
      </c>
      <c r="AM243">
        <v>0</v>
      </c>
      <c r="AN243">
        <v>1877</v>
      </c>
      <c r="AO243">
        <v>62</v>
      </c>
      <c r="AP243">
        <v>0</v>
      </c>
      <c r="AQ243">
        <v>0</v>
      </c>
    </row>
    <row r="244" spans="1:43" x14ac:dyDescent="0.25">
      <c r="A244">
        <v>241</v>
      </c>
      <c r="B244">
        <v>5</v>
      </c>
      <c r="C244">
        <v>5</v>
      </c>
      <c r="D244">
        <v>2</v>
      </c>
      <c r="E244">
        <v>1291</v>
      </c>
      <c r="F244">
        <v>3617</v>
      </c>
      <c r="G244">
        <v>3656</v>
      </c>
      <c r="H244">
        <v>1613</v>
      </c>
      <c r="I244">
        <v>1055</v>
      </c>
      <c r="J244">
        <v>212</v>
      </c>
      <c r="K244">
        <v>270</v>
      </c>
      <c r="L244">
        <v>204</v>
      </c>
      <c r="M244">
        <v>296</v>
      </c>
      <c r="N244">
        <v>523</v>
      </c>
      <c r="O244">
        <v>401</v>
      </c>
      <c r="P244">
        <v>198.46025969999999</v>
      </c>
      <c r="Q244">
        <v>28</v>
      </c>
      <c r="R244">
        <v>0.26602564099999998</v>
      </c>
      <c r="S244">
        <v>493</v>
      </c>
      <c r="T244">
        <v>177</v>
      </c>
      <c r="U244">
        <v>734</v>
      </c>
      <c r="V244">
        <v>722</v>
      </c>
      <c r="W244">
        <v>1066</v>
      </c>
      <c r="X244">
        <v>886</v>
      </c>
      <c r="Y244">
        <v>5</v>
      </c>
      <c r="Z244">
        <v>83</v>
      </c>
      <c r="AA244">
        <v>291</v>
      </c>
      <c r="AB244">
        <v>1</v>
      </c>
      <c r="AC244">
        <v>19</v>
      </c>
      <c r="AD244">
        <v>94</v>
      </c>
      <c r="AE244">
        <v>0</v>
      </c>
      <c r="AF244">
        <v>0</v>
      </c>
      <c r="AG244">
        <v>4</v>
      </c>
      <c r="AH244">
        <v>0</v>
      </c>
      <c r="AI244">
        <v>0</v>
      </c>
      <c r="AJ244">
        <v>0</v>
      </c>
      <c r="AK244">
        <v>1.2740400000000001</v>
      </c>
      <c r="AL244">
        <v>1</v>
      </c>
      <c r="AM244">
        <v>0</v>
      </c>
      <c r="AN244">
        <v>1291</v>
      </c>
      <c r="AO244">
        <v>39</v>
      </c>
      <c r="AP244">
        <v>0</v>
      </c>
      <c r="AQ244">
        <v>0</v>
      </c>
    </row>
    <row r="245" spans="1:43" x14ac:dyDescent="0.25">
      <c r="A245">
        <v>242</v>
      </c>
      <c r="B245">
        <v>5</v>
      </c>
      <c r="C245">
        <v>5</v>
      </c>
      <c r="D245">
        <v>2</v>
      </c>
      <c r="E245">
        <v>876</v>
      </c>
      <c r="F245">
        <v>2538</v>
      </c>
      <c r="G245">
        <v>2538</v>
      </c>
      <c r="H245">
        <v>1221</v>
      </c>
      <c r="I245">
        <v>881</v>
      </c>
      <c r="J245">
        <v>0</v>
      </c>
      <c r="K245">
        <v>136</v>
      </c>
      <c r="L245">
        <v>144</v>
      </c>
      <c r="M245">
        <v>193</v>
      </c>
      <c r="N245">
        <v>403</v>
      </c>
      <c r="O245">
        <v>331</v>
      </c>
      <c r="P245">
        <v>150.73970869999999</v>
      </c>
      <c r="Q245">
        <v>25</v>
      </c>
      <c r="R245">
        <v>0.27797271000000001</v>
      </c>
      <c r="S245">
        <v>241</v>
      </c>
      <c r="T245">
        <v>94</v>
      </c>
      <c r="U245">
        <v>463</v>
      </c>
      <c r="V245">
        <v>696</v>
      </c>
      <c r="W245">
        <v>669</v>
      </c>
      <c r="X245">
        <v>541</v>
      </c>
      <c r="Y245">
        <v>3</v>
      </c>
      <c r="Z245">
        <v>45</v>
      </c>
      <c r="AA245">
        <v>162</v>
      </c>
      <c r="AB245">
        <v>1</v>
      </c>
      <c r="AC245">
        <v>8</v>
      </c>
      <c r="AD245">
        <v>22</v>
      </c>
      <c r="AE245">
        <v>0</v>
      </c>
      <c r="AF245">
        <v>0</v>
      </c>
      <c r="AG245">
        <v>4</v>
      </c>
      <c r="AH245">
        <v>0</v>
      </c>
      <c r="AI245">
        <v>0</v>
      </c>
      <c r="AJ245">
        <v>0</v>
      </c>
      <c r="AK245">
        <v>1.22801</v>
      </c>
      <c r="AL245">
        <v>1</v>
      </c>
      <c r="AM245">
        <v>0</v>
      </c>
      <c r="AN245">
        <v>876</v>
      </c>
      <c r="AO245">
        <v>0</v>
      </c>
      <c r="AP245">
        <v>0</v>
      </c>
      <c r="AQ245">
        <v>0</v>
      </c>
    </row>
    <row r="246" spans="1:43" x14ac:dyDescent="0.25">
      <c r="A246">
        <v>243</v>
      </c>
      <c r="B246">
        <v>5</v>
      </c>
      <c r="C246">
        <v>5</v>
      </c>
      <c r="D246">
        <v>2</v>
      </c>
      <c r="E246">
        <v>937</v>
      </c>
      <c r="F246">
        <v>2890</v>
      </c>
      <c r="G246">
        <v>2904</v>
      </c>
      <c r="H246">
        <v>1391</v>
      </c>
      <c r="I246">
        <v>833</v>
      </c>
      <c r="J246">
        <v>68</v>
      </c>
      <c r="K246">
        <v>158</v>
      </c>
      <c r="L246">
        <v>94</v>
      </c>
      <c r="M246">
        <v>142</v>
      </c>
      <c r="N246">
        <v>540</v>
      </c>
      <c r="O246">
        <v>252</v>
      </c>
      <c r="P246">
        <v>169.3893774</v>
      </c>
      <c r="Q246">
        <v>10</v>
      </c>
      <c r="R246">
        <v>0.25169582299999999</v>
      </c>
      <c r="S246">
        <v>137</v>
      </c>
      <c r="T246">
        <v>97</v>
      </c>
      <c r="U246">
        <v>472</v>
      </c>
      <c r="V246">
        <v>731</v>
      </c>
      <c r="W246">
        <v>811</v>
      </c>
      <c r="X246">
        <v>568</v>
      </c>
      <c r="Y246">
        <v>4</v>
      </c>
      <c r="Z246">
        <v>36</v>
      </c>
      <c r="AA246">
        <v>77</v>
      </c>
      <c r="AB246">
        <v>0</v>
      </c>
      <c r="AC246">
        <v>5</v>
      </c>
      <c r="AD246">
        <v>15</v>
      </c>
      <c r="AE246">
        <v>0</v>
      </c>
      <c r="AF246">
        <v>0</v>
      </c>
      <c r="AG246">
        <v>4</v>
      </c>
      <c r="AH246">
        <v>0</v>
      </c>
      <c r="AI246">
        <v>0</v>
      </c>
      <c r="AJ246">
        <v>0</v>
      </c>
      <c r="AK246">
        <v>1.1823699999999999</v>
      </c>
      <c r="AL246">
        <v>1</v>
      </c>
      <c r="AM246">
        <v>0</v>
      </c>
      <c r="AN246">
        <v>937</v>
      </c>
      <c r="AO246">
        <v>14</v>
      </c>
      <c r="AP246">
        <v>0</v>
      </c>
      <c r="AQ246">
        <v>0</v>
      </c>
    </row>
    <row r="247" spans="1:43" x14ac:dyDescent="0.25">
      <c r="A247">
        <v>244</v>
      </c>
      <c r="B247">
        <v>5</v>
      </c>
      <c r="C247">
        <v>5</v>
      </c>
      <c r="D247">
        <v>2</v>
      </c>
      <c r="E247">
        <v>1907</v>
      </c>
      <c r="F247">
        <v>5483</v>
      </c>
      <c r="G247">
        <v>5519</v>
      </c>
      <c r="H247">
        <v>2723</v>
      </c>
      <c r="I247">
        <v>977</v>
      </c>
      <c r="J247">
        <v>945</v>
      </c>
      <c r="K247">
        <v>436</v>
      </c>
      <c r="L247">
        <v>296</v>
      </c>
      <c r="M247">
        <v>435</v>
      </c>
      <c r="N247">
        <v>736</v>
      </c>
      <c r="O247">
        <v>261</v>
      </c>
      <c r="P247">
        <v>161.23241189999999</v>
      </c>
      <c r="Q247">
        <v>38</v>
      </c>
      <c r="R247">
        <v>0.23331463799999999</v>
      </c>
      <c r="S247">
        <v>1250</v>
      </c>
      <c r="T247">
        <v>173</v>
      </c>
      <c r="U247">
        <v>743</v>
      </c>
      <c r="V247">
        <v>1451</v>
      </c>
      <c r="W247">
        <v>1788</v>
      </c>
      <c r="X247">
        <v>986</v>
      </c>
      <c r="Y247">
        <v>213</v>
      </c>
      <c r="Z247">
        <v>268</v>
      </c>
      <c r="AA247">
        <v>521</v>
      </c>
      <c r="AB247">
        <v>3</v>
      </c>
      <c r="AC247">
        <v>54</v>
      </c>
      <c r="AD247">
        <v>191</v>
      </c>
      <c r="AE247">
        <v>0</v>
      </c>
      <c r="AF247">
        <v>0</v>
      </c>
      <c r="AG247">
        <v>4</v>
      </c>
      <c r="AH247">
        <v>0</v>
      </c>
      <c r="AI247">
        <v>0</v>
      </c>
      <c r="AJ247">
        <v>0</v>
      </c>
      <c r="AK247">
        <v>1.6570499999999999</v>
      </c>
      <c r="AL247">
        <v>1</v>
      </c>
      <c r="AM247">
        <v>0</v>
      </c>
      <c r="AN247">
        <v>1907</v>
      </c>
      <c r="AO247">
        <v>36</v>
      </c>
      <c r="AP247">
        <v>0</v>
      </c>
      <c r="AQ247">
        <v>0</v>
      </c>
    </row>
    <row r="248" spans="1:43" x14ac:dyDescent="0.25">
      <c r="A248">
        <v>245</v>
      </c>
      <c r="B248">
        <v>5</v>
      </c>
      <c r="C248">
        <v>5</v>
      </c>
      <c r="D248">
        <v>2</v>
      </c>
      <c r="E248">
        <v>1214</v>
      </c>
      <c r="F248">
        <v>3140</v>
      </c>
      <c r="G248">
        <v>3183</v>
      </c>
      <c r="H248">
        <v>1311</v>
      </c>
      <c r="I248">
        <v>857</v>
      </c>
      <c r="J248">
        <v>324</v>
      </c>
      <c r="K248">
        <v>265</v>
      </c>
      <c r="L248">
        <v>349</v>
      </c>
      <c r="M248">
        <v>183</v>
      </c>
      <c r="N248">
        <v>413</v>
      </c>
      <c r="O248">
        <v>380</v>
      </c>
      <c r="P248">
        <v>261.55180860000002</v>
      </c>
      <c r="Q248">
        <v>32</v>
      </c>
      <c r="R248">
        <v>0.29438347300000001</v>
      </c>
      <c r="S248">
        <v>407</v>
      </c>
      <c r="T248">
        <v>288</v>
      </c>
      <c r="U248">
        <v>287</v>
      </c>
      <c r="V248">
        <v>859</v>
      </c>
      <c r="W248">
        <v>748</v>
      </c>
      <c r="X248">
        <v>790</v>
      </c>
      <c r="Y248">
        <v>4</v>
      </c>
      <c r="Z248">
        <v>55</v>
      </c>
      <c r="AA248">
        <v>301</v>
      </c>
      <c r="AB248">
        <v>1</v>
      </c>
      <c r="AC248">
        <v>12</v>
      </c>
      <c r="AD248">
        <v>34</v>
      </c>
      <c r="AE248">
        <v>0</v>
      </c>
      <c r="AF248">
        <v>0</v>
      </c>
      <c r="AG248">
        <v>4</v>
      </c>
      <c r="AH248">
        <v>1115</v>
      </c>
      <c r="AI248">
        <v>0</v>
      </c>
      <c r="AJ248">
        <v>0</v>
      </c>
      <c r="AK248">
        <v>1.13567</v>
      </c>
      <c r="AL248">
        <v>1</v>
      </c>
      <c r="AM248">
        <v>0</v>
      </c>
      <c r="AN248">
        <v>1214</v>
      </c>
      <c r="AO248">
        <v>43</v>
      </c>
      <c r="AP248">
        <v>0</v>
      </c>
      <c r="AQ248">
        <v>0</v>
      </c>
    </row>
    <row r="249" spans="1:43" x14ac:dyDescent="0.25">
      <c r="A249">
        <v>246</v>
      </c>
      <c r="B249">
        <v>5</v>
      </c>
      <c r="C249">
        <v>5</v>
      </c>
      <c r="D249">
        <v>2</v>
      </c>
      <c r="E249">
        <v>2767</v>
      </c>
      <c r="F249">
        <v>7561</v>
      </c>
      <c r="G249">
        <v>7767</v>
      </c>
      <c r="H249">
        <v>3734</v>
      </c>
      <c r="I249">
        <v>1931</v>
      </c>
      <c r="J249">
        <v>937</v>
      </c>
      <c r="K249">
        <v>468</v>
      </c>
      <c r="L249">
        <v>458</v>
      </c>
      <c r="M249">
        <v>377</v>
      </c>
      <c r="N249">
        <v>1462</v>
      </c>
      <c r="O249">
        <v>1036</v>
      </c>
      <c r="P249">
        <v>555.70895559999997</v>
      </c>
      <c r="Q249">
        <v>165.42761909999999</v>
      </c>
      <c r="R249">
        <v>0.19818926000000001</v>
      </c>
      <c r="S249">
        <v>4197</v>
      </c>
      <c r="T249">
        <v>483</v>
      </c>
      <c r="U249">
        <v>1437</v>
      </c>
      <c r="V249">
        <v>2444</v>
      </c>
      <c r="W249">
        <v>1908</v>
      </c>
      <c r="X249">
        <v>1443</v>
      </c>
      <c r="Y249">
        <v>172</v>
      </c>
      <c r="Z249">
        <v>933</v>
      </c>
      <c r="AA249">
        <v>2889</v>
      </c>
      <c r="AB249">
        <v>4</v>
      </c>
      <c r="AC249">
        <v>108</v>
      </c>
      <c r="AD249">
        <v>91</v>
      </c>
      <c r="AE249">
        <v>0</v>
      </c>
      <c r="AF249">
        <v>0</v>
      </c>
      <c r="AG249">
        <v>4</v>
      </c>
      <c r="AH249">
        <v>366</v>
      </c>
      <c r="AI249">
        <v>0</v>
      </c>
      <c r="AJ249">
        <v>0</v>
      </c>
      <c r="AK249">
        <v>1.4250799999999999</v>
      </c>
      <c r="AL249">
        <v>1</v>
      </c>
      <c r="AM249">
        <v>0</v>
      </c>
      <c r="AN249">
        <v>2767</v>
      </c>
      <c r="AO249">
        <v>206</v>
      </c>
      <c r="AP249">
        <v>0</v>
      </c>
      <c r="AQ249">
        <v>0</v>
      </c>
    </row>
    <row r="250" spans="1:43" x14ac:dyDescent="0.25">
      <c r="A250">
        <v>247</v>
      </c>
      <c r="B250">
        <v>5</v>
      </c>
      <c r="C250">
        <v>5</v>
      </c>
      <c r="D250">
        <v>2</v>
      </c>
      <c r="E250">
        <v>1365</v>
      </c>
      <c r="F250">
        <v>3711</v>
      </c>
      <c r="G250">
        <v>3724</v>
      </c>
      <c r="H250">
        <v>1603</v>
      </c>
      <c r="I250">
        <v>1212</v>
      </c>
      <c r="J250">
        <v>111</v>
      </c>
      <c r="K250">
        <v>191</v>
      </c>
      <c r="L250">
        <v>171</v>
      </c>
      <c r="M250">
        <v>305</v>
      </c>
      <c r="N250">
        <v>693</v>
      </c>
      <c r="O250">
        <v>230</v>
      </c>
      <c r="P250">
        <v>154.1362153</v>
      </c>
      <c r="Q250">
        <v>20</v>
      </c>
      <c r="R250">
        <v>0.27135816000000001</v>
      </c>
      <c r="S250">
        <v>520</v>
      </c>
      <c r="T250">
        <v>209</v>
      </c>
      <c r="U250">
        <v>682</v>
      </c>
      <c r="V250">
        <v>767</v>
      </c>
      <c r="W250">
        <v>1184</v>
      </c>
      <c r="X250">
        <v>657</v>
      </c>
      <c r="Y250">
        <v>15</v>
      </c>
      <c r="Z250">
        <v>100</v>
      </c>
      <c r="AA250">
        <v>238</v>
      </c>
      <c r="AB250">
        <v>2</v>
      </c>
      <c r="AC250">
        <v>26</v>
      </c>
      <c r="AD250">
        <v>139</v>
      </c>
      <c r="AE250">
        <v>0</v>
      </c>
      <c r="AF250">
        <v>0</v>
      </c>
      <c r="AG250">
        <v>4</v>
      </c>
      <c r="AH250">
        <v>0</v>
      </c>
      <c r="AI250">
        <v>0</v>
      </c>
      <c r="AJ250">
        <v>0</v>
      </c>
      <c r="AK250">
        <v>1.3444100000000001</v>
      </c>
      <c r="AL250">
        <v>1</v>
      </c>
      <c r="AM250">
        <v>0</v>
      </c>
      <c r="AN250">
        <v>1365</v>
      </c>
      <c r="AO250">
        <v>13</v>
      </c>
      <c r="AP250">
        <v>0</v>
      </c>
      <c r="AQ250">
        <v>0</v>
      </c>
    </row>
    <row r="251" spans="1:43" x14ac:dyDescent="0.25">
      <c r="A251">
        <v>248</v>
      </c>
      <c r="B251">
        <v>5</v>
      </c>
      <c r="C251">
        <v>5</v>
      </c>
      <c r="D251">
        <v>2</v>
      </c>
      <c r="E251">
        <v>1193</v>
      </c>
      <c r="F251">
        <v>2945</v>
      </c>
      <c r="G251">
        <v>3065</v>
      </c>
      <c r="H251">
        <v>1627</v>
      </c>
      <c r="I251">
        <v>655</v>
      </c>
      <c r="J251">
        <v>679</v>
      </c>
      <c r="K251">
        <v>226</v>
      </c>
      <c r="L251">
        <v>229</v>
      </c>
      <c r="M251">
        <v>284</v>
      </c>
      <c r="N251">
        <v>454</v>
      </c>
      <c r="O251">
        <v>687</v>
      </c>
      <c r="P251">
        <v>129.85546489999999</v>
      </c>
      <c r="Q251">
        <v>370</v>
      </c>
      <c r="R251">
        <v>0.17492312900000001</v>
      </c>
      <c r="S251">
        <v>14033</v>
      </c>
      <c r="T251">
        <v>221</v>
      </c>
      <c r="U251">
        <v>475</v>
      </c>
      <c r="V251">
        <v>925</v>
      </c>
      <c r="W251">
        <v>764</v>
      </c>
      <c r="X251">
        <v>420</v>
      </c>
      <c r="Y251">
        <v>359</v>
      </c>
      <c r="Z251">
        <v>6627</v>
      </c>
      <c r="AA251">
        <v>2900</v>
      </c>
      <c r="AB251">
        <v>10</v>
      </c>
      <c r="AC251">
        <v>2988</v>
      </c>
      <c r="AD251">
        <v>1149</v>
      </c>
      <c r="AE251">
        <v>0</v>
      </c>
      <c r="AF251">
        <v>0</v>
      </c>
      <c r="AG251">
        <v>3</v>
      </c>
      <c r="AH251">
        <v>123</v>
      </c>
      <c r="AI251">
        <v>0</v>
      </c>
      <c r="AJ251">
        <v>0</v>
      </c>
      <c r="AK251">
        <v>2.2921100000000001</v>
      </c>
      <c r="AL251">
        <v>3</v>
      </c>
      <c r="AM251">
        <v>0</v>
      </c>
      <c r="AN251">
        <v>1193</v>
      </c>
      <c r="AO251">
        <v>120</v>
      </c>
      <c r="AP251">
        <v>0</v>
      </c>
      <c r="AQ251">
        <v>0</v>
      </c>
    </row>
    <row r="252" spans="1:43" x14ac:dyDescent="0.25">
      <c r="A252">
        <v>249</v>
      </c>
      <c r="B252">
        <v>6</v>
      </c>
      <c r="C252">
        <v>6</v>
      </c>
      <c r="D252">
        <v>2</v>
      </c>
      <c r="E252">
        <v>2682</v>
      </c>
      <c r="F252">
        <v>6580</v>
      </c>
      <c r="G252">
        <v>6601</v>
      </c>
      <c r="H252">
        <v>3742</v>
      </c>
      <c r="I252">
        <v>1406</v>
      </c>
      <c r="J252">
        <v>1238</v>
      </c>
      <c r="K252">
        <v>370</v>
      </c>
      <c r="L252">
        <v>390</v>
      </c>
      <c r="M252">
        <v>738</v>
      </c>
      <c r="N252">
        <v>1181</v>
      </c>
      <c r="O252">
        <v>699</v>
      </c>
      <c r="P252">
        <v>210.98365860000001</v>
      </c>
      <c r="Q252">
        <v>283</v>
      </c>
      <c r="R252">
        <v>0.152206545</v>
      </c>
      <c r="S252">
        <v>4892</v>
      </c>
      <c r="T252">
        <v>174</v>
      </c>
      <c r="U252">
        <v>1167</v>
      </c>
      <c r="V252">
        <v>2397</v>
      </c>
      <c r="W252">
        <v>1893</v>
      </c>
      <c r="X252">
        <v>746</v>
      </c>
      <c r="Y252">
        <v>333</v>
      </c>
      <c r="Z252">
        <v>1428</v>
      </c>
      <c r="AA252">
        <v>1132</v>
      </c>
      <c r="AB252">
        <v>8</v>
      </c>
      <c r="AC252">
        <v>1300</v>
      </c>
      <c r="AD252">
        <v>691</v>
      </c>
      <c r="AE252">
        <v>0</v>
      </c>
      <c r="AF252">
        <v>0</v>
      </c>
      <c r="AG252">
        <v>3</v>
      </c>
      <c r="AH252">
        <v>1583</v>
      </c>
      <c r="AI252">
        <v>0</v>
      </c>
      <c r="AJ252">
        <v>0</v>
      </c>
      <c r="AK252">
        <v>1.59565</v>
      </c>
      <c r="AL252">
        <v>3</v>
      </c>
      <c r="AM252">
        <v>0</v>
      </c>
      <c r="AN252">
        <v>2682</v>
      </c>
      <c r="AO252">
        <v>21</v>
      </c>
      <c r="AP252">
        <v>0</v>
      </c>
      <c r="AQ252">
        <v>0</v>
      </c>
    </row>
    <row r="253" spans="1:43" x14ac:dyDescent="0.25">
      <c r="A253">
        <v>250</v>
      </c>
      <c r="B253">
        <v>6</v>
      </c>
      <c r="C253">
        <v>6</v>
      </c>
      <c r="D253">
        <v>2</v>
      </c>
      <c r="E253">
        <v>1932</v>
      </c>
      <c r="F253">
        <v>5101</v>
      </c>
      <c r="G253">
        <v>5171</v>
      </c>
      <c r="H253">
        <v>2471</v>
      </c>
      <c r="I253">
        <v>1181</v>
      </c>
      <c r="J253">
        <v>672</v>
      </c>
      <c r="K253">
        <v>297</v>
      </c>
      <c r="L253">
        <v>297</v>
      </c>
      <c r="M253">
        <v>413</v>
      </c>
      <c r="N253">
        <v>926</v>
      </c>
      <c r="O253">
        <v>280</v>
      </c>
      <c r="P253">
        <v>198</v>
      </c>
      <c r="Q253">
        <v>12.82039324</v>
      </c>
      <c r="R253">
        <v>0.17871093800000001</v>
      </c>
      <c r="S253">
        <v>792</v>
      </c>
      <c r="T253">
        <v>287</v>
      </c>
      <c r="U253">
        <v>1200</v>
      </c>
      <c r="V253">
        <v>1486</v>
      </c>
      <c r="W253">
        <v>1210</v>
      </c>
      <c r="X253">
        <v>732</v>
      </c>
      <c r="Y253">
        <v>102</v>
      </c>
      <c r="Z253">
        <v>109</v>
      </c>
      <c r="AA253">
        <v>380</v>
      </c>
      <c r="AB253">
        <v>2</v>
      </c>
      <c r="AC253">
        <v>33</v>
      </c>
      <c r="AD253">
        <v>166</v>
      </c>
      <c r="AE253">
        <v>0</v>
      </c>
      <c r="AF253">
        <v>0</v>
      </c>
      <c r="AG253">
        <v>4</v>
      </c>
      <c r="AH253">
        <v>0</v>
      </c>
      <c r="AI253">
        <v>0</v>
      </c>
      <c r="AJ253">
        <v>0</v>
      </c>
      <c r="AK253">
        <v>1.4827900000000001</v>
      </c>
      <c r="AL253">
        <v>2</v>
      </c>
      <c r="AM253">
        <v>0</v>
      </c>
      <c r="AN253">
        <v>1932</v>
      </c>
      <c r="AO253">
        <v>70</v>
      </c>
      <c r="AP253">
        <v>0</v>
      </c>
      <c r="AQ253">
        <v>0</v>
      </c>
    </row>
    <row r="254" spans="1:43" x14ac:dyDescent="0.25">
      <c r="A254">
        <v>251</v>
      </c>
      <c r="B254">
        <v>6</v>
      </c>
      <c r="C254">
        <v>6</v>
      </c>
      <c r="D254">
        <v>2</v>
      </c>
      <c r="E254">
        <v>2614</v>
      </c>
      <c r="F254">
        <v>5544</v>
      </c>
      <c r="G254">
        <v>5552</v>
      </c>
      <c r="H254">
        <v>3197</v>
      </c>
      <c r="I254">
        <v>499</v>
      </c>
      <c r="J254">
        <v>2108</v>
      </c>
      <c r="K254">
        <v>490</v>
      </c>
      <c r="L254">
        <v>683</v>
      </c>
      <c r="M254">
        <v>472</v>
      </c>
      <c r="N254">
        <v>971</v>
      </c>
      <c r="O254">
        <v>277</v>
      </c>
      <c r="P254">
        <v>152.41010660000001</v>
      </c>
      <c r="Q254">
        <v>47.053904199999998</v>
      </c>
      <c r="R254">
        <v>0.15641953</v>
      </c>
      <c r="S254">
        <v>4871</v>
      </c>
      <c r="T254">
        <v>415</v>
      </c>
      <c r="U254">
        <v>604</v>
      </c>
      <c r="V254">
        <v>2129</v>
      </c>
      <c r="W254">
        <v>1453</v>
      </c>
      <c r="X254">
        <v>704</v>
      </c>
      <c r="Y254">
        <v>979</v>
      </c>
      <c r="Z254">
        <v>1101</v>
      </c>
      <c r="AA254">
        <v>1531</v>
      </c>
      <c r="AB254">
        <v>9</v>
      </c>
      <c r="AC254">
        <v>174</v>
      </c>
      <c r="AD254">
        <v>1077</v>
      </c>
      <c r="AE254">
        <v>0</v>
      </c>
      <c r="AF254">
        <v>49.449954380000001</v>
      </c>
      <c r="AG254">
        <v>2</v>
      </c>
      <c r="AH254">
        <v>0</v>
      </c>
      <c r="AI254">
        <v>0</v>
      </c>
      <c r="AJ254">
        <v>0</v>
      </c>
      <c r="AK254">
        <v>2.66736</v>
      </c>
      <c r="AL254">
        <v>3</v>
      </c>
      <c r="AM254">
        <v>0</v>
      </c>
      <c r="AN254">
        <v>2614</v>
      </c>
      <c r="AO254">
        <v>8</v>
      </c>
      <c r="AP254">
        <v>0</v>
      </c>
      <c r="AQ254">
        <v>0</v>
      </c>
    </row>
    <row r="255" spans="1:43" x14ac:dyDescent="0.25">
      <c r="A255">
        <v>252</v>
      </c>
      <c r="B255">
        <v>6</v>
      </c>
      <c r="C255">
        <v>6</v>
      </c>
      <c r="D255">
        <v>2</v>
      </c>
      <c r="E255">
        <v>1800</v>
      </c>
      <c r="F255">
        <v>6021</v>
      </c>
      <c r="G255">
        <v>6038</v>
      </c>
      <c r="H255">
        <v>2483</v>
      </c>
      <c r="I255">
        <v>1781</v>
      </c>
      <c r="J255">
        <v>8</v>
      </c>
      <c r="K255">
        <v>191</v>
      </c>
      <c r="L255">
        <v>141</v>
      </c>
      <c r="M255">
        <v>162</v>
      </c>
      <c r="N255">
        <v>1314</v>
      </c>
      <c r="O255">
        <v>2124</v>
      </c>
      <c r="P255">
        <v>1447.812408</v>
      </c>
      <c r="Q255">
        <v>201</v>
      </c>
      <c r="R255">
        <v>0.226486576</v>
      </c>
      <c r="S255">
        <v>1528</v>
      </c>
      <c r="T255">
        <v>216</v>
      </c>
      <c r="U255">
        <v>1612</v>
      </c>
      <c r="V255">
        <v>1103</v>
      </c>
      <c r="W255">
        <v>1727</v>
      </c>
      <c r="X255">
        <v>1158</v>
      </c>
      <c r="Y255">
        <v>12</v>
      </c>
      <c r="Z255">
        <v>382</v>
      </c>
      <c r="AA255">
        <v>745</v>
      </c>
      <c r="AB255">
        <v>24</v>
      </c>
      <c r="AC255">
        <v>107</v>
      </c>
      <c r="AD255">
        <v>258</v>
      </c>
      <c r="AE255">
        <v>0</v>
      </c>
      <c r="AF255">
        <v>0</v>
      </c>
      <c r="AG255">
        <v>4</v>
      </c>
      <c r="AH255">
        <v>450</v>
      </c>
      <c r="AI255">
        <v>0</v>
      </c>
      <c r="AJ255">
        <v>0</v>
      </c>
      <c r="AK255">
        <v>0.99143999999999999</v>
      </c>
      <c r="AL255">
        <v>1</v>
      </c>
      <c r="AM255">
        <v>0</v>
      </c>
      <c r="AN255">
        <v>1800</v>
      </c>
      <c r="AO255">
        <v>17</v>
      </c>
      <c r="AP255">
        <v>0</v>
      </c>
      <c r="AQ255">
        <v>0</v>
      </c>
    </row>
    <row r="256" spans="1:43" x14ac:dyDescent="0.25">
      <c r="A256">
        <v>253</v>
      </c>
      <c r="B256">
        <v>6</v>
      </c>
      <c r="C256">
        <v>6</v>
      </c>
      <c r="D256">
        <v>2</v>
      </c>
      <c r="E256">
        <v>955</v>
      </c>
      <c r="F256">
        <v>2613</v>
      </c>
      <c r="G256">
        <v>2613</v>
      </c>
      <c r="H256">
        <v>1180</v>
      </c>
      <c r="I256">
        <v>737</v>
      </c>
      <c r="J256">
        <v>171</v>
      </c>
      <c r="K256">
        <v>125</v>
      </c>
      <c r="L256">
        <v>85</v>
      </c>
      <c r="M256">
        <v>265</v>
      </c>
      <c r="N256">
        <v>481</v>
      </c>
      <c r="O256">
        <v>282</v>
      </c>
      <c r="P256">
        <v>218</v>
      </c>
      <c r="Q256">
        <v>4</v>
      </c>
      <c r="R256">
        <v>0.25272249299999999</v>
      </c>
      <c r="S256">
        <v>221</v>
      </c>
      <c r="T256">
        <v>148</v>
      </c>
      <c r="U256">
        <v>547</v>
      </c>
      <c r="V256">
        <v>639</v>
      </c>
      <c r="W256">
        <v>644</v>
      </c>
      <c r="X256">
        <v>560</v>
      </c>
      <c r="Y256">
        <v>11</v>
      </c>
      <c r="Z256">
        <v>85</v>
      </c>
      <c r="AA256">
        <v>71</v>
      </c>
      <c r="AB256">
        <v>1</v>
      </c>
      <c r="AC256">
        <v>14</v>
      </c>
      <c r="AD256">
        <v>39</v>
      </c>
      <c r="AE256">
        <v>0</v>
      </c>
      <c r="AF256">
        <v>0</v>
      </c>
      <c r="AG256">
        <v>4</v>
      </c>
      <c r="AH256">
        <v>0</v>
      </c>
      <c r="AI256">
        <v>0</v>
      </c>
      <c r="AJ256">
        <v>0</v>
      </c>
      <c r="AK256">
        <v>1.14392</v>
      </c>
      <c r="AL256">
        <v>1</v>
      </c>
      <c r="AM256">
        <v>0</v>
      </c>
      <c r="AN256">
        <v>955</v>
      </c>
      <c r="AO256">
        <v>0</v>
      </c>
      <c r="AP256">
        <v>0</v>
      </c>
      <c r="AQ256">
        <v>0</v>
      </c>
    </row>
    <row r="257" spans="1:43" x14ac:dyDescent="0.25">
      <c r="A257">
        <v>254</v>
      </c>
      <c r="B257">
        <v>6</v>
      </c>
      <c r="C257">
        <v>6</v>
      </c>
      <c r="D257">
        <v>2</v>
      </c>
      <c r="E257">
        <v>1759</v>
      </c>
      <c r="F257">
        <v>5476</v>
      </c>
      <c r="G257">
        <v>5476</v>
      </c>
      <c r="H257">
        <v>2451</v>
      </c>
      <c r="I257">
        <v>1832</v>
      </c>
      <c r="J257">
        <v>0</v>
      </c>
      <c r="K257">
        <v>75</v>
      </c>
      <c r="L257">
        <v>238</v>
      </c>
      <c r="M257">
        <v>209</v>
      </c>
      <c r="N257">
        <v>1235</v>
      </c>
      <c r="O257">
        <v>1976</v>
      </c>
      <c r="P257">
        <v>1451.580594</v>
      </c>
      <c r="Q257">
        <v>20</v>
      </c>
      <c r="R257">
        <v>0.22808321000000001</v>
      </c>
      <c r="S257">
        <v>723</v>
      </c>
      <c r="T257">
        <v>186</v>
      </c>
      <c r="U257">
        <v>1161</v>
      </c>
      <c r="V257">
        <v>954</v>
      </c>
      <c r="W257">
        <v>1799</v>
      </c>
      <c r="X257">
        <v>1048</v>
      </c>
      <c r="Y257">
        <v>10</v>
      </c>
      <c r="Z257">
        <v>177</v>
      </c>
      <c r="AA257">
        <v>424</v>
      </c>
      <c r="AB257">
        <v>6</v>
      </c>
      <c r="AC257">
        <v>29</v>
      </c>
      <c r="AD257">
        <v>77</v>
      </c>
      <c r="AE257">
        <v>0</v>
      </c>
      <c r="AF257">
        <v>0</v>
      </c>
      <c r="AG257">
        <v>4</v>
      </c>
      <c r="AH257">
        <v>349</v>
      </c>
      <c r="AI257">
        <v>0</v>
      </c>
      <c r="AJ257">
        <v>0</v>
      </c>
      <c r="AK257">
        <v>0.97594000000000003</v>
      </c>
      <c r="AL257">
        <v>1</v>
      </c>
      <c r="AM257">
        <v>0</v>
      </c>
      <c r="AN257">
        <v>1759</v>
      </c>
      <c r="AO257">
        <v>0</v>
      </c>
      <c r="AP257">
        <v>0</v>
      </c>
      <c r="AQ257">
        <v>0</v>
      </c>
    </row>
    <row r="258" spans="1:43" x14ac:dyDescent="0.25">
      <c r="A258">
        <v>255</v>
      </c>
      <c r="B258">
        <v>6</v>
      </c>
      <c r="C258">
        <v>6</v>
      </c>
      <c r="D258">
        <v>2</v>
      </c>
      <c r="E258">
        <v>1277</v>
      </c>
      <c r="F258">
        <v>3399</v>
      </c>
      <c r="G258">
        <v>3401</v>
      </c>
      <c r="H258">
        <v>1515</v>
      </c>
      <c r="I258">
        <v>1102</v>
      </c>
      <c r="J258">
        <v>159</v>
      </c>
      <c r="K258">
        <v>154</v>
      </c>
      <c r="L258">
        <v>118</v>
      </c>
      <c r="M258">
        <v>249</v>
      </c>
      <c r="N258">
        <v>756</v>
      </c>
      <c r="O258">
        <v>342</v>
      </c>
      <c r="P258">
        <v>224.62648970000001</v>
      </c>
      <c r="Q258">
        <v>37.118091880000001</v>
      </c>
      <c r="R258">
        <v>0.243202417</v>
      </c>
      <c r="S258">
        <v>631</v>
      </c>
      <c r="T258">
        <v>204</v>
      </c>
      <c r="U258">
        <v>646</v>
      </c>
      <c r="V258">
        <v>637</v>
      </c>
      <c r="W258">
        <v>1040</v>
      </c>
      <c r="X258">
        <v>649</v>
      </c>
      <c r="Y258">
        <v>43</v>
      </c>
      <c r="Z258">
        <v>218</v>
      </c>
      <c r="AA258">
        <v>278</v>
      </c>
      <c r="AB258">
        <v>3</v>
      </c>
      <c r="AC258">
        <v>28</v>
      </c>
      <c r="AD258">
        <v>61</v>
      </c>
      <c r="AE258">
        <v>0</v>
      </c>
      <c r="AF258">
        <v>0</v>
      </c>
      <c r="AG258">
        <v>4</v>
      </c>
      <c r="AH258">
        <v>1658</v>
      </c>
      <c r="AI258">
        <v>0</v>
      </c>
      <c r="AJ258">
        <v>0</v>
      </c>
      <c r="AK258">
        <v>1.2498899999999999</v>
      </c>
      <c r="AL258">
        <v>1</v>
      </c>
      <c r="AM258">
        <v>0</v>
      </c>
      <c r="AN258">
        <v>1277</v>
      </c>
      <c r="AO258">
        <v>2</v>
      </c>
      <c r="AP258">
        <v>0</v>
      </c>
      <c r="AQ258">
        <v>0</v>
      </c>
    </row>
    <row r="259" spans="1:43" x14ac:dyDescent="0.25">
      <c r="A259">
        <v>256</v>
      </c>
      <c r="B259">
        <v>6</v>
      </c>
      <c r="C259">
        <v>6</v>
      </c>
      <c r="D259">
        <v>2</v>
      </c>
      <c r="E259">
        <v>2282</v>
      </c>
      <c r="F259">
        <v>4480</v>
      </c>
      <c r="G259">
        <v>4497</v>
      </c>
      <c r="H259">
        <v>2279</v>
      </c>
      <c r="I259">
        <v>493</v>
      </c>
      <c r="J259">
        <v>1866</v>
      </c>
      <c r="K259">
        <v>595</v>
      </c>
      <c r="L259">
        <v>408</v>
      </c>
      <c r="M259">
        <v>283</v>
      </c>
      <c r="N259">
        <v>1001</v>
      </c>
      <c r="O259">
        <v>214</v>
      </c>
      <c r="P259">
        <v>141.26187479999999</v>
      </c>
      <c r="Q259">
        <v>12</v>
      </c>
      <c r="R259">
        <v>0.31574259599999999</v>
      </c>
      <c r="S259">
        <v>1706</v>
      </c>
      <c r="T259">
        <v>186</v>
      </c>
      <c r="U259">
        <v>495</v>
      </c>
      <c r="V259">
        <v>1586</v>
      </c>
      <c r="W259">
        <v>871</v>
      </c>
      <c r="X259">
        <v>1162</v>
      </c>
      <c r="Y259">
        <v>24</v>
      </c>
      <c r="Z259">
        <v>684</v>
      </c>
      <c r="AA259">
        <v>824</v>
      </c>
      <c r="AB259">
        <v>3</v>
      </c>
      <c r="AC259">
        <v>40</v>
      </c>
      <c r="AD259">
        <v>131</v>
      </c>
      <c r="AE259">
        <v>0</v>
      </c>
      <c r="AF259">
        <v>0</v>
      </c>
      <c r="AG259">
        <v>2</v>
      </c>
      <c r="AH259">
        <v>0</v>
      </c>
      <c r="AI259">
        <v>0</v>
      </c>
      <c r="AJ259">
        <v>0</v>
      </c>
      <c r="AK259">
        <v>1.75278</v>
      </c>
      <c r="AL259">
        <v>2</v>
      </c>
      <c r="AM259">
        <v>0</v>
      </c>
      <c r="AN259">
        <v>2282</v>
      </c>
      <c r="AO259">
        <v>17</v>
      </c>
      <c r="AP259">
        <v>0</v>
      </c>
      <c r="AQ259">
        <v>0</v>
      </c>
    </row>
    <row r="260" spans="1:43" x14ac:dyDescent="0.25">
      <c r="A260">
        <v>257</v>
      </c>
      <c r="B260">
        <v>6</v>
      </c>
      <c r="C260">
        <v>6</v>
      </c>
      <c r="D260">
        <v>2</v>
      </c>
      <c r="E260">
        <v>1659</v>
      </c>
      <c r="F260">
        <v>3308</v>
      </c>
      <c r="G260">
        <v>3530</v>
      </c>
      <c r="H260">
        <v>1687</v>
      </c>
      <c r="I260">
        <v>623</v>
      </c>
      <c r="J260">
        <v>1086</v>
      </c>
      <c r="K260">
        <v>345</v>
      </c>
      <c r="L260">
        <v>420</v>
      </c>
      <c r="M260">
        <v>305</v>
      </c>
      <c r="N260">
        <v>590</v>
      </c>
      <c r="O260">
        <v>255</v>
      </c>
      <c r="P260">
        <v>99.834481100000005</v>
      </c>
      <c r="Q260">
        <v>65.849585439999998</v>
      </c>
      <c r="R260">
        <v>0.29005913799999999</v>
      </c>
      <c r="S260">
        <v>7111</v>
      </c>
      <c r="T260">
        <v>135</v>
      </c>
      <c r="U260">
        <v>519</v>
      </c>
      <c r="V260">
        <v>1137</v>
      </c>
      <c r="W260">
        <v>718</v>
      </c>
      <c r="X260">
        <v>901</v>
      </c>
      <c r="Y260">
        <v>529</v>
      </c>
      <c r="Z260">
        <v>2146</v>
      </c>
      <c r="AA260">
        <v>3323</v>
      </c>
      <c r="AB260">
        <v>10</v>
      </c>
      <c r="AC260">
        <v>296</v>
      </c>
      <c r="AD260">
        <v>807</v>
      </c>
      <c r="AE260">
        <v>0</v>
      </c>
      <c r="AF260">
        <v>0</v>
      </c>
      <c r="AG260">
        <v>3</v>
      </c>
      <c r="AH260">
        <v>0</v>
      </c>
      <c r="AI260">
        <v>0</v>
      </c>
      <c r="AJ260">
        <v>0</v>
      </c>
      <c r="AK260">
        <v>3.3260200000000002</v>
      </c>
      <c r="AL260">
        <v>3</v>
      </c>
      <c r="AM260">
        <v>0</v>
      </c>
      <c r="AN260">
        <v>1659</v>
      </c>
      <c r="AO260">
        <v>222</v>
      </c>
      <c r="AP260">
        <v>0</v>
      </c>
      <c r="AQ260">
        <v>0</v>
      </c>
    </row>
    <row r="261" spans="1:43" x14ac:dyDescent="0.25">
      <c r="A261">
        <v>258</v>
      </c>
      <c r="B261">
        <v>6</v>
      </c>
      <c r="C261">
        <v>6</v>
      </c>
      <c r="D261">
        <v>2</v>
      </c>
      <c r="E261">
        <v>2442</v>
      </c>
      <c r="F261">
        <v>5352</v>
      </c>
      <c r="G261">
        <v>5526</v>
      </c>
      <c r="H261">
        <v>3231</v>
      </c>
      <c r="I261">
        <v>615</v>
      </c>
      <c r="J261">
        <v>1994</v>
      </c>
      <c r="K261">
        <v>635</v>
      </c>
      <c r="L261">
        <v>491</v>
      </c>
      <c r="M261">
        <v>633</v>
      </c>
      <c r="N261">
        <v>683</v>
      </c>
      <c r="O261">
        <v>192</v>
      </c>
      <c r="P261">
        <v>123.7388182</v>
      </c>
      <c r="Q261">
        <v>19</v>
      </c>
      <c r="R261">
        <v>0.205039526</v>
      </c>
      <c r="S261">
        <v>1090</v>
      </c>
      <c r="T261">
        <v>359</v>
      </c>
      <c r="U261">
        <v>688</v>
      </c>
      <c r="V261">
        <v>2463</v>
      </c>
      <c r="W261">
        <v>1403</v>
      </c>
      <c r="X261">
        <v>898</v>
      </c>
      <c r="Y261">
        <v>32</v>
      </c>
      <c r="Z261">
        <v>223</v>
      </c>
      <c r="AA261">
        <v>656</v>
      </c>
      <c r="AB261">
        <v>3</v>
      </c>
      <c r="AC261">
        <v>54</v>
      </c>
      <c r="AD261">
        <v>122</v>
      </c>
      <c r="AE261">
        <v>0</v>
      </c>
      <c r="AF261">
        <v>0</v>
      </c>
      <c r="AG261">
        <v>3</v>
      </c>
      <c r="AH261">
        <v>8</v>
      </c>
      <c r="AI261">
        <v>0</v>
      </c>
      <c r="AJ261">
        <v>0</v>
      </c>
      <c r="AK261">
        <v>1.92127</v>
      </c>
      <c r="AL261">
        <v>3</v>
      </c>
      <c r="AM261">
        <v>0</v>
      </c>
      <c r="AN261">
        <v>2442</v>
      </c>
      <c r="AO261">
        <v>174</v>
      </c>
      <c r="AP261">
        <v>0</v>
      </c>
      <c r="AQ261">
        <v>0</v>
      </c>
    </row>
    <row r="262" spans="1:43" x14ac:dyDescent="0.25">
      <c r="A262">
        <v>259</v>
      </c>
      <c r="B262">
        <v>6</v>
      </c>
      <c r="C262">
        <v>6</v>
      </c>
      <c r="D262">
        <v>2</v>
      </c>
      <c r="E262">
        <v>2498</v>
      </c>
      <c r="F262">
        <v>5326</v>
      </c>
      <c r="G262">
        <v>5350</v>
      </c>
      <c r="H262">
        <v>3263</v>
      </c>
      <c r="I262">
        <v>627</v>
      </c>
      <c r="J262">
        <v>1794</v>
      </c>
      <c r="K262">
        <v>618</v>
      </c>
      <c r="L262">
        <v>616</v>
      </c>
      <c r="M262">
        <v>611</v>
      </c>
      <c r="N262">
        <v>649</v>
      </c>
      <c r="O262">
        <v>205</v>
      </c>
      <c r="P262">
        <v>112</v>
      </c>
      <c r="Q262">
        <v>47.468669470000002</v>
      </c>
      <c r="R262">
        <v>0.14721627400000001</v>
      </c>
      <c r="S262">
        <v>1636</v>
      </c>
      <c r="T262">
        <v>274</v>
      </c>
      <c r="U262">
        <v>989</v>
      </c>
      <c r="V262">
        <v>2653</v>
      </c>
      <c r="W262">
        <v>831</v>
      </c>
      <c r="X262">
        <v>622</v>
      </c>
      <c r="Y262">
        <v>119</v>
      </c>
      <c r="Z262">
        <v>164</v>
      </c>
      <c r="AA262">
        <v>1018</v>
      </c>
      <c r="AB262">
        <v>2</v>
      </c>
      <c r="AC262">
        <v>199</v>
      </c>
      <c r="AD262">
        <v>134</v>
      </c>
      <c r="AE262">
        <v>0</v>
      </c>
      <c r="AF262">
        <v>0</v>
      </c>
      <c r="AG262">
        <v>3</v>
      </c>
      <c r="AH262">
        <v>1591</v>
      </c>
      <c r="AI262">
        <v>0</v>
      </c>
      <c r="AJ262">
        <v>0</v>
      </c>
      <c r="AK262">
        <v>1.76877</v>
      </c>
      <c r="AL262">
        <v>3</v>
      </c>
      <c r="AM262">
        <v>0</v>
      </c>
      <c r="AN262">
        <v>2498</v>
      </c>
      <c r="AO262">
        <v>24</v>
      </c>
      <c r="AP262">
        <v>0</v>
      </c>
      <c r="AQ262">
        <v>0</v>
      </c>
    </row>
    <row r="263" spans="1:43" x14ac:dyDescent="0.25">
      <c r="A263">
        <v>260</v>
      </c>
      <c r="B263">
        <v>6</v>
      </c>
      <c r="C263">
        <v>6</v>
      </c>
      <c r="D263">
        <v>2</v>
      </c>
      <c r="E263">
        <v>2526</v>
      </c>
      <c r="F263">
        <v>7334</v>
      </c>
      <c r="G263">
        <v>7410</v>
      </c>
      <c r="H263">
        <v>4021</v>
      </c>
      <c r="I263">
        <v>1140</v>
      </c>
      <c r="J263">
        <v>1399</v>
      </c>
      <c r="K263">
        <v>777</v>
      </c>
      <c r="L263">
        <v>544</v>
      </c>
      <c r="M263">
        <v>453</v>
      </c>
      <c r="N263">
        <v>755</v>
      </c>
      <c r="O263">
        <v>302</v>
      </c>
      <c r="P263">
        <v>176.8133053</v>
      </c>
      <c r="Q263">
        <v>41.2926243</v>
      </c>
      <c r="R263">
        <v>0.110295033</v>
      </c>
      <c r="S263">
        <v>1490</v>
      </c>
      <c r="T263">
        <v>627</v>
      </c>
      <c r="U263">
        <v>1407</v>
      </c>
      <c r="V263">
        <v>3603</v>
      </c>
      <c r="W263">
        <v>1391</v>
      </c>
      <c r="X263">
        <v>670</v>
      </c>
      <c r="Y263">
        <v>158</v>
      </c>
      <c r="Z263">
        <v>424</v>
      </c>
      <c r="AA263">
        <v>501</v>
      </c>
      <c r="AB263">
        <v>2</v>
      </c>
      <c r="AC263">
        <v>206</v>
      </c>
      <c r="AD263">
        <v>199</v>
      </c>
      <c r="AE263">
        <v>0</v>
      </c>
      <c r="AF263">
        <v>0</v>
      </c>
      <c r="AG263">
        <v>3</v>
      </c>
      <c r="AH263">
        <v>54</v>
      </c>
      <c r="AI263">
        <v>0</v>
      </c>
      <c r="AJ263">
        <v>0</v>
      </c>
      <c r="AK263">
        <v>1.9955000000000001</v>
      </c>
      <c r="AL263">
        <v>3</v>
      </c>
      <c r="AM263">
        <v>0</v>
      </c>
      <c r="AN263">
        <v>2526</v>
      </c>
      <c r="AO263">
        <v>76</v>
      </c>
      <c r="AP263">
        <v>0</v>
      </c>
      <c r="AQ263">
        <v>0</v>
      </c>
    </row>
    <row r="264" spans="1:43" x14ac:dyDescent="0.25">
      <c r="A264">
        <v>261</v>
      </c>
      <c r="B264">
        <v>6</v>
      </c>
      <c r="C264">
        <v>6</v>
      </c>
      <c r="D264">
        <v>2</v>
      </c>
      <c r="E264">
        <v>1484</v>
      </c>
      <c r="F264">
        <v>4680</v>
      </c>
      <c r="G264">
        <v>4691</v>
      </c>
      <c r="H264">
        <v>2469</v>
      </c>
      <c r="I264">
        <v>913</v>
      </c>
      <c r="J264">
        <v>533</v>
      </c>
      <c r="K264">
        <v>301</v>
      </c>
      <c r="L264">
        <v>249</v>
      </c>
      <c r="M264">
        <v>519</v>
      </c>
      <c r="N264">
        <v>419</v>
      </c>
      <c r="O264">
        <v>678</v>
      </c>
      <c r="P264">
        <v>171.03250410000001</v>
      </c>
      <c r="Q264">
        <v>117</v>
      </c>
      <c r="R264">
        <v>0.140247496</v>
      </c>
      <c r="S264">
        <v>568</v>
      </c>
      <c r="T264">
        <v>523</v>
      </c>
      <c r="U264">
        <v>700</v>
      </c>
      <c r="V264">
        <v>1978</v>
      </c>
      <c r="W264">
        <v>1106</v>
      </c>
      <c r="X264">
        <v>557</v>
      </c>
      <c r="Y264">
        <v>18</v>
      </c>
      <c r="Z264">
        <v>87</v>
      </c>
      <c r="AA264">
        <v>342</v>
      </c>
      <c r="AB264">
        <v>1</v>
      </c>
      <c r="AC264">
        <v>43</v>
      </c>
      <c r="AD264">
        <v>77</v>
      </c>
      <c r="AE264">
        <v>0</v>
      </c>
      <c r="AF264">
        <v>0</v>
      </c>
      <c r="AG264">
        <v>4</v>
      </c>
      <c r="AH264">
        <v>0</v>
      </c>
      <c r="AI264">
        <v>0</v>
      </c>
      <c r="AJ264">
        <v>0</v>
      </c>
      <c r="AK264">
        <v>1.3341099999999999</v>
      </c>
      <c r="AL264">
        <v>3</v>
      </c>
      <c r="AM264">
        <v>0</v>
      </c>
      <c r="AN264">
        <v>1484</v>
      </c>
      <c r="AO264">
        <v>11</v>
      </c>
      <c r="AP264">
        <v>0</v>
      </c>
      <c r="AQ264">
        <v>0</v>
      </c>
    </row>
    <row r="265" spans="1:43" x14ac:dyDescent="0.25">
      <c r="A265">
        <v>262</v>
      </c>
      <c r="B265">
        <v>6</v>
      </c>
      <c r="C265">
        <v>6</v>
      </c>
      <c r="D265">
        <v>2</v>
      </c>
      <c r="E265">
        <v>1384</v>
      </c>
      <c r="F265">
        <v>3775</v>
      </c>
      <c r="G265">
        <v>3902</v>
      </c>
      <c r="H265">
        <v>2226</v>
      </c>
      <c r="I265">
        <v>932</v>
      </c>
      <c r="J265">
        <v>416</v>
      </c>
      <c r="K265">
        <v>324</v>
      </c>
      <c r="L265">
        <v>215</v>
      </c>
      <c r="M265">
        <v>338</v>
      </c>
      <c r="N265">
        <v>504</v>
      </c>
      <c r="O265">
        <v>304</v>
      </c>
      <c r="P265">
        <v>152</v>
      </c>
      <c r="Q265">
        <v>52</v>
      </c>
      <c r="R265">
        <v>0.22026741699999999</v>
      </c>
      <c r="S265">
        <v>757</v>
      </c>
      <c r="T265">
        <v>184</v>
      </c>
      <c r="U265">
        <v>505</v>
      </c>
      <c r="V265">
        <v>1513</v>
      </c>
      <c r="W265">
        <v>1161</v>
      </c>
      <c r="X265">
        <v>725</v>
      </c>
      <c r="Y265">
        <v>79</v>
      </c>
      <c r="Z265">
        <v>166</v>
      </c>
      <c r="AA265">
        <v>313</v>
      </c>
      <c r="AB265">
        <v>1</v>
      </c>
      <c r="AC265">
        <v>29</v>
      </c>
      <c r="AD265">
        <v>169</v>
      </c>
      <c r="AE265">
        <v>0</v>
      </c>
      <c r="AF265">
        <v>0</v>
      </c>
      <c r="AG265">
        <v>4</v>
      </c>
      <c r="AH265">
        <v>0</v>
      </c>
      <c r="AI265">
        <v>0</v>
      </c>
      <c r="AJ265">
        <v>0</v>
      </c>
      <c r="AK265">
        <v>1.3719399999999999</v>
      </c>
      <c r="AL265">
        <v>3</v>
      </c>
      <c r="AM265">
        <v>0</v>
      </c>
      <c r="AN265">
        <v>1384</v>
      </c>
      <c r="AO265">
        <v>127</v>
      </c>
      <c r="AP265">
        <v>0</v>
      </c>
      <c r="AQ265">
        <v>0</v>
      </c>
    </row>
    <row r="266" spans="1:43" x14ac:dyDescent="0.25">
      <c r="A266">
        <v>263</v>
      </c>
      <c r="B266">
        <v>6</v>
      </c>
      <c r="C266">
        <v>6</v>
      </c>
      <c r="D266">
        <v>2</v>
      </c>
      <c r="E266">
        <v>849</v>
      </c>
      <c r="F266">
        <v>2812</v>
      </c>
      <c r="G266">
        <v>3002</v>
      </c>
      <c r="H266">
        <v>1401</v>
      </c>
      <c r="I266">
        <v>818</v>
      </c>
      <c r="J266">
        <v>2</v>
      </c>
      <c r="K266">
        <v>168</v>
      </c>
      <c r="L266">
        <v>107</v>
      </c>
      <c r="M266">
        <v>254</v>
      </c>
      <c r="N266">
        <v>323</v>
      </c>
      <c r="O266">
        <v>152</v>
      </c>
      <c r="P266">
        <v>93</v>
      </c>
      <c r="Q266">
        <v>8</v>
      </c>
      <c r="R266">
        <v>0.26926536699999998</v>
      </c>
      <c r="S266">
        <v>498</v>
      </c>
      <c r="T266">
        <v>161</v>
      </c>
      <c r="U266">
        <v>486</v>
      </c>
      <c r="V266">
        <v>1118</v>
      </c>
      <c r="W266">
        <v>753</v>
      </c>
      <c r="X266">
        <v>699</v>
      </c>
      <c r="Y266">
        <v>13</v>
      </c>
      <c r="Z266">
        <v>97</v>
      </c>
      <c r="AA266">
        <v>220</v>
      </c>
      <c r="AB266">
        <v>2</v>
      </c>
      <c r="AC266">
        <v>82</v>
      </c>
      <c r="AD266">
        <v>84</v>
      </c>
      <c r="AE266">
        <v>0</v>
      </c>
      <c r="AF266">
        <v>0</v>
      </c>
      <c r="AG266">
        <v>4</v>
      </c>
      <c r="AH266">
        <v>0</v>
      </c>
      <c r="AI266">
        <v>0</v>
      </c>
      <c r="AJ266">
        <v>0</v>
      </c>
      <c r="AK266">
        <v>1.5108999999999999</v>
      </c>
      <c r="AL266">
        <v>3</v>
      </c>
      <c r="AM266">
        <v>0</v>
      </c>
      <c r="AN266">
        <v>849</v>
      </c>
      <c r="AO266">
        <v>190</v>
      </c>
      <c r="AP266">
        <v>0</v>
      </c>
      <c r="AQ266">
        <v>0</v>
      </c>
    </row>
    <row r="267" spans="1:43" x14ac:dyDescent="0.25">
      <c r="A267">
        <v>264</v>
      </c>
      <c r="B267">
        <v>6</v>
      </c>
      <c r="C267">
        <v>6</v>
      </c>
      <c r="D267">
        <v>2</v>
      </c>
      <c r="E267">
        <v>1134</v>
      </c>
      <c r="F267">
        <v>3358</v>
      </c>
      <c r="G267">
        <v>3467</v>
      </c>
      <c r="H267">
        <v>1648</v>
      </c>
      <c r="I267">
        <v>1056</v>
      </c>
      <c r="J267">
        <v>8</v>
      </c>
      <c r="K267">
        <v>166</v>
      </c>
      <c r="L267">
        <v>166</v>
      </c>
      <c r="M267">
        <v>232</v>
      </c>
      <c r="N267">
        <v>571</v>
      </c>
      <c r="O267">
        <v>283</v>
      </c>
      <c r="P267">
        <v>134.50358360000001</v>
      </c>
      <c r="Q267">
        <v>54</v>
      </c>
      <c r="R267">
        <v>0.29622209500000002</v>
      </c>
      <c r="S267">
        <v>951</v>
      </c>
      <c r="T267">
        <v>143</v>
      </c>
      <c r="U267">
        <v>493</v>
      </c>
      <c r="V267">
        <v>1035</v>
      </c>
      <c r="W267">
        <v>845</v>
      </c>
      <c r="X267">
        <v>849</v>
      </c>
      <c r="Y267">
        <v>98</v>
      </c>
      <c r="Z267">
        <v>382</v>
      </c>
      <c r="AA267">
        <v>310</v>
      </c>
      <c r="AB267">
        <v>2</v>
      </c>
      <c r="AC267">
        <v>81</v>
      </c>
      <c r="AD267">
        <v>78</v>
      </c>
      <c r="AE267">
        <v>0</v>
      </c>
      <c r="AF267">
        <v>0</v>
      </c>
      <c r="AG267">
        <v>4</v>
      </c>
      <c r="AH267">
        <v>0</v>
      </c>
      <c r="AI267">
        <v>0</v>
      </c>
      <c r="AJ267">
        <v>0</v>
      </c>
      <c r="AK267">
        <v>1.5390600000000001</v>
      </c>
      <c r="AL267">
        <v>3</v>
      </c>
      <c r="AM267">
        <v>0</v>
      </c>
      <c r="AN267">
        <v>1134</v>
      </c>
      <c r="AO267">
        <v>109</v>
      </c>
      <c r="AP267">
        <v>0</v>
      </c>
      <c r="AQ267">
        <v>0</v>
      </c>
    </row>
    <row r="268" spans="1:43" x14ac:dyDescent="0.25">
      <c r="A268">
        <v>265</v>
      </c>
      <c r="B268">
        <v>6</v>
      </c>
      <c r="C268">
        <v>6</v>
      </c>
      <c r="D268">
        <v>2</v>
      </c>
      <c r="E268">
        <v>1720</v>
      </c>
      <c r="F268">
        <v>3231</v>
      </c>
      <c r="G268">
        <v>3231</v>
      </c>
      <c r="H268">
        <v>1862</v>
      </c>
      <c r="I268">
        <v>676</v>
      </c>
      <c r="J268">
        <v>991</v>
      </c>
      <c r="K268">
        <v>339</v>
      </c>
      <c r="L268">
        <v>388</v>
      </c>
      <c r="M268">
        <v>425</v>
      </c>
      <c r="N268">
        <v>567</v>
      </c>
      <c r="O268">
        <v>403</v>
      </c>
      <c r="P268">
        <v>105.9524594</v>
      </c>
      <c r="Q268">
        <v>110</v>
      </c>
      <c r="R268">
        <v>0.22972972999999999</v>
      </c>
      <c r="S268">
        <v>7410</v>
      </c>
      <c r="T268">
        <v>179</v>
      </c>
      <c r="U268">
        <v>219</v>
      </c>
      <c r="V268">
        <v>1113</v>
      </c>
      <c r="W268">
        <v>910</v>
      </c>
      <c r="X268">
        <v>632</v>
      </c>
      <c r="Y268">
        <v>643</v>
      </c>
      <c r="Z268">
        <v>3461</v>
      </c>
      <c r="AA268">
        <v>668</v>
      </c>
      <c r="AB268">
        <v>4</v>
      </c>
      <c r="AC268">
        <v>389</v>
      </c>
      <c r="AD268">
        <v>2245</v>
      </c>
      <c r="AE268">
        <v>0</v>
      </c>
      <c r="AF268">
        <v>0</v>
      </c>
      <c r="AG268">
        <v>4</v>
      </c>
      <c r="AH268">
        <v>16</v>
      </c>
      <c r="AI268">
        <v>0</v>
      </c>
      <c r="AJ268">
        <v>0</v>
      </c>
      <c r="AK268">
        <v>2.2365300000000001</v>
      </c>
      <c r="AL268">
        <v>3</v>
      </c>
      <c r="AM268">
        <v>0</v>
      </c>
      <c r="AN268">
        <v>1720</v>
      </c>
      <c r="AO268">
        <v>0</v>
      </c>
      <c r="AP268">
        <v>0</v>
      </c>
      <c r="AQ268">
        <v>0</v>
      </c>
    </row>
    <row r="269" spans="1:43" x14ac:dyDescent="0.25">
      <c r="A269">
        <v>266</v>
      </c>
      <c r="B269">
        <v>6</v>
      </c>
      <c r="C269">
        <v>6</v>
      </c>
      <c r="D269">
        <v>2</v>
      </c>
      <c r="E269">
        <v>3144</v>
      </c>
      <c r="F269">
        <v>8014</v>
      </c>
      <c r="G269">
        <v>8187</v>
      </c>
      <c r="H269">
        <v>3940</v>
      </c>
      <c r="I269">
        <v>1052</v>
      </c>
      <c r="J269">
        <v>2133</v>
      </c>
      <c r="K269">
        <v>598</v>
      </c>
      <c r="L269">
        <v>353</v>
      </c>
      <c r="M269">
        <v>532</v>
      </c>
      <c r="N269">
        <v>1656</v>
      </c>
      <c r="O269">
        <v>1052</v>
      </c>
      <c r="P269">
        <v>253.20357989999999</v>
      </c>
      <c r="Q269">
        <v>320</v>
      </c>
      <c r="R269">
        <v>0.20616083800000001</v>
      </c>
      <c r="S269">
        <v>15601</v>
      </c>
      <c r="T269">
        <v>636</v>
      </c>
      <c r="U269">
        <v>1103</v>
      </c>
      <c r="V269">
        <v>2962</v>
      </c>
      <c r="W269">
        <v>1484</v>
      </c>
      <c r="X269">
        <v>1390</v>
      </c>
      <c r="Y269">
        <v>641</v>
      </c>
      <c r="Z269">
        <v>8423</v>
      </c>
      <c r="AA269">
        <v>2106</v>
      </c>
      <c r="AB269">
        <v>8</v>
      </c>
      <c r="AC269">
        <v>2243</v>
      </c>
      <c r="AD269">
        <v>2180</v>
      </c>
      <c r="AE269">
        <v>0</v>
      </c>
      <c r="AF269">
        <v>0</v>
      </c>
      <c r="AG269">
        <v>3</v>
      </c>
      <c r="AH269">
        <v>0</v>
      </c>
      <c r="AI269">
        <v>0</v>
      </c>
      <c r="AJ269">
        <v>0</v>
      </c>
      <c r="AK269">
        <v>2.9454199999999999</v>
      </c>
      <c r="AL269">
        <v>3</v>
      </c>
      <c r="AM269">
        <v>0</v>
      </c>
      <c r="AN269">
        <v>3144</v>
      </c>
      <c r="AO269">
        <v>173</v>
      </c>
      <c r="AP269">
        <v>0</v>
      </c>
      <c r="AQ269">
        <v>0</v>
      </c>
    </row>
    <row r="270" spans="1:43" x14ac:dyDescent="0.25">
      <c r="A270">
        <v>267</v>
      </c>
      <c r="B270">
        <v>6</v>
      </c>
      <c r="C270">
        <v>6</v>
      </c>
      <c r="D270">
        <v>2</v>
      </c>
      <c r="E270">
        <v>1426</v>
      </c>
      <c r="F270">
        <v>3722</v>
      </c>
      <c r="G270">
        <v>3787</v>
      </c>
      <c r="H270">
        <v>1726</v>
      </c>
      <c r="I270">
        <v>872</v>
      </c>
      <c r="J270">
        <v>485</v>
      </c>
      <c r="K270">
        <v>190</v>
      </c>
      <c r="L270">
        <v>177</v>
      </c>
      <c r="M270">
        <v>351</v>
      </c>
      <c r="N270">
        <v>708</v>
      </c>
      <c r="O270">
        <v>271</v>
      </c>
      <c r="P270">
        <v>153</v>
      </c>
      <c r="Q270">
        <v>31</v>
      </c>
      <c r="R270">
        <v>0.22985781999999999</v>
      </c>
      <c r="S270">
        <v>654</v>
      </c>
      <c r="T270">
        <v>147</v>
      </c>
      <c r="U270">
        <v>726</v>
      </c>
      <c r="V270">
        <v>1074</v>
      </c>
      <c r="W270">
        <v>1022</v>
      </c>
      <c r="X270">
        <v>676</v>
      </c>
      <c r="Y270">
        <v>9</v>
      </c>
      <c r="Z270">
        <v>131</v>
      </c>
      <c r="AA270">
        <v>396</v>
      </c>
      <c r="AB270">
        <v>2</v>
      </c>
      <c r="AC270">
        <v>30</v>
      </c>
      <c r="AD270">
        <v>86</v>
      </c>
      <c r="AE270">
        <v>0</v>
      </c>
      <c r="AF270">
        <v>0</v>
      </c>
      <c r="AG270">
        <v>4</v>
      </c>
      <c r="AH270">
        <v>0</v>
      </c>
      <c r="AI270">
        <v>0</v>
      </c>
      <c r="AJ270">
        <v>0</v>
      </c>
      <c r="AK270">
        <v>1.39659</v>
      </c>
      <c r="AL270">
        <v>3</v>
      </c>
      <c r="AM270">
        <v>0</v>
      </c>
      <c r="AN270">
        <v>1426</v>
      </c>
      <c r="AO270">
        <v>65</v>
      </c>
      <c r="AP270">
        <v>0</v>
      </c>
      <c r="AQ270">
        <v>0</v>
      </c>
    </row>
    <row r="271" spans="1:43" x14ac:dyDescent="0.25">
      <c r="A271">
        <v>268</v>
      </c>
      <c r="B271">
        <v>6</v>
      </c>
      <c r="C271">
        <v>6</v>
      </c>
      <c r="D271">
        <v>2</v>
      </c>
      <c r="E271">
        <v>1331</v>
      </c>
      <c r="F271">
        <v>3559</v>
      </c>
      <c r="G271">
        <v>3559</v>
      </c>
      <c r="H271">
        <v>1935</v>
      </c>
      <c r="I271">
        <v>889</v>
      </c>
      <c r="J271">
        <v>357</v>
      </c>
      <c r="K271">
        <v>49</v>
      </c>
      <c r="L271">
        <v>235</v>
      </c>
      <c r="M271">
        <v>259</v>
      </c>
      <c r="N271">
        <v>785</v>
      </c>
      <c r="O271">
        <v>227</v>
      </c>
      <c r="P271">
        <v>134</v>
      </c>
      <c r="Q271">
        <v>27</v>
      </c>
      <c r="R271">
        <v>0.21773288399999999</v>
      </c>
      <c r="S271">
        <v>411</v>
      </c>
      <c r="T271">
        <v>181</v>
      </c>
      <c r="U271">
        <v>547</v>
      </c>
      <c r="V271">
        <v>1242</v>
      </c>
      <c r="W271">
        <v>826</v>
      </c>
      <c r="X271">
        <v>596</v>
      </c>
      <c r="Y271">
        <v>6</v>
      </c>
      <c r="Z271">
        <v>29</v>
      </c>
      <c r="AA271">
        <v>309</v>
      </c>
      <c r="AB271">
        <v>0</v>
      </c>
      <c r="AC271">
        <v>46</v>
      </c>
      <c r="AD271">
        <v>21</v>
      </c>
      <c r="AE271">
        <v>0</v>
      </c>
      <c r="AF271">
        <v>0</v>
      </c>
      <c r="AG271">
        <v>4</v>
      </c>
      <c r="AH271">
        <v>0</v>
      </c>
      <c r="AI271">
        <v>0</v>
      </c>
      <c r="AJ271">
        <v>0</v>
      </c>
      <c r="AK271">
        <v>1.6048500000000001</v>
      </c>
      <c r="AL271">
        <v>3</v>
      </c>
      <c r="AM271">
        <v>0</v>
      </c>
      <c r="AN271">
        <v>1331</v>
      </c>
      <c r="AO271">
        <v>0</v>
      </c>
      <c r="AP271">
        <v>0</v>
      </c>
      <c r="AQ271">
        <v>0</v>
      </c>
    </row>
    <row r="272" spans="1:43" x14ac:dyDescent="0.25">
      <c r="A272">
        <v>269</v>
      </c>
      <c r="B272">
        <v>6</v>
      </c>
      <c r="C272">
        <v>6</v>
      </c>
      <c r="D272">
        <v>2</v>
      </c>
      <c r="E272">
        <v>1552</v>
      </c>
      <c r="F272">
        <v>3796</v>
      </c>
      <c r="G272">
        <v>3803</v>
      </c>
      <c r="H272">
        <v>1983</v>
      </c>
      <c r="I272">
        <v>667</v>
      </c>
      <c r="J272">
        <v>863</v>
      </c>
      <c r="K272">
        <v>186</v>
      </c>
      <c r="L272">
        <v>227</v>
      </c>
      <c r="M272">
        <v>363</v>
      </c>
      <c r="N272">
        <v>772</v>
      </c>
      <c r="O272">
        <v>325</v>
      </c>
      <c r="P272">
        <v>174</v>
      </c>
      <c r="Q272">
        <v>39</v>
      </c>
      <c r="R272">
        <v>0.183378016</v>
      </c>
      <c r="S272">
        <v>549</v>
      </c>
      <c r="T272">
        <v>234</v>
      </c>
      <c r="U272">
        <v>553</v>
      </c>
      <c r="V272">
        <v>1435</v>
      </c>
      <c r="W272">
        <v>803</v>
      </c>
      <c r="X272">
        <v>558</v>
      </c>
      <c r="Y272">
        <v>66</v>
      </c>
      <c r="Z272">
        <v>150</v>
      </c>
      <c r="AA272">
        <v>287</v>
      </c>
      <c r="AB272">
        <v>1</v>
      </c>
      <c r="AC272">
        <v>24</v>
      </c>
      <c r="AD272">
        <v>21</v>
      </c>
      <c r="AE272">
        <v>0</v>
      </c>
      <c r="AF272">
        <v>0</v>
      </c>
      <c r="AG272">
        <v>4</v>
      </c>
      <c r="AH272">
        <v>0</v>
      </c>
      <c r="AI272">
        <v>0</v>
      </c>
      <c r="AJ272">
        <v>0</v>
      </c>
      <c r="AK272">
        <v>1.3659600000000001</v>
      </c>
      <c r="AL272">
        <v>3</v>
      </c>
      <c r="AM272">
        <v>0</v>
      </c>
      <c r="AN272">
        <v>1552</v>
      </c>
      <c r="AO272">
        <v>7</v>
      </c>
      <c r="AP272">
        <v>0</v>
      </c>
      <c r="AQ272">
        <v>0</v>
      </c>
    </row>
    <row r="273" spans="1:43" x14ac:dyDescent="0.25">
      <c r="A273">
        <v>270</v>
      </c>
      <c r="B273">
        <v>6</v>
      </c>
      <c r="C273">
        <v>6</v>
      </c>
      <c r="D273">
        <v>2</v>
      </c>
      <c r="E273">
        <v>1223</v>
      </c>
      <c r="F273">
        <v>3276</v>
      </c>
      <c r="G273">
        <v>3276</v>
      </c>
      <c r="H273">
        <v>1546</v>
      </c>
      <c r="I273">
        <v>419</v>
      </c>
      <c r="J273">
        <v>792</v>
      </c>
      <c r="K273">
        <v>149</v>
      </c>
      <c r="L273">
        <v>176</v>
      </c>
      <c r="M273">
        <v>266</v>
      </c>
      <c r="N273">
        <v>634</v>
      </c>
      <c r="O273">
        <v>158</v>
      </c>
      <c r="P273">
        <v>112</v>
      </c>
      <c r="Q273">
        <v>8</v>
      </c>
      <c r="R273">
        <v>0.204183578</v>
      </c>
      <c r="S273">
        <v>212</v>
      </c>
      <c r="T273">
        <v>143</v>
      </c>
      <c r="U273">
        <v>638</v>
      </c>
      <c r="V273">
        <v>1022</v>
      </c>
      <c r="W273">
        <v>741</v>
      </c>
      <c r="X273">
        <v>544</v>
      </c>
      <c r="Y273">
        <v>9</v>
      </c>
      <c r="Z273">
        <v>70</v>
      </c>
      <c r="AA273">
        <v>84</v>
      </c>
      <c r="AB273">
        <v>1</v>
      </c>
      <c r="AC273">
        <v>20</v>
      </c>
      <c r="AD273">
        <v>28</v>
      </c>
      <c r="AE273">
        <v>0</v>
      </c>
      <c r="AF273">
        <v>0</v>
      </c>
      <c r="AG273">
        <v>4</v>
      </c>
      <c r="AH273">
        <v>0</v>
      </c>
      <c r="AI273">
        <v>0</v>
      </c>
      <c r="AJ273">
        <v>0</v>
      </c>
      <c r="AK273">
        <v>1.3930199999999999</v>
      </c>
      <c r="AL273">
        <v>3</v>
      </c>
      <c r="AM273">
        <v>0</v>
      </c>
      <c r="AN273">
        <v>1223</v>
      </c>
      <c r="AO273">
        <v>0</v>
      </c>
      <c r="AP273">
        <v>0</v>
      </c>
      <c r="AQ273">
        <v>0</v>
      </c>
    </row>
    <row r="274" spans="1:43" x14ac:dyDescent="0.25">
      <c r="A274">
        <v>271</v>
      </c>
      <c r="B274">
        <v>6</v>
      </c>
      <c r="C274">
        <v>6</v>
      </c>
      <c r="D274">
        <v>2</v>
      </c>
      <c r="E274">
        <v>1918</v>
      </c>
      <c r="F274">
        <v>5123</v>
      </c>
      <c r="G274">
        <v>5193</v>
      </c>
      <c r="H274">
        <v>2468</v>
      </c>
      <c r="I274">
        <v>1283</v>
      </c>
      <c r="J274">
        <v>570</v>
      </c>
      <c r="K274">
        <v>262</v>
      </c>
      <c r="L274">
        <v>262</v>
      </c>
      <c r="M274">
        <v>425</v>
      </c>
      <c r="N274">
        <v>965</v>
      </c>
      <c r="O274">
        <v>289</v>
      </c>
      <c r="P274">
        <v>144</v>
      </c>
      <c r="Q274">
        <v>13</v>
      </c>
      <c r="R274">
        <v>0.22211214600000001</v>
      </c>
      <c r="S274">
        <v>909</v>
      </c>
      <c r="T274">
        <v>386</v>
      </c>
      <c r="U274">
        <v>925</v>
      </c>
      <c r="V274">
        <v>1728</v>
      </c>
      <c r="W274">
        <v>886</v>
      </c>
      <c r="X274">
        <v>917</v>
      </c>
      <c r="Y274">
        <v>55</v>
      </c>
      <c r="Z274">
        <v>131</v>
      </c>
      <c r="AA274">
        <v>220</v>
      </c>
      <c r="AB274">
        <v>1</v>
      </c>
      <c r="AC274">
        <v>482</v>
      </c>
      <c r="AD274">
        <v>20</v>
      </c>
      <c r="AE274">
        <v>0</v>
      </c>
      <c r="AF274">
        <v>0</v>
      </c>
      <c r="AG274">
        <v>4</v>
      </c>
      <c r="AH274">
        <v>0</v>
      </c>
      <c r="AI274">
        <v>0</v>
      </c>
      <c r="AJ274">
        <v>0</v>
      </c>
      <c r="AK274">
        <v>1.44733</v>
      </c>
      <c r="AL274">
        <v>3</v>
      </c>
      <c r="AM274">
        <v>0</v>
      </c>
      <c r="AN274">
        <v>1918</v>
      </c>
      <c r="AO274">
        <v>70</v>
      </c>
      <c r="AP274">
        <v>0</v>
      </c>
      <c r="AQ274">
        <v>0</v>
      </c>
    </row>
    <row r="275" spans="1:43" x14ac:dyDescent="0.25">
      <c r="A275">
        <v>272</v>
      </c>
      <c r="B275">
        <v>6</v>
      </c>
      <c r="C275">
        <v>6</v>
      </c>
      <c r="D275">
        <v>2</v>
      </c>
      <c r="E275">
        <v>728</v>
      </c>
      <c r="F275">
        <v>2118</v>
      </c>
      <c r="G275">
        <v>2124</v>
      </c>
      <c r="H275">
        <v>1018</v>
      </c>
      <c r="I275">
        <v>680</v>
      </c>
      <c r="J275">
        <v>28</v>
      </c>
      <c r="K275">
        <v>40</v>
      </c>
      <c r="L275">
        <v>123</v>
      </c>
      <c r="M275">
        <v>134</v>
      </c>
      <c r="N275">
        <v>431</v>
      </c>
      <c r="O275">
        <v>252</v>
      </c>
      <c r="P275">
        <v>144</v>
      </c>
      <c r="Q275">
        <v>5</v>
      </c>
      <c r="R275">
        <v>0.29469901199999998</v>
      </c>
      <c r="S275">
        <v>303</v>
      </c>
      <c r="T275">
        <v>76</v>
      </c>
      <c r="U275">
        <v>443</v>
      </c>
      <c r="V275">
        <v>511</v>
      </c>
      <c r="W275">
        <v>565</v>
      </c>
      <c r="X275">
        <v>550</v>
      </c>
      <c r="Y275">
        <v>20</v>
      </c>
      <c r="Z275">
        <v>88</v>
      </c>
      <c r="AA275">
        <v>137</v>
      </c>
      <c r="AB275">
        <v>1</v>
      </c>
      <c r="AC275">
        <v>27</v>
      </c>
      <c r="AD275">
        <v>30</v>
      </c>
      <c r="AE275">
        <v>0</v>
      </c>
      <c r="AF275">
        <v>0</v>
      </c>
      <c r="AG275">
        <v>4</v>
      </c>
      <c r="AH275">
        <v>0</v>
      </c>
      <c r="AI275">
        <v>0</v>
      </c>
      <c r="AJ275">
        <v>0</v>
      </c>
      <c r="AK275">
        <v>1.4316800000000001</v>
      </c>
      <c r="AL275">
        <v>3</v>
      </c>
      <c r="AM275">
        <v>0</v>
      </c>
      <c r="AN275">
        <v>728</v>
      </c>
      <c r="AO275">
        <v>6</v>
      </c>
      <c r="AP275">
        <v>0</v>
      </c>
      <c r="AQ275">
        <v>0</v>
      </c>
    </row>
    <row r="276" spans="1:43" x14ac:dyDescent="0.25">
      <c r="A276">
        <v>273</v>
      </c>
      <c r="B276">
        <v>6</v>
      </c>
      <c r="C276">
        <v>6</v>
      </c>
      <c r="D276">
        <v>2</v>
      </c>
      <c r="E276">
        <v>1381</v>
      </c>
      <c r="F276">
        <v>3722</v>
      </c>
      <c r="G276">
        <v>3722</v>
      </c>
      <c r="H276">
        <v>1907</v>
      </c>
      <c r="I276">
        <v>780</v>
      </c>
      <c r="J276">
        <v>589</v>
      </c>
      <c r="K276">
        <v>188</v>
      </c>
      <c r="L276">
        <v>211</v>
      </c>
      <c r="M276">
        <v>352</v>
      </c>
      <c r="N276">
        <v>629</v>
      </c>
      <c r="O276">
        <v>269</v>
      </c>
      <c r="P276">
        <v>142</v>
      </c>
      <c r="Q276">
        <v>9</v>
      </c>
      <c r="R276">
        <v>0.19779924900000001</v>
      </c>
      <c r="S276">
        <v>165</v>
      </c>
      <c r="T276">
        <v>187</v>
      </c>
      <c r="U276">
        <v>622</v>
      </c>
      <c r="V276">
        <v>1176</v>
      </c>
      <c r="W276">
        <v>1063</v>
      </c>
      <c r="X276">
        <v>537</v>
      </c>
      <c r="Y276">
        <v>4</v>
      </c>
      <c r="Z276">
        <v>61</v>
      </c>
      <c r="AA276">
        <v>68</v>
      </c>
      <c r="AB276">
        <v>1</v>
      </c>
      <c r="AC276">
        <v>13</v>
      </c>
      <c r="AD276">
        <v>18</v>
      </c>
      <c r="AE276">
        <v>0</v>
      </c>
      <c r="AF276">
        <v>0</v>
      </c>
      <c r="AG276">
        <v>4</v>
      </c>
      <c r="AH276">
        <v>0</v>
      </c>
      <c r="AI276">
        <v>0</v>
      </c>
      <c r="AJ276">
        <v>0</v>
      </c>
      <c r="AK276">
        <v>1.35694</v>
      </c>
      <c r="AL276">
        <v>3</v>
      </c>
      <c r="AM276">
        <v>0</v>
      </c>
      <c r="AN276">
        <v>1381</v>
      </c>
      <c r="AO276">
        <v>0</v>
      </c>
      <c r="AP276">
        <v>0</v>
      </c>
      <c r="AQ276">
        <v>0</v>
      </c>
    </row>
    <row r="277" spans="1:43" x14ac:dyDescent="0.25">
      <c r="A277">
        <v>274</v>
      </c>
      <c r="B277">
        <v>6</v>
      </c>
      <c r="C277">
        <v>6</v>
      </c>
      <c r="D277">
        <v>2</v>
      </c>
      <c r="E277">
        <v>2141</v>
      </c>
      <c r="F277">
        <v>4908</v>
      </c>
      <c r="G277">
        <v>4908</v>
      </c>
      <c r="H277">
        <v>3043</v>
      </c>
      <c r="I277">
        <v>766</v>
      </c>
      <c r="J277">
        <v>1418</v>
      </c>
      <c r="K277">
        <v>369</v>
      </c>
      <c r="L277">
        <v>384</v>
      </c>
      <c r="M277">
        <v>550</v>
      </c>
      <c r="N277">
        <v>836</v>
      </c>
      <c r="O277">
        <v>350</v>
      </c>
      <c r="P277">
        <v>144.2405455</v>
      </c>
      <c r="Q277">
        <v>32</v>
      </c>
      <c r="R277">
        <v>0.14934198000000001</v>
      </c>
      <c r="S277">
        <v>1536</v>
      </c>
      <c r="T277">
        <v>183</v>
      </c>
      <c r="U277">
        <v>504</v>
      </c>
      <c r="V277">
        <v>2400</v>
      </c>
      <c r="W277">
        <v>1219</v>
      </c>
      <c r="X277">
        <v>713</v>
      </c>
      <c r="Y277">
        <v>86</v>
      </c>
      <c r="Z277">
        <v>1150</v>
      </c>
      <c r="AA277">
        <v>207</v>
      </c>
      <c r="AB277">
        <v>2</v>
      </c>
      <c r="AC277">
        <v>37</v>
      </c>
      <c r="AD277">
        <v>54</v>
      </c>
      <c r="AE277">
        <v>0</v>
      </c>
      <c r="AF277">
        <v>0</v>
      </c>
      <c r="AG277">
        <v>3</v>
      </c>
      <c r="AH277">
        <v>0</v>
      </c>
      <c r="AI277">
        <v>0</v>
      </c>
      <c r="AJ277">
        <v>0</v>
      </c>
      <c r="AK277">
        <v>1.9210799999999999</v>
      </c>
      <c r="AL277">
        <v>3</v>
      </c>
      <c r="AM277">
        <v>0</v>
      </c>
      <c r="AN277">
        <v>2141</v>
      </c>
      <c r="AO277">
        <v>0</v>
      </c>
      <c r="AP277">
        <v>0</v>
      </c>
      <c r="AQ277">
        <v>0</v>
      </c>
    </row>
    <row r="278" spans="1:43" x14ac:dyDescent="0.25">
      <c r="A278">
        <v>275</v>
      </c>
      <c r="B278">
        <v>6</v>
      </c>
      <c r="C278">
        <v>6</v>
      </c>
      <c r="D278">
        <v>2</v>
      </c>
      <c r="E278">
        <v>1999</v>
      </c>
      <c r="F278">
        <v>4616</v>
      </c>
      <c r="G278">
        <v>4634</v>
      </c>
      <c r="H278">
        <v>2561</v>
      </c>
      <c r="I278">
        <v>821</v>
      </c>
      <c r="J278">
        <v>1117</v>
      </c>
      <c r="K278">
        <v>525</v>
      </c>
      <c r="L278">
        <v>302</v>
      </c>
      <c r="M278">
        <v>404</v>
      </c>
      <c r="N278">
        <v>766</v>
      </c>
      <c r="O278">
        <v>364</v>
      </c>
      <c r="P278">
        <v>119.70353799999999</v>
      </c>
      <c r="Q278">
        <v>85</v>
      </c>
      <c r="R278">
        <v>0.152070751</v>
      </c>
      <c r="S278">
        <v>1801</v>
      </c>
      <c r="T278">
        <v>240</v>
      </c>
      <c r="U278">
        <v>723</v>
      </c>
      <c r="V278">
        <v>1958</v>
      </c>
      <c r="W278">
        <v>981</v>
      </c>
      <c r="X278">
        <v>536</v>
      </c>
      <c r="Y278">
        <v>228</v>
      </c>
      <c r="Z278">
        <v>696</v>
      </c>
      <c r="AA278">
        <v>387</v>
      </c>
      <c r="AB278">
        <v>4</v>
      </c>
      <c r="AC278">
        <v>137</v>
      </c>
      <c r="AD278">
        <v>349</v>
      </c>
      <c r="AE278">
        <v>0</v>
      </c>
      <c r="AF278">
        <v>0</v>
      </c>
      <c r="AG278">
        <v>3</v>
      </c>
      <c r="AH278">
        <v>0</v>
      </c>
      <c r="AI278">
        <v>0</v>
      </c>
      <c r="AJ278">
        <v>0</v>
      </c>
      <c r="AK278">
        <v>2.0047100000000002</v>
      </c>
      <c r="AL278">
        <v>3</v>
      </c>
      <c r="AM278">
        <v>0</v>
      </c>
      <c r="AN278">
        <v>1999</v>
      </c>
      <c r="AO278">
        <v>18</v>
      </c>
      <c r="AP278">
        <v>0</v>
      </c>
      <c r="AQ278">
        <v>0</v>
      </c>
    </row>
    <row r="279" spans="1:43" x14ac:dyDescent="0.25">
      <c r="A279">
        <v>276</v>
      </c>
      <c r="B279">
        <v>6</v>
      </c>
      <c r="C279">
        <v>6</v>
      </c>
      <c r="D279">
        <v>2</v>
      </c>
      <c r="E279">
        <v>1193</v>
      </c>
      <c r="F279">
        <v>2813</v>
      </c>
      <c r="G279">
        <v>2819</v>
      </c>
      <c r="H279">
        <v>1595</v>
      </c>
      <c r="I279">
        <v>424</v>
      </c>
      <c r="J279">
        <v>733</v>
      </c>
      <c r="K279">
        <v>216</v>
      </c>
      <c r="L279">
        <v>204</v>
      </c>
      <c r="M279">
        <v>371</v>
      </c>
      <c r="N279">
        <v>399</v>
      </c>
      <c r="O279">
        <v>119</v>
      </c>
      <c r="P279">
        <v>79</v>
      </c>
      <c r="Q279">
        <v>12</v>
      </c>
      <c r="R279">
        <v>0.22226372799999999</v>
      </c>
      <c r="S279">
        <v>289</v>
      </c>
      <c r="T279">
        <v>114</v>
      </c>
      <c r="U279">
        <v>272</v>
      </c>
      <c r="V279">
        <v>1188</v>
      </c>
      <c r="W279">
        <v>499</v>
      </c>
      <c r="X279">
        <v>503</v>
      </c>
      <c r="Y279">
        <v>23</v>
      </c>
      <c r="Z279">
        <v>48</v>
      </c>
      <c r="AA279">
        <v>142</v>
      </c>
      <c r="AB279">
        <v>0</v>
      </c>
      <c r="AC279">
        <v>53</v>
      </c>
      <c r="AD279">
        <v>23</v>
      </c>
      <c r="AE279">
        <v>0</v>
      </c>
      <c r="AF279">
        <v>0</v>
      </c>
      <c r="AG279">
        <v>4</v>
      </c>
      <c r="AH279">
        <v>0</v>
      </c>
      <c r="AI279">
        <v>0</v>
      </c>
      <c r="AJ279">
        <v>0</v>
      </c>
      <c r="AK279">
        <v>1.5303899999999999</v>
      </c>
      <c r="AL279">
        <v>3</v>
      </c>
      <c r="AM279">
        <v>0</v>
      </c>
      <c r="AN279">
        <v>1193</v>
      </c>
      <c r="AO279">
        <v>6</v>
      </c>
      <c r="AP279">
        <v>0</v>
      </c>
      <c r="AQ279">
        <v>0</v>
      </c>
    </row>
    <row r="280" spans="1:43" x14ac:dyDescent="0.25">
      <c r="A280">
        <v>277</v>
      </c>
      <c r="B280">
        <v>6</v>
      </c>
      <c r="C280">
        <v>6</v>
      </c>
      <c r="D280">
        <v>2</v>
      </c>
      <c r="E280">
        <v>1613</v>
      </c>
      <c r="F280">
        <v>4712</v>
      </c>
      <c r="G280">
        <v>4831</v>
      </c>
      <c r="H280">
        <v>2686</v>
      </c>
      <c r="I280">
        <v>1289</v>
      </c>
      <c r="J280">
        <v>406</v>
      </c>
      <c r="K280">
        <v>239</v>
      </c>
      <c r="L280">
        <v>206</v>
      </c>
      <c r="M280">
        <v>467</v>
      </c>
      <c r="N280">
        <v>706</v>
      </c>
      <c r="O280">
        <v>318</v>
      </c>
      <c r="P280">
        <v>172.32256509999999</v>
      </c>
      <c r="Q280">
        <v>27.103495030000001</v>
      </c>
      <c r="R280">
        <v>0.15467767299999999</v>
      </c>
      <c r="S280">
        <v>737</v>
      </c>
      <c r="T280">
        <v>374</v>
      </c>
      <c r="U280">
        <v>731</v>
      </c>
      <c r="V280">
        <v>1874</v>
      </c>
      <c r="W280">
        <v>1273</v>
      </c>
      <c r="X280">
        <v>609</v>
      </c>
      <c r="Y280">
        <v>26</v>
      </c>
      <c r="Z280">
        <v>117</v>
      </c>
      <c r="AA280">
        <v>450</v>
      </c>
      <c r="AB280">
        <v>1</v>
      </c>
      <c r="AC280">
        <v>58</v>
      </c>
      <c r="AD280">
        <v>85</v>
      </c>
      <c r="AE280">
        <v>0</v>
      </c>
      <c r="AF280">
        <v>0</v>
      </c>
      <c r="AG280">
        <v>4</v>
      </c>
      <c r="AH280">
        <v>0</v>
      </c>
      <c r="AI280">
        <v>0</v>
      </c>
      <c r="AJ280">
        <v>0</v>
      </c>
      <c r="AK280">
        <v>1.53413</v>
      </c>
      <c r="AL280">
        <v>3</v>
      </c>
      <c r="AM280">
        <v>0</v>
      </c>
      <c r="AN280">
        <v>1613</v>
      </c>
      <c r="AO280">
        <v>119</v>
      </c>
      <c r="AP280">
        <v>0</v>
      </c>
      <c r="AQ280">
        <v>0</v>
      </c>
    </row>
    <row r="281" spans="1:43" x14ac:dyDescent="0.25">
      <c r="A281">
        <v>278</v>
      </c>
      <c r="B281">
        <v>6</v>
      </c>
      <c r="C281">
        <v>6</v>
      </c>
      <c r="D281">
        <v>2</v>
      </c>
      <c r="E281">
        <v>2475</v>
      </c>
      <c r="F281">
        <v>6099</v>
      </c>
      <c r="G281">
        <v>6352</v>
      </c>
      <c r="H281">
        <v>3674</v>
      </c>
      <c r="I281">
        <v>932</v>
      </c>
      <c r="J281">
        <v>1665</v>
      </c>
      <c r="K281">
        <v>283</v>
      </c>
      <c r="L281">
        <v>381</v>
      </c>
      <c r="M281">
        <v>474</v>
      </c>
      <c r="N281">
        <v>1336</v>
      </c>
      <c r="O281">
        <v>460</v>
      </c>
      <c r="P281">
        <v>190.5394412</v>
      </c>
      <c r="Q281">
        <v>141.0667578</v>
      </c>
      <c r="R281">
        <v>7.9855996999999998E-2</v>
      </c>
      <c r="S281">
        <v>6077</v>
      </c>
      <c r="T281">
        <v>479</v>
      </c>
      <c r="U281">
        <v>800</v>
      </c>
      <c r="V281">
        <v>2998</v>
      </c>
      <c r="W281">
        <v>1180</v>
      </c>
      <c r="X281">
        <v>388</v>
      </c>
      <c r="Y281">
        <v>603</v>
      </c>
      <c r="Z281">
        <v>1847</v>
      </c>
      <c r="AA281">
        <v>912</v>
      </c>
      <c r="AB281">
        <v>4</v>
      </c>
      <c r="AC281">
        <v>104</v>
      </c>
      <c r="AD281">
        <v>2607</v>
      </c>
      <c r="AE281">
        <v>0</v>
      </c>
      <c r="AF281">
        <v>0</v>
      </c>
      <c r="AG281">
        <v>2</v>
      </c>
      <c r="AH281">
        <v>0</v>
      </c>
      <c r="AI281">
        <v>0</v>
      </c>
      <c r="AJ281">
        <v>0</v>
      </c>
      <c r="AK281">
        <v>2.02007</v>
      </c>
      <c r="AL281">
        <v>3</v>
      </c>
      <c r="AM281">
        <v>0</v>
      </c>
      <c r="AN281">
        <v>2475</v>
      </c>
      <c r="AO281">
        <v>253</v>
      </c>
      <c r="AP281">
        <v>0</v>
      </c>
      <c r="AQ281">
        <v>0</v>
      </c>
    </row>
    <row r="282" spans="1:43" x14ac:dyDescent="0.25">
      <c r="A282">
        <v>279</v>
      </c>
      <c r="B282">
        <v>6</v>
      </c>
      <c r="C282">
        <v>6</v>
      </c>
      <c r="D282">
        <v>2</v>
      </c>
      <c r="E282">
        <v>1862</v>
      </c>
      <c r="F282">
        <v>4298</v>
      </c>
      <c r="G282">
        <v>4326</v>
      </c>
      <c r="H282">
        <v>2315</v>
      </c>
      <c r="I282">
        <v>1061</v>
      </c>
      <c r="J282">
        <v>759</v>
      </c>
      <c r="K282">
        <v>293</v>
      </c>
      <c r="L282">
        <v>551</v>
      </c>
      <c r="M282">
        <v>392</v>
      </c>
      <c r="N282">
        <v>621</v>
      </c>
      <c r="O282">
        <v>328</v>
      </c>
      <c r="P282">
        <v>153.02477440000001</v>
      </c>
      <c r="Q282">
        <v>78</v>
      </c>
      <c r="R282">
        <v>0.196923077</v>
      </c>
      <c r="S282">
        <v>6400</v>
      </c>
      <c r="T282">
        <v>219</v>
      </c>
      <c r="U282">
        <v>685</v>
      </c>
      <c r="V282">
        <v>1538</v>
      </c>
      <c r="W282">
        <v>919</v>
      </c>
      <c r="X282">
        <v>684</v>
      </c>
      <c r="Y282">
        <v>837</v>
      </c>
      <c r="Z282">
        <v>2011</v>
      </c>
      <c r="AA282">
        <v>1098</v>
      </c>
      <c r="AB282">
        <v>3</v>
      </c>
      <c r="AC282">
        <v>303</v>
      </c>
      <c r="AD282">
        <v>2148</v>
      </c>
      <c r="AE282">
        <v>0</v>
      </c>
      <c r="AF282">
        <v>0</v>
      </c>
      <c r="AG282">
        <v>3</v>
      </c>
      <c r="AH282">
        <v>0</v>
      </c>
      <c r="AI282">
        <v>0</v>
      </c>
      <c r="AJ282">
        <v>0</v>
      </c>
      <c r="AK282">
        <v>2.0652499999999998</v>
      </c>
      <c r="AL282">
        <v>3</v>
      </c>
      <c r="AM282">
        <v>0</v>
      </c>
      <c r="AN282">
        <v>1862</v>
      </c>
      <c r="AO282">
        <v>28</v>
      </c>
      <c r="AP282">
        <v>0</v>
      </c>
      <c r="AQ282">
        <v>0</v>
      </c>
    </row>
    <row r="283" spans="1:43" x14ac:dyDescent="0.25">
      <c r="A283">
        <v>280</v>
      </c>
      <c r="B283">
        <v>6</v>
      </c>
      <c r="C283">
        <v>6</v>
      </c>
      <c r="D283">
        <v>2</v>
      </c>
      <c r="E283">
        <v>1398</v>
      </c>
      <c r="F283">
        <v>3597</v>
      </c>
      <c r="G283">
        <v>3597</v>
      </c>
      <c r="H283">
        <v>1889</v>
      </c>
      <c r="I283">
        <v>892</v>
      </c>
      <c r="J283">
        <v>456</v>
      </c>
      <c r="K283">
        <v>107</v>
      </c>
      <c r="L283">
        <v>254</v>
      </c>
      <c r="M283">
        <v>273</v>
      </c>
      <c r="N283">
        <v>766</v>
      </c>
      <c r="O283">
        <v>281</v>
      </c>
      <c r="P283">
        <v>139.3385092</v>
      </c>
      <c r="Q283">
        <v>53.070096190000001</v>
      </c>
      <c r="R283">
        <v>0.23858574599999999</v>
      </c>
      <c r="S283">
        <v>3052</v>
      </c>
      <c r="T283">
        <v>218</v>
      </c>
      <c r="U283">
        <v>557</v>
      </c>
      <c r="V283">
        <v>1053</v>
      </c>
      <c r="W283">
        <v>967</v>
      </c>
      <c r="X283">
        <v>652</v>
      </c>
      <c r="Y283">
        <v>369</v>
      </c>
      <c r="Z283">
        <v>1192</v>
      </c>
      <c r="AA283">
        <v>1014</v>
      </c>
      <c r="AB283">
        <v>8</v>
      </c>
      <c r="AC283">
        <v>207</v>
      </c>
      <c r="AD283">
        <v>262</v>
      </c>
      <c r="AE283">
        <v>0</v>
      </c>
      <c r="AF283">
        <v>0</v>
      </c>
      <c r="AG283">
        <v>3</v>
      </c>
      <c r="AH283">
        <v>0</v>
      </c>
      <c r="AI283">
        <v>0</v>
      </c>
      <c r="AJ283">
        <v>0</v>
      </c>
      <c r="AK283">
        <v>2.1061899999999998</v>
      </c>
      <c r="AL283">
        <v>2</v>
      </c>
      <c r="AM283">
        <v>0</v>
      </c>
      <c r="AN283">
        <v>1398</v>
      </c>
      <c r="AO283">
        <v>0</v>
      </c>
      <c r="AP283">
        <v>0</v>
      </c>
      <c r="AQ283">
        <v>0</v>
      </c>
    </row>
    <row r="284" spans="1:43" x14ac:dyDescent="0.25">
      <c r="A284">
        <v>281</v>
      </c>
      <c r="B284">
        <v>6</v>
      </c>
      <c r="C284">
        <v>6</v>
      </c>
      <c r="D284">
        <v>2</v>
      </c>
      <c r="E284">
        <v>1977</v>
      </c>
      <c r="F284">
        <v>4647</v>
      </c>
      <c r="G284">
        <v>4741</v>
      </c>
      <c r="H284">
        <v>2476</v>
      </c>
      <c r="I284">
        <v>723</v>
      </c>
      <c r="J284">
        <v>1297</v>
      </c>
      <c r="K284">
        <v>552</v>
      </c>
      <c r="L284">
        <v>229</v>
      </c>
      <c r="M284">
        <v>412</v>
      </c>
      <c r="N284">
        <v>782</v>
      </c>
      <c r="O284">
        <v>265</v>
      </c>
      <c r="P284">
        <v>142.05651219999999</v>
      </c>
      <c r="Q284">
        <v>50</v>
      </c>
      <c r="R284">
        <v>0.169143814</v>
      </c>
      <c r="S284">
        <v>2492</v>
      </c>
      <c r="T284">
        <v>186</v>
      </c>
      <c r="U284">
        <v>634</v>
      </c>
      <c r="V284">
        <v>1773</v>
      </c>
      <c r="W284">
        <v>1314</v>
      </c>
      <c r="X284">
        <v>699</v>
      </c>
      <c r="Y284">
        <v>194</v>
      </c>
      <c r="Z284">
        <v>584</v>
      </c>
      <c r="AA284">
        <v>1145</v>
      </c>
      <c r="AB284">
        <v>3</v>
      </c>
      <c r="AC284">
        <v>140</v>
      </c>
      <c r="AD284">
        <v>426</v>
      </c>
      <c r="AE284">
        <v>0</v>
      </c>
      <c r="AF284">
        <v>49.449954380000001</v>
      </c>
      <c r="AG284">
        <v>3</v>
      </c>
      <c r="AH284">
        <v>875</v>
      </c>
      <c r="AI284">
        <v>0</v>
      </c>
      <c r="AJ284">
        <v>0</v>
      </c>
      <c r="AK284">
        <v>2.04034</v>
      </c>
      <c r="AL284">
        <v>2</v>
      </c>
      <c r="AM284">
        <v>0</v>
      </c>
      <c r="AN284">
        <v>1977</v>
      </c>
      <c r="AO284">
        <v>94</v>
      </c>
      <c r="AP284">
        <v>0</v>
      </c>
      <c r="AQ284">
        <v>0</v>
      </c>
    </row>
    <row r="285" spans="1:43" x14ac:dyDescent="0.25">
      <c r="A285">
        <v>282</v>
      </c>
      <c r="B285">
        <v>6</v>
      </c>
      <c r="C285">
        <v>6</v>
      </c>
      <c r="D285">
        <v>2</v>
      </c>
      <c r="E285">
        <v>951</v>
      </c>
      <c r="F285">
        <v>2558</v>
      </c>
      <c r="G285">
        <v>2558</v>
      </c>
      <c r="H285">
        <v>1253</v>
      </c>
      <c r="I285">
        <v>812</v>
      </c>
      <c r="J285">
        <v>106</v>
      </c>
      <c r="K285">
        <v>143</v>
      </c>
      <c r="L285">
        <v>164</v>
      </c>
      <c r="M285">
        <v>175</v>
      </c>
      <c r="N285">
        <v>467</v>
      </c>
      <c r="O285">
        <v>480</v>
      </c>
      <c r="P285">
        <v>156.1043621</v>
      </c>
      <c r="Q285">
        <v>78</v>
      </c>
      <c r="R285">
        <v>0.24065040700000001</v>
      </c>
      <c r="S285">
        <v>3723</v>
      </c>
      <c r="T285">
        <v>136</v>
      </c>
      <c r="U285">
        <v>445</v>
      </c>
      <c r="V285">
        <v>653</v>
      </c>
      <c r="W285">
        <v>642</v>
      </c>
      <c r="X285">
        <v>487</v>
      </c>
      <c r="Y285">
        <v>36</v>
      </c>
      <c r="Z285">
        <v>2870</v>
      </c>
      <c r="AA285">
        <v>504</v>
      </c>
      <c r="AB285">
        <v>7</v>
      </c>
      <c r="AC285">
        <v>176</v>
      </c>
      <c r="AD285">
        <v>130</v>
      </c>
      <c r="AE285">
        <v>0</v>
      </c>
      <c r="AF285">
        <v>0</v>
      </c>
      <c r="AG285">
        <v>3</v>
      </c>
      <c r="AH285">
        <v>29</v>
      </c>
      <c r="AI285">
        <v>0</v>
      </c>
      <c r="AJ285">
        <v>0</v>
      </c>
      <c r="AK285">
        <v>1.76902</v>
      </c>
      <c r="AL285">
        <v>1</v>
      </c>
      <c r="AM285">
        <v>0</v>
      </c>
      <c r="AN285">
        <v>951</v>
      </c>
      <c r="AO285">
        <v>0</v>
      </c>
      <c r="AP285">
        <v>0</v>
      </c>
      <c r="AQ285">
        <v>0</v>
      </c>
    </row>
    <row r="286" spans="1:43" x14ac:dyDescent="0.25">
      <c r="A286">
        <v>283</v>
      </c>
      <c r="B286">
        <v>6</v>
      </c>
      <c r="C286">
        <v>6</v>
      </c>
      <c r="D286">
        <v>2</v>
      </c>
      <c r="E286">
        <v>1236</v>
      </c>
      <c r="F286">
        <v>3613</v>
      </c>
      <c r="G286">
        <v>3679</v>
      </c>
      <c r="H286">
        <v>2004</v>
      </c>
      <c r="I286">
        <v>1111</v>
      </c>
      <c r="J286">
        <v>85</v>
      </c>
      <c r="K286">
        <v>154</v>
      </c>
      <c r="L286">
        <v>182</v>
      </c>
      <c r="M286">
        <v>110</v>
      </c>
      <c r="N286">
        <v>786</v>
      </c>
      <c r="O286">
        <v>321</v>
      </c>
      <c r="P286">
        <v>203</v>
      </c>
      <c r="Q286">
        <v>40</v>
      </c>
      <c r="R286">
        <v>0.19840848799999999</v>
      </c>
      <c r="S286">
        <v>436</v>
      </c>
      <c r="T286">
        <v>178</v>
      </c>
      <c r="U286">
        <v>720</v>
      </c>
      <c r="V286">
        <v>1117</v>
      </c>
      <c r="W286">
        <v>1076</v>
      </c>
      <c r="X286">
        <v>539</v>
      </c>
      <c r="Y286">
        <v>39</v>
      </c>
      <c r="Z286">
        <v>50</v>
      </c>
      <c r="AA286">
        <v>289</v>
      </c>
      <c r="AB286">
        <v>1</v>
      </c>
      <c r="AC286">
        <v>27</v>
      </c>
      <c r="AD286">
        <v>30</v>
      </c>
      <c r="AE286">
        <v>0</v>
      </c>
      <c r="AF286">
        <v>0</v>
      </c>
      <c r="AG286">
        <v>4</v>
      </c>
      <c r="AH286">
        <v>1585</v>
      </c>
      <c r="AI286">
        <v>0</v>
      </c>
      <c r="AJ286">
        <v>0</v>
      </c>
      <c r="AK286">
        <v>1.2183999999999999</v>
      </c>
      <c r="AL286">
        <v>1</v>
      </c>
      <c r="AM286">
        <v>0</v>
      </c>
      <c r="AN286">
        <v>1236</v>
      </c>
      <c r="AO286">
        <v>66</v>
      </c>
      <c r="AP286">
        <v>0</v>
      </c>
      <c r="AQ286">
        <v>0</v>
      </c>
    </row>
    <row r="287" spans="1:43" x14ac:dyDescent="0.25">
      <c r="A287">
        <v>284</v>
      </c>
      <c r="B287">
        <v>6</v>
      </c>
      <c r="C287">
        <v>6</v>
      </c>
      <c r="D287">
        <v>2</v>
      </c>
      <c r="E287">
        <v>1684</v>
      </c>
      <c r="F287">
        <v>4032</v>
      </c>
      <c r="G287">
        <v>4063</v>
      </c>
      <c r="H287">
        <v>2482</v>
      </c>
      <c r="I287">
        <v>716</v>
      </c>
      <c r="J287">
        <v>978</v>
      </c>
      <c r="K287">
        <v>336</v>
      </c>
      <c r="L287">
        <v>403</v>
      </c>
      <c r="M287">
        <v>416</v>
      </c>
      <c r="N287">
        <v>534</v>
      </c>
      <c r="O287">
        <v>243</v>
      </c>
      <c r="P287">
        <v>129</v>
      </c>
      <c r="Q287">
        <v>58.883503699999999</v>
      </c>
      <c r="R287">
        <v>0.15206536500000001</v>
      </c>
      <c r="S287">
        <v>3586</v>
      </c>
      <c r="T287">
        <v>102</v>
      </c>
      <c r="U287">
        <v>885</v>
      </c>
      <c r="V287">
        <v>1776</v>
      </c>
      <c r="W287">
        <v>901</v>
      </c>
      <c r="X287">
        <v>546</v>
      </c>
      <c r="Y287">
        <v>1141</v>
      </c>
      <c r="Z287">
        <v>472</v>
      </c>
      <c r="AA287">
        <v>1806</v>
      </c>
      <c r="AB287">
        <v>2</v>
      </c>
      <c r="AC287">
        <v>53</v>
      </c>
      <c r="AD287">
        <v>112</v>
      </c>
      <c r="AE287">
        <v>0</v>
      </c>
      <c r="AF287">
        <v>49.449954380000001</v>
      </c>
      <c r="AG287">
        <v>3</v>
      </c>
      <c r="AH287">
        <v>0</v>
      </c>
      <c r="AI287">
        <v>0</v>
      </c>
      <c r="AJ287">
        <v>0</v>
      </c>
      <c r="AK287">
        <v>3.46061</v>
      </c>
      <c r="AL287">
        <v>1</v>
      </c>
      <c r="AM287">
        <v>0</v>
      </c>
      <c r="AN287">
        <v>1684</v>
      </c>
      <c r="AO287">
        <v>31</v>
      </c>
      <c r="AP287">
        <v>0</v>
      </c>
      <c r="AQ287">
        <v>0</v>
      </c>
    </row>
    <row r="288" spans="1:43" x14ac:dyDescent="0.25">
      <c r="A288">
        <v>285</v>
      </c>
      <c r="B288">
        <v>6</v>
      </c>
      <c r="C288">
        <v>6</v>
      </c>
      <c r="D288">
        <v>2</v>
      </c>
      <c r="E288">
        <v>1061</v>
      </c>
      <c r="F288">
        <v>3020</v>
      </c>
      <c r="G288">
        <v>3022</v>
      </c>
      <c r="H288">
        <v>1500</v>
      </c>
      <c r="I288">
        <v>1068</v>
      </c>
      <c r="J288">
        <v>14</v>
      </c>
      <c r="K288">
        <v>113</v>
      </c>
      <c r="L288">
        <v>108</v>
      </c>
      <c r="M288">
        <v>126</v>
      </c>
      <c r="N288">
        <v>714</v>
      </c>
      <c r="O288">
        <v>310</v>
      </c>
      <c r="P288">
        <v>207</v>
      </c>
      <c r="Q288">
        <v>36</v>
      </c>
      <c r="R288">
        <v>0.247685185</v>
      </c>
      <c r="S288">
        <v>567</v>
      </c>
      <c r="T288">
        <v>289</v>
      </c>
      <c r="U288">
        <v>345</v>
      </c>
      <c r="V288">
        <v>839</v>
      </c>
      <c r="W288">
        <v>876</v>
      </c>
      <c r="X288">
        <v>540</v>
      </c>
      <c r="Y288">
        <v>19</v>
      </c>
      <c r="Z288">
        <v>42</v>
      </c>
      <c r="AA288">
        <v>426</v>
      </c>
      <c r="AB288">
        <v>1</v>
      </c>
      <c r="AC288">
        <v>11</v>
      </c>
      <c r="AD288">
        <v>68</v>
      </c>
      <c r="AE288">
        <v>0</v>
      </c>
      <c r="AF288">
        <v>0</v>
      </c>
      <c r="AG288">
        <v>4</v>
      </c>
      <c r="AH288">
        <v>0</v>
      </c>
      <c r="AI288">
        <v>0</v>
      </c>
      <c r="AJ288">
        <v>0</v>
      </c>
      <c r="AK288">
        <v>1.15682</v>
      </c>
      <c r="AL288">
        <v>1</v>
      </c>
      <c r="AM288">
        <v>0</v>
      </c>
      <c r="AN288">
        <v>1061</v>
      </c>
      <c r="AO288">
        <v>2</v>
      </c>
      <c r="AP288">
        <v>0</v>
      </c>
      <c r="AQ288">
        <v>0</v>
      </c>
    </row>
    <row r="289" spans="1:43" x14ac:dyDescent="0.25">
      <c r="A289">
        <v>286</v>
      </c>
      <c r="B289">
        <v>6</v>
      </c>
      <c r="C289">
        <v>6</v>
      </c>
      <c r="D289">
        <v>2</v>
      </c>
      <c r="E289">
        <v>2667</v>
      </c>
      <c r="F289">
        <v>6828</v>
      </c>
      <c r="G289">
        <v>7263</v>
      </c>
      <c r="H289">
        <v>3728</v>
      </c>
      <c r="I289">
        <v>1746</v>
      </c>
      <c r="J289">
        <v>919</v>
      </c>
      <c r="K289">
        <v>305</v>
      </c>
      <c r="L289">
        <v>375</v>
      </c>
      <c r="M289">
        <v>426</v>
      </c>
      <c r="N289">
        <v>1562</v>
      </c>
      <c r="O289">
        <v>573</v>
      </c>
      <c r="P289">
        <v>395.83116849999999</v>
      </c>
      <c r="Q289">
        <v>77</v>
      </c>
      <c r="R289">
        <v>0.176353276</v>
      </c>
      <c r="S289">
        <v>1590</v>
      </c>
      <c r="T289">
        <v>374</v>
      </c>
      <c r="U289">
        <v>1333</v>
      </c>
      <c r="V289">
        <v>2020</v>
      </c>
      <c r="W289">
        <v>2063</v>
      </c>
      <c r="X289">
        <v>940</v>
      </c>
      <c r="Y289">
        <v>217</v>
      </c>
      <c r="Z289">
        <v>320</v>
      </c>
      <c r="AA289">
        <v>786</v>
      </c>
      <c r="AB289">
        <v>3</v>
      </c>
      <c r="AC289">
        <v>151</v>
      </c>
      <c r="AD289">
        <v>113</v>
      </c>
      <c r="AE289">
        <v>0</v>
      </c>
      <c r="AF289">
        <v>0</v>
      </c>
      <c r="AG289">
        <v>4</v>
      </c>
      <c r="AH289">
        <v>41</v>
      </c>
      <c r="AI289">
        <v>110</v>
      </c>
      <c r="AJ289">
        <v>209</v>
      </c>
      <c r="AK289">
        <v>1.31514</v>
      </c>
      <c r="AL289">
        <v>1</v>
      </c>
      <c r="AM289">
        <v>0</v>
      </c>
      <c r="AN289">
        <v>2667</v>
      </c>
      <c r="AO289">
        <v>435</v>
      </c>
      <c r="AP289">
        <v>0</v>
      </c>
      <c r="AQ289">
        <v>0</v>
      </c>
    </row>
    <row r="290" spans="1:43" x14ac:dyDescent="0.25">
      <c r="A290">
        <v>287</v>
      </c>
      <c r="B290">
        <v>6</v>
      </c>
      <c r="C290">
        <v>6</v>
      </c>
      <c r="D290">
        <v>2</v>
      </c>
      <c r="E290">
        <v>893</v>
      </c>
      <c r="F290">
        <v>2468</v>
      </c>
      <c r="G290">
        <v>2534</v>
      </c>
      <c r="H290">
        <v>1160</v>
      </c>
      <c r="I290">
        <v>627</v>
      </c>
      <c r="J290">
        <v>351</v>
      </c>
      <c r="K290">
        <v>160</v>
      </c>
      <c r="L290">
        <v>153</v>
      </c>
      <c r="M290">
        <v>172</v>
      </c>
      <c r="N290">
        <v>406</v>
      </c>
      <c r="O290">
        <v>328</v>
      </c>
      <c r="P290">
        <v>197</v>
      </c>
      <c r="Q290">
        <v>50.608720609999999</v>
      </c>
      <c r="R290">
        <v>0.233695652</v>
      </c>
      <c r="S290">
        <v>1132</v>
      </c>
      <c r="T290">
        <v>131</v>
      </c>
      <c r="U290">
        <v>487</v>
      </c>
      <c r="V290">
        <v>647</v>
      </c>
      <c r="W290">
        <v>727</v>
      </c>
      <c r="X290">
        <v>458</v>
      </c>
      <c r="Y290">
        <v>37</v>
      </c>
      <c r="Z290">
        <v>270</v>
      </c>
      <c r="AA290">
        <v>576</v>
      </c>
      <c r="AB290">
        <v>3</v>
      </c>
      <c r="AC290">
        <v>32</v>
      </c>
      <c r="AD290">
        <v>214</v>
      </c>
      <c r="AE290">
        <v>0</v>
      </c>
      <c r="AF290">
        <v>0</v>
      </c>
      <c r="AG290">
        <v>4</v>
      </c>
      <c r="AH290">
        <v>365</v>
      </c>
      <c r="AI290">
        <v>0</v>
      </c>
      <c r="AJ290">
        <v>0</v>
      </c>
      <c r="AK290">
        <v>1.41933</v>
      </c>
      <c r="AL290">
        <v>1</v>
      </c>
      <c r="AM290">
        <v>0</v>
      </c>
      <c r="AN290">
        <v>893</v>
      </c>
      <c r="AO290">
        <v>66</v>
      </c>
      <c r="AP290">
        <v>0</v>
      </c>
      <c r="AQ290">
        <v>0</v>
      </c>
    </row>
    <row r="291" spans="1:43" x14ac:dyDescent="0.25">
      <c r="A291">
        <v>288</v>
      </c>
      <c r="B291">
        <v>6</v>
      </c>
      <c r="C291">
        <v>6</v>
      </c>
      <c r="D291">
        <v>2</v>
      </c>
      <c r="E291">
        <v>3140</v>
      </c>
      <c r="F291">
        <v>7449</v>
      </c>
      <c r="G291">
        <v>7564</v>
      </c>
      <c r="H291">
        <v>3649</v>
      </c>
      <c r="I291">
        <v>1221</v>
      </c>
      <c r="J291">
        <v>1826</v>
      </c>
      <c r="K291">
        <v>613</v>
      </c>
      <c r="L291">
        <v>560</v>
      </c>
      <c r="M291">
        <v>623</v>
      </c>
      <c r="N291">
        <v>1340</v>
      </c>
      <c r="O291">
        <v>1544</v>
      </c>
      <c r="P291">
        <v>461.36143279999999</v>
      </c>
      <c r="Q291">
        <v>296</v>
      </c>
      <c r="R291">
        <v>0.16782171500000001</v>
      </c>
      <c r="S291">
        <v>1284</v>
      </c>
      <c r="T291">
        <v>381</v>
      </c>
      <c r="U291">
        <v>1240</v>
      </c>
      <c r="V291">
        <v>2526</v>
      </c>
      <c r="W291">
        <v>1957</v>
      </c>
      <c r="X291">
        <v>954</v>
      </c>
      <c r="Y291">
        <v>102</v>
      </c>
      <c r="Z291">
        <v>164</v>
      </c>
      <c r="AA291">
        <v>897</v>
      </c>
      <c r="AB291">
        <v>2</v>
      </c>
      <c r="AC291">
        <v>53</v>
      </c>
      <c r="AD291">
        <v>66</v>
      </c>
      <c r="AE291">
        <v>0</v>
      </c>
      <c r="AF291">
        <v>0</v>
      </c>
      <c r="AG291">
        <v>4</v>
      </c>
      <c r="AH291">
        <v>2360</v>
      </c>
      <c r="AI291">
        <v>0</v>
      </c>
      <c r="AJ291">
        <v>0</v>
      </c>
      <c r="AK291">
        <v>1.105</v>
      </c>
      <c r="AL291">
        <v>1</v>
      </c>
      <c r="AM291">
        <v>0</v>
      </c>
      <c r="AN291">
        <v>3140</v>
      </c>
      <c r="AO291">
        <v>115</v>
      </c>
      <c r="AP291">
        <v>0</v>
      </c>
      <c r="AQ291">
        <v>0</v>
      </c>
    </row>
    <row r="292" spans="1:43" x14ac:dyDescent="0.25">
      <c r="A292">
        <v>289</v>
      </c>
      <c r="B292">
        <v>6</v>
      </c>
      <c r="C292">
        <v>6</v>
      </c>
      <c r="D292">
        <v>2</v>
      </c>
      <c r="E292">
        <v>2133</v>
      </c>
      <c r="F292">
        <v>6547</v>
      </c>
      <c r="G292">
        <v>6547</v>
      </c>
      <c r="H292">
        <v>3241</v>
      </c>
      <c r="I292">
        <v>2065</v>
      </c>
      <c r="J292">
        <v>13</v>
      </c>
      <c r="K292">
        <v>127</v>
      </c>
      <c r="L292">
        <v>106</v>
      </c>
      <c r="M292">
        <v>340</v>
      </c>
      <c r="N292">
        <v>1557</v>
      </c>
      <c r="O292">
        <v>678</v>
      </c>
      <c r="P292">
        <v>405.5507614</v>
      </c>
      <c r="Q292">
        <v>21</v>
      </c>
      <c r="R292">
        <v>0.19706971500000001</v>
      </c>
      <c r="S292">
        <v>616</v>
      </c>
      <c r="T292">
        <v>228</v>
      </c>
      <c r="U292">
        <v>1446</v>
      </c>
      <c r="V292">
        <v>1439</v>
      </c>
      <c r="W292">
        <v>1973</v>
      </c>
      <c r="X292">
        <v>898</v>
      </c>
      <c r="Y292">
        <v>63</v>
      </c>
      <c r="Z292">
        <v>167</v>
      </c>
      <c r="AA292">
        <v>310</v>
      </c>
      <c r="AB292">
        <v>2</v>
      </c>
      <c r="AC292">
        <v>41</v>
      </c>
      <c r="AD292">
        <v>33</v>
      </c>
      <c r="AE292">
        <v>0</v>
      </c>
      <c r="AF292">
        <v>0</v>
      </c>
      <c r="AG292">
        <v>4</v>
      </c>
      <c r="AH292">
        <v>0</v>
      </c>
      <c r="AI292">
        <v>0</v>
      </c>
      <c r="AJ292">
        <v>0</v>
      </c>
      <c r="AK292">
        <v>1.17774</v>
      </c>
      <c r="AL292">
        <v>1</v>
      </c>
      <c r="AM292">
        <v>0</v>
      </c>
      <c r="AN292">
        <v>2133</v>
      </c>
      <c r="AO292">
        <v>0</v>
      </c>
      <c r="AP292">
        <v>0</v>
      </c>
      <c r="AQ292">
        <v>0</v>
      </c>
    </row>
    <row r="293" spans="1:43" x14ac:dyDescent="0.25">
      <c r="A293">
        <v>290</v>
      </c>
      <c r="B293">
        <v>6</v>
      </c>
      <c r="C293">
        <v>6</v>
      </c>
      <c r="D293">
        <v>2</v>
      </c>
      <c r="E293">
        <v>1446</v>
      </c>
      <c r="F293">
        <v>3537</v>
      </c>
      <c r="G293">
        <v>3537</v>
      </c>
      <c r="H293">
        <v>1717</v>
      </c>
      <c r="I293">
        <v>1005</v>
      </c>
      <c r="J293">
        <v>433</v>
      </c>
      <c r="K293">
        <v>234</v>
      </c>
      <c r="L293">
        <v>223</v>
      </c>
      <c r="M293">
        <v>290</v>
      </c>
      <c r="N293">
        <v>700</v>
      </c>
      <c r="O293">
        <v>559</v>
      </c>
      <c r="P293">
        <v>274</v>
      </c>
      <c r="Q293">
        <v>16</v>
      </c>
      <c r="R293">
        <v>0.27985285799999998</v>
      </c>
      <c r="S293">
        <v>223</v>
      </c>
      <c r="T293">
        <v>236</v>
      </c>
      <c r="U293">
        <v>549</v>
      </c>
      <c r="V293">
        <v>808</v>
      </c>
      <c r="W293">
        <v>1046</v>
      </c>
      <c r="X293">
        <v>758</v>
      </c>
      <c r="Y293">
        <v>5</v>
      </c>
      <c r="Z293">
        <v>64</v>
      </c>
      <c r="AA293">
        <v>71</v>
      </c>
      <c r="AB293">
        <v>1</v>
      </c>
      <c r="AC293">
        <v>20</v>
      </c>
      <c r="AD293">
        <v>62</v>
      </c>
      <c r="AE293">
        <v>0</v>
      </c>
      <c r="AF293">
        <v>0</v>
      </c>
      <c r="AG293">
        <v>4</v>
      </c>
      <c r="AH293">
        <v>0</v>
      </c>
      <c r="AI293">
        <v>0</v>
      </c>
      <c r="AJ293">
        <v>0</v>
      </c>
      <c r="AK293">
        <v>1.12964</v>
      </c>
      <c r="AL293">
        <v>1</v>
      </c>
      <c r="AM293">
        <v>0</v>
      </c>
      <c r="AN293">
        <v>1446</v>
      </c>
      <c r="AO293">
        <v>0</v>
      </c>
      <c r="AP293">
        <v>0</v>
      </c>
      <c r="AQ293">
        <v>0</v>
      </c>
    </row>
    <row r="294" spans="1:43" x14ac:dyDescent="0.25">
      <c r="A294">
        <v>291</v>
      </c>
      <c r="B294">
        <v>6</v>
      </c>
      <c r="C294">
        <v>6</v>
      </c>
      <c r="D294">
        <v>2</v>
      </c>
      <c r="E294">
        <v>1248</v>
      </c>
      <c r="F294">
        <v>3508</v>
      </c>
      <c r="G294">
        <v>3521</v>
      </c>
      <c r="H294">
        <v>1683</v>
      </c>
      <c r="I294">
        <v>965</v>
      </c>
      <c r="J294">
        <v>234</v>
      </c>
      <c r="K294">
        <v>131</v>
      </c>
      <c r="L294">
        <v>191</v>
      </c>
      <c r="M294">
        <v>255</v>
      </c>
      <c r="N294">
        <v>671</v>
      </c>
      <c r="O294">
        <v>667</v>
      </c>
      <c r="P294">
        <v>292</v>
      </c>
      <c r="Q294">
        <v>175</v>
      </c>
      <c r="R294">
        <v>0.21783828799999999</v>
      </c>
      <c r="S294">
        <v>1663</v>
      </c>
      <c r="T294">
        <v>99</v>
      </c>
      <c r="U294">
        <v>786</v>
      </c>
      <c r="V294">
        <v>930</v>
      </c>
      <c r="W294">
        <v>976</v>
      </c>
      <c r="X294">
        <v>643</v>
      </c>
      <c r="Y294">
        <v>124</v>
      </c>
      <c r="Z294">
        <v>277</v>
      </c>
      <c r="AA294">
        <v>848</v>
      </c>
      <c r="AB294">
        <v>3</v>
      </c>
      <c r="AC294">
        <v>331</v>
      </c>
      <c r="AD294">
        <v>80</v>
      </c>
      <c r="AE294">
        <v>0</v>
      </c>
      <c r="AF294">
        <v>0</v>
      </c>
      <c r="AG294">
        <v>4</v>
      </c>
      <c r="AH294">
        <v>11</v>
      </c>
      <c r="AI294">
        <v>2352</v>
      </c>
      <c r="AJ294">
        <v>12620</v>
      </c>
      <c r="AK294">
        <v>1.1701699999999999</v>
      </c>
      <c r="AL294">
        <v>1</v>
      </c>
      <c r="AM294">
        <v>0</v>
      </c>
      <c r="AN294">
        <v>1248</v>
      </c>
      <c r="AO294">
        <v>13</v>
      </c>
      <c r="AP294">
        <v>0</v>
      </c>
      <c r="AQ294">
        <v>0</v>
      </c>
    </row>
    <row r="295" spans="1:43" x14ac:dyDescent="0.25">
      <c r="A295">
        <v>292</v>
      </c>
      <c r="B295">
        <v>6</v>
      </c>
      <c r="C295">
        <v>6</v>
      </c>
      <c r="D295">
        <v>2</v>
      </c>
      <c r="E295">
        <v>933</v>
      </c>
      <c r="F295">
        <v>2691</v>
      </c>
      <c r="G295">
        <v>2691</v>
      </c>
      <c r="H295">
        <v>1294</v>
      </c>
      <c r="I295">
        <v>803</v>
      </c>
      <c r="J295">
        <v>84</v>
      </c>
      <c r="K295">
        <v>92</v>
      </c>
      <c r="L295">
        <v>141</v>
      </c>
      <c r="M295">
        <v>145</v>
      </c>
      <c r="N295">
        <v>556</v>
      </c>
      <c r="O295">
        <v>362</v>
      </c>
      <c r="P295">
        <v>290.25940379999997</v>
      </c>
      <c r="Q295">
        <v>64</v>
      </c>
      <c r="R295">
        <v>0.227744011</v>
      </c>
      <c r="S295">
        <v>384</v>
      </c>
      <c r="T295">
        <v>147</v>
      </c>
      <c r="U295">
        <v>479</v>
      </c>
      <c r="V295">
        <v>688</v>
      </c>
      <c r="W295">
        <v>913</v>
      </c>
      <c r="X295">
        <v>458</v>
      </c>
      <c r="Y295">
        <v>21</v>
      </c>
      <c r="Z295">
        <v>108</v>
      </c>
      <c r="AA295">
        <v>192</v>
      </c>
      <c r="AB295">
        <v>1</v>
      </c>
      <c r="AC295">
        <v>15</v>
      </c>
      <c r="AD295">
        <v>47</v>
      </c>
      <c r="AE295">
        <v>0</v>
      </c>
      <c r="AF295">
        <v>0</v>
      </c>
      <c r="AG295">
        <v>4</v>
      </c>
      <c r="AH295">
        <v>13</v>
      </c>
      <c r="AI295">
        <v>0</v>
      </c>
      <c r="AJ295">
        <v>0</v>
      </c>
      <c r="AK295">
        <v>1.24793</v>
      </c>
      <c r="AL295">
        <v>1</v>
      </c>
      <c r="AM295">
        <v>0</v>
      </c>
      <c r="AN295">
        <v>933</v>
      </c>
      <c r="AO295">
        <v>0</v>
      </c>
      <c r="AP295">
        <v>0</v>
      </c>
      <c r="AQ295">
        <v>0</v>
      </c>
    </row>
    <row r="296" spans="1:43" x14ac:dyDescent="0.25">
      <c r="A296">
        <v>293</v>
      </c>
      <c r="B296">
        <v>6</v>
      </c>
      <c r="C296">
        <v>6</v>
      </c>
      <c r="D296">
        <v>2</v>
      </c>
      <c r="E296">
        <v>2124</v>
      </c>
      <c r="F296">
        <v>5669</v>
      </c>
      <c r="G296">
        <v>5710</v>
      </c>
      <c r="H296">
        <v>2928</v>
      </c>
      <c r="I296">
        <v>2137</v>
      </c>
      <c r="J296">
        <v>28</v>
      </c>
      <c r="K296">
        <v>209</v>
      </c>
      <c r="L296">
        <v>549</v>
      </c>
      <c r="M296">
        <v>449</v>
      </c>
      <c r="N296">
        <v>916</v>
      </c>
      <c r="O296">
        <v>5328</v>
      </c>
      <c r="P296">
        <v>619.27444109999999</v>
      </c>
      <c r="Q296">
        <v>743.23178329999996</v>
      </c>
      <c r="R296">
        <v>0.31358704999999998</v>
      </c>
      <c r="S296">
        <v>868</v>
      </c>
      <c r="T296">
        <v>317</v>
      </c>
      <c r="U296">
        <v>665</v>
      </c>
      <c r="V296">
        <v>1524</v>
      </c>
      <c r="W296">
        <v>1442</v>
      </c>
      <c r="X296">
        <v>1620</v>
      </c>
      <c r="Y296">
        <v>48</v>
      </c>
      <c r="Z296">
        <v>221</v>
      </c>
      <c r="AA296">
        <v>275</v>
      </c>
      <c r="AB296">
        <v>22</v>
      </c>
      <c r="AC296">
        <v>183</v>
      </c>
      <c r="AD296">
        <v>119</v>
      </c>
      <c r="AE296">
        <v>0</v>
      </c>
      <c r="AF296">
        <v>0</v>
      </c>
      <c r="AG296">
        <v>4</v>
      </c>
      <c r="AH296">
        <v>1</v>
      </c>
      <c r="AI296">
        <v>0</v>
      </c>
      <c r="AJ296">
        <v>0</v>
      </c>
      <c r="AK296">
        <v>1.0198</v>
      </c>
      <c r="AL296">
        <v>1</v>
      </c>
      <c r="AM296">
        <v>0</v>
      </c>
      <c r="AN296">
        <v>2124</v>
      </c>
      <c r="AO296">
        <v>41</v>
      </c>
      <c r="AP296">
        <v>0</v>
      </c>
      <c r="AQ296">
        <v>0</v>
      </c>
    </row>
    <row r="297" spans="1:43" x14ac:dyDescent="0.25">
      <c r="A297">
        <v>294</v>
      </c>
      <c r="B297">
        <v>6</v>
      </c>
      <c r="C297">
        <v>6</v>
      </c>
      <c r="D297">
        <v>2</v>
      </c>
      <c r="E297">
        <v>2441</v>
      </c>
      <c r="F297">
        <v>6135</v>
      </c>
      <c r="G297">
        <v>6153</v>
      </c>
      <c r="H297">
        <v>3240</v>
      </c>
      <c r="I297">
        <v>2263</v>
      </c>
      <c r="J297">
        <v>137</v>
      </c>
      <c r="K297">
        <v>317</v>
      </c>
      <c r="L297">
        <v>263</v>
      </c>
      <c r="M297">
        <v>510</v>
      </c>
      <c r="N297">
        <v>1351</v>
      </c>
      <c r="O297">
        <v>5877</v>
      </c>
      <c r="P297">
        <v>1023.418468</v>
      </c>
      <c r="Q297">
        <v>266</v>
      </c>
      <c r="R297">
        <v>0.237238697</v>
      </c>
      <c r="S297">
        <v>1337</v>
      </c>
      <c r="T297">
        <v>117</v>
      </c>
      <c r="U297">
        <v>961</v>
      </c>
      <c r="V297">
        <v>1601</v>
      </c>
      <c r="W297">
        <v>2108</v>
      </c>
      <c r="X297">
        <v>1106</v>
      </c>
      <c r="Y297">
        <v>110</v>
      </c>
      <c r="Z297">
        <v>215</v>
      </c>
      <c r="AA297">
        <v>700</v>
      </c>
      <c r="AB297">
        <v>11</v>
      </c>
      <c r="AC297">
        <v>110</v>
      </c>
      <c r="AD297">
        <v>191</v>
      </c>
      <c r="AE297">
        <v>0</v>
      </c>
      <c r="AF297">
        <v>0</v>
      </c>
      <c r="AG297">
        <v>4</v>
      </c>
      <c r="AH297">
        <v>0</v>
      </c>
      <c r="AI297">
        <v>0</v>
      </c>
      <c r="AJ297">
        <v>0</v>
      </c>
      <c r="AK297">
        <v>1.0303599999999999</v>
      </c>
      <c r="AL297">
        <v>1</v>
      </c>
      <c r="AM297">
        <v>0</v>
      </c>
      <c r="AN297">
        <v>2441</v>
      </c>
      <c r="AO297">
        <v>18</v>
      </c>
      <c r="AP297">
        <v>0</v>
      </c>
      <c r="AQ297">
        <v>0</v>
      </c>
    </row>
    <row r="298" spans="1:43" x14ac:dyDescent="0.25">
      <c r="A298">
        <v>295</v>
      </c>
      <c r="B298">
        <v>6</v>
      </c>
      <c r="C298">
        <v>6</v>
      </c>
      <c r="D298">
        <v>2</v>
      </c>
      <c r="E298">
        <v>1378</v>
      </c>
      <c r="F298">
        <v>3852</v>
      </c>
      <c r="G298">
        <v>3868</v>
      </c>
      <c r="H298">
        <v>1959</v>
      </c>
      <c r="I298">
        <v>1092</v>
      </c>
      <c r="J298">
        <v>199</v>
      </c>
      <c r="K298">
        <v>129</v>
      </c>
      <c r="L298">
        <v>304</v>
      </c>
      <c r="M298">
        <v>390</v>
      </c>
      <c r="N298">
        <v>555</v>
      </c>
      <c r="O298">
        <v>21718</v>
      </c>
      <c r="P298">
        <v>1538.5258160000001</v>
      </c>
      <c r="Q298">
        <v>822</v>
      </c>
      <c r="R298">
        <v>0.24817518199999999</v>
      </c>
      <c r="S298">
        <v>1273</v>
      </c>
      <c r="T298">
        <v>287</v>
      </c>
      <c r="U298">
        <v>652</v>
      </c>
      <c r="V298">
        <v>1019</v>
      </c>
      <c r="W298">
        <v>1345</v>
      </c>
      <c r="X298">
        <v>757</v>
      </c>
      <c r="Y298">
        <v>244</v>
      </c>
      <c r="Z298">
        <v>166</v>
      </c>
      <c r="AA298">
        <v>477</v>
      </c>
      <c r="AB298">
        <v>103</v>
      </c>
      <c r="AC298">
        <v>156</v>
      </c>
      <c r="AD298">
        <v>127</v>
      </c>
      <c r="AE298">
        <v>0</v>
      </c>
      <c r="AF298">
        <v>0</v>
      </c>
      <c r="AG298">
        <v>4</v>
      </c>
      <c r="AH298">
        <v>911</v>
      </c>
      <c r="AI298">
        <v>0</v>
      </c>
      <c r="AJ298">
        <v>0</v>
      </c>
      <c r="AK298">
        <v>0.97767999999999999</v>
      </c>
      <c r="AL298">
        <v>1</v>
      </c>
      <c r="AM298">
        <v>0</v>
      </c>
      <c r="AN298">
        <v>1378</v>
      </c>
      <c r="AO298">
        <v>16</v>
      </c>
      <c r="AP298">
        <v>0</v>
      </c>
      <c r="AQ298">
        <v>0</v>
      </c>
    </row>
    <row r="299" spans="1:43" x14ac:dyDescent="0.25">
      <c r="A299">
        <v>296</v>
      </c>
      <c r="B299">
        <v>6</v>
      </c>
      <c r="C299">
        <v>6</v>
      </c>
      <c r="D299">
        <v>2</v>
      </c>
      <c r="E299">
        <v>3234</v>
      </c>
      <c r="F299">
        <v>8187</v>
      </c>
      <c r="G299">
        <v>8333</v>
      </c>
      <c r="H299">
        <v>4205</v>
      </c>
      <c r="I299">
        <v>2765</v>
      </c>
      <c r="J299">
        <v>630</v>
      </c>
      <c r="K299">
        <v>687</v>
      </c>
      <c r="L299">
        <v>510</v>
      </c>
      <c r="M299">
        <v>749</v>
      </c>
      <c r="N299">
        <v>1286</v>
      </c>
      <c r="O299">
        <v>27294</v>
      </c>
      <c r="P299">
        <v>4589.248767</v>
      </c>
      <c r="Q299">
        <v>176</v>
      </c>
      <c r="R299">
        <v>0.28534943099999999</v>
      </c>
      <c r="S299">
        <v>4178</v>
      </c>
      <c r="T299">
        <v>421</v>
      </c>
      <c r="U299">
        <v>1248</v>
      </c>
      <c r="V299">
        <v>2308</v>
      </c>
      <c r="W299">
        <v>2270</v>
      </c>
      <c r="X299">
        <v>2044</v>
      </c>
      <c r="Y299">
        <v>327</v>
      </c>
      <c r="Z299">
        <v>1007</v>
      </c>
      <c r="AA299">
        <v>2055</v>
      </c>
      <c r="AB299">
        <v>243</v>
      </c>
      <c r="AC299">
        <v>203</v>
      </c>
      <c r="AD299">
        <v>343</v>
      </c>
      <c r="AE299">
        <v>0</v>
      </c>
      <c r="AF299">
        <v>0</v>
      </c>
      <c r="AG299">
        <v>4</v>
      </c>
      <c r="AH299">
        <v>33</v>
      </c>
      <c r="AI299">
        <v>0</v>
      </c>
      <c r="AJ299">
        <v>0</v>
      </c>
      <c r="AK299">
        <v>0.98473999999999995</v>
      </c>
      <c r="AL299">
        <v>1</v>
      </c>
      <c r="AM299">
        <v>0</v>
      </c>
      <c r="AN299">
        <v>3234</v>
      </c>
      <c r="AO299">
        <v>146</v>
      </c>
      <c r="AP299">
        <v>0</v>
      </c>
      <c r="AQ299">
        <v>0</v>
      </c>
    </row>
    <row r="300" spans="1:43" x14ac:dyDescent="0.25">
      <c r="A300">
        <v>297</v>
      </c>
      <c r="B300">
        <v>7</v>
      </c>
      <c r="C300">
        <v>7</v>
      </c>
      <c r="D300">
        <v>2</v>
      </c>
      <c r="E300">
        <v>1520</v>
      </c>
      <c r="F300">
        <v>3572</v>
      </c>
      <c r="G300">
        <v>3727</v>
      </c>
      <c r="H300">
        <v>2329</v>
      </c>
      <c r="I300">
        <v>1951</v>
      </c>
      <c r="J300">
        <v>37</v>
      </c>
      <c r="K300">
        <v>181</v>
      </c>
      <c r="L300">
        <v>253</v>
      </c>
      <c r="M300">
        <v>215</v>
      </c>
      <c r="N300">
        <v>872</v>
      </c>
      <c r="O300">
        <v>114928</v>
      </c>
      <c r="P300">
        <v>13778.71421</v>
      </c>
      <c r="Q300">
        <v>2167.7368070000002</v>
      </c>
      <c r="R300">
        <v>0.26987654300000002</v>
      </c>
      <c r="S300">
        <v>1274</v>
      </c>
      <c r="T300">
        <v>202</v>
      </c>
      <c r="U300">
        <v>457</v>
      </c>
      <c r="V300">
        <v>1281</v>
      </c>
      <c r="W300">
        <v>1146</v>
      </c>
      <c r="X300">
        <v>815</v>
      </c>
      <c r="Y300">
        <v>54</v>
      </c>
      <c r="Z300">
        <v>172</v>
      </c>
      <c r="AA300">
        <v>430</v>
      </c>
      <c r="AB300">
        <v>442</v>
      </c>
      <c r="AC300">
        <v>64</v>
      </c>
      <c r="AD300">
        <v>112</v>
      </c>
      <c r="AE300">
        <v>0</v>
      </c>
      <c r="AF300">
        <v>0</v>
      </c>
      <c r="AG300">
        <v>5</v>
      </c>
      <c r="AH300">
        <v>81</v>
      </c>
      <c r="AI300">
        <v>0</v>
      </c>
      <c r="AJ300">
        <v>0</v>
      </c>
      <c r="AK300">
        <v>0.90590999999999999</v>
      </c>
      <c r="AL300">
        <v>1</v>
      </c>
      <c r="AM300">
        <v>0</v>
      </c>
      <c r="AN300">
        <v>1520</v>
      </c>
      <c r="AO300">
        <v>155</v>
      </c>
      <c r="AP300">
        <v>0</v>
      </c>
      <c r="AQ300">
        <v>0</v>
      </c>
    </row>
    <row r="301" spans="1:43" x14ac:dyDescent="0.25">
      <c r="A301">
        <v>298</v>
      </c>
      <c r="B301">
        <v>7</v>
      </c>
      <c r="C301">
        <v>7</v>
      </c>
      <c r="D301">
        <v>2</v>
      </c>
      <c r="E301">
        <v>2561</v>
      </c>
      <c r="F301">
        <v>6541</v>
      </c>
      <c r="G301">
        <v>6547</v>
      </c>
      <c r="H301">
        <v>2661</v>
      </c>
      <c r="I301">
        <v>2292</v>
      </c>
      <c r="J301">
        <v>248</v>
      </c>
      <c r="K301">
        <v>235</v>
      </c>
      <c r="L301">
        <v>262</v>
      </c>
      <c r="M301">
        <v>473</v>
      </c>
      <c r="N301">
        <v>1592</v>
      </c>
      <c r="O301">
        <v>9757</v>
      </c>
      <c r="P301">
        <v>3748.6048289999999</v>
      </c>
      <c r="Q301">
        <v>971.15477780000003</v>
      </c>
      <c r="R301">
        <v>0.38692810500000002</v>
      </c>
      <c r="S301">
        <v>2162</v>
      </c>
      <c r="T301">
        <v>309</v>
      </c>
      <c r="U301">
        <v>894</v>
      </c>
      <c r="V301">
        <v>1232</v>
      </c>
      <c r="W301">
        <v>1885</v>
      </c>
      <c r="X301">
        <v>2262</v>
      </c>
      <c r="Y301">
        <v>100</v>
      </c>
      <c r="Z301">
        <v>549</v>
      </c>
      <c r="AA301">
        <v>1162</v>
      </c>
      <c r="AB301">
        <v>123</v>
      </c>
      <c r="AC301">
        <v>123</v>
      </c>
      <c r="AD301">
        <v>105</v>
      </c>
      <c r="AE301">
        <v>0</v>
      </c>
      <c r="AF301">
        <v>0</v>
      </c>
      <c r="AG301">
        <v>5</v>
      </c>
      <c r="AH301">
        <v>310</v>
      </c>
      <c r="AI301">
        <v>0</v>
      </c>
      <c r="AJ301">
        <v>0</v>
      </c>
      <c r="AK301">
        <v>0.93674000000000002</v>
      </c>
      <c r="AL301">
        <v>1</v>
      </c>
      <c r="AM301">
        <v>0</v>
      </c>
      <c r="AN301">
        <v>2561</v>
      </c>
      <c r="AO301">
        <v>6</v>
      </c>
      <c r="AP301">
        <v>0</v>
      </c>
      <c r="AQ301">
        <v>0</v>
      </c>
    </row>
    <row r="302" spans="1:43" x14ac:dyDescent="0.25">
      <c r="A302">
        <v>299</v>
      </c>
      <c r="B302">
        <v>7</v>
      </c>
      <c r="C302">
        <v>7</v>
      </c>
      <c r="D302">
        <v>2</v>
      </c>
      <c r="E302">
        <v>1043</v>
      </c>
      <c r="F302">
        <v>3055</v>
      </c>
      <c r="G302">
        <v>3055</v>
      </c>
      <c r="H302">
        <v>1304</v>
      </c>
      <c r="I302">
        <v>1068</v>
      </c>
      <c r="J302">
        <v>26</v>
      </c>
      <c r="K302">
        <v>172</v>
      </c>
      <c r="L302">
        <v>77</v>
      </c>
      <c r="M302">
        <v>115</v>
      </c>
      <c r="N302">
        <v>682</v>
      </c>
      <c r="O302">
        <v>11075</v>
      </c>
      <c r="P302">
        <v>4035.8408239999999</v>
      </c>
      <c r="Q302">
        <v>177</v>
      </c>
      <c r="R302">
        <v>0.232626427</v>
      </c>
      <c r="S302">
        <v>1512</v>
      </c>
      <c r="T302">
        <v>179</v>
      </c>
      <c r="U302">
        <v>631</v>
      </c>
      <c r="V302">
        <v>647</v>
      </c>
      <c r="W302">
        <v>901</v>
      </c>
      <c r="X302">
        <v>575</v>
      </c>
      <c r="Y302">
        <v>174</v>
      </c>
      <c r="Z302">
        <v>343</v>
      </c>
      <c r="AA302">
        <v>639</v>
      </c>
      <c r="AB302">
        <v>26</v>
      </c>
      <c r="AC302">
        <v>45</v>
      </c>
      <c r="AD302">
        <v>285</v>
      </c>
      <c r="AE302">
        <v>0</v>
      </c>
      <c r="AF302">
        <v>0</v>
      </c>
      <c r="AG302">
        <v>5</v>
      </c>
      <c r="AH302">
        <v>0</v>
      </c>
      <c r="AI302">
        <v>0</v>
      </c>
      <c r="AJ302">
        <v>0</v>
      </c>
      <c r="AK302">
        <v>0.91866000000000003</v>
      </c>
      <c r="AL302">
        <v>1</v>
      </c>
      <c r="AM302">
        <v>0</v>
      </c>
      <c r="AN302">
        <v>1043</v>
      </c>
      <c r="AO302">
        <v>0</v>
      </c>
      <c r="AP302">
        <v>0</v>
      </c>
      <c r="AQ302">
        <v>0</v>
      </c>
    </row>
    <row r="303" spans="1:43" x14ac:dyDescent="0.25">
      <c r="A303">
        <v>300</v>
      </c>
      <c r="B303">
        <v>7</v>
      </c>
      <c r="C303">
        <v>7</v>
      </c>
      <c r="D303">
        <v>2</v>
      </c>
      <c r="E303">
        <v>810</v>
      </c>
      <c r="F303">
        <v>2466</v>
      </c>
      <c r="G303">
        <v>2466</v>
      </c>
      <c r="H303">
        <v>1106</v>
      </c>
      <c r="I303">
        <v>816</v>
      </c>
      <c r="J303">
        <v>8</v>
      </c>
      <c r="K303">
        <v>71</v>
      </c>
      <c r="L303">
        <v>99</v>
      </c>
      <c r="M303">
        <v>52</v>
      </c>
      <c r="N303">
        <v>586</v>
      </c>
      <c r="O303">
        <v>2314</v>
      </c>
      <c r="P303">
        <v>1553.99056</v>
      </c>
      <c r="Q303">
        <v>111</v>
      </c>
      <c r="R303">
        <v>0.25086173899999997</v>
      </c>
      <c r="S303">
        <v>1219</v>
      </c>
      <c r="T303">
        <v>100</v>
      </c>
      <c r="U303">
        <v>506</v>
      </c>
      <c r="V303">
        <v>692</v>
      </c>
      <c r="W303">
        <v>695</v>
      </c>
      <c r="X303">
        <v>504</v>
      </c>
      <c r="Y303">
        <v>10</v>
      </c>
      <c r="Z303">
        <v>320</v>
      </c>
      <c r="AA303">
        <v>728</v>
      </c>
      <c r="AB303">
        <v>2</v>
      </c>
      <c r="AC303">
        <v>97</v>
      </c>
      <c r="AD303">
        <v>62</v>
      </c>
      <c r="AE303">
        <v>0</v>
      </c>
      <c r="AF303">
        <v>0</v>
      </c>
      <c r="AG303">
        <v>5</v>
      </c>
      <c r="AH303">
        <v>0</v>
      </c>
      <c r="AI303">
        <v>964</v>
      </c>
      <c r="AJ303">
        <v>10007</v>
      </c>
      <c r="AK303">
        <v>0.94382999999999995</v>
      </c>
      <c r="AL303">
        <v>1</v>
      </c>
      <c r="AM303">
        <v>0</v>
      </c>
      <c r="AN303">
        <v>810</v>
      </c>
      <c r="AO303">
        <v>0</v>
      </c>
      <c r="AP303">
        <v>0</v>
      </c>
      <c r="AQ303">
        <v>0</v>
      </c>
    </row>
    <row r="304" spans="1:43" x14ac:dyDescent="0.25">
      <c r="A304">
        <v>301</v>
      </c>
      <c r="B304">
        <v>7</v>
      </c>
      <c r="C304">
        <v>7</v>
      </c>
      <c r="D304">
        <v>2</v>
      </c>
      <c r="E304">
        <v>2208</v>
      </c>
      <c r="F304">
        <v>6094</v>
      </c>
      <c r="G304">
        <v>6158</v>
      </c>
      <c r="H304">
        <v>3103</v>
      </c>
      <c r="I304">
        <v>1809</v>
      </c>
      <c r="J304">
        <v>246</v>
      </c>
      <c r="K304">
        <v>56</v>
      </c>
      <c r="L304">
        <v>331</v>
      </c>
      <c r="M304">
        <v>505</v>
      </c>
      <c r="N304">
        <v>1315</v>
      </c>
      <c r="O304">
        <v>785</v>
      </c>
      <c r="P304">
        <v>499.34468320000002</v>
      </c>
      <c r="Q304">
        <v>97</v>
      </c>
      <c r="R304">
        <v>0.22545219599999999</v>
      </c>
      <c r="S304">
        <v>994</v>
      </c>
      <c r="T304">
        <v>354</v>
      </c>
      <c r="U304">
        <v>1163</v>
      </c>
      <c r="V304">
        <v>1744</v>
      </c>
      <c r="W304">
        <v>1621</v>
      </c>
      <c r="X304">
        <v>1063</v>
      </c>
      <c r="Y304">
        <v>74</v>
      </c>
      <c r="Z304">
        <v>258</v>
      </c>
      <c r="AA304">
        <v>426</v>
      </c>
      <c r="AB304">
        <v>3</v>
      </c>
      <c r="AC304">
        <v>37</v>
      </c>
      <c r="AD304">
        <v>196</v>
      </c>
      <c r="AE304">
        <v>0</v>
      </c>
      <c r="AF304">
        <v>0</v>
      </c>
      <c r="AG304">
        <v>4</v>
      </c>
      <c r="AH304">
        <v>0</v>
      </c>
      <c r="AI304">
        <v>0</v>
      </c>
      <c r="AJ304">
        <v>0</v>
      </c>
      <c r="AK304">
        <v>1.16015</v>
      </c>
      <c r="AL304">
        <v>1</v>
      </c>
      <c r="AM304">
        <v>0</v>
      </c>
      <c r="AN304">
        <v>2208</v>
      </c>
      <c r="AO304">
        <v>64</v>
      </c>
      <c r="AP304">
        <v>0</v>
      </c>
      <c r="AQ304">
        <v>0</v>
      </c>
    </row>
    <row r="305" spans="1:43" x14ac:dyDescent="0.25">
      <c r="A305">
        <v>302</v>
      </c>
      <c r="B305">
        <v>7</v>
      </c>
      <c r="C305">
        <v>7</v>
      </c>
      <c r="D305">
        <v>2</v>
      </c>
      <c r="E305">
        <v>1672</v>
      </c>
      <c r="F305">
        <v>4861</v>
      </c>
      <c r="G305">
        <v>4897</v>
      </c>
      <c r="H305">
        <v>2384</v>
      </c>
      <c r="I305">
        <v>1615</v>
      </c>
      <c r="J305">
        <v>1</v>
      </c>
      <c r="K305">
        <v>104</v>
      </c>
      <c r="L305">
        <v>199</v>
      </c>
      <c r="M305">
        <v>134</v>
      </c>
      <c r="N305">
        <v>1236</v>
      </c>
      <c r="O305">
        <v>1345</v>
      </c>
      <c r="P305">
        <v>535.93227709999996</v>
      </c>
      <c r="Q305">
        <v>468</v>
      </c>
      <c r="R305">
        <v>0.248888889</v>
      </c>
      <c r="S305">
        <v>466</v>
      </c>
      <c r="T305">
        <v>264</v>
      </c>
      <c r="U305">
        <v>831</v>
      </c>
      <c r="V305">
        <v>1113</v>
      </c>
      <c r="W305">
        <v>1523</v>
      </c>
      <c r="X305">
        <v>799</v>
      </c>
      <c r="Y305">
        <v>14</v>
      </c>
      <c r="Z305">
        <v>221</v>
      </c>
      <c r="AA305">
        <v>129</v>
      </c>
      <c r="AB305">
        <v>3</v>
      </c>
      <c r="AC305">
        <v>36</v>
      </c>
      <c r="AD305">
        <v>63</v>
      </c>
      <c r="AE305">
        <v>0</v>
      </c>
      <c r="AF305">
        <v>0</v>
      </c>
      <c r="AG305">
        <v>4</v>
      </c>
      <c r="AH305">
        <v>0</v>
      </c>
      <c r="AI305">
        <v>0</v>
      </c>
      <c r="AJ305">
        <v>0</v>
      </c>
      <c r="AK305">
        <v>0.99382999999999999</v>
      </c>
      <c r="AL305">
        <v>1</v>
      </c>
      <c r="AM305">
        <v>0</v>
      </c>
      <c r="AN305">
        <v>1672</v>
      </c>
      <c r="AO305">
        <v>36</v>
      </c>
      <c r="AP305">
        <v>0</v>
      </c>
      <c r="AQ305">
        <v>0</v>
      </c>
    </row>
    <row r="306" spans="1:43" x14ac:dyDescent="0.25">
      <c r="A306">
        <v>303</v>
      </c>
      <c r="B306">
        <v>7</v>
      </c>
      <c r="C306">
        <v>7</v>
      </c>
      <c r="D306">
        <v>2</v>
      </c>
      <c r="E306">
        <v>1629</v>
      </c>
      <c r="F306">
        <v>4528</v>
      </c>
      <c r="G306">
        <v>4571</v>
      </c>
      <c r="H306">
        <v>2144</v>
      </c>
      <c r="I306">
        <v>1462</v>
      </c>
      <c r="J306">
        <v>114</v>
      </c>
      <c r="K306">
        <v>178</v>
      </c>
      <c r="L306">
        <v>253</v>
      </c>
      <c r="M306">
        <v>280</v>
      </c>
      <c r="N306">
        <v>920</v>
      </c>
      <c r="O306">
        <v>492</v>
      </c>
      <c r="P306">
        <v>342.28397130000002</v>
      </c>
      <c r="Q306">
        <v>32</v>
      </c>
      <c r="R306">
        <v>0.235412027</v>
      </c>
      <c r="S306">
        <v>732</v>
      </c>
      <c r="T306">
        <v>295</v>
      </c>
      <c r="U306">
        <v>711</v>
      </c>
      <c r="V306">
        <v>1100</v>
      </c>
      <c r="W306">
        <v>1336</v>
      </c>
      <c r="X306">
        <v>857</v>
      </c>
      <c r="Y306">
        <v>16</v>
      </c>
      <c r="Z306">
        <v>167</v>
      </c>
      <c r="AA306">
        <v>446</v>
      </c>
      <c r="AB306">
        <v>2</v>
      </c>
      <c r="AC306">
        <v>25</v>
      </c>
      <c r="AD306">
        <v>76</v>
      </c>
      <c r="AE306">
        <v>0</v>
      </c>
      <c r="AF306">
        <v>0</v>
      </c>
      <c r="AG306">
        <v>4</v>
      </c>
      <c r="AH306">
        <v>0</v>
      </c>
      <c r="AI306">
        <v>0</v>
      </c>
      <c r="AJ306">
        <v>0</v>
      </c>
      <c r="AK306">
        <v>1.1873499999999999</v>
      </c>
      <c r="AL306">
        <v>1</v>
      </c>
      <c r="AM306">
        <v>0</v>
      </c>
      <c r="AN306">
        <v>1629</v>
      </c>
      <c r="AO306">
        <v>43</v>
      </c>
      <c r="AP306">
        <v>0</v>
      </c>
      <c r="AQ306">
        <v>0</v>
      </c>
    </row>
    <row r="307" spans="1:43" x14ac:dyDescent="0.25">
      <c r="A307">
        <v>304</v>
      </c>
      <c r="B307">
        <v>7</v>
      </c>
      <c r="C307">
        <v>7</v>
      </c>
      <c r="D307">
        <v>2</v>
      </c>
      <c r="E307">
        <v>1876</v>
      </c>
      <c r="F307">
        <v>4600</v>
      </c>
      <c r="G307">
        <v>4736</v>
      </c>
      <c r="H307">
        <v>2484</v>
      </c>
      <c r="I307">
        <v>1557</v>
      </c>
      <c r="J307">
        <v>307</v>
      </c>
      <c r="K307">
        <v>147</v>
      </c>
      <c r="L307">
        <v>267</v>
      </c>
      <c r="M307">
        <v>265</v>
      </c>
      <c r="N307">
        <v>1203</v>
      </c>
      <c r="O307">
        <v>1556</v>
      </c>
      <c r="P307">
        <v>610.7506707</v>
      </c>
      <c r="Q307">
        <v>88</v>
      </c>
      <c r="R307">
        <v>0.29784142800000002</v>
      </c>
      <c r="S307">
        <v>1346</v>
      </c>
      <c r="T307">
        <v>173</v>
      </c>
      <c r="U307">
        <v>706</v>
      </c>
      <c r="V307">
        <v>970</v>
      </c>
      <c r="W307">
        <v>1536</v>
      </c>
      <c r="X307">
        <v>1252</v>
      </c>
      <c r="Y307">
        <v>18</v>
      </c>
      <c r="Z307">
        <v>209</v>
      </c>
      <c r="AA307">
        <v>972</v>
      </c>
      <c r="AB307">
        <v>13</v>
      </c>
      <c r="AC307">
        <v>50</v>
      </c>
      <c r="AD307">
        <v>84</v>
      </c>
      <c r="AE307">
        <v>0</v>
      </c>
      <c r="AF307">
        <v>0</v>
      </c>
      <c r="AG307">
        <v>4</v>
      </c>
      <c r="AH307">
        <v>5</v>
      </c>
      <c r="AI307">
        <v>0</v>
      </c>
      <c r="AJ307">
        <v>0</v>
      </c>
      <c r="AK307">
        <v>1.0513600000000001</v>
      </c>
      <c r="AL307">
        <v>1</v>
      </c>
      <c r="AM307">
        <v>0</v>
      </c>
      <c r="AN307">
        <v>1876</v>
      </c>
      <c r="AO307">
        <v>136</v>
      </c>
      <c r="AP307">
        <v>0</v>
      </c>
      <c r="AQ307">
        <v>0</v>
      </c>
    </row>
    <row r="308" spans="1:43" x14ac:dyDescent="0.25">
      <c r="A308">
        <v>305</v>
      </c>
      <c r="B308">
        <v>7</v>
      </c>
      <c r="C308">
        <v>7</v>
      </c>
      <c r="D308">
        <v>2</v>
      </c>
      <c r="E308">
        <v>710</v>
      </c>
      <c r="F308">
        <v>1906</v>
      </c>
      <c r="G308">
        <v>1909</v>
      </c>
      <c r="H308">
        <v>964</v>
      </c>
      <c r="I308">
        <v>536</v>
      </c>
      <c r="J308">
        <v>125</v>
      </c>
      <c r="K308">
        <v>76</v>
      </c>
      <c r="L308">
        <v>56</v>
      </c>
      <c r="M308">
        <v>82</v>
      </c>
      <c r="N308">
        <v>497</v>
      </c>
      <c r="O308">
        <v>293</v>
      </c>
      <c r="P308">
        <v>184</v>
      </c>
      <c r="Q308">
        <v>38</v>
      </c>
      <c r="R308">
        <v>0.20889348499999999</v>
      </c>
      <c r="S308">
        <v>185</v>
      </c>
      <c r="T308">
        <v>105</v>
      </c>
      <c r="U308">
        <v>380</v>
      </c>
      <c r="V308">
        <v>421</v>
      </c>
      <c r="W308">
        <v>586</v>
      </c>
      <c r="X308">
        <v>346</v>
      </c>
      <c r="Y308">
        <v>3</v>
      </c>
      <c r="Z308">
        <v>46</v>
      </c>
      <c r="AA308">
        <v>112</v>
      </c>
      <c r="AB308">
        <v>1</v>
      </c>
      <c r="AC308">
        <v>7</v>
      </c>
      <c r="AD308">
        <v>16</v>
      </c>
      <c r="AE308">
        <v>0</v>
      </c>
      <c r="AF308">
        <v>0</v>
      </c>
      <c r="AG308">
        <v>4</v>
      </c>
      <c r="AH308">
        <v>0</v>
      </c>
      <c r="AI308">
        <v>0</v>
      </c>
      <c r="AJ308">
        <v>0</v>
      </c>
      <c r="AK308">
        <v>1.0732999999999999</v>
      </c>
      <c r="AL308">
        <v>1</v>
      </c>
      <c r="AM308">
        <v>0</v>
      </c>
      <c r="AN308">
        <v>710</v>
      </c>
      <c r="AO308">
        <v>3</v>
      </c>
      <c r="AP308">
        <v>0</v>
      </c>
      <c r="AQ308">
        <v>0</v>
      </c>
    </row>
    <row r="309" spans="1:43" x14ac:dyDescent="0.25">
      <c r="A309">
        <v>306</v>
      </c>
      <c r="B309">
        <v>7</v>
      </c>
      <c r="C309">
        <v>7</v>
      </c>
      <c r="D309">
        <v>2</v>
      </c>
      <c r="E309">
        <v>1376</v>
      </c>
      <c r="F309">
        <v>3741</v>
      </c>
      <c r="G309">
        <v>3753</v>
      </c>
      <c r="H309">
        <v>1924</v>
      </c>
      <c r="I309">
        <v>1048</v>
      </c>
      <c r="J309">
        <v>284</v>
      </c>
      <c r="K309">
        <v>173</v>
      </c>
      <c r="L309">
        <v>160</v>
      </c>
      <c r="M309">
        <v>279</v>
      </c>
      <c r="N309">
        <v>765</v>
      </c>
      <c r="O309">
        <v>639</v>
      </c>
      <c r="P309">
        <v>386.97060729999998</v>
      </c>
      <c r="Q309">
        <v>41</v>
      </c>
      <c r="R309">
        <v>0.189860583</v>
      </c>
      <c r="S309">
        <v>219</v>
      </c>
      <c r="T309">
        <v>99</v>
      </c>
      <c r="U309">
        <v>886</v>
      </c>
      <c r="V309">
        <v>1014</v>
      </c>
      <c r="W309">
        <v>1155</v>
      </c>
      <c r="X309">
        <v>604</v>
      </c>
      <c r="Y309">
        <v>1</v>
      </c>
      <c r="Z309">
        <v>89</v>
      </c>
      <c r="AA309">
        <v>97</v>
      </c>
      <c r="AB309">
        <v>0</v>
      </c>
      <c r="AC309">
        <v>10</v>
      </c>
      <c r="AD309">
        <v>22</v>
      </c>
      <c r="AE309">
        <v>0</v>
      </c>
      <c r="AF309">
        <v>0</v>
      </c>
      <c r="AG309">
        <v>4</v>
      </c>
      <c r="AH309">
        <v>0</v>
      </c>
      <c r="AI309">
        <v>0</v>
      </c>
      <c r="AJ309">
        <v>0</v>
      </c>
      <c r="AK309">
        <v>1.0557000000000001</v>
      </c>
      <c r="AL309">
        <v>1</v>
      </c>
      <c r="AM309">
        <v>0</v>
      </c>
      <c r="AN309">
        <v>1376</v>
      </c>
      <c r="AO309">
        <v>12</v>
      </c>
      <c r="AP309">
        <v>0</v>
      </c>
      <c r="AQ309">
        <v>0</v>
      </c>
    </row>
    <row r="310" spans="1:43" x14ac:dyDescent="0.25">
      <c r="A310">
        <v>307</v>
      </c>
      <c r="B310">
        <v>7</v>
      </c>
      <c r="C310">
        <v>7</v>
      </c>
      <c r="D310">
        <v>2</v>
      </c>
      <c r="E310">
        <v>1741</v>
      </c>
      <c r="F310">
        <v>5084</v>
      </c>
      <c r="G310">
        <v>5089</v>
      </c>
      <c r="H310">
        <v>2488</v>
      </c>
      <c r="I310">
        <v>1525</v>
      </c>
      <c r="J310">
        <v>142</v>
      </c>
      <c r="K310">
        <v>166</v>
      </c>
      <c r="L310">
        <v>244</v>
      </c>
      <c r="M310">
        <v>245</v>
      </c>
      <c r="N310">
        <v>1086</v>
      </c>
      <c r="O310">
        <v>479</v>
      </c>
      <c r="P310">
        <v>327.92630120000001</v>
      </c>
      <c r="Q310">
        <v>47.061042899999997</v>
      </c>
      <c r="R310">
        <v>0.194570136</v>
      </c>
      <c r="S310">
        <v>654</v>
      </c>
      <c r="T310">
        <v>265</v>
      </c>
      <c r="U310">
        <v>1028</v>
      </c>
      <c r="V310">
        <v>1179</v>
      </c>
      <c r="W310">
        <v>1652</v>
      </c>
      <c r="X310">
        <v>754</v>
      </c>
      <c r="Y310">
        <v>12</v>
      </c>
      <c r="Z310">
        <v>185</v>
      </c>
      <c r="AA310">
        <v>343</v>
      </c>
      <c r="AB310">
        <v>1</v>
      </c>
      <c r="AC310">
        <v>72</v>
      </c>
      <c r="AD310">
        <v>41</v>
      </c>
      <c r="AE310">
        <v>0</v>
      </c>
      <c r="AF310">
        <v>0</v>
      </c>
      <c r="AG310">
        <v>4</v>
      </c>
      <c r="AH310">
        <v>0</v>
      </c>
      <c r="AI310">
        <v>0</v>
      </c>
      <c r="AJ310">
        <v>0</v>
      </c>
      <c r="AK310">
        <v>1.15703</v>
      </c>
      <c r="AL310">
        <v>1</v>
      </c>
      <c r="AM310">
        <v>0</v>
      </c>
      <c r="AN310">
        <v>1741</v>
      </c>
      <c r="AO310">
        <v>5</v>
      </c>
      <c r="AP310">
        <v>0</v>
      </c>
      <c r="AQ310">
        <v>0</v>
      </c>
    </row>
    <row r="311" spans="1:43" x14ac:dyDescent="0.25">
      <c r="A311">
        <v>308</v>
      </c>
      <c r="B311">
        <v>7</v>
      </c>
      <c r="C311">
        <v>7</v>
      </c>
      <c r="D311">
        <v>2</v>
      </c>
      <c r="E311">
        <v>1553</v>
      </c>
      <c r="F311">
        <v>4627</v>
      </c>
      <c r="G311">
        <v>4641</v>
      </c>
      <c r="H311">
        <v>2409</v>
      </c>
      <c r="I311">
        <v>1298</v>
      </c>
      <c r="J311">
        <v>274</v>
      </c>
      <c r="K311">
        <v>157</v>
      </c>
      <c r="L311">
        <v>191</v>
      </c>
      <c r="M311">
        <v>310</v>
      </c>
      <c r="N311">
        <v>892</v>
      </c>
      <c r="O311">
        <v>290</v>
      </c>
      <c r="P311">
        <v>210.777469</v>
      </c>
      <c r="Q311">
        <v>14</v>
      </c>
      <c r="R311">
        <v>0.14367311099999999</v>
      </c>
      <c r="S311">
        <v>496</v>
      </c>
      <c r="T311">
        <v>234</v>
      </c>
      <c r="U311">
        <v>1041</v>
      </c>
      <c r="V311">
        <v>1287</v>
      </c>
      <c r="W311">
        <v>1271</v>
      </c>
      <c r="X311">
        <v>531</v>
      </c>
      <c r="Y311">
        <v>6</v>
      </c>
      <c r="Z311">
        <v>90</v>
      </c>
      <c r="AA311">
        <v>207</v>
      </c>
      <c r="AB311">
        <v>8</v>
      </c>
      <c r="AC311">
        <v>96</v>
      </c>
      <c r="AD311">
        <v>89</v>
      </c>
      <c r="AE311">
        <v>0</v>
      </c>
      <c r="AF311">
        <v>0</v>
      </c>
      <c r="AG311">
        <v>4</v>
      </c>
      <c r="AH311">
        <v>0</v>
      </c>
      <c r="AI311">
        <v>0</v>
      </c>
      <c r="AJ311">
        <v>0</v>
      </c>
      <c r="AK311">
        <v>1.4453199999999999</v>
      </c>
      <c r="AL311">
        <v>1</v>
      </c>
      <c r="AM311">
        <v>0</v>
      </c>
      <c r="AN311">
        <v>1553</v>
      </c>
      <c r="AO311">
        <v>14</v>
      </c>
      <c r="AP311">
        <v>0</v>
      </c>
      <c r="AQ311">
        <v>0</v>
      </c>
    </row>
    <row r="312" spans="1:43" x14ac:dyDescent="0.25">
      <c r="A312">
        <v>309</v>
      </c>
      <c r="B312">
        <v>7</v>
      </c>
      <c r="C312">
        <v>7</v>
      </c>
      <c r="D312">
        <v>2</v>
      </c>
      <c r="E312">
        <v>3568</v>
      </c>
      <c r="F312">
        <v>8567</v>
      </c>
      <c r="G312">
        <v>8633</v>
      </c>
      <c r="H312">
        <v>4927</v>
      </c>
      <c r="I312">
        <v>1585</v>
      </c>
      <c r="J312">
        <v>1935</v>
      </c>
      <c r="K312">
        <v>478</v>
      </c>
      <c r="L312">
        <v>614</v>
      </c>
      <c r="M312">
        <v>844</v>
      </c>
      <c r="N312">
        <v>1622</v>
      </c>
      <c r="O312">
        <v>499</v>
      </c>
      <c r="P312">
        <v>296.60685489999997</v>
      </c>
      <c r="Q312">
        <v>65.819238400000003</v>
      </c>
      <c r="R312">
        <v>0.19110397800000001</v>
      </c>
      <c r="S312">
        <v>4575</v>
      </c>
      <c r="T312">
        <v>523</v>
      </c>
      <c r="U312">
        <v>1268</v>
      </c>
      <c r="V312">
        <v>3143</v>
      </c>
      <c r="W312">
        <v>2071</v>
      </c>
      <c r="X312">
        <v>1333</v>
      </c>
      <c r="Y312">
        <v>475</v>
      </c>
      <c r="Z312">
        <v>1506</v>
      </c>
      <c r="AA312">
        <v>2084</v>
      </c>
      <c r="AB312">
        <v>8</v>
      </c>
      <c r="AC312">
        <v>206</v>
      </c>
      <c r="AD312">
        <v>296</v>
      </c>
      <c r="AE312">
        <v>0</v>
      </c>
      <c r="AF312">
        <v>0</v>
      </c>
      <c r="AG312">
        <v>4</v>
      </c>
      <c r="AH312">
        <v>0</v>
      </c>
      <c r="AI312">
        <v>0</v>
      </c>
      <c r="AJ312">
        <v>0</v>
      </c>
      <c r="AK312">
        <v>2.1338400000000002</v>
      </c>
      <c r="AL312">
        <v>1</v>
      </c>
      <c r="AM312">
        <v>0</v>
      </c>
      <c r="AN312">
        <v>3568</v>
      </c>
      <c r="AO312">
        <v>66</v>
      </c>
      <c r="AP312">
        <v>0</v>
      </c>
      <c r="AQ312">
        <v>0</v>
      </c>
    </row>
    <row r="313" spans="1:43" x14ac:dyDescent="0.25">
      <c r="A313">
        <v>310</v>
      </c>
      <c r="B313">
        <v>7</v>
      </c>
      <c r="C313">
        <v>7</v>
      </c>
      <c r="D313">
        <v>2</v>
      </c>
      <c r="E313">
        <v>624</v>
      </c>
      <c r="F313">
        <v>1631</v>
      </c>
      <c r="G313">
        <v>1663</v>
      </c>
      <c r="H313">
        <v>945</v>
      </c>
      <c r="I313">
        <v>589</v>
      </c>
      <c r="J313">
        <v>39</v>
      </c>
      <c r="K313">
        <v>97</v>
      </c>
      <c r="L313">
        <v>105</v>
      </c>
      <c r="M313">
        <v>72</v>
      </c>
      <c r="N313">
        <v>352</v>
      </c>
      <c r="O313">
        <v>873</v>
      </c>
      <c r="P313">
        <v>102</v>
      </c>
      <c r="Q313">
        <v>542.73361269999998</v>
      </c>
      <c r="R313">
        <v>0.15408039000000001</v>
      </c>
      <c r="S313">
        <v>11055</v>
      </c>
      <c r="T313">
        <v>105</v>
      </c>
      <c r="U313">
        <v>241</v>
      </c>
      <c r="V313">
        <v>587</v>
      </c>
      <c r="W313">
        <v>471</v>
      </c>
      <c r="X313">
        <v>178</v>
      </c>
      <c r="Y313">
        <v>1159</v>
      </c>
      <c r="Z313">
        <v>3720</v>
      </c>
      <c r="AA313">
        <v>1947</v>
      </c>
      <c r="AB313">
        <v>116</v>
      </c>
      <c r="AC313">
        <v>1956</v>
      </c>
      <c r="AD313">
        <v>2157</v>
      </c>
      <c r="AE313">
        <v>0</v>
      </c>
      <c r="AF313">
        <v>0</v>
      </c>
      <c r="AG313">
        <v>3</v>
      </c>
      <c r="AH313">
        <v>175</v>
      </c>
      <c r="AI313">
        <v>0</v>
      </c>
      <c r="AJ313">
        <v>0</v>
      </c>
      <c r="AK313">
        <v>1.9296500000000001</v>
      </c>
      <c r="AL313">
        <v>3</v>
      </c>
      <c r="AM313">
        <v>0</v>
      </c>
      <c r="AN313">
        <v>624</v>
      </c>
      <c r="AO313">
        <v>32</v>
      </c>
      <c r="AP313">
        <v>0</v>
      </c>
      <c r="AQ313">
        <v>0</v>
      </c>
    </row>
    <row r="314" spans="1:43" x14ac:dyDescent="0.25">
      <c r="A314">
        <v>311</v>
      </c>
      <c r="B314">
        <v>7</v>
      </c>
      <c r="C314">
        <v>7</v>
      </c>
      <c r="D314">
        <v>2</v>
      </c>
      <c r="E314">
        <v>1654</v>
      </c>
      <c r="F314">
        <v>4108</v>
      </c>
      <c r="G314">
        <v>4133</v>
      </c>
      <c r="H314">
        <v>2061</v>
      </c>
      <c r="I314">
        <v>1081</v>
      </c>
      <c r="J314">
        <v>561</v>
      </c>
      <c r="K314">
        <v>218</v>
      </c>
      <c r="L314">
        <v>214</v>
      </c>
      <c r="M314">
        <v>366</v>
      </c>
      <c r="N314">
        <v>854</v>
      </c>
      <c r="O314">
        <v>916</v>
      </c>
      <c r="P314">
        <v>233</v>
      </c>
      <c r="Q314">
        <v>351</v>
      </c>
      <c r="R314">
        <v>0.16979316999999999</v>
      </c>
      <c r="S314">
        <v>14073</v>
      </c>
      <c r="T314">
        <v>285</v>
      </c>
      <c r="U314">
        <v>765</v>
      </c>
      <c r="V314">
        <v>1114</v>
      </c>
      <c r="W314">
        <v>1308</v>
      </c>
      <c r="X314">
        <v>535</v>
      </c>
      <c r="Y314">
        <v>146</v>
      </c>
      <c r="Z314">
        <v>4687</v>
      </c>
      <c r="AA314">
        <v>2458</v>
      </c>
      <c r="AB314">
        <v>8</v>
      </c>
      <c r="AC314">
        <v>2248</v>
      </c>
      <c r="AD314">
        <v>4526</v>
      </c>
      <c r="AE314">
        <v>0</v>
      </c>
      <c r="AF314">
        <v>0</v>
      </c>
      <c r="AG314">
        <v>4</v>
      </c>
      <c r="AH314">
        <v>589</v>
      </c>
      <c r="AI314">
        <v>0</v>
      </c>
      <c r="AJ314">
        <v>0</v>
      </c>
      <c r="AK314">
        <v>2.7658900000000002</v>
      </c>
      <c r="AL314">
        <v>3</v>
      </c>
      <c r="AM314">
        <v>0</v>
      </c>
      <c r="AN314">
        <v>1654</v>
      </c>
      <c r="AO314">
        <v>25</v>
      </c>
      <c r="AP314">
        <v>0</v>
      </c>
      <c r="AQ314">
        <v>0</v>
      </c>
    </row>
    <row r="315" spans="1:43" x14ac:dyDescent="0.25">
      <c r="A315">
        <v>312</v>
      </c>
      <c r="B315">
        <v>7</v>
      </c>
      <c r="C315">
        <v>7</v>
      </c>
      <c r="D315">
        <v>2</v>
      </c>
      <c r="E315">
        <v>3014</v>
      </c>
      <c r="F315">
        <v>7625</v>
      </c>
      <c r="G315">
        <v>7629</v>
      </c>
      <c r="H315">
        <v>3724</v>
      </c>
      <c r="I315">
        <v>1998</v>
      </c>
      <c r="J315">
        <v>898</v>
      </c>
      <c r="K315">
        <v>495</v>
      </c>
      <c r="L315">
        <v>267</v>
      </c>
      <c r="M315">
        <v>545</v>
      </c>
      <c r="N315">
        <v>1710</v>
      </c>
      <c r="O315">
        <v>1282</v>
      </c>
      <c r="P315">
        <v>363</v>
      </c>
      <c r="Q315">
        <v>80</v>
      </c>
      <c r="R315">
        <v>0.15666218000000001</v>
      </c>
      <c r="S315">
        <v>729</v>
      </c>
      <c r="T315">
        <v>401</v>
      </c>
      <c r="U315">
        <v>1277</v>
      </c>
      <c r="V315">
        <v>2292</v>
      </c>
      <c r="W315">
        <v>2276</v>
      </c>
      <c r="X315">
        <v>856</v>
      </c>
      <c r="Y315">
        <v>7</v>
      </c>
      <c r="Z315">
        <v>181</v>
      </c>
      <c r="AA315">
        <v>184</v>
      </c>
      <c r="AB315">
        <v>1</v>
      </c>
      <c r="AC315">
        <v>167</v>
      </c>
      <c r="AD315">
        <v>189</v>
      </c>
      <c r="AE315">
        <v>0</v>
      </c>
      <c r="AF315">
        <v>0</v>
      </c>
      <c r="AG315">
        <v>4</v>
      </c>
      <c r="AH315">
        <v>0</v>
      </c>
      <c r="AI315">
        <v>0</v>
      </c>
      <c r="AJ315">
        <v>0</v>
      </c>
      <c r="AK315">
        <v>1.4391799999999999</v>
      </c>
      <c r="AL315">
        <v>3</v>
      </c>
      <c r="AM315">
        <v>0</v>
      </c>
      <c r="AN315">
        <v>3014</v>
      </c>
      <c r="AO315">
        <v>4</v>
      </c>
      <c r="AP315">
        <v>0</v>
      </c>
      <c r="AQ315">
        <v>0</v>
      </c>
    </row>
    <row r="316" spans="1:43" x14ac:dyDescent="0.25">
      <c r="A316">
        <v>313</v>
      </c>
      <c r="B316">
        <v>7</v>
      </c>
      <c r="C316">
        <v>7</v>
      </c>
      <c r="D316">
        <v>2</v>
      </c>
      <c r="E316">
        <v>1520</v>
      </c>
      <c r="F316">
        <v>4035</v>
      </c>
      <c r="G316">
        <v>4252</v>
      </c>
      <c r="H316">
        <v>2335</v>
      </c>
      <c r="I316">
        <v>884</v>
      </c>
      <c r="J316">
        <v>702</v>
      </c>
      <c r="K316">
        <v>299</v>
      </c>
      <c r="L316">
        <v>339</v>
      </c>
      <c r="M316">
        <v>275</v>
      </c>
      <c r="N316">
        <v>606</v>
      </c>
      <c r="O316">
        <v>7842</v>
      </c>
      <c r="P316">
        <v>173.19701839999999</v>
      </c>
      <c r="Q316">
        <v>1254</v>
      </c>
      <c r="R316">
        <v>0.13733515199999999</v>
      </c>
      <c r="S316">
        <v>7750</v>
      </c>
      <c r="T316">
        <v>170</v>
      </c>
      <c r="U316">
        <v>741</v>
      </c>
      <c r="V316">
        <v>1872</v>
      </c>
      <c r="W316">
        <v>968</v>
      </c>
      <c r="X316">
        <v>471</v>
      </c>
      <c r="Y316">
        <v>464</v>
      </c>
      <c r="Z316">
        <v>2436</v>
      </c>
      <c r="AA316">
        <v>1869</v>
      </c>
      <c r="AB316">
        <v>20</v>
      </c>
      <c r="AC316">
        <v>762</v>
      </c>
      <c r="AD316">
        <v>2199</v>
      </c>
      <c r="AE316">
        <v>0</v>
      </c>
      <c r="AF316">
        <v>0</v>
      </c>
      <c r="AG316">
        <v>4</v>
      </c>
      <c r="AH316">
        <v>0</v>
      </c>
      <c r="AI316">
        <v>0</v>
      </c>
      <c r="AJ316">
        <v>0</v>
      </c>
      <c r="AK316">
        <v>1.1353800000000001</v>
      </c>
      <c r="AL316">
        <v>3</v>
      </c>
      <c r="AM316">
        <v>0</v>
      </c>
      <c r="AN316">
        <v>1520</v>
      </c>
      <c r="AO316">
        <v>217</v>
      </c>
      <c r="AP316">
        <v>0</v>
      </c>
      <c r="AQ316">
        <v>0</v>
      </c>
    </row>
    <row r="317" spans="1:43" x14ac:dyDescent="0.25">
      <c r="A317">
        <v>314</v>
      </c>
      <c r="B317">
        <v>7</v>
      </c>
      <c r="C317">
        <v>7</v>
      </c>
      <c r="D317">
        <v>2</v>
      </c>
      <c r="E317">
        <v>1966</v>
      </c>
      <c r="F317">
        <v>5482</v>
      </c>
      <c r="G317">
        <v>5594</v>
      </c>
      <c r="H317">
        <v>3111</v>
      </c>
      <c r="I317">
        <v>596</v>
      </c>
      <c r="J317">
        <v>1335</v>
      </c>
      <c r="K317">
        <v>645</v>
      </c>
      <c r="L317">
        <v>678</v>
      </c>
      <c r="M317">
        <v>359</v>
      </c>
      <c r="N317">
        <v>283</v>
      </c>
      <c r="O317">
        <v>357</v>
      </c>
      <c r="P317">
        <v>84.942207210000007</v>
      </c>
      <c r="Q317">
        <v>183.9994964</v>
      </c>
      <c r="R317">
        <v>0.15827338099999999</v>
      </c>
      <c r="S317">
        <v>5964</v>
      </c>
      <c r="T317">
        <v>215</v>
      </c>
      <c r="U317">
        <v>1111</v>
      </c>
      <c r="V317">
        <v>2206</v>
      </c>
      <c r="W317">
        <v>1446</v>
      </c>
      <c r="X317">
        <v>746</v>
      </c>
      <c r="Y317">
        <v>255</v>
      </c>
      <c r="Z317">
        <v>940</v>
      </c>
      <c r="AA317">
        <v>3135</v>
      </c>
      <c r="AB317">
        <v>3</v>
      </c>
      <c r="AC317">
        <v>983</v>
      </c>
      <c r="AD317">
        <v>648</v>
      </c>
      <c r="AE317">
        <v>0</v>
      </c>
      <c r="AF317">
        <v>0</v>
      </c>
      <c r="AG317">
        <v>2</v>
      </c>
      <c r="AH317">
        <v>1029</v>
      </c>
      <c r="AI317">
        <v>0</v>
      </c>
      <c r="AJ317">
        <v>0</v>
      </c>
      <c r="AK317">
        <v>2.1428500000000001</v>
      </c>
      <c r="AL317">
        <v>3</v>
      </c>
      <c r="AM317">
        <v>0</v>
      </c>
      <c r="AN317">
        <v>1966</v>
      </c>
      <c r="AO317">
        <v>112</v>
      </c>
      <c r="AP317">
        <v>0</v>
      </c>
      <c r="AQ317">
        <v>0</v>
      </c>
    </row>
    <row r="318" spans="1:43" x14ac:dyDescent="0.25">
      <c r="A318">
        <v>315</v>
      </c>
      <c r="B318">
        <v>7</v>
      </c>
      <c r="C318">
        <v>7</v>
      </c>
      <c r="D318">
        <v>2</v>
      </c>
      <c r="E318">
        <v>2244</v>
      </c>
      <c r="F318">
        <v>4256</v>
      </c>
      <c r="G318">
        <v>4567</v>
      </c>
      <c r="H318">
        <v>3132</v>
      </c>
      <c r="I318">
        <v>86</v>
      </c>
      <c r="J318">
        <v>2200</v>
      </c>
      <c r="K318">
        <v>384</v>
      </c>
      <c r="L318">
        <v>389</v>
      </c>
      <c r="M318">
        <v>463</v>
      </c>
      <c r="N318">
        <v>1007</v>
      </c>
      <c r="O318">
        <v>425</v>
      </c>
      <c r="P318">
        <v>66.049050769999994</v>
      </c>
      <c r="Q318">
        <v>218</v>
      </c>
      <c r="R318">
        <v>9.0365174000000006E-2</v>
      </c>
      <c r="S318">
        <v>15958</v>
      </c>
      <c r="T318">
        <v>153</v>
      </c>
      <c r="U318">
        <v>238</v>
      </c>
      <c r="V318">
        <v>3368</v>
      </c>
      <c r="W318">
        <v>524</v>
      </c>
      <c r="X318">
        <v>368</v>
      </c>
      <c r="Y318">
        <v>926</v>
      </c>
      <c r="Z318">
        <v>3434</v>
      </c>
      <c r="AA318">
        <v>4829</v>
      </c>
      <c r="AB318">
        <v>11</v>
      </c>
      <c r="AC318">
        <v>465</v>
      </c>
      <c r="AD318">
        <v>6293</v>
      </c>
      <c r="AE318">
        <v>0</v>
      </c>
      <c r="AF318">
        <v>0</v>
      </c>
      <c r="AG318">
        <v>2</v>
      </c>
      <c r="AH318">
        <v>0</v>
      </c>
      <c r="AI318">
        <v>0</v>
      </c>
      <c r="AJ318">
        <v>0</v>
      </c>
      <c r="AK318">
        <v>3.40761</v>
      </c>
      <c r="AL318">
        <v>3</v>
      </c>
      <c r="AM318">
        <v>0</v>
      </c>
      <c r="AN318">
        <v>2244</v>
      </c>
      <c r="AO318">
        <v>311</v>
      </c>
      <c r="AP318">
        <v>0</v>
      </c>
      <c r="AQ318">
        <v>0</v>
      </c>
    </row>
    <row r="319" spans="1:43" x14ac:dyDescent="0.25">
      <c r="A319">
        <v>316</v>
      </c>
      <c r="B319">
        <v>7</v>
      </c>
      <c r="C319">
        <v>7</v>
      </c>
      <c r="D319">
        <v>2</v>
      </c>
      <c r="E319">
        <v>996</v>
      </c>
      <c r="F319">
        <v>2694</v>
      </c>
      <c r="G319">
        <v>2723</v>
      </c>
      <c r="H319">
        <v>1575</v>
      </c>
      <c r="I319">
        <v>447</v>
      </c>
      <c r="J319">
        <v>509</v>
      </c>
      <c r="K319">
        <v>228</v>
      </c>
      <c r="L319">
        <v>209</v>
      </c>
      <c r="M319">
        <v>242</v>
      </c>
      <c r="N319">
        <v>315</v>
      </c>
      <c r="O319">
        <v>115</v>
      </c>
      <c r="P319">
        <v>56</v>
      </c>
      <c r="Q319">
        <v>15.16092553</v>
      </c>
      <c r="R319">
        <v>9.7669255999999996E-2</v>
      </c>
      <c r="S319">
        <v>348</v>
      </c>
      <c r="T319">
        <v>119</v>
      </c>
      <c r="U319">
        <v>421</v>
      </c>
      <c r="V319">
        <v>1073</v>
      </c>
      <c r="W319">
        <v>779</v>
      </c>
      <c r="X319">
        <v>199</v>
      </c>
      <c r="Y319">
        <v>27</v>
      </c>
      <c r="Z319">
        <v>118</v>
      </c>
      <c r="AA319">
        <v>117</v>
      </c>
      <c r="AB319">
        <v>1</v>
      </c>
      <c r="AC319">
        <v>13</v>
      </c>
      <c r="AD319">
        <v>72</v>
      </c>
      <c r="AE319">
        <v>0</v>
      </c>
      <c r="AF319">
        <v>0</v>
      </c>
      <c r="AG319">
        <v>3</v>
      </c>
      <c r="AH319">
        <v>25</v>
      </c>
      <c r="AI319">
        <v>0</v>
      </c>
      <c r="AJ319">
        <v>0</v>
      </c>
      <c r="AK319">
        <v>2.0220099999999999</v>
      </c>
      <c r="AL319">
        <v>3</v>
      </c>
      <c r="AM319">
        <v>0</v>
      </c>
      <c r="AN319">
        <v>996</v>
      </c>
      <c r="AO319">
        <v>29</v>
      </c>
      <c r="AP319">
        <v>0</v>
      </c>
      <c r="AQ319">
        <v>0</v>
      </c>
    </row>
    <row r="320" spans="1:43" x14ac:dyDescent="0.25">
      <c r="A320">
        <v>317</v>
      </c>
      <c r="B320">
        <v>7</v>
      </c>
      <c r="C320">
        <v>7</v>
      </c>
      <c r="D320">
        <v>2</v>
      </c>
      <c r="E320">
        <v>2279</v>
      </c>
      <c r="F320">
        <v>5253</v>
      </c>
      <c r="G320">
        <v>5297</v>
      </c>
      <c r="H320">
        <v>3088</v>
      </c>
      <c r="I320">
        <v>1170</v>
      </c>
      <c r="J320">
        <v>1077</v>
      </c>
      <c r="K320">
        <v>270</v>
      </c>
      <c r="L320">
        <v>445</v>
      </c>
      <c r="M320">
        <v>623</v>
      </c>
      <c r="N320">
        <v>934</v>
      </c>
      <c r="O320">
        <v>344</v>
      </c>
      <c r="P320">
        <v>250.41854810000001</v>
      </c>
      <c r="Q320">
        <v>48</v>
      </c>
      <c r="R320">
        <v>0.16045321600000001</v>
      </c>
      <c r="S320">
        <v>1872</v>
      </c>
      <c r="T320">
        <v>104</v>
      </c>
      <c r="U320">
        <v>1142</v>
      </c>
      <c r="V320">
        <v>1886</v>
      </c>
      <c r="W320">
        <v>1395</v>
      </c>
      <c r="X320">
        <v>699</v>
      </c>
      <c r="Y320">
        <v>162</v>
      </c>
      <c r="Z320">
        <v>285</v>
      </c>
      <c r="AA320">
        <v>1133</v>
      </c>
      <c r="AB320">
        <v>4</v>
      </c>
      <c r="AC320">
        <v>157</v>
      </c>
      <c r="AD320">
        <v>131</v>
      </c>
      <c r="AE320">
        <v>0</v>
      </c>
      <c r="AF320">
        <v>0</v>
      </c>
      <c r="AG320">
        <v>4</v>
      </c>
      <c r="AH320">
        <v>1854</v>
      </c>
      <c r="AI320">
        <v>1011</v>
      </c>
      <c r="AJ320">
        <v>24</v>
      </c>
      <c r="AK320">
        <v>1.4647300000000001</v>
      </c>
      <c r="AL320">
        <v>3</v>
      </c>
      <c r="AM320">
        <v>0</v>
      </c>
      <c r="AN320">
        <v>2279</v>
      </c>
      <c r="AO320">
        <v>44</v>
      </c>
      <c r="AP320">
        <v>0</v>
      </c>
      <c r="AQ320">
        <v>0</v>
      </c>
    </row>
    <row r="321" spans="1:43" x14ac:dyDescent="0.25">
      <c r="A321">
        <v>318</v>
      </c>
      <c r="B321">
        <v>7</v>
      </c>
      <c r="C321">
        <v>7</v>
      </c>
      <c r="D321">
        <v>2</v>
      </c>
      <c r="E321">
        <v>979</v>
      </c>
      <c r="F321">
        <v>2823</v>
      </c>
      <c r="G321">
        <v>2825</v>
      </c>
      <c r="H321">
        <v>1393</v>
      </c>
      <c r="I321">
        <v>887</v>
      </c>
      <c r="J321">
        <v>94</v>
      </c>
      <c r="K321">
        <v>118</v>
      </c>
      <c r="L321">
        <v>134</v>
      </c>
      <c r="M321">
        <v>110</v>
      </c>
      <c r="N321">
        <v>619</v>
      </c>
      <c r="O321">
        <v>184</v>
      </c>
      <c r="P321">
        <v>126</v>
      </c>
      <c r="Q321">
        <v>10.28180834</v>
      </c>
      <c r="R321">
        <v>0.19399860399999999</v>
      </c>
      <c r="S321">
        <v>561</v>
      </c>
      <c r="T321">
        <v>153</v>
      </c>
      <c r="U321">
        <v>664</v>
      </c>
      <c r="V321">
        <v>764</v>
      </c>
      <c r="W321">
        <v>729</v>
      </c>
      <c r="X321">
        <v>438</v>
      </c>
      <c r="Y321">
        <v>15</v>
      </c>
      <c r="Z321">
        <v>138</v>
      </c>
      <c r="AA321">
        <v>282</v>
      </c>
      <c r="AB321">
        <v>1</v>
      </c>
      <c r="AC321">
        <v>14</v>
      </c>
      <c r="AD321">
        <v>111</v>
      </c>
      <c r="AE321">
        <v>0</v>
      </c>
      <c r="AF321">
        <v>0</v>
      </c>
      <c r="AG321">
        <v>4</v>
      </c>
      <c r="AH321">
        <v>0</v>
      </c>
      <c r="AI321">
        <v>0</v>
      </c>
      <c r="AJ321">
        <v>0</v>
      </c>
      <c r="AK321">
        <v>1.4347700000000001</v>
      </c>
      <c r="AL321">
        <v>2</v>
      </c>
      <c r="AM321">
        <v>0</v>
      </c>
      <c r="AN321">
        <v>979</v>
      </c>
      <c r="AO321">
        <v>2</v>
      </c>
      <c r="AP321">
        <v>0</v>
      </c>
      <c r="AQ321">
        <v>0</v>
      </c>
    </row>
    <row r="322" spans="1:43" x14ac:dyDescent="0.25">
      <c r="A322">
        <v>319</v>
      </c>
      <c r="B322">
        <v>7</v>
      </c>
      <c r="C322">
        <v>7</v>
      </c>
      <c r="D322">
        <v>2</v>
      </c>
      <c r="E322">
        <v>1200</v>
      </c>
      <c r="F322">
        <v>3120</v>
      </c>
      <c r="G322">
        <v>3135</v>
      </c>
      <c r="H322">
        <v>1567</v>
      </c>
      <c r="I322">
        <v>1160</v>
      </c>
      <c r="J322">
        <v>10</v>
      </c>
      <c r="K322">
        <v>181</v>
      </c>
      <c r="L322">
        <v>110</v>
      </c>
      <c r="M322">
        <v>226</v>
      </c>
      <c r="N322">
        <v>681</v>
      </c>
      <c r="O322">
        <v>301</v>
      </c>
      <c r="P322">
        <v>217.16434630000001</v>
      </c>
      <c r="Q322">
        <v>9</v>
      </c>
      <c r="R322">
        <v>0.21656626500000001</v>
      </c>
      <c r="S322">
        <v>370</v>
      </c>
      <c r="T322">
        <v>141</v>
      </c>
      <c r="U322">
        <v>617</v>
      </c>
      <c r="V322">
        <v>714</v>
      </c>
      <c r="W322">
        <v>1116</v>
      </c>
      <c r="X322">
        <v>591</v>
      </c>
      <c r="Y322">
        <v>14</v>
      </c>
      <c r="Z322">
        <v>96</v>
      </c>
      <c r="AA322">
        <v>174</v>
      </c>
      <c r="AB322">
        <v>1</v>
      </c>
      <c r="AC322">
        <v>13</v>
      </c>
      <c r="AD322">
        <v>72</v>
      </c>
      <c r="AE322">
        <v>0</v>
      </c>
      <c r="AF322">
        <v>0</v>
      </c>
      <c r="AG322">
        <v>4</v>
      </c>
      <c r="AH322">
        <v>0</v>
      </c>
      <c r="AI322">
        <v>0</v>
      </c>
      <c r="AJ322">
        <v>0</v>
      </c>
      <c r="AK322">
        <v>1.19411</v>
      </c>
      <c r="AL322">
        <v>2</v>
      </c>
      <c r="AM322">
        <v>0</v>
      </c>
      <c r="AN322">
        <v>1200</v>
      </c>
      <c r="AO322">
        <v>15</v>
      </c>
      <c r="AP322">
        <v>0</v>
      </c>
      <c r="AQ322">
        <v>0</v>
      </c>
    </row>
    <row r="323" spans="1:43" x14ac:dyDescent="0.25">
      <c r="A323">
        <v>320</v>
      </c>
      <c r="B323">
        <v>7</v>
      </c>
      <c r="C323">
        <v>7</v>
      </c>
      <c r="D323">
        <v>2</v>
      </c>
      <c r="E323">
        <v>2153</v>
      </c>
      <c r="F323">
        <v>5983</v>
      </c>
      <c r="G323">
        <v>6051</v>
      </c>
      <c r="H323">
        <v>3214</v>
      </c>
      <c r="I323">
        <v>1476</v>
      </c>
      <c r="J323">
        <v>614</v>
      </c>
      <c r="K323">
        <v>319</v>
      </c>
      <c r="L323">
        <v>524</v>
      </c>
      <c r="M323">
        <v>383</v>
      </c>
      <c r="N323">
        <v>929</v>
      </c>
      <c r="O323">
        <v>321</v>
      </c>
      <c r="P323">
        <v>219.46594039999999</v>
      </c>
      <c r="Q323">
        <v>18</v>
      </c>
      <c r="R323">
        <v>0.16053563200000001</v>
      </c>
      <c r="S323">
        <v>706</v>
      </c>
      <c r="T323">
        <v>467</v>
      </c>
      <c r="U323">
        <v>1047</v>
      </c>
      <c r="V323">
        <v>2408</v>
      </c>
      <c r="W323">
        <v>1426</v>
      </c>
      <c r="X323">
        <v>881</v>
      </c>
      <c r="Y323">
        <v>11</v>
      </c>
      <c r="Z323">
        <v>169</v>
      </c>
      <c r="AA323">
        <v>400</v>
      </c>
      <c r="AB323">
        <v>2</v>
      </c>
      <c r="AC323">
        <v>26</v>
      </c>
      <c r="AD323">
        <v>98</v>
      </c>
      <c r="AE323">
        <v>0</v>
      </c>
      <c r="AF323">
        <v>0</v>
      </c>
      <c r="AG323">
        <v>4</v>
      </c>
      <c r="AH323">
        <v>0</v>
      </c>
      <c r="AI323">
        <v>0</v>
      </c>
      <c r="AJ323">
        <v>0</v>
      </c>
      <c r="AK323">
        <v>1.4560200000000001</v>
      </c>
      <c r="AL323">
        <v>3</v>
      </c>
      <c r="AM323">
        <v>0</v>
      </c>
      <c r="AN323">
        <v>2153</v>
      </c>
      <c r="AO323">
        <v>68</v>
      </c>
      <c r="AP323">
        <v>0</v>
      </c>
      <c r="AQ323">
        <v>0</v>
      </c>
    </row>
    <row r="324" spans="1:43" x14ac:dyDescent="0.25">
      <c r="A324">
        <v>321</v>
      </c>
      <c r="B324">
        <v>7</v>
      </c>
      <c r="C324">
        <v>7</v>
      </c>
      <c r="D324">
        <v>2</v>
      </c>
      <c r="E324">
        <v>1025</v>
      </c>
      <c r="F324">
        <v>2724</v>
      </c>
      <c r="G324">
        <v>2748</v>
      </c>
      <c r="H324">
        <v>1352</v>
      </c>
      <c r="I324">
        <v>985</v>
      </c>
      <c r="J324">
        <v>24</v>
      </c>
      <c r="K324">
        <v>164</v>
      </c>
      <c r="L324">
        <v>91</v>
      </c>
      <c r="M324">
        <v>203</v>
      </c>
      <c r="N324">
        <v>567</v>
      </c>
      <c r="O324">
        <v>272</v>
      </c>
      <c r="P324">
        <v>168.1866326</v>
      </c>
      <c r="Q324">
        <v>28</v>
      </c>
      <c r="R324">
        <v>0.240318907</v>
      </c>
      <c r="S324">
        <v>758</v>
      </c>
      <c r="T324">
        <v>196</v>
      </c>
      <c r="U324">
        <v>351</v>
      </c>
      <c r="V324">
        <v>637</v>
      </c>
      <c r="W324">
        <v>799</v>
      </c>
      <c r="X324">
        <v>544</v>
      </c>
      <c r="Y324">
        <v>117</v>
      </c>
      <c r="Z324">
        <v>214</v>
      </c>
      <c r="AA324">
        <v>335</v>
      </c>
      <c r="AB324">
        <v>1</v>
      </c>
      <c r="AC324">
        <v>33</v>
      </c>
      <c r="AD324">
        <v>58</v>
      </c>
      <c r="AE324">
        <v>0</v>
      </c>
      <c r="AF324">
        <v>0</v>
      </c>
      <c r="AG324">
        <v>4</v>
      </c>
      <c r="AH324">
        <v>0</v>
      </c>
      <c r="AI324">
        <v>0</v>
      </c>
      <c r="AJ324">
        <v>0</v>
      </c>
      <c r="AK324">
        <v>1.2926200000000001</v>
      </c>
      <c r="AL324">
        <v>2</v>
      </c>
      <c r="AM324">
        <v>0</v>
      </c>
      <c r="AN324">
        <v>1025</v>
      </c>
      <c r="AO324">
        <v>24</v>
      </c>
      <c r="AP324">
        <v>0</v>
      </c>
      <c r="AQ324">
        <v>0</v>
      </c>
    </row>
    <row r="325" spans="1:43" x14ac:dyDescent="0.25">
      <c r="A325">
        <v>322</v>
      </c>
      <c r="B325">
        <v>7</v>
      </c>
      <c r="C325">
        <v>7</v>
      </c>
      <c r="D325">
        <v>2</v>
      </c>
      <c r="E325">
        <v>1788</v>
      </c>
      <c r="F325">
        <v>4492</v>
      </c>
      <c r="G325">
        <v>4494</v>
      </c>
      <c r="H325">
        <v>2290</v>
      </c>
      <c r="I325">
        <v>1479</v>
      </c>
      <c r="J325">
        <v>314</v>
      </c>
      <c r="K325">
        <v>244</v>
      </c>
      <c r="L325">
        <v>288</v>
      </c>
      <c r="M325">
        <v>265</v>
      </c>
      <c r="N325">
        <v>990</v>
      </c>
      <c r="O325">
        <v>411</v>
      </c>
      <c r="P325">
        <v>262.86995999999999</v>
      </c>
      <c r="Q325">
        <v>51.122291920000002</v>
      </c>
      <c r="R325">
        <v>0.23154497800000001</v>
      </c>
      <c r="S325">
        <v>844</v>
      </c>
      <c r="T325">
        <v>271</v>
      </c>
      <c r="U325">
        <v>687</v>
      </c>
      <c r="V325">
        <v>1560</v>
      </c>
      <c r="W325">
        <v>1373</v>
      </c>
      <c r="X325">
        <v>884</v>
      </c>
      <c r="Y325">
        <v>53</v>
      </c>
      <c r="Z325">
        <v>344</v>
      </c>
      <c r="AA325">
        <v>343</v>
      </c>
      <c r="AB325">
        <v>8</v>
      </c>
      <c r="AC325">
        <v>44</v>
      </c>
      <c r="AD325">
        <v>52</v>
      </c>
      <c r="AE325">
        <v>0</v>
      </c>
      <c r="AF325">
        <v>0</v>
      </c>
      <c r="AG325">
        <v>4</v>
      </c>
      <c r="AH325">
        <v>1660</v>
      </c>
      <c r="AI325">
        <v>0</v>
      </c>
      <c r="AJ325">
        <v>0</v>
      </c>
      <c r="AK325">
        <v>1.2806900000000001</v>
      </c>
      <c r="AL325">
        <v>3</v>
      </c>
      <c r="AM325">
        <v>0</v>
      </c>
      <c r="AN325">
        <v>1788</v>
      </c>
      <c r="AO325">
        <v>2</v>
      </c>
      <c r="AP325">
        <v>0</v>
      </c>
      <c r="AQ325">
        <v>0</v>
      </c>
    </row>
    <row r="326" spans="1:43" x14ac:dyDescent="0.25">
      <c r="A326">
        <v>323</v>
      </c>
      <c r="B326">
        <v>7</v>
      </c>
      <c r="C326">
        <v>7</v>
      </c>
      <c r="D326">
        <v>2</v>
      </c>
      <c r="E326">
        <v>1940</v>
      </c>
      <c r="F326">
        <v>5385</v>
      </c>
      <c r="G326">
        <v>5820</v>
      </c>
      <c r="H326">
        <v>2654</v>
      </c>
      <c r="I326">
        <v>1237</v>
      </c>
      <c r="J326">
        <v>924</v>
      </c>
      <c r="K326">
        <v>462</v>
      </c>
      <c r="L326">
        <v>528</v>
      </c>
      <c r="M326">
        <v>373</v>
      </c>
      <c r="N326">
        <v>581</v>
      </c>
      <c r="O326">
        <v>256</v>
      </c>
      <c r="P326">
        <v>152.9776339</v>
      </c>
      <c r="Q326">
        <v>38</v>
      </c>
      <c r="R326">
        <v>0.17729908899999999</v>
      </c>
      <c r="S326">
        <v>1553</v>
      </c>
      <c r="T326">
        <v>321</v>
      </c>
      <c r="U326">
        <v>1031</v>
      </c>
      <c r="V326">
        <v>2491</v>
      </c>
      <c r="W326">
        <v>1194</v>
      </c>
      <c r="X326">
        <v>731</v>
      </c>
      <c r="Y326">
        <v>423</v>
      </c>
      <c r="Z326">
        <v>255</v>
      </c>
      <c r="AA326">
        <v>439</v>
      </c>
      <c r="AB326">
        <v>3</v>
      </c>
      <c r="AC326">
        <v>340</v>
      </c>
      <c r="AD326">
        <v>93</v>
      </c>
      <c r="AE326">
        <v>0</v>
      </c>
      <c r="AF326">
        <v>0</v>
      </c>
      <c r="AG326">
        <v>3</v>
      </c>
      <c r="AH326">
        <v>0</v>
      </c>
      <c r="AI326">
        <v>0</v>
      </c>
      <c r="AJ326">
        <v>0</v>
      </c>
      <c r="AK326">
        <v>1.65432</v>
      </c>
      <c r="AL326">
        <v>3</v>
      </c>
      <c r="AM326">
        <v>0</v>
      </c>
      <c r="AN326">
        <v>1940</v>
      </c>
      <c r="AO326">
        <v>435</v>
      </c>
      <c r="AP326">
        <v>0</v>
      </c>
      <c r="AQ326">
        <v>0</v>
      </c>
    </row>
    <row r="327" spans="1:43" x14ac:dyDescent="0.25">
      <c r="A327">
        <v>324</v>
      </c>
      <c r="B327">
        <v>7</v>
      </c>
      <c r="C327">
        <v>7</v>
      </c>
      <c r="D327">
        <v>2</v>
      </c>
      <c r="E327">
        <v>1331</v>
      </c>
      <c r="F327">
        <v>3705</v>
      </c>
      <c r="G327">
        <v>3714</v>
      </c>
      <c r="H327">
        <v>2178</v>
      </c>
      <c r="I327">
        <v>321</v>
      </c>
      <c r="J327">
        <v>1064</v>
      </c>
      <c r="K327">
        <v>365</v>
      </c>
      <c r="L327">
        <v>446</v>
      </c>
      <c r="M327">
        <v>295</v>
      </c>
      <c r="N327">
        <v>225</v>
      </c>
      <c r="O327">
        <v>124</v>
      </c>
      <c r="P327">
        <v>89</v>
      </c>
      <c r="Q327">
        <v>7.9870574090000002</v>
      </c>
      <c r="R327">
        <v>8.7610161000000006E-2</v>
      </c>
      <c r="S327">
        <v>749</v>
      </c>
      <c r="T327">
        <v>342</v>
      </c>
      <c r="U327">
        <v>678</v>
      </c>
      <c r="V327">
        <v>1759</v>
      </c>
      <c r="W327">
        <v>679</v>
      </c>
      <c r="X327">
        <v>228</v>
      </c>
      <c r="Y327">
        <v>174</v>
      </c>
      <c r="Z327">
        <v>123</v>
      </c>
      <c r="AA327">
        <v>398</v>
      </c>
      <c r="AB327">
        <v>1</v>
      </c>
      <c r="AC327">
        <v>15</v>
      </c>
      <c r="AD327">
        <v>38</v>
      </c>
      <c r="AE327">
        <v>0</v>
      </c>
      <c r="AF327">
        <v>0</v>
      </c>
      <c r="AG327">
        <v>3</v>
      </c>
      <c r="AH327">
        <v>0</v>
      </c>
      <c r="AI327">
        <v>0</v>
      </c>
      <c r="AJ327">
        <v>0</v>
      </c>
      <c r="AK327">
        <v>2.08446</v>
      </c>
      <c r="AL327">
        <v>3</v>
      </c>
      <c r="AM327">
        <v>0</v>
      </c>
      <c r="AN327">
        <v>1331</v>
      </c>
      <c r="AO327">
        <v>9</v>
      </c>
      <c r="AP327">
        <v>0</v>
      </c>
      <c r="AQ327">
        <v>0</v>
      </c>
    </row>
    <row r="328" spans="1:43" x14ac:dyDescent="0.25">
      <c r="A328">
        <v>325</v>
      </c>
      <c r="B328">
        <v>7</v>
      </c>
      <c r="C328">
        <v>7</v>
      </c>
      <c r="D328">
        <v>2</v>
      </c>
      <c r="E328">
        <v>2275</v>
      </c>
      <c r="F328">
        <v>5517</v>
      </c>
      <c r="G328">
        <v>5549</v>
      </c>
      <c r="H328">
        <v>3487</v>
      </c>
      <c r="I328">
        <v>1176</v>
      </c>
      <c r="J328">
        <v>1119</v>
      </c>
      <c r="K328">
        <v>507</v>
      </c>
      <c r="L328">
        <v>637</v>
      </c>
      <c r="M328">
        <v>501</v>
      </c>
      <c r="N328">
        <v>630</v>
      </c>
      <c r="O328">
        <v>261</v>
      </c>
      <c r="P328">
        <v>167</v>
      </c>
      <c r="Q328">
        <v>17.104856890000001</v>
      </c>
      <c r="R328">
        <v>0.16024411499999999</v>
      </c>
      <c r="S328">
        <v>540</v>
      </c>
      <c r="T328">
        <v>111</v>
      </c>
      <c r="U328">
        <v>1015</v>
      </c>
      <c r="V328">
        <v>2378</v>
      </c>
      <c r="W328">
        <v>1301</v>
      </c>
      <c r="X328">
        <v>688</v>
      </c>
      <c r="Y328">
        <v>234</v>
      </c>
      <c r="Z328">
        <v>99</v>
      </c>
      <c r="AA328">
        <v>126</v>
      </c>
      <c r="AB328">
        <v>1</v>
      </c>
      <c r="AC328">
        <v>10</v>
      </c>
      <c r="AD328">
        <v>70</v>
      </c>
      <c r="AE328">
        <v>0</v>
      </c>
      <c r="AF328">
        <v>0</v>
      </c>
      <c r="AG328">
        <v>4</v>
      </c>
      <c r="AH328">
        <v>0</v>
      </c>
      <c r="AI328">
        <v>0</v>
      </c>
      <c r="AJ328">
        <v>0</v>
      </c>
      <c r="AK328">
        <v>1.60694</v>
      </c>
      <c r="AL328">
        <v>3</v>
      </c>
      <c r="AM328">
        <v>0</v>
      </c>
      <c r="AN328">
        <v>2275</v>
      </c>
      <c r="AO328">
        <v>32</v>
      </c>
      <c r="AP328">
        <v>0</v>
      </c>
      <c r="AQ328">
        <v>0</v>
      </c>
    </row>
    <row r="329" spans="1:43" x14ac:dyDescent="0.25">
      <c r="A329">
        <v>326</v>
      </c>
      <c r="B329">
        <v>7</v>
      </c>
      <c r="C329">
        <v>7</v>
      </c>
      <c r="D329">
        <v>2</v>
      </c>
      <c r="E329">
        <v>834</v>
      </c>
      <c r="F329">
        <v>2476</v>
      </c>
      <c r="G329">
        <v>2536</v>
      </c>
      <c r="H329">
        <v>1336</v>
      </c>
      <c r="I329">
        <v>159</v>
      </c>
      <c r="J329">
        <v>643</v>
      </c>
      <c r="K329">
        <v>257</v>
      </c>
      <c r="L329">
        <v>343</v>
      </c>
      <c r="M329">
        <v>138</v>
      </c>
      <c r="N329">
        <v>97</v>
      </c>
      <c r="O329">
        <v>144</v>
      </c>
      <c r="P329">
        <v>47.296067610000001</v>
      </c>
      <c r="Q329">
        <v>36.78339442</v>
      </c>
      <c r="R329">
        <v>6.6788991000000006E-2</v>
      </c>
      <c r="S329">
        <v>1376</v>
      </c>
      <c r="T329">
        <v>186</v>
      </c>
      <c r="U329">
        <v>512</v>
      </c>
      <c r="V329">
        <v>1278</v>
      </c>
      <c r="W329">
        <v>469</v>
      </c>
      <c r="X329">
        <v>157</v>
      </c>
      <c r="Y329">
        <v>489</v>
      </c>
      <c r="Z329">
        <v>205</v>
      </c>
      <c r="AA329">
        <v>360</v>
      </c>
      <c r="AB329">
        <v>1</v>
      </c>
      <c r="AC329">
        <v>109</v>
      </c>
      <c r="AD329">
        <v>212</v>
      </c>
      <c r="AE329">
        <v>0</v>
      </c>
      <c r="AF329">
        <v>0</v>
      </c>
      <c r="AG329">
        <v>2</v>
      </c>
      <c r="AH329">
        <v>0</v>
      </c>
      <c r="AI329">
        <v>0</v>
      </c>
      <c r="AJ329">
        <v>0</v>
      </c>
      <c r="AK329">
        <v>2.1354000000000002</v>
      </c>
      <c r="AL329">
        <v>3</v>
      </c>
      <c r="AM329">
        <v>0</v>
      </c>
      <c r="AN329">
        <v>834</v>
      </c>
      <c r="AO329">
        <v>60</v>
      </c>
      <c r="AP329">
        <v>0</v>
      </c>
      <c r="AQ329">
        <v>0</v>
      </c>
    </row>
    <row r="330" spans="1:43" x14ac:dyDescent="0.25">
      <c r="A330">
        <v>327</v>
      </c>
      <c r="B330">
        <v>7</v>
      </c>
      <c r="C330">
        <v>7</v>
      </c>
      <c r="D330">
        <v>2</v>
      </c>
      <c r="E330">
        <v>1484</v>
      </c>
      <c r="F330">
        <v>4766</v>
      </c>
      <c r="G330">
        <v>4974</v>
      </c>
      <c r="H330">
        <v>2357</v>
      </c>
      <c r="I330">
        <v>629</v>
      </c>
      <c r="J330">
        <v>856</v>
      </c>
      <c r="K330">
        <v>431</v>
      </c>
      <c r="L330">
        <v>351</v>
      </c>
      <c r="M330">
        <v>384</v>
      </c>
      <c r="N330">
        <v>311</v>
      </c>
      <c r="O330">
        <v>177</v>
      </c>
      <c r="P330">
        <v>84.136658710000006</v>
      </c>
      <c r="Q330">
        <v>38.451061869999997</v>
      </c>
      <c r="R330">
        <v>7.7476859999999995E-2</v>
      </c>
      <c r="S330">
        <v>888</v>
      </c>
      <c r="T330">
        <v>656</v>
      </c>
      <c r="U330">
        <v>1015</v>
      </c>
      <c r="V330">
        <v>2370</v>
      </c>
      <c r="W330">
        <v>1201</v>
      </c>
      <c r="X330">
        <v>330</v>
      </c>
      <c r="Y330">
        <v>160</v>
      </c>
      <c r="Z330">
        <v>161</v>
      </c>
      <c r="AA330">
        <v>426</v>
      </c>
      <c r="AB330">
        <v>1</v>
      </c>
      <c r="AC330">
        <v>102</v>
      </c>
      <c r="AD330">
        <v>38</v>
      </c>
      <c r="AE330">
        <v>0</v>
      </c>
      <c r="AF330">
        <v>0</v>
      </c>
      <c r="AG330">
        <v>4</v>
      </c>
      <c r="AH330">
        <v>0</v>
      </c>
      <c r="AI330">
        <v>0</v>
      </c>
      <c r="AJ330">
        <v>0</v>
      </c>
      <c r="AK330">
        <v>2.1108899999999999</v>
      </c>
      <c r="AL330">
        <v>3</v>
      </c>
      <c r="AM330">
        <v>0</v>
      </c>
      <c r="AN330">
        <v>1484</v>
      </c>
      <c r="AO330">
        <v>208</v>
      </c>
      <c r="AP330">
        <v>0</v>
      </c>
      <c r="AQ330">
        <v>0</v>
      </c>
    </row>
    <row r="331" spans="1:43" x14ac:dyDescent="0.25">
      <c r="A331">
        <v>328</v>
      </c>
      <c r="B331">
        <v>7</v>
      </c>
      <c r="C331">
        <v>7</v>
      </c>
      <c r="D331">
        <v>2</v>
      </c>
      <c r="E331">
        <v>1037</v>
      </c>
      <c r="F331">
        <v>2785</v>
      </c>
      <c r="G331">
        <v>2785</v>
      </c>
      <c r="H331">
        <v>1492</v>
      </c>
      <c r="I331">
        <v>975</v>
      </c>
      <c r="J331">
        <v>72</v>
      </c>
      <c r="K331">
        <v>181</v>
      </c>
      <c r="L331">
        <v>140</v>
      </c>
      <c r="M331">
        <v>229</v>
      </c>
      <c r="N331">
        <v>487</v>
      </c>
      <c r="O331">
        <v>254</v>
      </c>
      <c r="P331">
        <v>160.01560749999999</v>
      </c>
      <c r="Q331">
        <v>21.585093499999999</v>
      </c>
      <c r="R331">
        <v>0.20959087900000001</v>
      </c>
      <c r="S331">
        <v>692</v>
      </c>
      <c r="T331">
        <v>203</v>
      </c>
      <c r="U331">
        <v>435</v>
      </c>
      <c r="V331">
        <v>1021</v>
      </c>
      <c r="W331">
        <v>752</v>
      </c>
      <c r="X331">
        <v>457</v>
      </c>
      <c r="Y331">
        <v>35</v>
      </c>
      <c r="Z331">
        <v>301</v>
      </c>
      <c r="AA331">
        <v>225</v>
      </c>
      <c r="AB331">
        <v>2</v>
      </c>
      <c r="AC331">
        <v>53</v>
      </c>
      <c r="AD331">
        <v>76</v>
      </c>
      <c r="AE331">
        <v>0</v>
      </c>
      <c r="AF331">
        <v>0</v>
      </c>
      <c r="AG331">
        <v>4</v>
      </c>
      <c r="AH331">
        <v>2</v>
      </c>
      <c r="AI331">
        <v>0</v>
      </c>
      <c r="AJ331">
        <v>0</v>
      </c>
      <c r="AK331">
        <v>1.4885299999999999</v>
      </c>
      <c r="AL331">
        <v>3</v>
      </c>
      <c r="AM331">
        <v>0</v>
      </c>
      <c r="AN331">
        <v>1037</v>
      </c>
      <c r="AO331">
        <v>0</v>
      </c>
      <c r="AP331">
        <v>0</v>
      </c>
      <c r="AQ331">
        <v>0</v>
      </c>
    </row>
    <row r="332" spans="1:43" x14ac:dyDescent="0.25">
      <c r="A332">
        <v>329</v>
      </c>
      <c r="B332">
        <v>7</v>
      </c>
      <c r="C332">
        <v>7</v>
      </c>
      <c r="D332">
        <v>2</v>
      </c>
      <c r="E332">
        <v>1297</v>
      </c>
      <c r="F332">
        <v>3879</v>
      </c>
      <c r="G332">
        <v>3992</v>
      </c>
      <c r="H332">
        <v>2099</v>
      </c>
      <c r="I332">
        <v>1006</v>
      </c>
      <c r="J332">
        <v>294</v>
      </c>
      <c r="K332">
        <v>333</v>
      </c>
      <c r="L332">
        <v>378</v>
      </c>
      <c r="M332">
        <v>351</v>
      </c>
      <c r="N332">
        <v>234</v>
      </c>
      <c r="O332">
        <v>281</v>
      </c>
      <c r="P332">
        <v>125</v>
      </c>
      <c r="Q332">
        <v>91.897609959999997</v>
      </c>
      <c r="R332">
        <v>0.19082940000000001</v>
      </c>
      <c r="S332">
        <v>2685</v>
      </c>
      <c r="T332">
        <v>209</v>
      </c>
      <c r="U332">
        <v>803</v>
      </c>
      <c r="V332">
        <v>1531</v>
      </c>
      <c r="W332">
        <v>1124</v>
      </c>
      <c r="X332">
        <v>613</v>
      </c>
      <c r="Y332">
        <v>141</v>
      </c>
      <c r="Z332">
        <v>832</v>
      </c>
      <c r="AA332">
        <v>713</v>
      </c>
      <c r="AB332">
        <v>1</v>
      </c>
      <c r="AC332">
        <v>404</v>
      </c>
      <c r="AD332">
        <v>594</v>
      </c>
      <c r="AE332">
        <v>0</v>
      </c>
      <c r="AF332">
        <v>0</v>
      </c>
      <c r="AG332">
        <v>3</v>
      </c>
      <c r="AH332">
        <v>0</v>
      </c>
      <c r="AI332">
        <v>0</v>
      </c>
      <c r="AJ332">
        <v>0</v>
      </c>
      <c r="AK332">
        <v>1.93313</v>
      </c>
      <c r="AL332">
        <v>3</v>
      </c>
      <c r="AM332">
        <v>0</v>
      </c>
      <c r="AN332">
        <v>1297</v>
      </c>
      <c r="AO332">
        <v>113</v>
      </c>
      <c r="AP332">
        <v>0</v>
      </c>
      <c r="AQ332">
        <v>0</v>
      </c>
    </row>
    <row r="333" spans="1:43" x14ac:dyDescent="0.25">
      <c r="A333">
        <v>330</v>
      </c>
      <c r="B333">
        <v>7</v>
      </c>
      <c r="C333">
        <v>7</v>
      </c>
      <c r="D333">
        <v>2</v>
      </c>
      <c r="E333">
        <v>1442</v>
      </c>
      <c r="F333">
        <v>4835</v>
      </c>
      <c r="G333">
        <v>4876</v>
      </c>
      <c r="H333">
        <v>2613</v>
      </c>
      <c r="I333">
        <v>1204</v>
      </c>
      <c r="J333">
        <v>226</v>
      </c>
      <c r="K333">
        <v>446</v>
      </c>
      <c r="L333">
        <v>361</v>
      </c>
      <c r="M333">
        <v>324</v>
      </c>
      <c r="N333">
        <v>310</v>
      </c>
      <c r="O333">
        <v>230</v>
      </c>
      <c r="P333">
        <v>154.39597910000001</v>
      </c>
      <c r="Q333">
        <v>16</v>
      </c>
      <c r="R333">
        <v>0.13111679500000001</v>
      </c>
      <c r="S333">
        <v>668</v>
      </c>
      <c r="T333">
        <v>393</v>
      </c>
      <c r="U333">
        <v>1538</v>
      </c>
      <c r="V333">
        <v>1852</v>
      </c>
      <c r="W333">
        <v>1245</v>
      </c>
      <c r="X333">
        <v>585</v>
      </c>
      <c r="Y333">
        <v>40</v>
      </c>
      <c r="Z333">
        <v>170</v>
      </c>
      <c r="AA333">
        <v>245</v>
      </c>
      <c r="AB333">
        <v>2</v>
      </c>
      <c r="AC333">
        <v>36</v>
      </c>
      <c r="AD333">
        <v>175</v>
      </c>
      <c r="AE333">
        <v>0</v>
      </c>
      <c r="AF333">
        <v>0</v>
      </c>
      <c r="AG333">
        <v>3</v>
      </c>
      <c r="AH333">
        <v>0</v>
      </c>
      <c r="AI333">
        <v>0</v>
      </c>
      <c r="AJ333">
        <v>0</v>
      </c>
      <c r="AK333">
        <v>1.6593100000000001</v>
      </c>
      <c r="AL333">
        <v>3</v>
      </c>
      <c r="AM333">
        <v>0</v>
      </c>
      <c r="AN333">
        <v>1442</v>
      </c>
      <c r="AO333">
        <v>41</v>
      </c>
      <c r="AP333">
        <v>0</v>
      </c>
      <c r="AQ333">
        <v>0</v>
      </c>
    </row>
    <row r="334" spans="1:43" x14ac:dyDescent="0.25">
      <c r="A334">
        <v>331</v>
      </c>
      <c r="B334">
        <v>7</v>
      </c>
      <c r="C334">
        <v>7</v>
      </c>
      <c r="D334">
        <v>2</v>
      </c>
      <c r="E334">
        <v>1632</v>
      </c>
      <c r="F334">
        <v>4708</v>
      </c>
      <c r="G334">
        <v>4728</v>
      </c>
      <c r="H334">
        <v>2845</v>
      </c>
      <c r="I334">
        <v>1001</v>
      </c>
      <c r="J334">
        <v>876</v>
      </c>
      <c r="K334">
        <v>346</v>
      </c>
      <c r="L334">
        <v>383</v>
      </c>
      <c r="M334">
        <v>350</v>
      </c>
      <c r="N334">
        <v>559</v>
      </c>
      <c r="O334">
        <v>3016</v>
      </c>
      <c r="P334">
        <v>177.1421028</v>
      </c>
      <c r="Q334">
        <v>652.80511690000003</v>
      </c>
      <c r="R334">
        <v>9.4577995999999998E-2</v>
      </c>
      <c r="S334">
        <v>36714</v>
      </c>
      <c r="T334">
        <v>368</v>
      </c>
      <c r="U334">
        <v>895</v>
      </c>
      <c r="V334">
        <v>2680</v>
      </c>
      <c r="W334">
        <v>1069</v>
      </c>
      <c r="X334">
        <v>451</v>
      </c>
      <c r="Y334">
        <v>128</v>
      </c>
      <c r="Z334">
        <v>2791</v>
      </c>
      <c r="AA334">
        <v>856</v>
      </c>
      <c r="AB334">
        <v>21</v>
      </c>
      <c r="AC334">
        <v>2345</v>
      </c>
      <c r="AD334">
        <v>30573</v>
      </c>
      <c r="AE334">
        <v>0</v>
      </c>
      <c r="AF334">
        <v>0</v>
      </c>
      <c r="AG334">
        <v>3</v>
      </c>
      <c r="AH334">
        <v>212</v>
      </c>
      <c r="AI334">
        <v>0</v>
      </c>
      <c r="AJ334">
        <v>0</v>
      </c>
      <c r="AK334">
        <v>1.3538300000000001</v>
      </c>
      <c r="AL334">
        <v>3</v>
      </c>
      <c r="AM334">
        <v>0</v>
      </c>
      <c r="AN334">
        <v>1632</v>
      </c>
      <c r="AO334">
        <v>20</v>
      </c>
      <c r="AP334">
        <v>0</v>
      </c>
      <c r="AQ334">
        <v>0</v>
      </c>
    </row>
    <row r="335" spans="1:43" x14ac:dyDescent="0.25">
      <c r="A335">
        <v>332</v>
      </c>
      <c r="B335">
        <v>7</v>
      </c>
      <c r="C335">
        <v>7</v>
      </c>
      <c r="D335">
        <v>2</v>
      </c>
      <c r="E335">
        <v>1016</v>
      </c>
      <c r="F335">
        <v>3939</v>
      </c>
      <c r="G335">
        <v>3980</v>
      </c>
      <c r="H335">
        <v>1939</v>
      </c>
      <c r="I335">
        <v>921</v>
      </c>
      <c r="J335">
        <v>57</v>
      </c>
      <c r="K335">
        <v>179</v>
      </c>
      <c r="L335">
        <v>279</v>
      </c>
      <c r="M335">
        <v>306</v>
      </c>
      <c r="N335">
        <v>251</v>
      </c>
      <c r="O335">
        <v>1336</v>
      </c>
      <c r="P335">
        <v>163.95424790000001</v>
      </c>
      <c r="Q335">
        <v>268.04886920000001</v>
      </c>
      <c r="R335">
        <v>0.13295304999999999</v>
      </c>
      <c r="S335">
        <v>5698</v>
      </c>
      <c r="T335">
        <v>131</v>
      </c>
      <c r="U335">
        <v>928</v>
      </c>
      <c r="V335">
        <v>1744</v>
      </c>
      <c r="W335">
        <v>1178</v>
      </c>
      <c r="X335">
        <v>381</v>
      </c>
      <c r="Y335">
        <v>22</v>
      </c>
      <c r="Z335">
        <v>2687</v>
      </c>
      <c r="AA335">
        <v>1694</v>
      </c>
      <c r="AB335">
        <v>39</v>
      </c>
      <c r="AC335">
        <v>535</v>
      </c>
      <c r="AD335">
        <v>721</v>
      </c>
      <c r="AE335">
        <v>0</v>
      </c>
      <c r="AF335">
        <v>0</v>
      </c>
      <c r="AG335">
        <v>4</v>
      </c>
      <c r="AH335">
        <v>138</v>
      </c>
      <c r="AI335">
        <v>0</v>
      </c>
      <c r="AJ335">
        <v>0</v>
      </c>
      <c r="AK335">
        <v>1.4530700000000001</v>
      </c>
      <c r="AL335">
        <v>3</v>
      </c>
      <c r="AM335">
        <v>0</v>
      </c>
      <c r="AN335">
        <v>1016</v>
      </c>
      <c r="AO335">
        <v>41</v>
      </c>
      <c r="AP335">
        <v>0</v>
      </c>
      <c r="AQ335">
        <v>0</v>
      </c>
    </row>
    <row r="336" spans="1:43" x14ac:dyDescent="0.25">
      <c r="A336">
        <v>333</v>
      </c>
      <c r="B336">
        <v>7</v>
      </c>
      <c r="C336">
        <v>7</v>
      </c>
      <c r="D336">
        <v>2</v>
      </c>
      <c r="E336">
        <v>2951</v>
      </c>
      <c r="F336">
        <v>9944</v>
      </c>
      <c r="G336">
        <v>10064</v>
      </c>
      <c r="H336">
        <v>6002</v>
      </c>
      <c r="I336">
        <v>2473</v>
      </c>
      <c r="J336">
        <v>350</v>
      </c>
      <c r="K336">
        <v>413</v>
      </c>
      <c r="L336">
        <v>689</v>
      </c>
      <c r="M336">
        <v>662</v>
      </c>
      <c r="N336">
        <v>1195</v>
      </c>
      <c r="O336">
        <v>800</v>
      </c>
      <c r="P336">
        <v>437.55457469999999</v>
      </c>
      <c r="Q336">
        <v>106.28607940000001</v>
      </c>
      <c r="R336">
        <v>0.16072646700000001</v>
      </c>
      <c r="S336">
        <v>1374</v>
      </c>
      <c r="T336">
        <v>687</v>
      </c>
      <c r="U336">
        <v>2367</v>
      </c>
      <c r="V336">
        <v>4315</v>
      </c>
      <c r="W336">
        <v>2710</v>
      </c>
      <c r="X336">
        <v>1125</v>
      </c>
      <c r="Y336">
        <v>482</v>
      </c>
      <c r="Z336">
        <v>110</v>
      </c>
      <c r="AA336">
        <v>701</v>
      </c>
      <c r="AB336">
        <v>1</v>
      </c>
      <c r="AC336">
        <v>15</v>
      </c>
      <c r="AD336">
        <v>65</v>
      </c>
      <c r="AE336">
        <v>0</v>
      </c>
      <c r="AF336">
        <v>0</v>
      </c>
      <c r="AG336">
        <v>4</v>
      </c>
      <c r="AH336">
        <v>841</v>
      </c>
      <c r="AI336">
        <v>0</v>
      </c>
      <c r="AJ336">
        <v>0</v>
      </c>
      <c r="AK336">
        <v>1.35839</v>
      </c>
      <c r="AL336">
        <v>3</v>
      </c>
      <c r="AM336">
        <v>0</v>
      </c>
      <c r="AN336">
        <v>2951</v>
      </c>
      <c r="AO336">
        <v>120</v>
      </c>
      <c r="AP336">
        <v>0</v>
      </c>
      <c r="AQ336">
        <v>0</v>
      </c>
    </row>
    <row r="337" spans="1:43" x14ac:dyDescent="0.25">
      <c r="A337">
        <v>334</v>
      </c>
      <c r="B337">
        <v>7</v>
      </c>
      <c r="C337">
        <v>7</v>
      </c>
      <c r="D337">
        <v>2</v>
      </c>
      <c r="E337">
        <v>1681</v>
      </c>
      <c r="F337">
        <v>5701</v>
      </c>
      <c r="G337">
        <v>5741</v>
      </c>
      <c r="H337">
        <v>3086</v>
      </c>
      <c r="I337">
        <v>1403</v>
      </c>
      <c r="J337">
        <v>328</v>
      </c>
      <c r="K337">
        <v>385</v>
      </c>
      <c r="L337">
        <v>601</v>
      </c>
      <c r="M337">
        <v>339</v>
      </c>
      <c r="N337">
        <v>358</v>
      </c>
      <c r="O337">
        <v>317</v>
      </c>
      <c r="P337">
        <v>169</v>
      </c>
      <c r="Q337">
        <v>24.898454470000001</v>
      </c>
      <c r="R337">
        <v>0.15148031000000001</v>
      </c>
      <c r="S337">
        <v>839</v>
      </c>
      <c r="T337">
        <v>124</v>
      </c>
      <c r="U337">
        <v>1354</v>
      </c>
      <c r="V337">
        <v>2477</v>
      </c>
      <c r="W337">
        <v>1910</v>
      </c>
      <c r="X337">
        <v>816</v>
      </c>
      <c r="Y337">
        <v>72</v>
      </c>
      <c r="Z337">
        <v>203</v>
      </c>
      <c r="AA337">
        <v>391</v>
      </c>
      <c r="AB337">
        <v>2</v>
      </c>
      <c r="AC337">
        <v>49</v>
      </c>
      <c r="AD337">
        <v>122</v>
      </c>
      <c r="AE337">
        <v>0</v>
      </c>
      <c r="AF337">
        <v>0</v>
      </c>
      <c r="AG337">
        <v>4</v>
      </c>
      <c r="AH337">
        <v>0</v>
      </c>
      <c r="AI337">
        <v>0</v>
      </c>
      <c r="AJ337">
        <v>0</v>
      </c>
      <c r="AK337">
        <v>1.7954600000000001</v>
      </c>
      <c r="AL337">
        <v>3</v>
      </c>
      <c r="AM337">
        <v>0</v>
      </c>
      <c r="AN337">
        <v>1681</v>
      </c>
      <c r="AO337">
        <v>40</v>
      </c>
      <c r="AP337">
        <v>0</v>
      </c>
      <c r="AQ337">
        <v>0</v>
      </c>
    </row>
    <row r="338" spans="1:43" x14ac:dyDescent="0.25">
      <c r="A338">
        <v>335</v>
      </c>
      <c r="B338">
        <v>7</v>
      </c>
      <c r="C338">
        <v>7</v>
      </c>
      <c r="D338">
        <v>2</v>
      </c>
      <c r="E338">
        <v>2839</v>
      </c>
      <c r="F338">
        <v>7063</v>
      </c>
      <c r="G338">
        <v>7078</v>
      </c>
      <c r="H338">
        <v>3908</v>
      </c>
      <c r="I338">
        <v>641</v>
      </c>
      <c r="J338">
        <v>2433</v>
      </c>
      <c r="K338">
        <v>1065</v>
      </c>
      <c r="L338">
        <v>682</v>
      </c>
      <c r="M338">
        <v>492</v>
      </c>
      <c r="N338">
        <v>599</v>
      </c>
      <c r="O338">
        <v>236</v>
      </c>
      <c r="P338">
        <v>163.11807690000001</v>
      </c>
      <c r="Q338">
        <v>21</v>
      </c>
      <c r="R338">
        <v>0.117940423</v>
      </c>
      <c r="S338">
        <v>1816</v>
      </c>
      <c r="T338">
        <v>818</v>
      </c>
      <c r="U338">
        <v>1258</v>
      </c>
      <c r="V338">
        <v>2933</v>
      </c>
      <c r="W338">
        <v>1396</v>
      </c>
      <c r="X338">
        <v>721</v>
      </c>
      <c r="Y338">
        <v>298</v>
      </c>
      <c r="Z338">
        <v>1252</v>
      </c>
      <c r="AA338">
        <v>226</v>
      </c>
      <c r="AB338">
        <v>8</v>
      </c>
      <c r="AC338">
        <v>23</v>
      </c>
      <c r="AD338">
        <v>9</v>
      </c>
      <c r="AE338">
        <v>0</v>
      </c>
      <c r="AF338">
        <v>0</v>
      </c>
      <c r="AG338">
        <v>3</v>
      </c>
      <c r="AH338">
        <v>0</v>
      </c>
      <c r="AI338">
        <v>0</v>
      </c>
      <c r="AJ338">
        <v>0</v>
      </c>
      <c r="AK338">
        <v>2.16771</v>
      </c>
      <c r="AL338">
        <v>3</v>
      </c>
      <c r="AM338">
        <v>0</v>
      </c>
      <c r="AN338">
        <v>2839</v>
      </c>
      <c r="AO338">
        <v>15</v>
      </c>
      <c r="AP338">
        <v>0</v>
      </c>
      <c r="AQ338">
        <v>0</v>
      </c>
    </row>
    <row r="339" spans="1:43" x14ac:dyDescent="0.25">
      <c r="A339">
        <v>336</v>
      </c>
      <c r="B339">
        <v>7</v>
      </c>
      <c r="C339">
        <v>7</v>
      </c>
      <c r="D339">
        <v>2</v>
      </c>
      <c r="E339">
        <v>1461</v>
      </c>
      <c r="F339">
        <v>3883</v>
      </c>
      <c r="G339">
        <v>3883</v>
      </c>
      <c r="H339">
        <v>2022</v>
      </c>
      <c r="I339">
        <v>1122</v>
      </c>
      <c r="J339">
        <v>342</v>
      </c>
      <c r="K339">
        <v>172</v>
      </c>
      <c r="L339">
        <v>171</v>
      </c>
      <c r="M339">
        <v>267</v>
      </c>
      <c r="N339">
        <v>850</v>
      </c>
      <c r="O339">
        <v>319</v>
      </c>
      <c r="P339">
        <v>188.06750729999999</v>
      </c>
      <c r="Q339">
        <v>58.238805820000003</v>
      </c>
      <c r="R339">
        <v>0.16160081100000001</v>
      </c>
      <c r="S339">
        <v>760</v>
      </c>
      <c r="T339">
        <v>398</v>
      </c>
      <c r="U339">
        <v>646</v>
      </c>
      <c r="V339">
        <v>1288</v>
      </c>
      <c r="W339">
        <v>960</v>
      </c>
      <c r="X339">
        <v>464</v>
      </c>
      <c r="Y339">
        <v>160</v>
      </c>
      <c r="Z339">
        <v>279</v>
      </c>
      <c r="AA339">
        <v>216</v>
      </c>
      <c r="AB339">
        <v>3</v>
      </c>
      <c r="AC339">
        <v>60</v>
      </c>
      <c r="AD339">
        <v>42</v>
      </c>
      <c r="AE339">
        <v>0</v>
      </c>
      <c r="AF339">
        <v>0</v>
      </c>
      <c r="AG339">
        <v>4</v>
      </c>
      <c r="AH339">
        <v>0</v>
      </c>
      <c r="AI339">
        <v>0</v>
      </c>
      <c r="AJ339">
        <v>0</v>
      </c>
      <c r="AK339">
        <v>1.44262</v>
      </c>
      <c r="AL339">
        <v>3</v>
      </c>
      <c r="AM339">
        <v>0</v>
      </c>
      <c r="AN339">
        <v>1461</v>
      </c>
      <c r="AO339">
        <v>0</v>
      </c>
      <c r="AP339">
        <v>0</v>
      </c>
      <c r="AQ339">
        <v>0</v>
      </c>
    </row>
    <row r="340" spans="1:43" x14ac:dyDescent="0.25">
      <c r="A340">
        <v>337</v>
      </c>
      <c r="B340">
        <v>7</v>
      </c>
      <c r="C340">
        <v>7</v>
      </c>
      <c r="D340">
        <v>2</v>
      </c>
      <c r="E340">
        <v>558</v>
      </c>
      <c r="F340">
        <v>1459</v>
      </c>
      <c r="G340">
        <v>1459</v>
      </c>
      <c r="H340">
        <v>732</v>
      </c>
      <c r="I340">
        <v>386</v>
      </c>
      <c r="J340">
        <v>160</v>
      </c>
      <c r="K340">
        <v>74</v>
      </c>
      <c r="L340">
        <v>61</v>
      </c>
      <c r="M340">
        <v>115</v>
      </c>
      <c r="N340">
        <v>308</v>
      </c>
      <c r="O340">
        <v>315</v>
      </c>
      <c r="P340">
        <v>242.97934950000001</v>
      </c>
      <c r="Q340">
        <v>138</v>
      </c>
      <c r="R340">
        <v>0.202074689</v>
      </c>
      <c r="S340">
        <v>1487</v>
      </c>
      <c r="T340">
        <v>136</v>
      </c>
      <c r="U340">
        <v>305</v>
      </c>
      <c r="V340">
        <v>818</v>
      </c>
      <c r="W340">
        <v>682</v>
      </c>
      <c r="X340">
        <v>368</v>
      </c>
      <c r="Y340">
        <v>11</v>
      </c>
      <c r="Z340">
        <v>131</v>
      </c>
      <c r="AA340">
        <v>1131</v>
      </c>
      <c r="AB340">
        <v>2</v>
      </c>
      <c r="AC340">
        <v>30</v>
      </c>
      <c r="AD340">
        <v>182</v>
      </c>
      <c r="AE340">
        <v>0</v>
      </c>
      <c r="AF340">
        <v>0</v>
      </c>
      <c r="AG340">
        <v>4</v>
      </c>
      <c r="AH340">
        <v>14</v>
      </c>
      <c r="AI340">
        <v>0</v>
      </c>
      <c r="AJ340">
        <v>0</v>
      </c>
      <c r="AK340">
        <v>1.13628</v>
      </c>
      <c r="AL340">
        <v>3</v>
      </c>
      <c r="AM340">
        <v>0</v>
      </c>
      <c r="AN340">
        <v>558</v>
      </c>
      <c r="AO340">
        <v>0</v>
      </c>
      <c r="AP340">
        <v>0</v>
      </c>
      <c r="AQ340">
        <v>0</v>
      </c>
    </row>
    <row r="341" spans="1:43" x14ac:dyDescent="0.25">
      <c r="A341">
        <v>338</v>
      </c>
      <c r="B341">
        <v>7</v>
      </c>
      <c r="C341">
        <v>7</v>
      </c>
      <c r="D341">
        <v>2</v>
      </c>
      <c r="E341">
        <v>746</v>
      </c>
      <c r="F341">
        <v>2250</v>
      </c>
      <c r="G341">
        <v>2347</v>
      </c>
      <c r="H341">
        <v>1159</v>
      </c>
      <c r="I341">
        <v>686</v>
      </c>
      <c r="J341">
        <v>42</v>
      </c>
      <c r="K341">
        <v>62</v>
      </c>
      <c r="L341">
        <v>103</v>
      </c>
      <c r="M341">
        <v>114</v>
      </c>
      <c r="N341">
        <v>467</v>
      </c>
      <c r="O341">
        <v>206</v>
      </c>
      <c r="P341">
        <v>135.08179910000001</v>
      </c>
      <c r="Q341">
        <v>13</v>
      </c>
      <c r="R341">
        <v>0.198286938</v>
      </c>
      <c r="S341">
        <v>170</v>
      </c>
      <c r="T341">
        <v>76</v>
      </c>
      <c r="U341">
        <v>524</v>
      </c>
      <c r="V341">
        <v>606</v>
      </c>
      <c r="W341">
        <v>684</v>
      </c>
      <c r="X341">
        <v>338</v>
      </c>
      <c r="Y341">
        <v>6</v>
      </c>
      <c r="Z341">
        <v>65</v>
      </c>
      <c r="AA341">
        <v>63</v>
      </c>
      <c r="AB341">
        <v>1</v>
      </c>
      <c r="AC341">
        <v>7</v>
      </c>
      <c r="AD341">
        <v>28</v>
      </c>
      <c r="AE341">
        <v>0</v>
      </c>
      <c r="AF341">
        <v>0</v>
      </c>
      <c r="AG341">
        <v>4</v>
      </c>
      <c r="AH341">
        <v>0</v>
      </c>
      <c r="AI341">
        <v>0</v>
      </c>
      <c r="AJ341">
        <v>0</v>
      </c>
      <c r="AK341">
        <v>1.3642300000000001</v>
      </c>
      <c r="AL341">
        <v>3</v>
      </c>
      <c r="AM341">
        <v>0</v>
      </c>
      <c r="AN341">
        <v>746</v>
      </c>
      <c r="AO341">
        <v>97</v>
      </c>
      <c r="AP341">
        <v>0</v>
      </c>
      <c r="AQ341">
        <v>0</v>
      </c>
    </row>
    <row r="342" spans="1:43" x14ac:dyDescent="0.25">
      <c r="A342">
        <v>339</v>
      </c>
      <c r="B342">
        <v>7</v>
      </c>
      <c r="C342">
        <v>7</v>
      </c>
      <c r="D342">
        <v>2</v>
      </c>
      <c r="E342">
        <v>889</v>
      </c>
      <c r="F342">
        <v>2706</v>
      </c>
      <c r="G342">
        <v>2706</v>
      </c>
      <c r="H342">
        <v>1098</v>
      </c>
      <c r="I342">
        <v>965</v>
      </c>
      <c r="J342">
        <v>0</v>
      </c>
      <c r="K342">
        <v>67</v>
      </c>
      <c r="L342">
        <v>53</v>
      </c>
      <c r="M342">
        <v>77</v>
      </c>
      <c r="N342">
        <v>695</v>
      </c>
      <c r="O342">
        <v>968</v>
      </c>
      <c r="P342">
        <v>762.36248399999999</v>
      </c>
      <c r="Q342">
        <v>55</v>
      </c>
      <c r="R342">
        <v>0.21876118899999999</v>
      </c>
      <c r="S342">
        <v>846</v>
      </c>
      <c r="T342">
        <v>72</v>
      </c>
      <c r="U342">
        <v>682</v>
      </c>
      <c r="V342">
        <v>621</v>
      </c>
      <c r="W342">
        <v>810</v>
      </c>
      <c r="X342">
        <v>517</v>
      </c>
      <c r="Y342">
        <v>7</v>
      </c>
      <c r="Z342">
        <v>103</v>
      </c>
      <c r="AA342">
        <v>623</v>
      </c>
      <c r="AB342">
        <v>1</v>
      </c>
      <c r="AC342">
        <v>15</v>
      </c>
      <c r="AD342">
        <v>97</v>
      </c>
      <c r="AE342">
        <v>0</v>
      </c>
      <c r="AF342">
        <v>0</v>
      </c>
      <c r="AG342">
        <v>4</v>
      </c>
      <c r="AH342">
        <v>2158</v>
      </c>
      <c r="AI342">
        <v>0</v>
      </c>
      <c r="AJ342">
        <v>0</v>
      </c>
      <c r="AK342">
        <v>0.98111000000000004</v>
      </c>
      <c r="AL342">
        <v>3</v>
      </c>
      <c r="AM342">
        <v>0</v>
      </c>
      <c r="AN342">
        <v>889</v>
      </c>
      <c r="AO342">
        <v>0</v>
      </c>
      <c r="AP342">
        <v>0</v>
      </c>
      <c r="AQ342">
        <v>0</v>
      </c>
    </row>
    <row r="343" spans="1:43" x14ac:dyDescent="0.25">
      <c r="A343">
        <v>340</v>
      </c>
      <c r="B343">
        <v>7</v>
      </c>
      <c r="C343">
        <v>7</v>
      </c>
      <c r="D343">
        <v>2</v>
      </c>
      <c r="E343">
        <v>1853</v>
      </c>
      <c r="F343">
        <v>4588</v>
      </c>
      <c r="G343">
        <v>4620</v>
      </c>
      <c r="H343">
        <v>2386</v>
      </c>
      <c r="I343">
        <v>877</v>
      </c>
      <c r="J343">
        <v>1072</v>
      </c>
      <c r="K343">
        <v>321</v>
      </c>
      <c r="L343">
        <v>171</v>
      </c>
      <c r="M343">
        <v>533</v>
      </c>
      <c r="N343">
        <v>829</v>
      </c>
      <c r="O343">
        <v>502</v>
      </c>
      <c r="P343">
        <v>171.9053313</v>
      </c>
      <c r="Q343">
        <v>231</v>
      </c>
      <c r="R343">
        <v>0.128514938</v>
      </c>
      <c r="S343">
        <v>5320</v>
      </c>
      <c r="T343">
        <v>266</v>
      </c>
      <c r="U343">
        <v>709</v>
      </c>
      <c r="V343">
        <v>1964</v>
      </c>
      <c r="W343">
        <v>981</v>
      </c>
      <c r="X343">
        <v>453</v>
      </c>
      <c r="Y343">
        <v>52</v>
      </c>
      <c r="Z343">
        <v>1624</v>
      </c>
      <c r="AA343">
        <v>928</v>
      </c>
      <c r="AB343">
        <v>6</v>
      </c>
      <c r="AC343">
        <v>273</v>
      </c>
      <c r="AD343">
        <v>2437</v>
      </c>
      <c r="AE343">
        <v>0</v>
      </c>
      <c r="AF343">
        <v>0</v>
      </c>
      <c r="AG343">
        <v>4</v>
      </c>
      <c r="AH343">
        <v>0</v>
      </c>
      <c r="AI343">
        <v>0</v>
      </c>
      <c r="AJ343">
        <v>0</v>
      </c>
      <c r="AK343">
        <v>2.4498700000000002</v>
      </c>
      <c r="AL343">
        <v>3</v>
      </c>
      <c r="AM343">
        <v>0</v>
      </c>
      <c r="AN343">
        <v>1853</v>
      </c>
      <c r="AO343">
        <v>32</v>
      </c>
      <c r="AP343">
        <v>0</v>
      </c>
      <c r="AQ343">
        <v>0</v>
      </c>
    </row>
    <row r="344" spans="1:43" x14ac:dyDescent="0.25">
      <c r="A344">
        <v>341</v>
      </c>
      <c r="B344">
        <v>7</v>
      </c>
      <c r="C344">
        <v>7</v>
      </c>
      <c r="D344">
        <v>2</v>
      </c>
      <c r="E344">
        <v>1892</v>
      </c>
      <c r="F344">
        <v>4207</v>
      </c>
      <c r="G344">
        <v>4219</v>
      </c>
      <c r="H344">
        <v>2291</v>
      </c>
      <c r="I344">
        <v>837</v>
      </c>
      <c r="J344">
        <v>1129</v>
      </c>
      <c r="K344">
        <v>336</v>
      </c>
      <c r="L344">
        <v>352</v>
      </c>
      <c r="M344">
        <v>366</v>
      </c>
      <c r="N344">
        <v>844</v>
      </c>
      <c r="O344">
        <v>323</v>
      </c>
      <c r="P344">
        <v>179.6185711</v>
      </c>
      <c r="Q344">
        <v>52.427517379999998</v>
      </c>
      <c r="R344">
        <v>0.19762122600000001</v>
      </c>
      <c r="S344">
        <v>5428</v>
      </c>
      <c r="T344">
        <v>327</v>
      </c>
      <c r="U344">
        <v>604</v>
      </c>
      <c r="V344">
        <v>1692</v>
      </c>
      <c r="W344">
        <v>831</v>
      </c>
      <c r="X344">
        <v>746</v>
      </c>
      <c r="Y344">
        <v>770</v>
      </c>
      <c r="Z344">
        <v>1562</v>
      </c>
      <c r="AA344">
        <v>2528</v>
      </c>
      <c r="AB344">
        <v>9</v>
      </c>
      <c r="AC344">
        <v>126</v>
      </c>
      <c r="AD344">
        <v>433</v>
      </c>
      <c r="AE344">
        <v>0</v>
      </c>
      <c r="AF344">
        <v>0</v>
      </c>
      <c r="AG344">
        <v>3</v>
      </c>
      <c r="AH344">
        <v>353</v>
      </c>
      <c r="AI344">
        <v>0</v>
      </c>
      <c r="AJ344">
        <v>0</v>
      </c>
      <c r="AK344">
        <v>2.3518300000000001</v>
      </c>
      <c r="AL344">
        <v>3</v>
      </c>
      <c r="AM344">
        <v>0</v>
      </c>
      <c r="AN344">
        <v>1892</v>
      </c>
      <c r="AO344">
        <v>12</v>
      </c>
      <c r="AP344">
        <v>0</v>
      </c>
      <c r="AQ344">
        <v>0</v>
      </c>
    </row>
    <row r="345" spans="1:43" x14ac:dyDescent="0.25">
      <c r="A345">
        <v>342</v>
      </c>
      <c r="B345">
        <v>7</v>
      </c>
      <c r="C345">
        <v>7</v>
      </c>
      <c r="D345">
        <v>2</v>
      </c>
      <c r="E345">
        <v>1272</v>
      </c>
      <c r="F345">
        <v>3505</v>
      </c>
      <c r="G345">
        <v>4228</v>
      </c>
      <c r="H345">
        <v>1418</v>
      </c>
      <c r="I345">
        <v>1394</v>
      </c>
      <c r="J345">
        <v>0</v>
      </c>
      <c r="K345">
        <v>133</v>
      </c>
      <c r="L345">
        <v>106</v>
      </c>
      <c r="M345">
        <v>211</v>
      </c>
      <c r="N345">
        <v>822</v>
      </c>
      <c r="O345">
        <v>2123</v>
      </c>
      <c r="P345">
        <v>1765.1325999999999</v>
      </c>
      <c r="Q345">
        <v>142</v>
      </c>
      <c r="R345">
        <v>0.29169607199999997</v>
      </c>
      <c r="S345">
        <v>1823</v>
      </c>
      <c r="T345">
        <v>43</v>
      </c>
      <c r="U345">
        <v>974</v>
      </c>
      <c r="V345">
        <v>927</v>
      </c>
      <c r="W345">
        <v>1038</v>
      </c>
      <c r="X345">
        <v>1110</v>
      </c>
      <c r="Y345">
        <v>23</v>
      </c>
      <c r="Z345">
        <v>263</v>
      </c>
      <c r="AA345">
        <v>1396</v>
      </c>
      <c r="AB345">
        <v>13</v>
      </c>
      <c r="AC345">
        <v>63</v>
      </c>
      <c r="AD345">
        <v>65</v>
      </c>
      <c r="AE345">
        <v>0</v>
      </c>
      <c r="AF345">
        <v>0</v>
      </c>
      <c r="AG345">
        <v>4</v>
      </c>
      <c r="AH345">
        <v>1229</v>
      </c>
      <c r="AI345">
        <v>881</v>
      </c>
      <c r="AJ345">
        <v>10</v>
      </c>
      <c r="AK345">
        <v>0.96372999999999998</v>
      </c>
      <c r="AL345">
        <v>2</v>
      </c>
      <c r="AM345">
        <v>0</v>
      </c>
      <c r="AN345">
        <v>1272</v>
      </c>
      <c r="AO345">
        <v>723</v>
      </c>
      <c r="AP345">
        <v>0</v>
      </c>
      <c r="AQ345">
        <v>0</v>
      </c>
    </row>
    <row r="346" spans="1:43" x14ac:dyDescent="0.25">
      <c r="A346">
        <v>343</v>
      </c>
      <c r="B346">
        <v>7</v>
      </c>
      <c r="C346">
        <v>7</v>
      </c>
      <c r="D346">
        <v>2</v>
      </c>
      <c r="E346">
        <v>775</v>
      </c>
      <c r="F346">
        <v>2161</v>
      </c>
      <c r="G346">
        <v>2180</v>
      </c>
      <c r="H346">
        <v>889</v>
      </c>
      <c r="I346">
        <v>713</v>
      </c>
      <c r="J346">
        <v>28</v>
      </c>
      <c r="K346">
        <v>77</v>
      </c>
      <c r="L346">
        <v>61</v>
      </c>
      <c r="M346">
        <v>117</v>
      </c>
      <c r="N346">
        <v>520</v>
      </c>
      <c r="O346">
        <v>315</v>
      </c>
      <c r="P346">
        <v>227</v>
      </c>
      <c r="Q346">
        <v>33</v>
      </c>
      <c r="R346">
        <v>0.26543209899999998</v>
      </c>
      <c r="S346">
        <v>596</v>
      </c>
      <c r="T346">
        <v>116</v>
      </c>
      <c r="U346">
        <v>457</v>
      </c>
      <c r="V346">
        <v>332</v>
      </c>
      <c r="W346">
        <v>669</v>
      </c>
      <c r="X346">
        <v>454</v>
      </c>
      <c r="Y346">
        <v>5</v>
      </c>
      <c r="Z346">
        <v>127</v>
      </c>
      <c r="AA346">
        <v>436</v>
      </c>
      <c r="AB346">
        <v>1</v>
      </c>
      <c r="AC346">
        <v>8</v>
      </c>
      <c r="AD346">
        <v>19</v>
      </c>
      <c r="AE346">
        <v>0</v>
      </c>
      <c r="AF346">
        <v>0</v>
      </c>
      <c r="AG346">
        <v>4</v>
      </c>
      <c r="AH346">
        <v>0</v>
      </c>
      <c r="AI346">
        <v>0</v>
      </c>
      <c r="AJ346">
        <v>0</v>
      </c>
      <c r="AK346">
        <v>1.0822400000000001</v>
      </c>
      <c r="AL346">
        <v>3</v>
      </c>
      <c r="AM346">
        <v>0</v>
      </c>
      <c r="AN346">
        <v>775</v>
      </c>
      <c r="AO346">
        <v>19</v>
      </c>
      <c r="AP346">
        <v>0</v>
      </c>
      <c r="AQ346">
        <v>0</v>
      </c>
    </row>
    <row r="347" spans="1:43" x14ac:dyDescent="0.25">
      <c r="A347">
        <v>344</v>
      </c>
      <c r="B347">
        <v>7</v>
      </c>
      <c r="C347">
        <v>7</v>
      </c>
      <c r="D347">
        <v>2</v>
      </c>
      <c r="E347">
        <v>1009</v>
      </c>
      <c r="F347">
        <v>3305</v>
      </c>
      <c r="G347">
        <v>3305</v>
      </c>
      <c r="H347">
        <v>1416</v>
      </c>
      <c r="I347">
        <v>1016</v>
      </c>
      <c r="J347">
        <v>14</v>
      </c>
      <c r="K347">
        <v>127</v>
      </c>
      <c r="L347">
        <v>81</v>
      </c>
      <c r="M347">
        <v>80</v>
      </c>
      <c r="N347">
        <v>721</v>
      </c>
      <c r="O347">
        <v>407</v>
      </c>
      <c r="P347">
        <v>306.7285018</v>
      </c>
      <c r="Q347">
        <v>11</v>
      </c>
      <c r="R347">
        <v>0.17688679199999999</v>
      </c>
      <c r="S347">
        <v>423</v>
      </c>
      <c r="T347">
        <v>244</v>
      </c>
      <c r="U347">
        <v>1014</v>
      </c>
      <c r="V347">
        <v>764</v>
      </c>
      <c r="W347">
        <v>854</v>
      </c>
      <c r="X347">
        <v>370</v>
      </c>
      <c r="Y347">
        <v>12</v>
      </c>
      <c r="Z347">
        <v>127</v>
      </c>
      <c r="AA347">
        <v>194</v>
      </c>
      <c r="AB347">
        <v>2</v>
      </c>
      <c r="AC347">
        <v>43</v>
      </c>
      <c r="AD347">
        <v>45</v>
      </c>
      <c r="AE347">
        <v>0</v>
      </c>
      <c r="AF347">
        <v>0</v>
      </c>
      <c r="AG347">
        <v>4</v>
      </c>
      <c r="AH347">
        <v>0</v>
      </c>
      <c r="AI347">
        <v>0</v>
      </c>
      <c r="AJ347">
        <v>0</v>
      </c>
      <c r="AK347">
        <v>1.10694</v>
      </c>
      <c r="AL347">
        <v>3</v>
      </c>
      <c r="AM347">
        <v>0</v>
      </c>
      <c r="AN347">
        <v>1009</v>
      </c>
      <c r="AO347">
        <v>0</v>
      </c>
      <c r="AP347">
        <v>0</v>
      </c>
      <c r="AQ347">
        <v>0</v>
      </c>
    </row>
    <row r="348" spans="1:43" x14ac:dyDescent="0.25">
      <c r="A348">
        <v>345</v>
      </c>
      <c r="B348">
        <v>7</v>
      </c>
      <c r="C348">
        <v>7</v>
      </c>
      <c r="D348">
        <v>2</v>
      </c>
      <c r="E348">
        <v>1583</v>
      </c>
      <c r="F348">
        <v>4508</v>
      </c>
      <c r="G348">
        <v>4526</v>
      </c>
      <c r="H348">
        <v>2002</v>
      </c>
      <c r="I348">
        <v>1326</v>
      </c>
      <c r="J348">
        <v>460</v>
      </c>
      <c r="K348">
        <v>139</v>
      </c>
      <c r="L348">
        <v>205</v>
      </c>
      <c r="M348">
        <v>195</v>
      </c>
      <c r="N348">
        <v>1045</v>
      </c>
      <c r="O348">
        <v>397</v>
      </c>
      <c r="P348">
        <v>303.67175259999999</v>
      </c>
      <c r="Q348">
        <v>16.896170819999998</v>
      </c>
      <c r="R348">
        <v>0.21493832800000001</v>
      </c>
      <c r="S348">
        <v>962</v>
      </c>
      <c r="T348">
        <v>276</v>
      </c>
      <c r="U348">
        <v>949</v>
      </c>
      <c r="V348">
        <v>1041</v>
      </c>
      <c r="W348">
        <v>1247</v>
      </c>
      <c r="X348">
        <v>670</v>
      </c>
      <c r="Y348">
        <v>40</v>
      </c>
      <c r="Z348">
        <v>459</v>
      </c>
      <c r="AA348">
        <v>384</v>
      </c>
      <c r="AB348">
        <v>2</v>
      </c>
      <c r="AC348">
        <v>33</v>
      </c>
      <c r="AD348">
        <v>44</v>
      </c>
      <c r="AE348">
        <v>0</v>
      </c>
      <c r="AF348">
        <v>0</v>
      </c>
      <c r="AG348">
        <v>4</v>
      </c>
      <c r="AH348">
        <v>0</v>
      </c>
      <c r="AI348">
        <v>0</v>
      </c>
      <c r="AJ348">
        <v>0</v>
      </c>
      <c r="AK348">
        <v>1.2315</v>
      </c>
      <c r="AL348">
        <v>1</v>
      </c>
      <c r="AM348">
        <v>0</v>
      </c>
      <c r="AN348">
        <v>1583</v>
      </c>
      <c r="AO348">
        <v>18</v>
      </c>
      <c r="AP348">
        <v>0</v>
      </c>
      <c r="AQ348">
        <v>0</v>
      </c>
    </row>
    <row r="349" spans="1:43" x14ac:dyDescent="0.25">
      <c r="A349">
        <v>346</v>
      </c>
      <c r="B349">
        <v>7</v>
      </c>
      <c r="C349">
        <v>7</v>
      </c>
      <c r="D349">
        <v>2</v>
      </c>
      <c r="E349">
        <v>1261</v>
      </c>
      <c r="F349">
        <v>3218</v>
      </c>
      <c r="G349">
        <v>3218</v>
      </c>
      <c r="H349">
        <v>1466</v>
      </c>
      <c r="I349">
        <v>826</v>
      </c>
      <c r="J349">
        <v>595</v>
      </c>
      <c r="K349">
        <v>162</v>
      </c>
      <c r="L349">
        <v>143</v>
      </c>
      <c r="M349">
        <v>186</v>
      </c>
      <c r="N349">
        <v>773</v>
      </c>
      <c r="O349">
        <v>1118</v>
      </c>
      <c r="P349">
        <v>254.17690669999999</v>
      </c>
      <c r="Q349">
        <v>495</v>
      </c>
      <c r="R349">
        <v>0.28054685299999998</v>
      </c>
      <c r="S349">
        <v>6212</v>
      </c>
      <c r="T349">
        <v>69</v>
      </c>
      <c r="U349">
        <v>681</v>
      </c>
      <c r="V349">
        <v>839</v>
      </c>
      <c r="W349">
        <v>979</v>
      </c>
      <c r="X349">
        <v>801</v>
      </c>
      <c r="Y349">
        <v>129</v>
      </c>
      <c r="Z349">
        <v>4188</v>
      </c>
      <c r="AA349">
        <v>811</v>
      </c>
      <c r="AB349">
        <v>10</v>
      </c>
      <c r="AC349">
        <v>682</v>
      </c>
      <c r="AD349">
        <v>392</v>
      </c>
      <c r="AE349">
        <v>0</v>
      </c>
      <c r="AF349">
        <v>0</v>
      </c>
      <c r="AG349">
        <v>4</v>
      </c>
      <c r="AH349">
        <v>0</v>
      </c>
      <c r="AI349">
        <v>0</v>
      </c>
      <c r="AJ349">
        <v>0</v>
      </c>
      <c r="AK349">
        <v>1.3630199999999999</v>
      </c>
      <c r="AL349">
        <v>1</v>
      </c>
      <c r="AM349">
        <v>0</v>
      </c>
      <c r="AN349">
        <v>1261</v>
      </c>
      <c r="AO349">
        <v>0</v>
      </c>
      <c r="AP349">
        <v>0</v>
      </c>
      <c r="AQ349">
        <v>0</v>
      </c>
    </row>
    <row r="350" spans="1:43" x14ac:dyDescent="0.25">
      <c r="A350">
        <v>347</v>
      </c>
      <c r="B350">
        <v>8</v>
      </c>
      <c r="C350">
        <v>8</v>
      </c>
      <c r="D350">
        <v>3</v>
      </c>
      <c r="E350">
        <v>2983</v>
      </c>
      <c r="F350">
        <v>7362</v>
      </c>
      <c r="G350">
        <v>7433</v>
      </c>
      <c r="H350">
        <v>3353</v>
      </c>
      <c r="I350">
        <v>2886</v>
      </c>
      <c r="J350">
        <v>312</v>
      </c>
      <c r="K350">
        <v>321</v>
      </c>
      <c r="L350">
        <v>421</v>
      </c>
      <c r="M350">
        <v>319</v>
      </c>
      <c r="N350">
        <v>1917</v>
      </c>
      <c r="O350">
        <v>33245.4</v>
      </c>
      <c r="P350">
        <v>4167.4762570000003</v>
      </c>
      <c r="Q350">
        <v>635</v>
      </c>
      <c r="R350">
        <v>0.41423287800000003</v>
      </c>
      <c r="S350">
        <v>2426</v>
      </c>
      <c r="T350">
        <v>217</v>
      </c>
      <c r="U350">
        <v>1276</v>
      </c>
      <c r="V350">
        <v>1218</v>
      </c>
      <c r="W350">
        <v>2222</v>
      </c>
      <c r="X350">
        <v>2710</v>
      </c>
      <c r="Y350">
        <v>35</v>
      </c>
      <c r="Z350">
        <v>356</v>
      </c>
      <c r="AA350">
        <v>1573</v>
      </c>
      <c r="AB350">
        <v>144</v>
      </c>
      <c r="AC350">
        <v>192</v>
      </c>
      <c r="AD350">
        <v>126</v>
      </c>
      <c r="AE350">
        <v>0</v>
      </c>
      <c r="AF350">
        <v>0</v>
      </c>
      <c r="AG350">
        <v>4</v>
      </c>
      <c r="AH350">
        <v>45</v>
      </c>
      <c r="AI350">
        <v>5869</v>
      </c>
      <c r="AJ350">
        <v>19906</v>
      </c>
      <c r="AK350">
        <v>1.7419800000000001</v>
      </c>
      <c r="AL350">
        <v>1</v>
      </c>
      <c r="AM350">
        <v>0</v>
      </c>
      <c r="AN350">
        <v>2983</v>
      </c>
      <c r="AO350">
        <v>71</v>
      </c>
      <c r="AP350">
        <v>0</v>
      </c>
      <c r="AQ350">
        <v>0</v>
      </c>
    </row>
    <row r="351" spans="1:43" x14ac:dyDescent="0.25">
      <c r="A351">
        <v>348</v>
      </c>
      <c r="B351">
        <v>8</v>
      </c>
      <c r="C351">
        <v>8</v>
      </c>
      <c r="D351">
        <v>3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748.1</v>
      </c>
      <c r="P351">
        <v>45</v>
      </c>
      <c r="Q351">
        <v>289</v>
      </c>
      <c r="R351">
        <v>0</v>
      </c>
      <c r="S351">
        <v>8422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5</v>
      </c>
      <c r="Z351">
        <v>2751</v>
      </c>
      <c r="AA351">
        <v>205</v>
      </c>
      <c r="AB351">
        <v>1</v>
      </c>
      <c r="AC351">
        <v>373</v>
      </c>
      <c r="AD351">
        <v>5087</v>
      </c>
      <c r="AE351">
        <v>0</v>
      </c>
      <c r="AF351">
        <v>0</v>
      </c>
      <c r="AG351">
        <v>3</v>
      </c>
      <c r="AH351">
        <v>0</v>
      </c>
      <c r="AI351">
        <v>0</v>
      </c>
      <c r="AJ351">
        <v>0</v>
      </c>
      <c r="AK351">
        <v>1.1100000000000001</v>
      </c>
      <c r="AL351">
        <v>1</v>
      </c>
      <c r="AM351">
        <v>0</v>
      </c>
      <c r="AN351">
        <v>0</v>
      </c>
      <c r="AO351">
        <v>0</v>
      </c>
      <c r="AP351">
        <v>0</v>
      </c>
      <c r="AQ351">
        <v>0</v>
      </c>
    </row>
    <row r="352" spans="1:43" x14ac:dyDescent="0.25">
      <c r="A352">
        <v>349</v>
      </c>
      <c r="B352">
        <v>8</v>
      </c>
      <c r="C352">
        <v>8</v>
      </c>
      <c r="D352">
        <v>3</v>
      </c>
      <c r="E352">
        <v>413</v>
      </c>
      <c r="F352">
        <v>1266</v>
      </c>
      <c r="G352">
        <v>1269</v>
      </c>
      <c r="H352">
        <v>683</v>
      </c>
      <c r="I352">
        <v>311</v>
      </c>
      <c r="J352">
        <v>85</v>
      </c>
      <c r="K352">
        <v>58</v>
      </c>
      <c r="L352">
        <v>25</v>
      </c>
      <c r="M352">
        <v>42</v>
      </c>
      <c r="N352">
        <v>284</v>
      </c>
      <c r="O352">
        <v>710.6</v>
      </c>
      <c r="P352">
        <v>363.42135660000002</v>
      </c>
      <c r="Q352">
        <v>231</v>
      </c>
      <c r="R352">
        <v>0.25259259299999998</v>
      </c>
      <c r="S352">
        <v>11722</v>
      </c>
      <c r="T352">
        <v>109</v>
      </c>
      <c r="U352">
        <v>211</v>
      </c>
      <c r="V352">
        <v>357</v>
      </c>
      <c r="W352">
        <v>365</v>
      </c>
      <c r="X352">
        <v>265</v>
      </c>
      <c r="Y352">
        <v>31</v>
      </c>
      <c r="Z352">
        <v>4443</v>
      </c>
      <c r="AA352">
        <v>3877</v>
      </c>
      <c r="AB352">
        <v>4</v>
      </c>
      <c r="AC352">
        <v>2650</v>
      </c>
      <c r="AD352">
        <v>717</v>
      </c>
      <c r="AE352">
        <v>0</v>
      </c>
      <c r="AF352">
        <v>0</v>
      </c>
      <c r="AG352">
        <v>2</v>
      </c>
      <c r="AH352">
        <v>0</v>
      </c>
      <c r="AI352">
        <v>0</v>
      </c>
      <c r="AJ352">
        <v>0</v>
      </c>
      <c r="AK352">
        <v>2.1454</v>
      </c>
      <c r="AL352">
        <v>2</v>
      </c>
      <c r="AM352">
        <v>0</v>
      </c>
      <c r="AN352">
        <v>413</v>
      </c>
      <c r="AO352">
        <v>3</v>
      </c>
      <c r="AP352">
        <v>0</v>
      </c>
      <c r="AQ352">
        <v>0</v>
      </c>
    </row>
    <row r="353" spans="1:43" x14ac:dyDescent="0.25">
      <c r="A353">
        <v>350</v>
      </c>
      <c r="B353">
        <v>8</v>
      </c>
      <c r="C353">
        <v>8</v>
      </c>
      <c r="D353">
        <v>3</v>
      </c>
      <c r="E353">
        <v>1134</v>
      </c>
      <c r="F353">
        <v>2871</v>
      </c>
      <c r="G353">
        <v>3939</v>
      </c>
      <c r="H353">
        <v>1355</v>
      </c>
      <c r="I353">
        <v>1035</v>
      </c>
      <c r="J353">
        <v>179</v>
      </c>
      <c r="K353">
        <v>63</v>
      </c>
      <c r="L353">
        <v>121</v>
      </c>
      <c r="M353">
        <v>87</v>
      </c>
      <c r="N353">
        <v>851</v>
      </c>
      <c r="O353">
        <v>530.70000000000005</v>
      </c>
      <c r="P353">
        <v>383.03330699999998</v>
      </c>
      <c r="Q353">
        <v>103</v>
      </c>
      <c r="R353">
        <v>0.220063864</v>
      </c>
      <c r="S353">
        <v>1290</v>
      </c>
      <c r="T353">
        <v>78</v>
      </c>
      <c r="U353">
        <v>873</v>
      </c>
      <c r="V353">
        <v>913</v>
      </c>
      <c r="W353">
        <v>1070</v>
      </c>
      <c r="X353">
        <v>733</v>
      </c>
      <c r="Y353">
        <v>123</v>
      </c>
      <c r="Z353">
        <v>616</v>
      </c>
      <c r="AA353">
        <v>156</v>
      </c>
      <c r="AB353">
        <v>1</v>
      </c>
      <c r="AC353">
        <v>362</v>
      </c>
      <c r="AD353">
        <v>32</v>
      </c>
      <c r="AE353">
        <v>0</v>
      </c>
      <c r="AF353">
        <v>0</v>
      </c>
      <c r="AG353">
        <v>4</v>
      </c>
      <c r="AH353">
        <v>0</v>
      </c>
      <c r="AI353">
        <v>0</v>
      </c>
      <c r="AJ353">
        <v>0</v>
      </c>
      <c r="AK353">
        <v>1.09205</v>
      </c>
      <c r="AL353">
        <v>1</v>
      </c>
      <c r="AM353">
        <v>0</v>
      </c>
      <c r="AN353">
        <v>1134</v>
      </c>
      <c r="AO353">
        <v>1068</v>
      </c>
      <c r="AP353">
        <v>0</v>
      </c>
      <c r="AQ353">
        <v>0</v>
      </c>
    </row>
    <row r="354" spans="1:43" x14ac:dyDescent="0.25">
      <c r="A354">
        <v>351</v>
      </c>
      <c r="B354">
        <v>8</v>
      </c>
      <c r="C354">
        <v>8</v>
      </c>
      <c r="D354">
        <v>3</v>
      </c>
      <c r="E354">
        <v>1982</v>
      </c>
      <c r="F354">
        <v>4751</v>
      </c>
      <c r="G354">
        <v>4770</v>
      </c>
      <c r="H354">
        <v>2603</v>
      </c>
      <c r="I354">
        <v>1045</v>
      </c>
      <c r="J354">
        <v>1104</v>
      </c>
      <c r="K354">
        <v>353</v>
      </c>
      <c r="L354">
        <v>251</v>
      </c>
      <c r="M354">
        <v>312</v>
      </c>
      <c r="N354">
        <v>1074</v>
      </c>
      <c r="O354">
        <v>371.9</v>
      </c>
      <c r="P354">
        <v>258.47901350000001</v>
      </c>
      <c r="Q354">
        <v>85.437397390000001</v>
      </c>
      <c r="R354">
        <v>0.20469306500000001</v>
      </c>
      <c r="S354">
        <v>5291</v>
      </c>
      <c r="T354">
        <v>320</v>
      </c>
      <c r="U354">
        <v>738</v>
      </c>
      <c r="V354">
        <v>1739</v>
      </c>
      <c r="W354">
        <v>1106</v>
      </c>
      <c r="X354">
        <v>757</v>
      </c>
      <c r="Y354">
        <v>182</v>
      </c>
      <c r="Z354">
        <v>2068</v>
      </c>
      <c r="AA354">
        <v>2367</v>
      </c>
      <c r="AB354">
        <v>10</v>
      </c>
      <c r="AC354">
        <v>157</v>
      </c>
      <c r="AD354">
        <v>507</v>
      </c>
      <c r="AE354">
        <v>0</v>
      </c>
      <c r="AF354">
        <v>0</v>
      </c>
      <c r="AG354">
        <v>4</v>
      </c>
      <c r="AH354">
        <v>2233</v>
      </c>
      <c r="AI354">
        <v>0</v>
      </c>
      <c r="AJ354">
        <v>0</v>
      </c>
      <c r="AK354">
        <v>1.64777</v>
      </c>
      <c r="AL354">
        <v>3</v>
      </c>
      <c r="AM354">
        <v>0</v>
      </c>
      <c r="AN354">
        <v>1982</v>
      </c>
      <c r="AO354">
        <v>19</v>
      </c>
      <c r="AP354">
        <v>0</v>
      </c>
      <c r="AQ354">
        <v>0</v>
      </c>
    </row>
    <row r="355" spans="1:43" x14ac:dyDescent="0.25">
      <c r="A355">
        <v>352</v>
      </c>
      <c r="B355">
        <v>8</v>
      </c>
      <c r="C355">
        <v>8</v>
      </c>
      <c r="D355">
        <v>3</v>
      </c>
      <c r="E355">
        <v>375</v>
      </c>
      <c r="F355">
        <v>843</v>
      </c>
      <c r="G355">
        <v>2864</v>
      </c>
      <c r="H355">
        <v>512</v>
      </c>
      <c r="I355">
        <v>13</v>
      </c>
      <c r="J355">
        <v>330</v>
      </c>
      <c r="K355">
        <v>136</v>
      </c>
      <c r="L355">
        <v>197</v>
      </c>
      <c r="M355">
        <v>26</v>
      </c>
      <c r="N355">
        <v>5</v>
      </c>
      <c r="O355">
        <v>42</v>
      </c>
      <c r="P355">
        <v>18</v>
      </c>
      <c r="Q355">
        <v>24</v>
      </c>
      <c r="R355">
        <v>0</v>
      </c>
      <c r="S355">
        <v>178</v>
      </c>
      <c r="T355">
        <v>0</v>
      </c>
      <c r="U355">
        <v>592</v>
      </c>
      <c r="V355">
        <v>1531</v>
      </c>
      <c r="W355">
        <v>85</v>
      </c>
      <c r="X355">
        <v>0</v>
      </c>
      <c r="Y355">
        <v>1</v>
      </c>
      <c r="Z355">
        <v>21</v>
      </c>
      <c r="AA355">
        <v>71</v>
      </c>
      <c r="AB355">
        <v>1</v>
      </c>
      <c r="AC355">
        <v>4</v>
      </c>
      <c r="AD355">
        <v>80</v>
      </c>
      <c r="AE355">
        <v>0</v>
      </c>
      <c r="AF355">
        <v>0</v>
      </c>
      <c r="AG355">
        <v>3</v>
      </c>
      <c r="AH355">
        <v>0</v>
      </c>
      <c r="AI355">
        <v>0</v>
      </c>
      <c r="AJ355">
        <v>0</v>
      </c>
      <c r="AK355">
        <v>1.3426400000000001</v>
      </c>
      <c r="AL355">
        <v>2</v>
      </c>
      <c r="AM355">
        <v>0</v>
      </c>
      <c r="AN355">
        <v>375</v>
      </c>
      <c r="AO355">
        <v>2021</v>
      </c>
      <c r="AP355">
        <v>0</v>
      </c>
      <c r="AQ355">
        <v>0</v>
      </c>
    </row>
    <row r="356" spans="1:43" x14ac:dyDescent="0.25">
      <c r="A356">
        <v>353</v>
      </c>
      <c r="B356">
        <v>8</v>
      </c>
      <c r="C356">
        <v>8</v>
      </c>
      <c r="D356">
        <v>3</v>
      </c>
      <c r="E356">
        <v>1762</v>
      </c>
      <c r="F356">
        <v>3176</v>
      </c>
      <c r="G356">
        <v>6347</v>
      </c>
      <c r="H356">
        <v>805</v>
      </c>
      <c r="I356">
        <v>180</v>
      </c>
      <c r="J356">
        <v>1797</v>
      </c>
      <c r="K356">
        <v>957</v>
      </c>
      <c r="L356">
        <v>456</v>
      </c>
      <c r="M356">
        <v>150</v>
      </c>
      <c r="N356">
        <v>198</v>
      </c>
      <c r="O356">
        <v>125</v>
      </c>
      <c r="P356">
        <v>102</v>
      </c>
      <c r="Q356">
        <v>23</v>
      </c>
      <c r="R356">
        <v>2.4312700000000001E-3</v>
      </c>
      <c r="S356">
        <v>278</v>
      </c>
      <c r="T356">
        <v>252</v>
      </c>
      <c r="U356">
        <v>1187</v>
      </c>
      <c r="V356">
        <v>3707</v>
      </c>
      <c r="W356">
        <v>55</v>
      </c>
      <c r="X356">
        <v>0</v>
      </c>
      <c r="Y356">
        <v>54</v>
      </c>
      <c r="Z356">
        <v>58</v>
      </c>
      <c r="AA356">
        <v>117</v>
      </c>
      <c r="AB356">
        <v>0</v>
      </c>
      <c r="AC356">
        <v>21</v>
      </c>
      <c r="AD356">
        <v>28</v>
      </c>
      <c r="AE356">
        <v>0</v>
      </c>
      <c r="AF356">
        <v>0</v>
      </c>
      <c r="AG356">
        <v>3</v>
      </c>
      <c r="AH356">
        <v>0</v>
      </c>
      <c r="AI356">
        <v>0</v>
      </c>
      <c r="AJ356">
        <v>0</v>
      </c>
      <c r="AK356">
        <v>1.61531</v>
      </c>
      <c r="AL356">
        <v>3</v>
      </c>
      <c r="AM356">
        <v>0</v>
      </c>
      <c r="AN356">
        <v>1762</v>
      </c>
      <c r="AO356">
        <v>3171</v>
      </c>
      <c r="AP356">
        <v>0</v>
      </c>
      <c r="AQ356">
        <v>0</v>
      </c>
    </row>
    <row r="357" spans="1:43" x14ac:dyDescent="0.25">
      <c r="A357">
        <v>354</v>
      </c>
      <c r="B357">
        <v>8</v>
      </c>
      <c r="C357">
        <v>8</v>
      </c>
      <c r="D357">
        <v>3</v>
      </c>
      <c r="E357">
        <v>448</v>
      </c>
      <c r="F357">
        <v>773</v>
      </c>
      <c r="G357">
        <v>4907</v>
      </c>
      <c r="H357">
        <v>1063</v>
      </c>
      <c r="I357">
        <v>18</v>
      </c>
      <c r="J357">
        <v>480</v>
      </c>
      <c r="K357">
        <v>277</v>
      </c>
      <c r="L357">
        <v>99</v>
      </c>
      <c r="M357">
        <v>48</v>
      </c>
      <c r="N357">
        <v>17</v>
      </c>
      <c r="O357">
        <v>515</v>
      </c>
      <c r="P357">
        <v>144</v>
      </c>
      <c r="Q357">
        <v>360</v>
      </c>
      <c r="R357">
        <v>0</v>
      </c>
      <c r="S357">
        <v>15634</v>
      </c>
      <c r="T357">
        <v>0</v>
      </c>
      <c r="U357">
        <v>1245</v>
      </c>
      <c r="V357">
        <v>1793</v>
      </c>
      <c r="W357">
        <v>49</v>
      </c>
      <c r="X357">
        <v>0</v>
      </c>
      <c r="Y357">
        <v>43</v>
      </c>
      <c r="Z357">
        <v>532</v>
      </c>
      <c r="AA357">
        <v>15004</v>
      </c>
      <c r="AB357">
        <v>1</v>
      </c>
      <c r="AC357">
        <v>25</v>
      </c>
      <c r="AD357">
        <v>29</v>
      </c>
      <c r="AE357">
        <v>0</v>
      </c>
      <c r="AF357">
        <v>0</v>
      </c>
      <c r="AG357">
        <v>2</v>
      </c>
      <c r="AH357">
        <v>0</v>
      </c>
      <c r="AI357">
        <v>17984</v>
      </c>
      <c r="AJ357">
        <v>3148</v>
      </c>
      <c r="AK357">
        <v>2.5788899999999999</v>
      </c>
      <c r="AL357">
        <v>3</v>
      </c>
      <c r="AM357">
        <v>0</v>
      </c>
      <c r="AN357">
        <v>448</v>
      </c>
      <c r="AO357">
        <v>4134</v>
      </c>
      <c r="AP357">
        <v>0</v>
      </c>
      <c r="AQ357">
        <v>0</v>
      </c>
    </row>
    <row r="358" spans="1:43" x14ac:dyDescent="0.25">
      <c r="A358">
        <v>355</v>
      </c>
      <c r="B358">
        <v>8</v>
      </c>
      <c r="C358">
        <v>8</v>
      </c>
      <c r="D358">
        <v>3</v>
      </c>
      <c r="E358">
        <v>1828</v>
      </c>
      <c r="F358">
        <v>3482</v>
      </c>
      <c r="G358">
        <v>6983</v>
      </c>
      <c r="H358">
        <v>1822</v>
      </c>
      <c r="I358">
        <v>115</v>
      </c>
      <c r="J358">
        <v>1919</v>
      </c>
      <c r="K358">
        <v>338</v>
      </c>
      <c r="L358">
        <v>407</v>
      </c>
      <c r="M358">
        <v>386</v>
      </c>
      <c r="N358">
        <v>691</v>
      </c>
      <c r="O358">
        <v>878</v>
      </c>
      <c r="P358">
        <v>391.9730515</v>
      </c>
      <c r="Q358">
        <v>431.36448080000002</v>
      </c>
      <c r="R358">
        <v>0.132171499</v>
      </c>
      <c r="S358">
        <v>23082</v>
      </c>
      <c r="T358">
        <v>223</v>
      </c>
      <c r="U358">
        <v>1821</v>
      </c>
      <c r="V358">
        <v>2917</v>
      </c>
      <c r="W358">
        <v>559</v>
      </c>
      <c r="X358">
        <v>826</v>
      </c>
      <c r="Y358">
        <v>1589</v>
      </c>
      <c r="Z358">
        <v>634</v>
      </c>
      <c r="AA358">
        <v>20526</v>
      </c>
      <c r="AB358">
        <v>11</v>
      </c>
      <c r="AC358">
        <v>139</v>
      </c>
      <c r="AD358">
        <v>183</v>
      </c>
      <c r="AE358">
        <v>0</v>
      </c>
      <c r="AF358">
        <v>0</v>
      </c>
      <c r="AG358">
        <v>2</v>
      </c>
      <c r="AH358">
        <v>6</v>
      </c>
      <c r="AI358">
        <v>0</v>
      </c>
      <c r="AJ358">
        <v>0</v>
      </c>
      <c r="AK358">
        <v>3.3690799999999999</v>
      </c>
      <c r="AL358">
        <v>2</v>
      </c>
      <c r="AM358">
        <v>0</v>
      </c>
      <c r="AN358">
        <v>1828</v>
      </c>
      <c r="AO358">
        <v>3501</v>
      </c>
      <c r="AP358">
        <v>0</v>
      </c>
      <c r="AQ358">
        <v>0</v>
      </c>
    </row>
    <row r="359" spans="1:43" x14ac:dyDescent="0.25">
      <c r="A359">
        <v>356</v>
      </c>
      <c r="B359">
        <v>8</v>
      </c>
      <c r="C359">
        <v>8</v>
      </c>
      <c r="D359">
        <v>3</v>
      </c>
      <c r="E359">
        <v>3619</v>
      </c>
      <c r="F359">
        <v>7037</v>
      </c>
      <c r="G359">
        <v>7059</v>
      </c>
      <c r="H359">
        <v>3718</v>
      </c>
      <c r="I359">
        <v>1332</v>
      </c>
      <c r="J359">
        <v>2866</v>
      </c>
      <c r="K359">
        <v>1017</v>
      </c>
      <c r="L359">
        <v>496</v>
      </c>
      <c r="M359">
        <v>570</v>
      </c>
      <c r="N359">
        <v>1514</v>
      </c>
      <c r="O359">
        <v>487</v>
      </c>
      <c r="P359">
        <v>253.18993270000001</v>
      </c>
      <c r="Q359">
        <v>81</v>
      </c>
      <c r="R359">
        <v>0.30077120800000001</v>
      </c>
      <c r="S359">
        <v>21899</v>
      </c>
      <c r="T359">
        <v>184</v>
      </c>
      <c r="U359">
        <v>834</v>
      </c>
      <c r="V359">
        <v>2226</v>
      </c>
      <c r="W359">
        <v>1941</v>
      </c>
      <c r="X359">
        <v>2001</v>
      </c>
      <c r="Y359">
        <v>752</v>
      </c>
      <c r="Z359">
        <v>6354</v>
      </c>
      <c r="AA359">
        <v>4555</v>
      </c>
      <c r="AB359">
        <v>12</v>
      </c>
      <c r="AC359">
        <v>667</v>
      </c>
      <c r="AD359">
        <v>9559</v>
      </c>
      <c r="AE359">
        <v>111.3330402</v>
      </c>
      <c r="AF359">
        <v>0</v>
      </c>
      <c r="AG359">
        <v>2</v>
      </c>
      <c r="AH359">
        <v>0</v>
      </c>
      <c r="AI359">
        <v>0</v>
      </c>
      <c r="AJ359">
        <v>0</v>
      </c>
      <c r="AK359">
        <v>4.3291500000000003</v>
      </c>
      <c r="AL359">
        <v>3</v>
      </c>
      <c r="AM359">
        <v>0</v>
      </c>
      <c r="AN359">
        <v>3619</v>
      </c>
      <c r="AO359">
        <v>22</v>
      </c>
      <c r="AP359">
        <v>0</v>
      </c>
      <c r="AQ359">
        <v>0</v>
      </c>
    </row>
    <row r="360" spans="1:43" x14ac:dyDescent="0.25">
      <c r="A360">
        <v>357</v>
      </c>
      <c r="B360">
        <v>8</v>
      </c>
      <c r="C360">
        <v>8</v>
      </c>
      <c r="D360">
        <v>3</v>
      </c>
      <c r="E360">
        <v>1754</v>
      </c>
      <c r="F360">
        <v>4950</v>
      </c>
      <c r="G360">
        <v>4967</v>
      </c>
      <c r="H360">
        <v>2503</v>
      </c>
      <c r="I360">
        <v>1586</v>
      </c>
      <c r="J360">
        <v>199</v>
      </c>
      <c r="K360">
        <v>90</v>
      </c>
      <c r="L360">
        <v>84</v>
      </c>
      <c r="M360">
        <v>366</v>
      </c>
      <c r="N360">
        <v>1219</v>
      </c>
      <c r="O360">
        <v>515</v>
      </c>
      <c r="P360">
        <v>442.38562610000002</v>
      </c>
      <c r="Q360">
        <v>36</v>
      </c>
      <c r="R360">
        <v>0.19799799800000001</v>
      </c>
      <c r="S360">
        <v>977</v>
      </c>
      <c r="T360">
        <v>147</v>
      </c>
      <c r="U360">
        <v>1278</v>
      </c>
      <c r="V360">
        <v>1233</v>
      </c>
      <c r="W360">
        <v>1447</v>
      </c>
      <c r="X360">
        <v>748</v>
      </c>
      <c r="Y360">
        <v>18</v>
      </c>
      <c r="Z360">
        <v>261</v>
      </c>
      <c r="AA360">
        <v>479</v>
      </c>
      <c r="AB360">
        <v>2</v>
      </c>
      <c r="AC360">
        <v>70</v>
      </c>
      <c r="AD360">
        <v>147</v>
      </c>
      <c r="AE360">
        <v>0</v>
      </c>
      <c r="AF360">
        <v>0</v>
      </c>
      <c r="AG360">
        <v>4</v>
      </c>
      <c r="AH360">
        <v>0</v>
      </c>
      <c r="AI360">
        <v>0</v>
      </c>
      <c r="AJ360">
        <v>0</v>
      </c>
      <c r="AK360">
        <v>1.1390899999999999</v>
      </c>
      <c r="AL360">
        <v>3</v>
      </c>
      <c r="AM360">
        <v>0</v>
      </c>
      <c r="AN360">
        <v>1754</v>
      </c>
      <c r="AO360">
        <v>17</v>
      </c>
      <c r="AP360">
        <v>0</v>
      </c>
      <c r="AQ360">
        <v>0</v>
      </c>
    </row>
    <row r="361" spans="1:43" x14ac:dyDescent="0.25">
      <c r="A361">
        <v>358</v>
      </c>
      <c r="B361">
        <v>8</v>
      </c>
      <c r="C361">
        <v>8</v>
      </c>
      <c r="D361">
        <v>3</v>
      </c>
      <c r="E361">
        <v>2055</v>
      </c>
      <c r="F361">
        <v>5824</v>
      </c>
      <c r="G361">
        <v>5824</v>
      </c>
      <c r="H361">
        <v>2370</v>
      </c>
      <c r="I361">
        <v>1995</v>
      </c>
      <c r="J361">
        <v>0</v>
      </c>
      <c r="K361">
        <v>279</v>
      </c>
      <c r="L361">
        <v>209</v>
      </c>
      <c r="M361">
        <v>265</v>
      </c>
      <c r="N361">
        <v>1310</v>
      </c>
      <c r="O361">
        <v>542</v>
      </c>
      <c r="P361">
        <v>490.23392230000002</v>
      </c>
      <c r="Q361">
        <v>43</v>
      </c>
      <c r="R361">
        <v>0.244019139</v>
      </c>
      <c r="S361">
        <v>989</v>
      </c>
      <c r="T361">
        <v>298</v>
      </c>
      <c r="U361">
        <v>1166</v>
      </c>
      <c r="V361">
        <v>1210</v>
      </c>
      <c r="W361">
        <v>1661</v>
      </c>
      <c r="X361">
        <v>1157</v>
      </c>
      <c r="Y361">
        <v>18</v>
      </c>
      <c r="Z361">
        <v>421</v>
      </c>
      <c r="AA361">
        <v>321</v>
      </c>
      <c r="AB361">
        <v>1</v>
      </c>
      <c r="AC361">
        <v>76</v>
      </c>
      <c r="AD361">
        <v>152</v>
      </c>
      <c r="AE361">
        <v>0</v>
      </c>
      <c r="AF361">
        <v>0</v>
      </c>
      <c r="AG361">
        <v>4</v>
      </c>
      <c r="AH361">
        <v>0</v>
      </c>
      <c r="AI361">
        <v>0</v>
      </c>
      <c r="AJ361">
        <v>0</v>
      </c>
      <c r="AK361">
        <v>1.17499</v>
      </c>
      <c r="AL361">
        <v>3</v>
      </c>
      <c r="AM361">
        <v>0</v>
      </c>
      <c r="AN361">
        <v>2055</v>
      </c>
      <c r="AO361">
        <v>0</v>
      </c>
      <c r="AP361">
        <v>0</v>
      </c>
      <c r="AQ361">
        <v>0</v>
      </c>
    </row>
    <row r="362" spans="1:43" x14ac:dyDescent="0.25">
      <c r="A362">
        <v>359</v>
      </c>
      <c r="B362">
        <v>8</v>
      </c>
      <c r="C362">
        <v>8</v>
      </c>
      <c r="D362">
        <v>3</v>
      </c>
      <c r="E362">
        <v>1394</v>
      </c>
      <c r="F362">
        <v>3873</v>
      </c>
      <c r="G362">
        <v>3886</v>
      </c>
      <c r="H362">
        <v>1906</v>
      </c>
      <c r="I362">
        <v>1298</v>
      </c>
      <c r="J362">
        <v>117</v>
      </c>
      <c r="K362">
        <v>100</v>
      </c>
      <c r="L362">
        <v>66</v>
      </c>
      <c r="M362">
        <v>157</v>
      </c>
      <c r="N362">
        <v>1075</v>
      </c>
      <c r="O362">
        <v>381</v>
      </c>
      <c r="P362">
        <v>337.58071289999998</v>
      </c>
      <c r="Q362">
        <v>38</v>
      </c>
      <c r="R362">
        <v>0.24588394099999999</v>
      </c>
      <c r="S362">
        <v>665</v>
      </c>
      <c r="T362">
        <v>141</v>
      </c>
      <c r="U362">
        <v>825</v>
      </c>
      <c r="V362">
        <v>834</v>
      </c>
      <c r="W362">
        <v>1065</v>
      </c>
      <c r="X362">
        <v>740</v>
      </c>
      <c r="Y362">
        <v>21</v>
      </c>
      <c r="Z362">
        <v>228</v>
      </c>
      <c r="AA362">
        <v>280</v>
      </c>
      <c r="AB362">
        <v>1</v>
      </c>
      <c r="AC362">
        <v>49</v>
      </c>
      <c r="AD362">
        <v>86</v>
      </c>
      <c r="AE362">
        <v>0</v>
      </c>
      <c r="AF362">
        <v>0</v>
      </c>
      <c r="AG362">
        <v>4</v>
      </c>
      <c r="AH362">
        <v>236</v>
      </c>
      <c r="AI362">
        <v>0</v>
      </c>
      <c r="AJ362">
        <v>0</v>
      </c>
      <c r="AK362">
        <v>1.1004</v>
      </c>
      <c r="AL362">
        <v>3</v>
      </c>
      <c r="AM362">
        <v>0</v>
      </c>
      <c r="AN362">
        <v>1394</v>
      </c>
      <c r="AO362">
        <v>13</v>
      </c>
      <c r="AP362">
        <v>0</v>
      </c>
      <c r="AQ362">
        <v>0</v>
      </c>
    </row>
    <row r="363" spans="1:43" x14ac:dyDescent="0.25">
      <c r="A363">
        <v>360</v>
      </c>
      <c r="B363">
        <v>8</v>
      </c>
      <c r="C363">
        <v>8</v>
      </c>
      <c r="D363">
        <v>3</v>
      </c>
      <c r="E363">
        <v>2114</v>
      </c>
      <c r="F363">
        <v>5232</v>
      </c>
      <c r="G363">
        <v>5232</v>
      </c>
      <c r="H363">
        <v>2626</v>
      </c>
      <c r="I363">
        <v>1790</v>
      </c>
      <c r="J363">
        <v>335</v>
      </c>
      <c r="K363">
        <v>234</v>
      </c>
      <c r="L363">
        <v>289</v>
      </c>
      <c r="M363">
        <v>498</v>
      </c>
      <c r="N363">
        <v>1086</v>
      </c>
      <c r="O363">
        <v>406</v>
      </c>
      <c r="P363">
        <v>345.29330640000001</v>
      </c>
      <c r="Q363">
        <v>54</v>
      </c>
      <c r="R363">
        <v>0.234088247</v>
      </c>
      <c r="S363">
        <v>630</v>
      </c>
      <c r="T363">
        <v>220</v>
      </c>
      <c r="U363">
        <v>818</v>
      </c>
      <c r="V363">
        <v>1543</v>
      </c>
      <c r="W363">
        <v>1416</v>
      </c>
      <c r="X363">
        <v>1003</v>
      </c>
      <c r="Y363">
        <v>25</v>
      </c>
      <c r="Z363">
        <v>274</v>
      </c>
      <c r="AA363">
        <v>250</v>
      </c>
      <c r="AB363">
        <v>1</v>
      </c>
      <c r="AC363">
        <v>35</v>
      </c>
      <c r="AD363">
        <v>45</v>
      </c>
      <c r="AE363">
        <v>0</v>
      </c>
      <c r="AF363">
        <v>0</v>
      </c>
      <c r="AG363">
        <v>4</v>
      </c>
      <c r="AH363">
        <v>0</v>
      </c>
      <c r="AI363">
        <v>0</v>
      </c>
      <c r="AJ363">
        <v>0</v>
      </c>
      <c r="AK363">
        <v>1.18248</v>
      </c>
      <c r="AL363">
        <v>3</v>
      </c>
      <c r="AM363">
        <v>0</v>
      </c>
      <c r="AN363">
        <v>2114</v>
      </c>
      <c r="AO363">
        <v>0</v>
      </c>
      <c r="AP363">
        <v>0</v>
      </c>
      <c r="AQ363">
        <v>0</v>
      </c>
    </row>
    <row r="364" spans="1:43" x14ac:dyDescent="0.25">
      <c r="A364">
        <v>361</v>
      </c>
      <c r="B364">
        <v>8</v>
      </c>
      <c r="C364">
        <v>8</v>
      </c>
      <c r="D364">
        <v>3</v>
      </c>
      <c r="E364">
        <v>2366</v>
      </c>
      <c r="F364">
        <v>7456</v>
      </c>
      <c r="G364">
        <v>7462</v>
      </c>
      <c r="H364">
        <v>3720</v>
      </c>
      <c r="I364">
        <v>1870</v>
      </c>
      <c r="J364">
        <v>567</v>
      </c>
      <c r="K364">
        <v>187</v>
      </c>
      <c r="L364">
        <v>270</v>
      </c>
      <c r="M364">
        <v>471</v>
      </c>
      <c r="N364">
        <v>1420</v>
      </c>
      <c r="O364">
        <v>500</v>
      </c>
      <c r="P364">
        <v>460.76832409999997</v>
      </c>
      <c r="Q364">
        <v>10</v>
      </c>
      <c r="R364">
        <v>0.116120977</v>
      </c>
      <c r="S364">
        <v>1027</v>
      </c>
      <c r="T364">
        <v>473</v>
      </c>
      <c r="U364">
        <v>1692</v>
      </c>
      <c r="V364">
        <v>1927</v>
      </c>
      <c r="W364">
        <v>2237</v>
      </c>
      <c r="X364">
        <v>712</v>
      </c>
      <c r="Y364">
        <v>120</v>
      </c>
      <c r="Z364">
        <v>225</v>
      </c>
      <c r="AA364">
        <v>475</v>
      </c>
      <c r="AB364">
        <v>2</v>
      </c>
      <c r="AC364">
        <v>67</v>
      </c>
      <c r="AD364">
        <v>138</v>
      </c>
      <c r="AE364">
        <v>0</v>
      </c>
      <c r="AF364">
        <v>0</v>
      </c>
      <c r="AG364">
        <v>4</v>
      </c>
      <c r="AH364">
        <v>0</v>
      </c>
      <c r="AI364">
        <v>0</v>
      </c>
      <c r="AJ364">
        <v>0</v>
      </c>
      <c r="AK364">
        <v>1.21706</v>
      </c>
      <c r="AL364">
        <v>3</v>
      </c>
      <c r="AM364">
        <v>0</v>
      </c>
      <c r="AN364">
        <v>2366</v>
      </c>
      <c r="AO364">
        <v>6</v>
      </c>
      <c r="AP364">
        <v>0</v>
      </c>
      <c r="AQ364">
        <v>0</v>
      </c>
    </row>
    <row r="365" spans="1:43" x14ac:dyDescent="0.25">
      <c r="A365">
        <v>362</v>
      </c>
      <c r="B365">
        <v>8</v>
      </c>
      <c r="C365">
        <v>8</v>
      </c>
      <c r="D365">
        <v>3</v>
      </c>
      <c r="E365">
        <v>2033</v>
      </c>
      <c r="F365">
        <v>5824</v>
      </c>
      <c r="G365">
        <v>5830</v>
      </c>
      <c r="H365">
        <v>2607</v>
      </c>
      <c r="I365">
        <v>1537</v>
      </c>
      <c r="J365">
        <v>526</v>
      </c>
      <c r="K365">
        <v>228</v>
      </c>
      <c r="L365">
        <v>163</v>
      </c>
      <c r="M365">
        <v>329</v>
      </c>
      <c r="N365">
        <v>1300</v>
      </c>
      <c r="O365">
        <v>535</v>
      </c>
      <c r="P365">
        <v>369.94301769999998</v>
      </c>
      <c r="Q365">
        <v>160</v>
      </c>
      <c r="R365">
        <v>0.228775693</v>
      </c>
      <c r="S365">
        <v>3266</v>
      </c>
      <c r="T365">
        <v>297</v>
      </c>
      <c r="U365">
        <v>1233</v>
      </c>
      <c r="V365">
        <v>1308</v>
      </c>
      <c r="W365">
        <v>1506</v>
      </c>
      <c r="X365">
        <v>1127</v>
      </c>
      <c r="Y365">
        <v>69</v>
      </c>
      <c r="Z365">
        <v>559</v>
      </c>
      <c r="AA365">
        <v>849</v>
      </c>
      <c r="AB365">
        <v>3</v>
      </c>
      <c r="AC365">
        <v>1690</v>
      </c>
      <c r="AD365">
        <v>96</v>
      </c>
      <c r="AE365">
        <v>0</v>
      </c>
      <c r="AF365">
        <v>0</v>
      </c>
      <c r="AG365">
        <v>3</v>
      </c>
      <c r="AH365">
        <v>193</v>
      </c>
      <c r="AI365">
        <v>1138</v>
      </c>
      <c r="AJ365">
        <v>169</v>
      </c>
      <c r="AK365">
        <v>1.43008</v>
      </c>
      <c r="AL365">
        <v>3</v>
      </c>
      <c r="AM365">
        <v>0</v>
      </c>
      <c r="AN365">
        <v>2033</v>
      </c>
      <c r="AO365">
        <v>6</v>
      </c>
      <c r="AP365">
        <v>0</v>
      </c>
      <c r="AQ365">
        <v>0</v>
      </c>
    </row>
    <row r="366" spans="1:43" x14ac:dyDescent="0.25">
      <c r="A366">
        <v>363</v>
      </c>
      <c r="B366">
        <v>8</v>
      </c>
      <c r="C366">
        <v>8</v>
      </c>
      <c r="D366">
        <v>3</v>
      </c>
      <c r="E366">
        <v>1211</v>
      </c>
      <c r="F366">
        <v>3426</v>
      </c>
      <c r="G366">
        <v>3426</v>
      </c>
      <c r="H366">
        <v>1828</v>
      </c>
      <c r="I366">
        <v>814</v>
      </c>
      <c r="J366">
        <v>365</v>
      </c>
      <c r="K366">
        <v>249</v>
      </c>
      <c r="L366">
        <v>93</v>
      </c>
      <c r="M366">
        <v>173</v>
      </c>
      <c r="N366">
        <v>689</v>
      </c>
      <c r="O366">
        <v>252</v>
      </c>
      <c r="P366">
        <v>204.07176870000001</v>
      </c>
      <c r="Q366">
        <v>25</v>
      </c>
      <c r="R366">
        <v>0.164774381</v>
      </c>
      <c r="S366">
        <v>576</v>
      </c>
      <c r="T366">
        <v>62</v>
      </c>
      <c r="U366">
        <v>912</v>
      </c>
      <c r="V366">
        <v>861</v>
      </c>
      <c r="W366">
        <v>1038</v>
      </c>
      <c r="X366">
        <v>479</v>
      </c>
      <c r="Y366">
        <v>32</v>
      </c>
      <c r="Z366">
        <v>54</v>
      </c>
      <c r="AA366">
        <v>447</v>
      </c>
      <c r="AB366">
        <v>1</v>
      </c>
      <c r="AC366">
        <v>10</v>
      </c>
      <c r="AD366">
        <v>32</v>
      </c>
      <c r="AE366">
        <v>0</v>
      </c>
      <c r="AF366">
        <v>0</v>
      </c>
      <c r="AG366">
        <v>4</v>
      </c>
      <c r="AH366">
        <v>30</v>
      </c>
      <c r="AI366">
        <v>0</v>
      </c>
      <c r="AJ366">
        <v>0</v>
      </c>
      <c r="AK366">
        <v>1.23248</v>
      </c>
      <c r="AL366">
        <v>3</v>
      </c>
      <c r="AM366">
        <v>0</v>
      </c>
      <c r="AN366">
        <v>1211</v>
      </c>
      <c r="AO366">
        <v>0</v>
      </c>
      <c r="AP366">
        <v>0</v>
      </c>
      <c r="AQ366">
        <v>0</v>
      </c>
    </row>
    <row r="367" spans="1:43" x14ac:dyDescent="0.25">
      <c r="A367">
        <v>364</v>
      </c>
      <c r="B367">
        <v>8</v>
      </c>
      <c r="C367">
        <v>8</v>
      </c>
      <c r="D367">
        <v>3</v>
      </c>
      <c r="E367">
        <v>725</v>
      </c>
      <c r="F367">
        <v>2054</v>
      </c>
      <c r="G367">
        <v>2058</v>
      </c>
      <c r="H367">
        <v>822</v>
      </c>
      <c r="I367">
        <v>630</v>
      </c>
      <c r="J367">
        <v>89</v>
      </c>
      <c r="K367">
        <v>68</v>
      </c>
      <c r="L367">
        <v>73</v>
      </c>
      <c r="M367">
        <v>85</v>
      </c>
      <c r="N367">
        <v>496</v>
      </c>
      <c r="O367">
        <v>223</v>
      </c>
      <c r="P367">
        <v>189</v>
      </c>
      <c r="Q367">
        <v>33</v>
      </c>
      <c r="R367">
        <v>0.25388082099999998</v>
      </c>
      <c r="S367">
        <v>355</v>
      </c>
      <c r="T367">
        <v>80</v>
      </c>
      <c r="U367">
        <v>414</v>
      </c>
      <c r="V367">
        <v>445</v>
      </c>
      <c r="W367">
        <v>578</v>
      </c>
      <c r="X367">
        <v>434</v>
      </c>
      <c r="Y367">
        <v>50</v>
      </c>
      <c r="Z367">
        <v>37</v>
      </c>
      <c r="AA367">
        <v>251</v>
      </c>
      <c r="AB367">
        <v>0</v>
      </c>
      <c r="AC367">
        <v>9</v>
      </c>
      <c r="AD367">
        <v>8</v>
      </c>
      <c r="AE367">
        <v>0</v>
      </c>
      <c r="AF367">
        <v>0</v>
      </c>
      <c r="AG367">
        <v>4</v>
      </c>
      <c r="AH367">
        <v>0</v>
      </c>
      <c r="AI367">
        <v>0</v>
      </c>
      <c r="AJ367">
        <v>0</v>
      </c>
      <c r="AK367">
        <v>1.1341399999999999</v>
      </c>
      <c r="AL367">
        <v>3</v>
      </c>
      <c r="AM367">
        <v>0</v>
      </c>
      <c r="AN367">
        <v>725</v>
      </c>
      <c r="AO367">
        <v>4</v>
      </c>
      <c r="AP367">
        <v>0</v>
      </c>
      <c r="AQ367">
        <v>0</v>
      </c>
    </row>
    <row r="368" spans="1:43" x14ac:dyDescent="0.25">
      <c r="A368">
        <v>365</v>
      </c>
      <c r="B368">
        <v>8</v>
      </c>
      <c r="C368">
        <v>8</v>
      </c>
      <c r="D368">
        <v>3</v>
      </c>
      <c r="E368">
        <v>2190</v>
      </c>
      <c r="F368">
        <v>4398</v>
      </c>
      <c r="G368">
        <v>4398</v>
      </c>
      <c r="H368">
        <v>2864</v>
      </c>
      <c r="I368">
        <v>369</v>
      </c>
      <c r="J368">
        <v>1832</v>
      </c>
      <c r="K368">
        <v>420</v>
      </c>
      <c r="L368">
        <v>350</v>
      </c>
      <c r="M368">
        <v>575</v>
      </c>
      <c r="N368">
        <v>828</v>
      </c>
      <c r="O368">
        <v>159</v>
      </c>
      <c r="P368">
        <v>122.931226</v>
      </c>
      <c r="Q368">
        <v>40</v>
      </c>
      <c r="R368">
        <v>0.139416396</v>
      </c>
      <c r="S368">
        <v>1011</v>
      </c>
      <c r="T368">
        <v>137</v>
      </c>
      <c r="U368">
        <v>548</v>
      </c>
      <c r="V368">
        <v>2174</v>
      </c>
      <c r="W368">
        <v>978</v>
      </c>
      <c r="X368">
        <v>362</v>
      </c>
      <c r="Y368">
        <v>60</v>
      </c>
      <c r="Z368">
        <v>180</v>
      </c>
      <c r="AA368">
        <v>316</v>
      </c>
      <c r="AB368">
        <v>1</v>
      </c>
      <c r="AC368">
        <v>282</v>
      </c>
      <c r="AD368">
        <v>172</v>
      </c>
      <c r="AE368">
        <v>0</v>
      </c>
      <c r="AF368">
        <v>0</v>
      </c>
      <c r="AG368">
        <v>3</v>
      </c>
      <c r="AH368">
        <v>0</v>
      </c>
      <c r="AI368">
        <v>0</v>
      </c>
      <c r="AJ368">
        <v>0</v>
      </c>
      <c r="AK368">
        <v>1.6964999999999999</v>
      </c>
      <c r="AL368">
        <v>3</v>
      </c>
      <c r="AM368">
        <v>0</v>
      </c>
      <c r="AN368">
        <v>2190</v>
      </c>
      <c r="AO368">
        <v>0</v>
      </c>
      <c r="AP368">
        <v>0</v>
      </c>
      <c r="AQ368">
        <v>0</v>
      </c>
    </row>
    <row r="369" spans="1:43" x14ac:dyDescent="0.25">
      <c r="A369">
        <v>366</v>
      </c>
      <c r="B369">
        <v>8</v>
      </c>
      <c r="C369">
        <v>8</v>
      </c>
      <c r="D369">
        <v>3</v>
      </c>
      <c r="E369">
        <v>2220</v>
      </c>
      <c r="F369">
        <v>4925</v>
      </c>
      <c r="G369">
        <v>4945</v>
      </c>
      <c r="H369">
        <v>2952</v>
      </c>
      <c r="I369">
        <v>1310</v>
      </c>
      <c r="J369">
        <v>1027</v>
      </c>
      <c r="K369">
        <v>291</v>
      </c>
      <c r="L369">
        <v>391</v>
      </c>
      <c r="M369">
        <v>331</v>
      </c>
      <c r="N369">
        <v>1201</v>
      </c>
      <c r="O369">
        <v>350</v>
      </c>
      <c r="P369">
        <v>190.97957779999999</v>
      </c>
      <c r="Q369">
        <v>144</v>
      </c>
      <c r="R369">
        <v>0.14882943100000001</v>
      </c>
      <c r="S369">
        <v>4889</v>
      </c>
      <c r="T369">
        <v>226</v>
      </c>
      <c r="U369">
        <v>657</v>
      </c>
      <c r="V369">
        <v>2001</v>
      </c>
      <c r="W369">
        <v>1190</v>
      </c>
      <c r="X369">
        <v>600</v>
      </c>
      <c r="Y369">
        <v>140</v>
      </c>
      <c r="Z369">
        <v>1099</v>
      </c>
      <c r="AA369">
        <v>1053</v>
      </c>
      <c r="AB369">
        <v>3</v>
      </c>
      <c r="AC369">
        <v>1897</v>
      </c>
      <c r="AD369">
        <v>697</v>
      </c>
      <c r="AE369">
        <v>0</v>
      </c>
      <c r="AF369">
        <v>0</v>
      </c>
      <c r="AG369">
        <v>4</v>
      </c>
      <c r="AH369">
        <v>0</v>
      </c>
      <c r="AI369">
        <v>0</v>
      </c>
      <c r="AJ369">
        <v>0</v>
      </c>
      <c r="AK369">
        <v>1.78671</v>
      </c>
      <c r="AL369">
        <v>3</v>
      </c>
      <c r="AM369">
        <v>0</v>
      </c>
      <c r="AN369">
        <v>2220</v>
      </c>
      <c r="AO369">
        <v>20</v>
      </c>
      <c r="AP369">
        <v>0</v>
      </c>
      <c r="AQ369">
        <v>0</v>
      </c>
    </row>
    <row r="370" spans="1:43" x14ac:dyDescent="0.25">
      <c r="A370">
        <v>367</v>
      </c>
      <c r="B370">
        <v>8</v>
      </c>
      <c r="C370">
        <v>8</v>
      </c>
      <c r="D370">
        <v>3</v>
      </c>
      <c r="E370">
        <v>2179</v>
      </c>
      <c r="F370">
        <v>5951</v>
      </c>
      <c r="G370">
        <v>5951</v>
      </c>
      <c r="H370">
        <v>2750</v>
      </c>
      <c r="I370">
        <v>1454</v>
      </c>
      <c r="J370">
        <v>1040</v>
      </c>
      <c r="K370">
        <v>348</v>
      </c>
      <c r="L370">
        <v>313</v>
      </c>
      <c r="M370">
        <v>464</v>
      </c>
      <c r="N370">
        <v>1066</v>
      </c>
      <c r="O370">
        <v>518</v>
      </c>
      <c r="P370">
        <v>410.04179879999998</v>
      </c>
      <c r="Q370">
        <v>73</v>
      </c>
      <c r="R370">
        <v>0.230491803</v>
      </c>
      <c r="S370">
        <v>3477</v>
      </c>
      <c r="T370">
        <v>249</v>
      </c>
      <c r="U370">
        <v>1419</v>
      </c>
      <c r="V370">
        <v>1531</v>
      </c>
      <c r="W370">
        <v>1640</v>
      </c>
      <c r="X370">
        <v>1097</v>
      </c>
      <c r="Y370">
        <v>101</v>
      </c>
      <c r="Z370">
        <v>2242</v>
      </c>
      <c r="AA370">
        <v>866</v>
      </c>
      <c r="AB370">
        <v>2</v>
      </c>
      <c r="AC370">
        <v>114</v>
      </c>
      <c r="AD370">
        <v>152</v>
      </c>
      <c r="AE370">
        <v>0</v>
      </c>
      <c r="AF370">
        <v>0</v>
      </c>
      <c r="AG370">
        <v>4</v>
      </c>
      <c r="AH370">
        <v>1659</v>
      </c>
      <c r="AI370">
        <v>0</v>
      </c>
      <c r="AJ370">
        <v>0</v>
      </c>
      <c r="AK370">
        <v>1.24196</v>
      </c>
      <c r="AL370">
        <v>3</v>
      </c>
      <c r="AM370">
        <v>0</v>
      </c>
      <c r="AN370">
        <v>2179</v>
      </c>
      <c r="AO370">
        <v>0</v>
      </c>
      <c r="AP370">
        <v>0</v>
      </c>
      <c r="AQ370">
        <v>0</v>
      </c>
    </row>
    <row r="371" spans="1:43" x14ac:dyDescent="0.25">
      <c r="A371">
        <v>368</v>
      </c>
      <c r="B371">
        <v>8</v>
      </c>
      <c r="C371">
        <v>8</v>
      </c>
      <c r="D371">
        <v>3</v>
      </c>
      <c r="E371">
        <v>1621</v>
      </c>
      <c r="F371">
        <v>4342</v>
      </c>
      <c r="G371">
        <v>4345</v>
      </c>
      <c r="H371">
        <v>1764</v>
      </c>
      <c r="I371">
        <v>1616</v>
      </c>
      <c r="J371">
        <v>0</v>
      </c>
      <c r="K371">
        <v>161</v>
      </c>
      <c r="L371">
        <v>257</v>
      </c>
      <c r="M371">
        <v>223</v>
      </c>
      <c r="N371">
        <v>980</v>
      </c>
      <c r="O371">
        <v>2243</v>
      </c>
      <c r="P371">
        <v>1955.708445</v>
      </c>
      <c r="Q371">
        <v>28</v>
      </c>
      <c r="R371">
        <v>0.332029452</v>
      </c>
      <c r="S371">
        <v>663</v>
      </c>
      <c r="T371">
        <v>240</v>
      </c>
      <c r="U371">
        <v>715</v>
      </c>
      <c r="V371">
        <v>723</v>
      </c>
      <c r="W371">
        <v>1347</v>
      </c>
      <c r="X371">
        <v>1205</v>
      </c>
      <c r="Y371">
        <v>10</v>
      </c>
      <c r="Z371">
        <v>215</v>
      </c>
      <c r="AA371">
        <v>352</v>
      </c>
      <c r="AB371">
        <v>3</v>
      </c>
      <c r="AC371">
        <v>38</v>
      </c>
      <c r="AD371">
        <v>45</v>
      </c>
      <c r="AE371">
        <v>0</v>
      </c>
      <c r="AF371">
        <v>0</v>
      </c>
      <c r="AG371">
        <v>5</v>
      </c>
      <c r="AH371">
        <v>200</v>
      </c>
      <c r="AI371">
        <v>0</v>
      </c>
      <c r="AJ371">
        <v>0</v>
      </c>
      <c r="AK371">
        <v>0.95379000000000003</v>
      </c>
      <c r="AL371">
        <v>1</v>
      </c>
      <c r="AM371">
        <v>0</v>
      </c>
      <c r="AN371">
        <v>1621</v>
      </c>
      <c r="AO371">
        <v>3</v>
      </c>
      <c r="AP371">
        <v>0</v>
      </c>
      <c r="AQ371">
        <v>0</v>
      </c>
    </row>
    <row r="372" spans="1:43" x14ac:dyDescent="0.25">
      <c r="A372">
        <v>369</v>
      </c>
      <c r="B372">
        <v>8</v>
      </c>
      <c r="C372">
        <v>8</v>
      </c>
      <c r="D372">
        <v>3</v>
      </c>
      <c r="E372">
        <v>1711</v>
      </c>
      <c r="F372">
        <v>4617</v>
      </c>
      <c r="G372">
        <v>4629</v>
      </c>
      <c r="H372">
        <v>1844</v>
      </c>
      <c r="I372">
        <v>1436</v>
      </c>
      <c r="J372">
        <v>385</v>
      </c>
      <c r="K372">
        <v>185</v>
      </c>
      <c r="L372">
        <v>220</v>
      </c>
      <c r="M372">
        <v>272</v>
      </c>
      <c r="N372">
        <v>1045</v>
      </c>
      <c r="O372">
        <v>633</v>
      </c>
      <c r="P372">
        <v>588</v>
      </c>
      <c r="Q372">
        <v>36</v>
      </c>
      <c r="R372">
        <v>0.30140845100000002</v>
      </c>
      <c r="S372">
        <v>1102</v>
      </c>
      <c r="T372">
        <v>110</v>
      </c>
      <c r="U372">
        <v>1091</v>
      </c>
      <c r="V372">
        <v>690</v>
      </c>
      <c r="W372">
        <v>1313</v>
      </c>
      <c r="X372">
        <v>1300</v>
      </c>
      <c r="Y372">
        <v>15</v>
      </c>
      <c r="Z372">
        <v>271</v>
      </c>
      <c r="AA372">
        <v>674</v>
      </c>
      <c r="AB372">
        <v>2</v>
      </c>
      <c r="AC372">
        <v>54</v>
      </c>
      <c r="AD372">
        <v>86</v>
      </c>
      <c r="AE372">
        <v>0</v>
      </c>
      <c r="AF372">
        <v>0</v>
      </c>
      <c r="AG372">
        <v>4</v>
      </c>
      <c r="AH372">
        <v>0</v>
      </c>
      <c r="AI372">
        <v>0</v>
      </c>
      <c r="AJ372">
        <v>0</v>
      </c>
      <c r="AK372">
        <v>1.18984</v>
      </c>
      <c r="AL372">
        <v>2</v>
      </c>
      <c r="AM372">
        <v>0</v>
      </c>
      <c r="AN372">
        <v>1711</v>
      </c>
      <c r="AO372">
        <v>12</v>
      </c>
      <c r="AP372">
        <v>0</v>
      </c>
      <c r="AQ372">
        <v>0</v>
      </c>
    </row>
    <row r="373" spans="1:43" x14ac:dyDescent="0.25">
      <c r="A373">
        <v>370</v>
      </c>
      <c r="B373">
        <v>8</v>
      </c>
      <c r="C373">
        <v>8</v>
      </c>
      <c r="D373">
        <v>3</v>
      </c>
      <c r="E373">
        <v>1820</v>
      </c>
      <c r="F373">
        <v>4830</v>
      </c>
      <c r="G373">
        <v>4830</v>
      </c>
      <c r="H373">
        <v>2053</v>
      </c>
      <c r="I373">
        <v>1194</v>
      </c>
      <c r="J373">
        <v>579</v>
      </c>
      <c r="K373">
        <v>227</v>
      </c>
      <c r="L373">
        <v>162</v>
      </c>
      <c r="M373">
        <v>259</v>
      </c>
      <c r="N373">
        <v>1153</v>
      </c>
      <c r="O373">
        <v>563</v>
      </c>
      <c r="P373">
        <v>434.47556329999998</v>
      </c>
      <c r="Q373">
        <v>114</v>
      </c>
      <c r="R373">
        <v>0.24368114099999999</v>
      </c>
      <c r="S373">
        <v>3623</v>
      </c>
      <c r="T373">
        <v>322</v>
      </c>
      <c r="U373">
        <v>890</v>
      </c>
      <c r="V373">
        <v>1114</v>
      </c>
      <c r="W373">
        <v>1208</v>
      </c>
      <c r="X373">
        <v>985</v>
      </c>
      <c r="Y373">
        <v>289</v>
      </c>
      <c r="Z373">
        <v>1333</v>
      </c>
      <c r="AA373">
        <v>1338</v>
      </c>
      <c r="AB373">
        <v>7</v>
      </c>
      <c r="AC373">
        <v>174</v>
      </c>
      <c r="AD373">
        <v>482</v>
      </c>
      <c r="AE373">
        <v>0</v>
      </c>
      <c r="AF373">
        <v>0</v>
      </c>
      <c r="AG373">
        <v>4</v>
      </c>
      <c r="AH373">
        <v>0</v>
      </c>
      <c r="AI373">
        <v>0</v>
      </c>
      <c r="AJ373">
        <v>0</v>
      </c>
      <c r="AK373">
        <v>1.39</v>
      </c>
      <c r="AL373">
        <v>2</v>
      </c>
      <c r="AM373">
        <v>0</v>
      </c>
      <c r="AN373">
        <v>1820</v>
      </c>
      <c r="AO373">
        <v>0</v>
      </c>
      <c r="AP373">
        <v>0</v>
      </c>
      <c r="AQ373">
        <v>0</v>
      </c>
    </row>
    <row r="374" spans="1:43" x14ac:dyDescent="0.25">
      <c r="A374">
        <v>371</v>
      </c>
      <c r="B374">
        <v>8</v>
      </c>
      <c r="C374">
        <v>8</v>
      </c>
      <c r="D374">
        <v>3</v>
      </c>
      <c r="E374">
        <v>1328</v>
      </c>
      <c r="F374">
        <v>3806</v>
      </c>
      <c r="G374">
        <v>3813</v>
      </c>
      <c r="H374">
        <v>1847</v>
      </c>
      <c r="I374">
        <v>1158</v>
      </c>
      <c r="J374">
        <v>253</v>
      </c>
      <c r="K374">
        <v>98</v>
      </c>
      <c r="L374">
        <v>121</v>
      </c>
      <c r="M374">
        <v>165</v>
      </c>
      <c r="N374">
        <v>938</v>
      </c>
      <c r="O374">
        <v>421</v>
      </c>
      <c r="P374">
        <v>380.53437910000002</v>
      </c>
      <c r="Q374">
        <v>49</v>
      </c>
      <c r="R374">
        <v>0.18448139399999999</v>
      </c>
      <c r="S374">
        <v>2274</v>
      </c>
      <c r="T374">
        <v>157</v>
      </c>
      <c r="U374">
        <v>794</v>
      </c>
      <c r="V374">
        <v>1070</v>
      </c>
      <c r="W374">
        <v>1162</v>
      </c>
      <c r="X374">
        <v>522</v>
      </c>
      <c r="Y374">
        <v>249</v>
      </c>
      <c r="Z374">
        <v>544</v>
      </c>
      <c r="AA374">
        <v>1245</v>
      </c>
      <c r="AB374">
        <v>5</v>
      </c>
      <c r="AC374">
        <v>71</v>
      </c>
      <c r="AD374">
        <v>160</v>
      </c>
      <c r="AE374">
        <v>0</v>
      </c>
      <c r="AF374">
        <v>0</v>
      </c>
      <c r="AG374">
        <v>4</v>
      </c>
      <c r="AH374">
        <v>2170</v>
      </c>
      <c r="AI374">
        <v>0</v>
      </c>
      <c r="AJ374">
        <v>0</v>
      </c>
      <c r="AK374">
        <v>1.2253799999999999</v>
      </c>
      <c r="AL374">
        <v>3</v>
      </c>
      <c r="AM374">
        <v>0</v>
      </c>
      <c r="AN374">
        <v>1328</v>
      </c>
      <c r="AO374">
        <v>7</v>
      </c>
      <c r="AP374">
        <v>0</v>
      </c>
      <c r="AQ374">
        <v>0</v>
      </c>
    </row>
    <row r="375" spans="1:43" x14ac:dyDescent="0.25">
      <c r="A375">
        <v>372</v>
      </c>
      <c r="B375">
        <v>8</v>
      </c>
      <c r="C375">
        <v>8</v>
      </c>
      <c r="D375">
        <v>3</v>
      </c>
      <c r="E375">
        <v>3071</v>
      </c>
      <c r="F375">
        <v>6446</v>
      </c>
      <c r="G375">
        <v>6463</v>
      </c>
      <c r="H375">
        <v>3811</v>
      </c>
      <c r="I375">
        <v>789</v>
      </c>
      <c r="J375">
        <v>2394</v>
      </c>
      <c r="K375">
        <v>536</v>
      </c>
      <c r="L375">
        <v>385</v>
      </c>
      <c r="M375">
        <v>783</v>
      </c>
      <c r="N375">
        <v>1362</v>
      </c>
      <c r="O375">
        <v>256</v>
      </c>
      <c r="P375">
        <v>97.452486179999994</v>
      </c>
      <c r="Q375">
        <v>166</v>
      </c>
      <c r="R375">
        <v>0.130366656</v>
      </c>
      <c r="S375">
        <v>2834</v>
      </c>
      <c r="T375">
        <v>415</v>
      </c>
      <c r="U375">
        <v>933</v>
      </c>
      <c r="V375">
        <v>2951</v>
      </c>
      <c r="W375">
        <v>1231</v>
      </c>
      <c r="X375">
        <v>692</v>
      </c>
      <c r="Y375">
        <v>742</v>
      </c>
      <c r="Z375">
        <v>421</v>
      </c>
      <c r="AA375">
        <v>1251</v>
      </c>
      <c r="AB375">
        <v>2</v>
      </c>
      <c r="AC375">
        <v>129</v>
      </c>
      <c r="AD375">
        <v>289</v>
      </c>
      <c r="AE375">
        <v>0</v>
      </c>
      <c r="AF375">
        <v>49.449954380000001</v>
      </c>
      <c r="AG375">
        <v>3</v>
      </c>
      <c r="AH375">
        <v>0</v>
      </c>
      <c r="AI375">
        <v>0</v>
      </c>
      <c r="AJ375">
        <v>0</v>
      </c>
      <c r="AK375">
        <v>1.79674</v>
      </c>
      <c r="AL375">
        <v>3</v>
      </c>
      <c r="AM375">
        <v>0</v>
      </c>
      <c r="AN375">
        <v>3071</v>
      </c>
      <c r="AO375">
        <v>17</v>
      </c>
      <c r="AP375">
        <v>0</v>
      </c>
      <c r="AQ375">
        <v>0</v>
      </c>
    </row>
    <row r="376" spans="1:43" x14ac:dyDescent="0.25">
      <c r="A376">
        <v>373</v>
      </c>
      <c r="B376">
        <v>8</v>
      </c>
      <c r="C376">
        <v>8</v>
      </c>
      <c r="D376">
        <v>3</v>
      </c>
      <c r="E376">
        <v>1334</v>
      </c>
      <c r="F376">
        <v>3571</v>
      </c>
      <c r="G376">
        <v>3571</v>
      </c>
      <c r="H376">
        <v>1767</v>
      </c>
      <c r="I376">
        <v>1068</v>
      </c>
      <c r="J376">
        <v>296</v>
      </c>
      <c r="K376">
        <v>226</v>
      </c>
      <c r="L376">
        <v>247</v>
      </c>
      <c r="M376">
        <v>187</v>
      </c>
      <c r="N376">
        <v>671</v>
      </c>
      <c r="O376">
        <v>266</v>
      </c>
      <c r="P376">
        <v>191.26788060000001</v>
      </c>
      <c r="Q376">
        <v>61</v>
      </c>
      <c r="R376">
        <v>0.20579955</v>
      </c>
      <c r="S376">
        <v>2833</v>
      </c>
      <c r="T376">
        <v>204</v>
      </c>
      <c r="U376">
        <v>557</v>
      </c>
      <c r="V376">
        <v>1114</v>
      </c>
      <c r="W376">
        <v>937</v>
      </c>
      <c r="X376">
        <v>652</v>
      </c>
      <c r="Y376">
        <v>182</v>
      </c>
      <c r="Z376">
        <v>1637</v>
      </c>
      <c r="AA376">
        <v>439</v>
      </c>
      <c r="AB376">
        <v>0</v>
      </c>
      <c r="AC376">
        <v>25</v>
      </c>
      <c r="AD376">
        <v>550</v>
      </c>
      <c r="AE376">
        <v>0</v>
      </c>
      <c r="AF376">
        <v>0</v>
      </c>
      <c r="AG376">
        <v>4</v>
      </c>
      <c r="AH376">
        <v>64</v>
      </c>
      <c r="AI376">
        <v>0</v>
      </c>
      <c r="AJ376">
        <v>0</v>
      </c>
      <c r="AK376">
        <v>1.22261</v>
      </c>
      <c r="AL376">
        <v>3</v>
      </c>
      <c r="AM376">
        <v>0</v>
      </c>
      <c r="AN376">
        <v>1334</v>
      </c>
      <c r="AO376">
        <v>0</v>
      </c>
      <c r="AP376">
        <v>0</v>
      </c>
      <c r="AQ376">
        <v>0</v>
      </c>
    </row>
    <row r="377" spans="1:43" x14ac:dyDescent="0.25">
      <c r="A377">
        <v>374</v>
      </c>
      <c r="B377">
        <v>8</v>
      </c>
      <c r="C377">
        <v>8</v>
      </c>
      <c r="D377">
        <v>3</v>
      </c>
      <c r="E377">
        <v>1164</v>
      </c>
      <c r="F377">
        <v>2861</v>
      </c>
      <c r="G377">
        <v>2897</v>
      </c>
      <c r="H377">
        <v>1773</v>
      </c>
      <c r="I377">
        <v>630</v>
      </c>
      <c r="J377">
        <v>662</v>
      </c>
      <c r="K377">
        <v>188</v>
      </c>
      <c r="L377">
        <v>179</v>
      </c>
      <c r="M377">
        <v>266</v>
      </c>
      <c r="N377">
        <v>535</v>
      </c>
      <c r="O377">
        <v>386</v>
      </c>
      <c r="P377">
        <v>166.88700499999999</v>
      </c>
      <c r="Q377">
        <v>227</v>
      </c>
      <c r="R377">
        <v>0.116655196</v>
      </c>
      <c r="S377">
        <v>4096</v>
      </c>
      <c r="T377">
        <v>191</v>
      </c>
      <c r="U377">
        <v>342</v>
      </c>
      <c r="V377">
        <v>1406</v>
      </c>
      <c r="W377">
        <v>670</v>
      </c>
      <c r="X377">
        <v>236</v>
      </c>
      <c r="Y377">
        <v>570</v>
      </c>
      <c r="Z377">
        <v>1025</v>
      </c>
      <c r="AA377">
        <v>931</v>
      </c>
      <c r="AB377">
        <v>4</v>
      </c>
      <c r="AC377">
        <v>723</v>
      </c>
      <c r="AD377">
        <v>843</v>
      </c>
      <c r="AE377">
        <v>0</v>
      </c>
      <c r="AF377">
        <v>0</v>
      </c>
      <c r="AG377">
        <v>2</v>
      </c>
      <c r="AH377">
        <v>50</v>
      </c>
      <c r="AI377">
        <v>0</v>
      </c>
      <c r="AJ377">
        <v>0</v>
      </c>
      <c r="AK377">
        <v>1.6418200000000001</v>
      </c>
      <c r="AL377">
        <v>3</v>
      </c>
      <c r="AM377">
        <v>0</v>
      </c>
      <c r="AN377">
        <v>1164</v>
      </c>
      <c r="AO377">
        <v>36</v>
      </c>
      <c r="AP377">
        <v>0</v>
      </c>
      <c r="AQ377">
        <v>0</v>
      </c>
    </row>
    <row r="378" spans="1:43" x14ac:dyDescent="0.25">
      <c r="A378">
        <v>375</v>
      </c>
      <c r="B378">
        <v>8</v>
      </c>
      <c r="C378">
        <v>8</v>
      </c>
      <c r="D378">
        <v>3</v>
      </c>
      <c r="E378">
        <v>1790</v>
      </c>
      <c r="F378">
        <v>3774</v>
      </c>
      <c r="G378">
        <v>3774</v>
      </c>
      <c r="H378">
        <v>2271</v>
      </c>
      <c r="I378">
        <v>582</v>
      </c>
      <c r="J378">
        <v>1283</v>
      </c>
      <c r="K378">
        <v>462</v>
      </c>
      <c r="L378">
        <v>189</v>
      </c>
      <c r="M378">
        <v>301</v>
      </c>
      <c r="N378">
        <v>828</v>
      </c>
      <c r="O378">
        <v>150</v>
      </c>
      <c r="P378">
        <v>131</v>
      </c>
      <c r="Q378">
        <v>6</v>
      </c>
      <c r="R378">
        <v>0.213166144</v>
      </c>
      <c r="S378">
        <v>417</v>
      </c>
      <c r="T378">
        <v>179</v>
      </c>
      <c r="U378">
        <v>555</v>
      </c>
      <c r="V378">
        <v>1443</v>
      </c>
      <c r="W378">
        <v>818</v>
      </c>
      <c r="X378">
        <v>738</v>
      </c>
      <c r="Y378">
        <v>4</v>
      </c>
      <c r="Z378">
        <v>99</v>
      </c>
      <c r="AA378">
        <v>291</v>
      </c>
      <c r="AB378">
        <v>0</v>
      </c>
      <c r="AC378">
        <v>6</v>
      </c>
      <c r="AD378">
        <v>17</v>
      </c>
      <c r="AE378">
        <v>0</v>
      </c>
      <c r="AF378">
        <v>0</v>
      </c>
      <c r="AG378">
        <v>4</v>
      </c>
      <c r="AH378">
        <v>0</v>
      </c>
      <c r="AI378">
        <v>0</v>
      </c>
      <c r="AJ378">
        <v>0</v>
      </c>
      <c r="AK378">
        <v>1.3753299999999999</v>
      </c>
      <c r="AL378">
        <v>3</v>
      </c>
      <c r="AM378">
        <v>0</v>
      </c>
      <c r="AN378">
        <v>1790</v>
      </c>
      <c r="AO378">
        <v>0</v>
      </c>
      <c r="AP378">
        <v>0</v>
      </c>
      <c r="AQ378">
        <v>0</v>
      </c>
    </row>
    <row r="379" spans="1:43" x14ac:dyDescent="0.25">
      <c r="A379">
        <v>376</v>
      </c>
      <c r="B379">
        <v>8</v>
      </c>
      <c r="C379">
        <v>8</v>
      </c>
      <c r="D379">
        <v>3</v>
      </c>
      <c r="E379">
        <v>1705</v>
      </c>
      <c r="F379">
        <v>4056</v>
      </c>
      <c r="G379">
        <v>4112</v>
      </c>
      <c r="H379">
        <v>2486</v>
      </c>
      <c r="I379">
        <v>1194</v>
      </c>
      <c r="J379">
        <v>695</v>
      </c>
      <c r="K379">
        <v>279</v>
      </c>
      <c r="L379">
        <v>254</v>
      </c>
      <c r="M379">
        <v>294</v>
      </c>
      <c r="N379">
        <v>871</v>
      </c>
      <c r="O379">
        <v>377</v>
      </c>
      <c r="P379">
        <v>267.70690830000001</v>
      </c>
      <c r="Q379">
        <v>100</v>
      </c>
      <c r="R379">
        <v>0.16412859599999999</v>
      </c>
      <c r="S379">
        <v>2714</v>
      </c>
      <c r="T379">
        <v>200</v>
      </c>
      <c r="U379">
        <v>626</v>
      </c>
      <c r="V379">
        <v>1526</v>
      </c>
      <c r="W379">
        <v>1143</v>
      </c>
      <c r="X379">
        <v>548</v>
      </c>
      <c r="Y379">
        <v>92</v>
      </c>
      <c r="Z379">
        <v>1101</v>
      </c>
      <c r="AA379">
        <v>518</v>
      </c>
      <c r="AB379">
        <v>23</v>
      </c>
      <c r="AC379">
        <v>580</v>
      </c>
      <c r="AD379">
        <v>400</v>
      </c>
      <c r="AE379">
        <v>0</v>
      </c>
      <c r="AF379">
        <v>0</v>
      </c>
      <c r="AG379">
        <v>4</v>
      </c>
      <c r="AH379">
        <v>0</v>
      </c>
      <c r="AI379">
        <v>0</v>
      </c>
      <c r="AJ379">
        <v>0</v>
      </c>
      <c r="AK379">
        <v>1.4536800000000001</v>
      </c>
      <c r="AL379">
        <v>3</v>
      </c>
      <c r="AM379">
        <v>0</v>
      </c>
      <c r="AN379">
        <v>1705</v>
      </c>
      <c r="AO379">
        <v>56</v>
      </c>
      <c r="AP379">
        <v>0</v>
      </c>
      <c r="AQ379">
        <v>0</v>
      </c>
    </row>
    <row r="380" spans="1:43" x14ac:dyDescent="0.25">
      <c r="A380">
        <v>377</v>
      </c>
      <c r="B380">
        <v>8</v>
      </c>
      <c r="C380">
        <v>8</v>
      </c>
      <c r="D380">
        <v>3</v>
      </c>
      <c r="E380">
        <v>2778</v>
      </c>
      <c r="F380">
        <v>5724</v>
      </c>
      <c r="G380">
        <v>5750</v>
      </c>
      <c r="H380">
        <v>3636</v>
      </c>
      <c r="I380">
        <v>1208</v>
      </c>
      <c r="J380">
        <v>1525</v>
      </c>
      <c r="K380">
        <v>277</v>
      </c>
      <c r="L380">
        <v>635</v>
      </c>
      <c r="M380">
        <v>640</v>
      </c>
      <c r="N380">
        <v>1220</v>
      </c>
      <c r="O380">
        <v>400</v>
      </c>
      <c r="P380">
        <v>267.29799989999998</v>
      </c>
      <c r="Q380">
        <v>129</v>
      </c>
      <c r="R380">
        <v>0.14293352300000001</v>
      </c>
      <c r="S380">
        <v>3040</v>
      </c>
      <c r="T380">
        <v>378</v>
      </c>
      <c r="U380">
        <v>460</v>
      </c>
      <c r="V380">
        <v>2530</v>
      </c>
      <c r="W380">
        <v>1431</v>
      </c>
      <c r="X380">
        <v>669</v>
      </c>
      <c r="Y380">
        <v>31</v>
      </c>
      <c r="Z380">
        <v>737</v>
      </c>
      <c r="AA380">
        <v>236</v>
      </c>
      <c r="AB380">
        <v>2</v>
      </c>
      <c r="AC380">
        <v>274</v>
      </c>
      <c r="AD380">
        <v>1760</v>
      </c>
      <c r="AE380">
        <v>0</v>
      </c>
      <c r="AF380">
        <v>0</v>
      </c>
      <c r="AG380">
        <v>4</v>
      </c>
      <c r="AH380">
        <v>0</v>
      </c>
      <c r="AI380">
        <v>0</v>
      </c>
      <c r="AJ380">
        <v>0</v>
      </c>
      <c r="AK380">
        <v>1.3145899999999999</v>
      </c>
      <c r="AL380">
        <v>3</v>
      </c>
      <c r="AM380">
        <v>0</v>
      </c>
      <c r="AN380">
        <v>2778</v>
      </c>
      <c r="AO380">
        <v>26</v>
      </c>
      <c r="AP380">
        <v>0</v>
      </c>
      <c r="AQ380">
        <v>0</v>
      </c>
    </row>
    <row r="381" spans="1:43" x14ac:dyDescent="0.25">
      <c r="A381">
        <v>378</v>
      </c>
      <c r="B381">
        <v>8</v>
      </c>
      <c r="C381">
        <v>8</v>
      </c>
      <c r="D381">
        <v>3</v>
      </c>
      <c r="E381">
        <v>1757</v>
      </c>
      <c r="F381">
        <v>3616</v>
      </c>
      <c r="G381">
        <v>3654</v>
      </c>
      <c r="H381">
        <v>2342</v>
      </c>
      <c r="I381">
        <v>557</v>
      </c>
      <c r="J381">
        <v>1227</v>
      </c>
      <c r="K381">
        <v>237</v>
      </c>
      <c r="L381">
        <v>257</v>
      </c>
      <c r="M381">
        <v>318</v>
      </c>
      <c r="N381">
        <v>940</v>
      </c>
      <c r="O381">
        <v>248</v>
      </c>
      <c r="P381">
        <v>154.46451429999999</v>
      </c>
      <c r="Q381">
        <v>82</v>
      </c>
      <c r="R381">
        <v>0.12672176299999999</v>
      </c>
      <c r="S381">
        <v>7143</v>
      </c>
      <c r="T381">
        <v>218</v>
      </c>
      <c r="U381">
        <v>385</v>
      </c>
      <c r="V381">
        <v>1859</v>
      </c>
      <c r="W381">
        <v>713</v>
      </c>
      <c r="X381">
        <v>362</v>
      </c>
      <c r="Y381">
        <v>146</v>
      </c>
      <c r="Z381">
        <v>3588</v>
      </c>
      <c r="AA381">
        <v>2171</v>
      </c>
      <c r="AB381">
        <v>4</v>
      </c>
      <c r="AC381">
        <v>132</v>
      </c>
      <c r="AD381">
        <v>1102</v>
      </c>
      <c r="AE381">
        <v>0</v>
      </c>
      <c r="AF381">
        <v>0</v>
      </c>
      <c r="AG381">
        <v>3</v>
      </c>
      <c r="AH381">
        <v>0</v>
      </c>
      <c r="AI381">
        <v>0</v>
      </c>
      <c r="AJ381">
        <v>0</v>
      </c>
      <c r="AK381">
        <v>2.15212</v>
      </c>
      <c r="AL381">
        <v>3</v>
      </c>
      <c r="AM381">
        <v>0</v>
      </c>
      <c r="AN381">
        <v>1757</v>
      </c>
      <c r="AO381">
        <v>38</v>
      </c>
      <c r="AP381">
        <v>0</v>
      </c>
      <c r="AQ381">
        <v>0</v>
      </c>
    </row>
    <row r="382" spans="1:43" x14ac:dyDescent="0.25">
      <c r="A382">
        <v>379</v>
      </c>
      <c r="B382">
        <v>8</v>
      </c>
      <c r="C382">
        <v>8</v>
      </c>
      <c r="D382">
        <v>3</v>
      </c>
      <c r="E382">
        <v>2405</v>
      </c>
      <c r="F382">
        <v>5211</v>
      </c>
      <c r="G382">
        <v>5230</v>
      </c>
      <c r="H382">
        <v>3387</v>
      </c>
      <c r="I382">
        <v>734</v>
      </c>
      <c r="J382">
        <v>1986</v>
      </c>
      <c r="K382">
        <v>450</v>
      </c>
      <c r="L382">
        <v>541</v>
      </c>
      <c r="M382">
        <v>431</v>
      </c>
      <c r="N382">
        <v>991</v>
      </c>
      <c r="O382">
        <v>240</v>
      </c>
      <c r="P382">
        <v>196.32751390000001</v>
      </c>
      <c r="Q382">
        <v>33</v>
      </c>
      <c r="R382">
        <v>9.1144389000000006E-2</v>
      </c>
      <c r="S382">
        <v>584</v>
      </c>
      <c r="T382">
        <v>336</v>
      </c>
      <c r="U382">
        <v>553</v>
      </c>
      <c r="V382">
        <v>3206</v>
      </c>
      <c r="W382">
        <v>858</v>
      </c>
      <c r="X382">
        <v>323</v>
      </c>
      <c r="Y382">
        <v>18</v>
      </c>
      <c r="Z382">
        <v>71</v>
      </c>
      <c r="AA382">
        <v>416</v>
      </c>
      <c r="AB382">
        <v>6</v>
      </c>
      <c r="AC382">
        <v>18</v>
      </c>
      <c r="AD382">
        <v>55</v>
      </c>
      <c r="AE382">
        <v>0</v>
      </c>
      <c r="AF382">
        <v>0</v>
      </c>
      <c r="AG382">
        <v>3</v>
      </c>
      <c r="AH382">
        <v>150</v>
      </c>
      <c r="AI382">
        <v>0</v>
      </c>
      <c r="AJ382">
        <v>0</v>
      </c>
      <c r="AK382">
        <v>1.4759800000000001</v>
      </c>
      <c r="AL382">
        <v>3</v>
      </c>
      <c r="AM382">
        <v>0</v>
      </c>
      <c r="AN382">
        <v>2405</v>
      </c>
      <c r="AO382">
        <v>19</v>
      </c>
      <c r="AP382">
        <v>0</v>
      </c>
      <c r="AQ382">
        <v>0</v>
      </c>
    </row>
    <row r="383" spans="1:43" x14ac:dyDescent="0.25">
      <c r="A383">
        <v>380</v>
      </c>
      <c r="B383">
        <v>8</v>
      </c>
      <c r="C383">
        <v>8</v>
      </c>
      <c r="D383">
        <v>3</v>
      </c>
      <c r="E383">
        <v>2213</v>
      </c>
      <c r="F383">
        <v>4888</v>
      </c>
      <c r="G383">
        <v>4951</v>
      </c>
      <c r="H383">
        <v>3235</v>
      </c>
      <c r="I383">
        <v>51</v>
      </c>
      <c r="J383">
        <v>2347</v>
      </c>
      <c r="K383">
        <v>553</v>
      </c>
      <c r="L383">
        <v>399</v>
      </c>
      <c r="M383">
        <v>370</v>
      </c>
      <c r="N383">
        <v>878</v>
      </c>
      <c r="O383">
        <v>129</v>
      </c>
      <c r="P383">
        <v>82.614955980000005</v>
      </c>
      <c r="Q383">
        <v>19</v>
      </c>
      <c r="R383">
        <v>3.2482125000000001E-2</v>
      </c>
      <c r="S383">
        <v>318</v>
      </c>
      <c r="T383">
        <v>409</v>
      </c>
      <c r="U383">
        <v>748</v>
      </c>
      <c r="V383">
        <v>2884</v>
      </c>
      <c r="W383">
        <v>588</v>
      </c>
      <c r="X383">
        <v>154</v>
      </c>
      <c r="Y383">
        <v>48</v>
      </c>
      <c r="Z383">
        <v>37</v>
      </c>
      <c r="AA383">
        <v>163</v>
      </c>
      <c r="AB383">
        <v>0</v>
      </c>
      <c r="AC383">
        <v>11</v>
      </c>
      <c r="AD383">
        <v>59</v>
      </c>
      <c r="AE383">
        <v>0</v>
      </c>
      <c r="AF383">
        <v>0</v>
      </c>
      <c r="AG383">
        <v>3</v>
      </c>
      <c r="AH383">
        <v>0</v>
      </c>
      <c r="AI383">
        <v>0</v>
      </c>
      <c r="AJ383">
        <v>0</v>
      </c>
      <c r="AK383">
        <v>1.96662</v>
      </c>
      <c r="AL383">
        <v>3</v>
      </c>
      <c r="AM383">
        <v>0</v>
      </c>
      <c r="AN383">
        <v>2213</v>
      </c>
      <c r="AO383">
        <v>63</v>
      </c>
      <c r="AP383">
        <v>0</v>
      </c>
      <c r="AQ383">
        <v>0</v>
      </c>
    </row>
    <row r="384" spans="1:43" x14ac:dyDescent="0.25">
      <c r="A384">
        <v>381</v>
      </c>
      <c r="B384">
        <v>8</v>
      </c>
      <c r="C384">
        <v>8</v>
      </c>
      <c r="D384">
        <v>3</v>
      </c>
      <c r="E384">
        <v>2436</v>
      </c>
      <c r="F384">
        <v>5929</v>
      </c>
      <c r="G384">
        <v>5929</v>
      </c>
      <c r="H384">
        <v>3103</v>
      </c>
      <c r="I384">
        <v>1374</v>
      </c>
      <c r="J384">
        <v>1158</v>
      </c>
      <c r="K384">
        <v>486</v>
      </c>
      <c r="L384">
        <v>242</v>
      </c>
      <c r="M384">
        <v>512</v>
      </c>
      <c r="N384">
        <v>1198</v>
      </c>
      <c r="O384">
        <v>421</v>
      </c>
      <c r="P384">
        <v>398.3348628</v>
      </c>
      <c r="Q384">
        <v>18</v>
      </c>
      <c r="R384">
        <v>0.14215427899999999</v>
      </c>
      <c r="S384">
        <v>1384</v>
      </c>
      <c r="T384">
        <v>310</v>
      </c>
      <c r="U384">
        <v>1078</v>
      </c>
      <c r="V384">
        <v>1856</v>
      </c>
      <c r="W384">
        <v>1648</v>
      </c>
      <c r="X384">
        <v>653</v>
      </c>
      <c r="Y384">
        <v>202</v>
      </c>
      <c r="Z384">
        <v>219</v>
      </c>
      <c r="AA384">
        <v>531</v>
      </c>
      <c r="AB384">
        <v>1</v>
      </c>
      <c r="AC384">
        <v>148</v>
      </c>
      <c r="AD384">
        <v>283</v>
      </c>
      <c r="AE384">
        <v>0</v>
      </c>
      <c r="AF384">
        <v>0</v>
      </c>
      <c r="AG384">
        <v>4</v>
      </c>
      <c r="AH384">
        <v>0</v>
      </c>
      <c r="AI384">
        <v>0</v>
      </c>
      <c r="AJ384">
        <v>0</v>
      </c>
      <c r="AK384">
        <v>2.2295699999999998</v>
      </c>
      <c r="AL384">
        <v>3</v>
      </c>
      <c r="AM384">
        <v>0</v>
      </c>
      <c r="AN384">
        <v>2436</v>
      </c>
      <c r="AO384">
        <v>0</v>
      </c>
      <c r="AP384">
        <v>0</v>
      </c>
      <c r="AQ384">
        <v>0</v>
      </c>
    </row>
    <row r="385" spans="1:43" x14ac:dyDescent="0.25">
      <c r="A385">
        <v>382</v>
      </c>
      <c r="B385">
        <v>8</v>
      </c>
      <c r="C385">
        <v>8</v>
      </c>
      <c r="D385">
        <v>3</v>
      </c>
      <c r="E385">
        <v>1120</v>
      </c>
      <c r="F385">
        <v>3084</v>
      </c>
      <c r="G385">
        <v>3090</v>
      </c>
      <c r="H385">
        <v>1561</v>
      </c>
      <c r="I385">
        <v>755</v>
      </c>
      <c r="J385">
        <v>396</v>
      </c>
      <c r="K385">
        <v>85</v>
      </c>
      <c r="L385">
        <v>215</v>
      </c>
      <c r="M385">
        <v>193</v>
      </c>
      <c r="N385">
        <v>625</v>
      </c>
      <c r="O385">
        <v>223</v>
      </c>
      <c r="P385">
        <v>168.1055193</v>
      </c>
      <c r="Q385">
        <v>30</v>
      </c>
      <c r="R385">
        <v>0.187560739</v>
      </c>
      <c r="S385">
        <v>352</v>
      </c>
      <c r="T385">
        <v>190</v>
      </c>
      <c r="U385">
        <v>664</v>
      </c>
      <c r="V385">
        <v>997</v>
      </c>
      <c r="W385">
        <v>719</v>
      </c>
      <c r="X385">
        <v>435</v>
      </c>
      <c r="Y385">
        <v>19</v>
      </c>
      <c r="Z385">
        <v>75</v>
      </c>
      <c r="AA385">
        <v>232</v>
      </c>
      <c r="AB385">
        <v>1</v>
      </c>
      <c r="AC385">
        <v>13</v>
      </c>
      <c r="AD385">
        <v>12</v>
      </c>
      <c r="AE385">
        <v>0</v>
      </c>
      <c r="AF385">
        <v>0</v>
      </c>
      <c r="AG385">
        <v>4</v>
      </c>
      <c r="AH385">
        <v>0</v>
      </c>
      <c r="AI385">
        <v>0</v>
      </c>
      <c r="AJ385">
        <v>0</v>
      </c>
      <c r="AK385">
        <v>1.2453099999999999</v>
      </c>
      <c r="AL385">
        <v>3</v>
      </c>
      <c r="AM385">
        <v>0</v>
      </c>
      <c r="AN385">
        <v>1120</v>
      </c>
      <c r="AO385">
        <v>6</v>
      </c>
      <c r="AP385">
        <v>0</v>
      </c>
      <c r="AQ385">
        <v>0</v>
      </c>
    </row>
    <row r="386" spans="1:43" x14ac:dyDescent="0.25">
      <c r="A386">
        <v>383</v>
      </c>
      <c r="B386">
        <v>8</v>
      </c>
      <c r="C386">
        <v>8</v>
      </c>
      <c r="D386">
        <v>3</v>
      </c>
      <c r="E386">
        <v>778</v>
      </c>
      <c r="F386">
        <v>2534</v>
      </c>
      <c r="G386">
        <v>2534</v>
      </c>
      <c r="H386">
        <v>1317</v>
      </c>
      <c r="I386">
        <v>740</v>
      </c>
      <c r="J386">
        <v>27</v>
      </c>
      <c r="K386">
        <v>23</v>
      </c>
      <c r="L386">
        <v>63</v>
      </c>
      <c r="M386">
        <v>117</v>
      </c>
      <c r="N386">
        <v>569</v>
      </c>
      <c r="O386">
        <v>330</v>
      </c>
      <c r="P386">
        <v>234</v>
      </c>
      <c r="Q386">
        <v>59</v>
      </c>
      <c r="R386">
        <v>0.156870861</v>
      </c>
      <c r="S386">
        <v>4173</v>
      </c>
      <c r="T386">
        <v>116</v>
      </c>
      <c r="U386">
        <v>694</v>
      </c>
      <c r="V386">
        <v>396</v>
      </c>
      <c r="W386">
        <v>840</v>
      </c>
      <c r="X386">
        <v>317</v>
      </c>
      <c r="Y386">
        <v>119</v>
      </c>
      <c r="Z386">
        <v>296</v>
      </c>
      <c r="AA386">
        <v>3402</v>
      </c>
      <c r="AB386">
        <v>3</v>
      </c>
      <c r="AC386">
        <v>106</v>
      </c>
      <c r="AD386">
        <v>247</v>
      </c>
      <c r="AE386">
        <v>0</v>
      </c>
      <c r="AF386">
        <v>0</v>
      </c>
      <c r="AG386">
        <v>4</v>
      </c>
      <c r="AH386">
        <v>1775</v>
      </c>
      <c r="AI386">
        <v>0</v>
      </c>
      <c r="AJ386">
        <v>0</v>
      </c>
      <c r="AK386">
        <v>1.54558</v>
      </c>
      <c r="AL386">
        <v>3</v>
      </c>
      <c r="AM386">
        <v>0</v>
      </c>
      <c r="AN386">
        <v>778</v>
      </c>
      <c r="AO386">
        <v>0</v>
      </c>
      <c r="AP386">
        <v>0</v>
      </c>
      <c r="AQ386">
        <v>0</v>
      </c>
    </row>
    <row r="387" spans="1:43" x14ac:dyDescent="0.25">
      <c r="A387">
        <v>384</v>
      </c>
      <c r="B387">
        <v>8</v>
      </c>
      <c r="C387">
        <v>8</v>
      </c>
      <c r="D387">
        <v>3</v>
      </c>
      <c r="E387">
        <v>1657</v>
      </c>
      <c r="F387">
        <v>5044</v>
      </c>
      <c r="G387">
        <v>5050</v>
      </c>
      <c r="H387">
        <v>1990</v>
      </c>
      <c r="I387">
        <v>1635</v>
      </c>
      <c r="J387">
        <v>15</v>
      </c>
      <c r="K387">
        <v>121</v>
      </c>
      <c r="L387">
        <v>170</v>
      </c>
      <c r="M387">
        <v>208</v>
      </c>
      <c r="N387">
        <v>1146</v>
      </c>
      <c r="O387">
        <v>637</v>
      </c>
      <c r="P387">
        <v>621.68449620000001</v>
      </c>
      <c r="Q387">
        <v>17</v>
      </c>
      <c r="R387">
        <v>0.25773195900000001</v>
      </c>
      <c r="S387">
        <v>841</v>
      </c>
      <c r="T387">
        <v>180</v>
      </c>
      <c r="U387">
        <v>1159</v>
      </c>
      <c r="V387">
        <v>956</v>
      </c>
      <c r="W387">
        <v>1534</v>
      </c>
      <c r="X387">
        <v>984</v>
      </c>
      <c r="Y387">
        <v>35</v>
      </c>
      <c r="Z387">
        <v>201</v>
      </c>
      <c r="AA387">
        <v>536</v>
      </c>
      <c r="AB387">
        <v>7</v>
      </c>
      <c r="AC387">
        <v>21</v>
      </c>
      <c r="AD387">
        <v>41</v>
      </c>
      <c r="AE387">
        <v>0</v>
      </c>
      <c r="AF387">
        <v>0</v>
      </c>
      <c r="AG387">
        <v>4</v>
      </c>
      <c r="AH387">
        <v>0</v>
      </c>
      <c r="AI387">
        <v>0</v>
      </c>
      <c r="AJ387">
        <v>0</v>
      </c>
      <c r="AK387">
        <v>1.06165</v>
      </c>
      <c r="AL387">
        <v>2</v>
      </c>
      <c r="AM387">
        <v>0</v>
      </c>
      <c r="AN387">
        <v>1657</v>
      </c>
      <c r="AO387">
        <v>6</v>
      </c>
      <c r="AP387">
        <v>0</v>
      </c>
      <c r="AQ387">
        <v>0</v>
      </c>
    </row>
    <row r="388" spans="1:43" x14ac:dyDescent="0.25">
      <c r="A388">
        <v>385</v>
      </c>
      <c r="B388">
        <v>8</v>
      </c>
      <c r="C388">
        <v>8</v>
      </c>
      <c r="D388">
        <v>3</v>
      </c>
      <c r="E388">
        <v>1015</v>
      </c>
      <c r="F388">
        <v>2867</v>
      </c>
      <c r="G388">
        <v>2867</v>
      </c>
      <c r="H388">
        <v>1142</v>
      </c>
      <c r="I388">
        <v>1033</v>
      </c>
      <c r="J388">
        <v>0</v>
      </c>
      <c r="K388">
        <v>90</v>
      </c>
      <c r="L388">
        <v>119</v>
      </c>
      <c r="M388">
        <v>119</v>
      </c>
      <c r="N388">
        <v>691</v>
      </c>
      <c r="O388">
        <v>631</v>
      </c>
      <c r="P388">
        <v>506.19618300000002</v>
      </c>
      <c r="Q388">
        <v>5</v>
      </c>
      <c r="R388">
        <v>0.27324142800000001</v>
      </c>
      <c r="S388">
        <v>408</v>
      </c>
      <c r="T388">
        <v>114</v>
      </c>
      <c r="U388">
        <v>669</v>
      </c>
      <c r="V388">
        <v>451</v>
      </c>
      <c r="W388">
        <v>839</v>
      </c>
      <c r="X388">
        <v>692</v>
      </c>
      <c r="Y388">
        <v>11</v>
      </c>
      <c r="Z388">
        <v>198</v>
      </c>
      <c r="AA388">
        <v>125</v>
      </c>
      <c r="AB388">
        <v>2</v>
      </c>
      <c r="AC388">
        <v>28</v>
      </c>
      <c r="AD388">
        <v>44</v>
      </c>
      <c r="AE388">
        <v>0</v>
      </c>
      <c r="AF388">
        <v>0</v>
      </c>
      <c r="AG388">
        <v>5</v>
      </c>
      <c r="AH388">
        <v>8</v>
      </c>
      <c r="AI388">
        <v>0</v>
      </c>
      <c r="AJ388">
        <v>0</v>
      </c>
      <c r="AK388">
        <v>1.02199</v>
      </c>
      <c r="AL388">
        <v>1</v>
      </c>
      <c r="AM388">
        <v>0</v>
      </c>
      <c r="AN388">
        <v>1015</v>
      </c>
      <c r="AO388">
        <v>0</v>
      </c>
      <c r="AP388">
        <v>0</v>
      </c>
      <c r="AQ388">
        <v>0</v>
      </c>
    </row>
    <row r="389" spans="1:43" x14ac:dyDescent="0.25">
      <c r="A389">
        <v>386</v>
      </c>
      <c r="B389">
        <v>8</v>
      </c>
      <c r="C389">
        <v>8</v>
      </c>
      <c r="D389">
        <v>3</v>
      </c>
      <c r="E389">
        <v>1048</v>
      </c>
      <c r="F389">
        <v>3113</v>
      </c>
      <c r="G389">
        <v>3113</v>
      </c>
      <c r="H389">
        <v>1226</v>
      </c>
      <c r="I389">
        <v>1061</v>
      </c>
      <c r="J389">
        <v>7</v>
      </c>
      <c r="K389">
        <v>197</v>
      </c>
      <c r="L389">
        <v>91</v>
      </c>
      <c r="M389">
        <v>114</v>
      </c>
      <c r="N389">
        <v>647</v>
      </c>
      <c r="O389">
        <v>476</v>
      </c>
      <c r="P389">
        <v>360.23738850000001</v>
      </c>
      <c r="Q389">
        <v>15</v>
      </c>
      <c r="R389">
        <v>0.30461966000000001</v>
      </c>
      <c r="S389">
        <v>214</v>
      </c>
      <c r="T389">
        <v>149</v>
      </c>
      <c r="U389">
        <v>584</v>
      </c>
      <c r="V389">
        <v>436</v>
      </c>
      <c r="W389">
        <v>858</v>
      </c>
      <c r="X389">
        <v>785</v>
      </c>
      <c r="Y389">
        <v>3</v>
      </c>
      <c r="Z389">
        <v>74</v>
      </c>
      <c r="AA389">
        <v>93</v>
      </c>
      <c r="AB389">
        <v>1</v>
      </c>
      <c r="AC389">
        <v>25</v>
      </c>
      <c r="AD389">
        <v>18</v>
      </c>
      <c r="AE389">
        <v>0</v>
      </c>
      <c r="AF389">
        <v>0</v>
      </c>
      <c r="AG389">
        <v>4</v>
      </c>
      <c r="AH389">
        <v>0</v>
      </c>
      <c r="AI389">
        <v>0</v>
      </c>
      <c r="AJ389">
        <v>0</v>
      </c>
      <c r="AK389">
        <v>1.0459400000000001</v>
      </c>
      <c r="AL389">
        <v>1</v>
      </c>
      <c r="AM389">
        <v>0</v>
      </c>
      <c r="AN389">
        <v>1048</v>
      </c>
      <c r="AO389">
        <v>0</v>
      </c>
      <c r="AP389">
        <v>0</v>
      </c>
      <c r="AQ389">
        <v>0</v>
      </c>
    </row>
    <row r="390" spans="1:43" x14ac:dyDescent="0.25">
      <c r="A390">
        <v>387</v>
      </c>
      <c r="B390">
        <v>8</v>
      </c>
      <c r="C390">
        <v>8</v>
      </c>
      <c r="D390">
        <v>3</v>
      </c>
      <c r="E390">
        <v>1376</v>
      </c>
      <c r="F390">
        <v>4283</v>
      </c>
      <c r="G390">
        <v>4297</v>
      </c>
      <c r="H390">
        <v>2003</v>
      </c>
      <c r="I390">
        <v>1383</v>
      </c>
      <c r="J390">
        <v>8</v>
      </c>
      <c r="K390">
        <v>120</v>
      </c>
      <c r="L390">
        <v>62</v>
      </c>
      <c r="M390">
        <v>181</v>
      </c>
      <c r="N390">
        <v>1018</v>
      </c>
      <c r="O390">
        <v>461</v>
      </c>
      <c r="P390">
        <v>442.40487039999999</v>
      </c>
      <c r="Q390">
        <v>10</v>
      </c>
      <c r="R390">
        <v>0.205370102</v>
      </c>
      <c r="S390">
        <v>925</v>
      </c>
      <c r="T390">
        <v>168</v>
      </c>
      <c r="U390">
        <v>1006</v>
      </c>
      <c r="V390">
        <v>955</v>
      </c>
      <c r="W390">
        <v>1250</v>
      </c>
      <c r="X390">
        <v>636</v>
      </c>
      <c r="Y390">
        <v>169</v>
      </c>
      <c r="Z390">
        <v>129</v>
      </c>
      <c r="AA390">
        <v>419</v>
      </c>
      <c r="AB390">
        <v>2</v>
      </c>
      <c r="AC390">
        <v>93</v>
      </c>
      <c r="AD390">
        <v>113</v>
      </c>
      <c r="AE390">
        <v>0</v>
      </c>
      <c r="AF390">
        <v>0</v>
      </c>
      <c r="AG390">
        <v>4</v>
      </c>
      <c r="AH390">
        <v>0</v>
      </c>
      <c r="AI390">
        <v>0</v>
      </c>
      <c r="AJ390">
        <v>0</v>
      </c>
      <c r="AK390">
        <v>1.11019</v>
      </c>
      <c r="AL390">
        <v>3</v>
      </c>
      <c r="AM390">
        <v>0</v>
      </c>
      <c r="AN390">
        <v>1376</v>
      </c>
      <c r="AO390">
        <v>14</v>
      </c>
      <c r="AP390">
        <v>0</v>
      </c>
      <c r="AQ390">
        <v>0</v>
      </c>
    </row>
    <row r="391" spans="1:43" x14ac:dyDescent="0.25">
      <c r="A391">
        <v>388</v>
      </c>
      <c r="B391">
        <v>8</v>
      </c>
      <c r="C391">
        <v>8</v>
      </c>
      <c r="D391">
        <v>3</v>
      </c>
      <c r="E391">
        <v>2044</v>
      </c>
      <c r="F391">
        <v>5981</v>
      </c>
      <c r="G391">
        <v>5981</v>
      </c>
      <c r="H391">
        <v>2782</v>
      </c>
      <c r="I391">
        <v>2054</v>
      </c>
      <c r="J391">
        <v>10</v>
      </c>
      <c r="K391">
        <v>144</v>
      </c>
      <c r="L391">
        <v>180</v>
      </c>
      <c r="M391">
        <v>340</v>
      </c>
      <c r="N391">
        <v>1393</v>
      </c>
      <c r="O391">
        <v>879</v>
      </c>
      <c r="P391">
        <v>764.21180370000002</v>
      </c>
      <c r="Q391">
        <v>100</v>
      </c>
      <c r="R391">
        <v>0.274522822</v>
      </c>
      <c r="S391">
        <v>2141</v>
      </c>
      <c r="T391">
        <v>192</v>
      </c>
      <c r="U391">
        <v>1217</v>
      </c>
      <c r="V391">
        <v>1138</v>
      </c>
      <c r="W391">
        <v>2108</v>
      </c>
      <c r="X391">
        <v>1196</v>
      </c>
      <c r="Y391">
        <v>32</v>
      </c>
      <c r="Z391">
        <v>308</v>
      </c>
      <c r="AA391">
        <v>1495</v>
      </c>
      <c r="AB391">
        <v>3</v>
      </c>
      <c r="AC391">
        <v>99</v>
      </c>
      <c r="AD391">
        <v>204</v>
      </c>
      <c r="AE391">
        <v>0</v>
      </c>
      <c r="AF391">
        <v>0</v>
      </c>
      <c r="AG391">
        <v>4</v>
      </c>
      <c r="AH391">
        <v>2265</v>
      </c>
      <c r="AI391">
        <v>0</v>
      </c>
      <c r="AJ391">
        <v>0</v>
      </c>
      <c r="AK391">
        <v>1.1059699999999999</v>
      </c>
      <c r="AL391">
        <v>3</v>
      </c>
      <c r="AM391">
        <v>0</v>
      </c>
      <c r="AN391">
        <v>2044</v>
      </c>
      <c r="AO391">
        <v>0</v>
      </c>
      <c r="AP391">
        <v>0</v>
      </c>
      <c r="AQ391">
        <v>0</v>
      </c>
    </row>
    <row r="392" spans="1:43" x14ac:dyDescent="0.25">
      <c r="A392">
        <v>389</v>
      </c>
      <c r="B392">
        <v>8</v>
      </c>
      <c r="C392">
        <v>8</v>
      </c>
      <c r="D392">
        <v>3</v>
      </c>
      <c r="E392">
        <v>1851</v>
      </c>
      <c r="F392">
        <v>5146</v>
      </c>
      <c r="G392">
        <v>5158</v>
      </c>
      <c r="H392">
        <v>2295</v>
      </c>
      <c r="I392">
        <v>1529</v>
      </c>
      <c r="J392">
        <v>302</v>
      </c>
      <c r="K392">
        <v>348</v>
      </c>
      <c r="L392">
        <v>198</v>
      </c>
      <c r="M392">
        <v>236</v>
      </c>
      <c r="N392">
        <v>1069</v>
      </c>
      <c r="O392">
        <v>566</v>
      </c>
      <c r="P392">
        <v>434.3742024</v>
      </c>
      <c r="Q392">
        <v>95</v>
      </c>
      <c r="R392">
        <v>0.25153022200000003</v>
      </c>
      <c r="S392">
        <v>1631</v>
      </c>
      <c r="T392">
        <v>182</v>
      </c>
      <c r="U392">
        <v>1119</v>
      </c>
      <c r="V392">
        <v>1265</v>
      </c>
      <c r="W392">
        <v>1559</v>
      </c>
      <c r="X392">
        <v>979</v>
      </c>
      <c r="Y392">
        <v>287</v>
      </c>
      <c r="Z392">
        <v>196</v>
      </c>
      <c r="AA392">
        <v>986</v>
      </c>
      <c r="AB392">
        <v>1</v>
      </c>
      <c r="AC392">
        <v>74</v>
      </c>
      <c r="AD392">
        <v>87</v>
      </c>
      <c r="AE392">
        <v>0</v>
      </c>
      <c r="AF392">
        <v>0</v>
      </c>
      <c r="AG392">
        <v>4</v>
      </c>
      <c r="AH392">
        <v>0</v>
      </c>
      <c r="AI392">
        <v>0</v>
      </c>
      <c r="AJ392">
        <v>0</v>
      </c>
      <c r="AK392">
        <v>1.2132000000000001</v>
      </c>
      <c r="AL392">
        <v>3</v>
      </c>
      <c r="AM392">
        <v>0</v>
      </c>
      <c r="AN392">
        <v>1851</v>
      </c>
      <c r="AO392">
        <v>12</v>
      </c>
      <c r="AP392">
        <v>0</v>
      </c>
      <c r="AQ392">
        <v>0</v>
      </c>
    </row>
    <row r="393" spans="1:43" x14ac:dyDescent="0.25">
      <c r="A393">
        <v>390</v>
      </c>
      <c r="B393">
        <v>8</v>
      </c>
      <c r="C393">
        <v>8</v>
      </c>
      <c r="D393">
        <v>3</v>
      </c>
      <c r="E393">
        <v>1383</v>
      </c>
      <c r="F393">
        <v>3139</v>
      </c>
      <c r="G393">
        <v>3139</v>
      </c>
      <c r="H393">
        <v>1756</v>
      </c>
      <c r="I393">
        <v>857</v>
      </c>
      <c r="J393">
        <v>644</v>
      </c>
      <c r="K393">
        <v>230</v>
      </c>
      <c r="L393">
        <v>206</v>
      </c>
      <c r="M393">
        <v>212</v>
      </c>
      <c r="N393">
        <v>732</v>
      </c>
      <c r="O393">
        <v>267</v>
      </c>
      <c r="P393">
        <v>155</v>
      </c>
      <c r="Q393">
        <v>86</v>
      </c>
      <c r="R393">
        <v>0.15526315800000001</v>
      </c>
      <c r="S393">
        <v>662</v>
      </c>
      <c r="T393">
        <v>180</v>
      </c>
      <c r="U393">
        <v>488</v>
      </c>
      <c r="V393">
        <v>1173</v>
      </c>
      <c r="W393">
        <v>741</v>
      </c>
      <c r="X393">
        <v>372</v>
      </c>
      <c r="Y393">
        <v>22</v>
      </c>
      <c r="Z393">
        <v>149</v>
      </c>
      <c r="AA393">
        <v>227</v>
      </c>
      <c r="AB393">
        <v>1</v>
      </c>
      <c r="AC393">
        <v>219</v>
      </c>
      <c r="AD393">
        <v>44</v>
      </c>
      <c r="AE393">
        <v>0</v>
      </c>
      <c r="AF393">
        <v>0</v>
      </c>
      <c r="AG393">
        <v>3</v>
      </c>
      <c r="AH393">
        <v>0</v>
      </c>
      <c r="AI393">
        <v>0</v>
      </c>
      <c r="AJ393">
        <v>0</v>
      </c>
      <c r="AK393">
        <v>1.2426900000000001</v>
      </c>
      <c r="AL393">
        <v>3</v>
      </c>
      <c r="AM393">
        <v>0</v>
      </c>
      <c r="AN393">
        <v>1383</v>
      </c>
      <c r="AO393">
        <v>0</v>
      </c>
      <c r="AP393">
        <v>0</v>
      </c>
      <c r="AQ393">
        <v>0</v>
      </c>
    </row>
    <row r="394" spans="1:43" x14ac:dyDescent="0.25">
      <c r="A394">
        <v>391</v>
      </c>
      <c r="B394">
        <v>9</v>
      </c>
      <c r="C394">
        <v>9</v>
      </c>
      <c r="D394">
        <v>3</v>
      </c>
      <c r="E394">
        <v>2716</v>
      </c>
      <c r="F394">
        <v>6794</v>
      </c>
      <c r="G394">
        <v>6937</v>
      </c>
      <c r="H394">
        <v>3340</v>
      </c>
      <c r="I394">
        <v>1019</v>
      </c>
      <c r="J394">
        <v>1881</v>
      </c>
      <c r="K394">
        <v>352</v>
      </c>
      <c r="L394">
        <v>438</v>
      </c>
      <c r="M394">
        <v>650</v>
      </c>
      <c r="N394">
        <v>1263</v>
      </c>
      <c r="O394">
        <v>374</v>
      </c>
      <c r="P394">
        <v>290.72606769999999</v>
      </c>
      <c r="Q394">
        <v>37</v>
      </c>
      <c r="R394">
        <v>0.12532124</v>
      </c>
      <c r="S394">
        <v>2542</v>
      </c>
      <c r="T394">
        <v>660</v>
      </c>
      <c r="U394">
        <v>1255</v>
      </c>
      <c r="V394">
        <v>2697</v>
      </c>
      <c r="W394">
        <v>1134</v>
      </c>
      <c r="X394">
        <v>700</v>
      </c>
      <c r="Y394">
        <v>414</v>
      </c>
      <c r="Z394">
        <v>183</v>
      </c>
      <c r="AA394">
        <v>1765</v>
      </c>
      <c r="AB394">
        <v>2</v>
      </c>
      <c r="AC394">
        <v>37</v>
      </c>
      <c r="AD394">
        <v>141</v>
      </c>
      <c r="AE394">
        <v>0</v>
      </c>
      <c r="AF394">
        <v>0</v>
      </c>
      <c r="AG394">
        <v>4</v>
      </c>
      <c r="AH394">
        <v>0</v>
      </c>
      <c r="AI394">
        <v>0</v>
      </c>
      <c r="AJ394">
        <v>0</v>
      </c>
      <c r="AK394">
        <v>1.3803099999999999</v>
      </c>
      <c r="AL394">
        <v>3</v>
      </c>
      <c r="AM394">
        <v>0</v>
      </c>
      <c r="AN394">
        <v>2716</v>
      </c>
      <c r="AO394">
        <v>143</v>
      </c>
      <c r="AP394">
        <v>0</v>
      </c>
      <c r="AQ394">
        <v>0</v>
      </c>
    </row>
    <row r="395" spans="1:43" x14ac:dyDescent="0.25">
      <c r="A395">
        <v>392</v>
      </c>
      <c r="B395">
        <v>9</v>
      </c>
      <c r="C395">
        <v>9</v>
      </c>
      <c r="D395">
        <v>3</v>
      </c>
      <c r="E395">
        <v>2383</v>
      </c>
      <c r="F395">
        <v>5486</v>
      </c>
      <c r="G395">
        <v>5487</v>
      </c>
      <c r="H395">
        <v>3579</v>
      </c>
      <c r="I395">
        <v>232</v>
      </c>
      <c r="J395">
        <v>2160</v>
      </c>
      <c r="K395">
        <v>251</v>
      </c>
      <c r="L395">
        <v>629</v>
      </c>
      <c r="M395">
        <v>493</v>
      </c>
      <c r="N395">
        <v>1014</v>
      </c>
      <c r="O395">
        <v>99</v>
      </c>
      <c r="P395">
        <v>79</v>
      </c>
      <c r="Q395">
        <v>17</v>
      </c>
      <c r="R395">
        <v>6.7023633999999999E-2</v>
      </c>
      <c r="S395">
        <v>455</v>
      </c>
      <c r="T395">
        <v>580</v>
      </c>
      <c r="U395">
        <v>588</v>
      </c>
      <c r="V395">
        <v>3178</v>
      </c>
      <c r="W395">
        <v>705</v>
      </c>
      <c r="X395">
        <v>225</v>
      </c>
      <c r="Y395">
        <v>36</v>
      </c>
      <c r="Z395">
        <v>81</v>
      </c>
      <c r="AA395">
        <v>310</v>
      </c>
      <c r="AB395">
        <v>0</v>
      </c>
      <c r="AC395">
        <v>11</v>
      </c>
      <c r="AD395">
        <v>17</v>
      </c>
      <c r="AE395">
        <v>0</v>
      </c>
      <c r="AF395">
        <v>0</v>
      </c>
      <c r="AG395">
        <v>4</v>
      </c>
      <c r="AH395">
        <v>0</v>
      </c>
      <c r="AI395">
        <v>0</v>
      </c>
      <c r="AJ395">
        <v>0</v>
      </c>
      <c r="AK395">
        <v>1.9207099999999999</v>
      </c>
      <c r="AL395">
        <v>3</v>
      </c>
      <c r="AM395">
        <v>0</v>
      </c>
      <c r="AN395">
        <v>2383</v>
      </c>
      <c r="AO395">
        <v>1</v>
      </c>
      <c r="AP395">
        <v>0</v>
      </c>
      <c r="AQ395">
        <v>0</v>
      </c>
    </row>
    <row r="396" spans="1:43" x14ac:dyDescent="0.25">
      <c r="A396">
        <v>393</v>
      </c>
      <c r="B396">
        <v>9</v>
      </c>
      <c r="C396">
        <v>9</v>
      </c>
      <c r="D396">
        <v>3</v>
      </c>
      <c r="E396">
        <v>2019</v>
      </c>
      <c r="F396">
        <v>4188</v>
      </c>
      <c r="G396">
        <v>4189</v>
      </c>
      <c r="H396">
        <v>2592</v>
      </c>
      <c r="I396">
        <v>618</v>
      </c>
      <c r="J396">
        <v>1388</v>
      </c>
      <c r="K396">
        <v>340</v>
      </c>
      <c r="L396">
        <v>408</v>
      </c>
      <c r="M396">
        <v>506</v>
      </c>
      <c r="N396">
        <v>769</v>
      </c>
      <c r="O396">
        <v>241</v>
      </c>
      <c r="P396">
        <v>185.2720741</v>
      </c>
      <c r="Q396">
        <v>54</v>
      </c>
      <c r="R396">
        <v>0.150562852</v>
      </c>
      <c r="S396">
        <v>977</v>
      </c>
      <c r="T396">
        <v>213</v>
      </c>
      <c r="U396">
        <v>437</v>
      </c>
      <c r="V396">
        <v>2159</v>
      </c>
      <c r="W396">
        <v>812</v>
      </c>
      <c r="X396">
        <v>535</v>
      </c>
      <c r="Y396">
        <v>62</v>
      </c>
      <c r="Z396">
        <v>81</v>
      </c>
      <c r="AA396">
        <v>397</v>
      </c>
      <c r="AB396">
        <v>1</v>
      </c>
      <c r="AC396">
        <v>347</v>
      </c>
      <c r="AD396">
        <v>89</v>
      </c>
      <c r="AE396">
        <v>0</v>
      </c>
      <c r="AF396">
        <v>0</v>
      </c>
      <c r="AG396">
        <v>4</v>
      </c>
      <c r="AH396">
        <v>2</v>
      </c>
      <c r="AI396">
        <v>0</v>
      </c>
      <c r="AJ396">
        <v>0</v>
      </c>
      <c r="AK396">
        <v>1.4133899999999999</v>
      </c>
      <c r="AL396">
        <v>3</v>
      </c>
      <c r="AM396">
        <v>0</v>
      </c>
      <c r="AN396">
        <v>2019</v>
      </c>
      <c r="AO396">
        <v>1</v>
      </c>
      <c r="AP396">
        <v>0</v>
      </c>
      <c r="AQ396">
        <v>0</v>
      </c>
    </row>
    <row r="397" spans="1:43" x14ac:dyDescent="0.25">
      <c r="A397">
        <v>394</v>
      </c>
      <c r="B397">
        <v>9</v>
      </c>
      <c r="C397">
        <v>9</v>
      </c>
      <c r="D397">
        <v>3</v>
      </c>
      <c r="E397">
        <v>1469</v>
      </c>
      <c r="F397">
        <v>3907</v>
      </c>
      <c r="G397">
        <v>4083</v>
      </c>
      <c r="H397">
        <v>2299</v>
      </c>
      <c r="I397">
        <v>1273</v>
      </c>
      <c r="J397">
        <v>163</v>
      </c>
      <c r="K397">
        <v>254</v>
      </c>
      <c r="L397">
        <v>155</v>
      </c>
      <c r="M397">
        <v>258</v>
      </c>
      <c r="N397">
        <v>796</v>
      </c>
      <c r="O397">
        <v>334</v>
      </c>
      <c r="P397">
        <v>209.7253393</v>
      </c>
      <c r="Q397">
        <v>86</v>
      </c>
      <c r="R397">
        <v>0.161870504</v>
      </c>
      <c r="S397">
        <v>1110</v>
      </c>
      <c r="T397">
        <v>211</v>
      </c>
      <c r="U397">
        <v>631</v>
      </c>
      <c r="V397">
        <v>1334</v>
      </c>
      <c r="W397">
        <v>1079</v>
      </c>
      <c r="X397">
        <v>536</v>
      </c>
      <c r="Y397">
        <v>23</v>
      </c>
      <c r="Z397">
        <v>145</v>
      </c>
      <c r="AA397">
        <v>672</v>
      </c>
      <c r="AB397">
        <v>2</v>
      </c>
      <c r="AC397">
        <v>49</v>
      </c>
      <c r="AD397">
        <v>219</v>
      </c>
      <c r="AE397">
        <v>0</v>
      </c>
      <c r="AF397">
        <v>0</v>
      </c>
      <c r="AG397">
        <v>3</v>
      </c>
      <c r="AH397">
        <v>0</v>
      </c>
      <c r="AI397">
        <v>0</v>
      </c>
      <c r="AJ397">
        <v>0</v>
      </c>
      <c r="AK397">
        <v>1.5117100000000001</v>
      </c>
      <c r="AL397">
        <v>3</v>
      </c>
      <c r="AM397">
        <v>0</v>
      </c>
      <c r="AN397">
        <v>1469</v>
      </c>
      <c r="AO397">
        <v>176</v>
      </c>
      <c r="AP397">
        <v>0</v>
      </c>
      <c r="AQ397">
        <v>0</v>
      </c>
    </row>
    <row r="398" spans="1:43" x14ac:dyDescent="0.25">
      <c r="A398">
        <v>395</v>
      </c>
      <c r="B398">
        <v>9</v>
      </c>
      <c r="C398">
        <v>9</v>
      </c>
      <c r="D398">
        <v>3</v>
      </c>
      <c r="E398">
        <v>2285</v>
      </c>
      <c r="F398">
        <v>4992</v>
      </c>
      <c r="G398">
        <v>4992</v>
      </c>
      <c r="H398">
        <v>3280</v>
      </c>
      <c r="I398">
        <v>541</v>
      </c>
      <c r="J398">
        <v>1731</v>
      </c>
      <c r="K398">
        <v>199</v>
      </c>
      <c r="L398">
        <v>260</v>
      </c>
      <c r="M398">
        <v>592</v>
      </c>
      <c r="N398">
        <v>1236</v>
      </c>
      <c r="O398">
        <v>392.3</v>
      </c>
      <c r="P398">
        <v>217</v>
      </c>
      <c r="Q398">
        <v>205.94040659999999</v>
      </c>
      <c r="R398">
        <v>9.4541710000000001E-2</v>
      </c>
      <c r="S398">
        <v>9740</v>
      </c>
      <c r="T398">
        <v>383</v>
      </c>
      <c r="U398">
        <v>297</v>
      </c>
      <c r="V398">
        <v>2724</v>
      </c>
      <c r="W398">
        <v>923</v>
      </c>
      <c r="X398">
        <v>388</v>
      </c>
      <c r="Y398">
        <v>27</v>
      </c>
      <c r="Z398">
        <v>4054</v>
      </c>
      <c r="AA398">
        <v>812</v>
      </c>
      <c r="AB398">
        <v>3</v>
      </c>
      <c r="AC398">
        <v>883</v>
      </c>
      <c r="AD398">
        <v>3961</v>
      </c>
      <c r="AE398">
        <v>0</v>
      </c>
      <c r="AF398">
        <v>0</v>
      </c>
      <c r="AG398">
        <v>3</v>
      </c>
      <c r="AH398">
        <v>0</v>
      </c>
      <c r="AI398">
        <v>0</v>
      </c>
      <c r="AJ398">
        <v>0</v>
      </c>
      <c r="AK398">
        <v>1.4254800000000001</v>
      </c>
      <c r="AL398">
        <v>3</v>
      </c>
      <c r="AM398">
        <v>0</v>
      </c>
      <c r="AN398">
        <v>2285</v>
      </c>
      <c r="AO398">
        <v>0</v>
      </c>
      <c r="AP398">
        <v>0</v>
      </c>
      <c r="AQ398">
        <v>0</v>
      </c>
    </row>
    <row r="399" spans="1:43" x14ac:dyDescent="0.25">
      <c r="A399">
        <v>396</v>
      </c>
      <c r="B399">
        <v>9</v>
      </c>
      <c r="C399">
        <v>9</v>
      </c>
      <c r="D399">
        <v>3</v>
      </c>
      <c r="E399">
        <v>5</v>
      </c>
      <c r="F399">
        <v>10</v>
      </c>
      <c r="G399">
        <v>10</v>
      </c>
      <c r="H399">
        <v>10</v>
      </c>
      <c r="I399">
        <v>2</v>
      </c>
      <c r="J399">
        <v>3</v>
      </c>
      <c r="K399">
        <v>0</v>
      </c>
      <c r="L399">
        <v>1</v>
      </c>
      <c r="M399">
        <v>1</v>
      </c>
      <c r="N399">
        <v>3</v>
      </c>
      <c r="O399">
        <v>377.5</v>
      </c>
      <c r="P399">
        <v>2</v>
      </c>
      <c r="Q399">
        <v>239</v>
      </c>
      <c r="R399">
        <v>0.1</v>
      </c>
      <c r="S399">
        <v>2920</v>
      </c>
      <c r="T399">
        <v>1</v>
      </c>
      <c r="U399">
        <v>1</v>
      </c>
      <c r="V399">
        <v>4</v>
      </c>
      <c r="W399">
        <v>3</v>
      </c>
      <c r="X399">
        <v>1</v>
      </c>
      <c r="Y399">
        <v>8</v>
      </c>
      <c r="Z399">
        <v>953</v>
      </c>
      <c r="AA399">
        <v>398</v>
      </c>
      <c r="AB399">
        <v>2</v>
      </c>
      <c r="AC399">
        <v>731</v>
      </c>
      <c r="AD399">
        <v>828</v>
      </c>
      <c r="AE399">
        <v>0</v>
      </c>
      <c r="AF399">
        <v>0</v>
      </c>
      <c r="AG399">
        <v>2</v>
      </c>
      <c r="AH399">
        <v>0</v>
      </c>
      <c r="AI399">
        <v>0</v>
      </c>
      <c r="AJ399">
        <v>0</v>
      </c>
      <c r="AK399">
        <v>1.4578500000000001</v>
      </c>
      <c r="AL399">
        <v>3</v>
      </c>
      <c r="AM399">
        <v>0</v>
      </c>
      <c r="AN399">
        <v>5</v>
      </c>
      <c r="AO399">
        <v>0</v>
      </c>
      <c r="AP399">
        <v>0</v>
      </c>
      <c r="AQ399">
        <v>0</v>
      </c>
    </row>
    <row r="400" spans="1:43" x14ac:dyDescent="0.25">
      <c r="A400">
        <v>397</v>
      </c>
      <c r="B400">
        <v>9</v>
      </c>
      <c r="C400">
        <v>9</v>
      </c>
      <c r="D400">
        <v>3</v>
      </c>
      <c r="E400">
        <v>973</v>
      </c>
      <c r="F400">
        <v>2481</v>
      </c>
      <c r="G400">
        <v>2481</v>
      </c>
      <c r="H400">
        <v>1806</v>
      </c>
      <c r="I400">
        <v>818</v>
      </c>
      <c r="J400">
        <v>242</v>
      </c>
      <c r="K400">
        <v>59</v>
      </c>
      <c r="L400">
        <v>71</v>
      </c>
      <c r="M400">
        <v>167</v>
      </c>
      <c r="N400">
        <v>681</v>
      </c>
      <c r="O400">
        <v>307.39999999999998</v>
      </c>
      <c r="P400">
        <v>94.586268590000003</v>
      </c>
      <c r="Q400">
        <v>239</v>
      </c>
      <c r="R400">
        <v>7.2712418000000001E-2</v>
      </c>
      <c r="S400">
        <v>2488</v>
      </c>
      <c r="T400">
        <v>111</v>
      </c>
      <c r="U400">
        <v>427</v>
      </c>
      <c r="V400">
        <v>1243</v>
      </c>
      <c r="W400">
        <v>447</v>
      </c>
      <c r="X400">
        <v>165</v>
      </c>
      <c r="Y400">
        <v>70</v>
      </c>
      <c r="Z400">
        <v>1150</v>
      </c>
      <c r="AA400">
        <v>182</v>
      </c>
      <c r="AB400">
        <v>1</v>
      </c>
      <c r="AC400">
        <v>469</v>
      </c>
      <c r="AD400">
        <v>616</v>
      </c>
      <c r="AE400">
        <v>0</v>
      </c>
      <c r="AF400">
        <v>0</v>
      </c>
      <c r="AG400">
        <v>3</v>
      </c>
      <c r="AH400">
        <v>0</v>
      </c>
      <c r="AI400">
        <v>0</v>
      </c>
      <c r="AJ400">
        <v>0</v>
      </c>
      <c r="AK400">
        <v>1.37026</v>
      </c>
      <c r="AL400">
        <v>3</v>
      </c>
      <c r="AM400">
        <v>0</v>
      </c>
      <c r="AN400">
        <v>973</v>
      </c>
      <c r="AO400">
        <v>0</v>
      </c>
      <c r="AP400">
        <v>0</v>
      </c>
      <c r="AQ400">
        <v>0</v>
      </c>
    </row>
    <row r="401" spans="1:43" x14ac:dyDescent="0.25">
      <c r="A401">
        <v>398</v>
      </c>
      <c r="B401">
        <v>9</v>
      </c>
      <c r="C401">
        <v>9</v>
      </c>
      <c r="D401">
        <v>3</v>
      </c>
      <c r="E401">
        <v>1542</v>
      </c>
      <c r="F401">
        <v>4030</v>
      </c>
      <c r="G401">
        <v>4030</v>
      </c>
      <c r="H401">
        <v>2153</v>
      </c>
      <c r="I401">
        <v>566</v>
      </c>
      <c r="J401">
        <v>1095</v>
      </c>
      <c r="K401">
        <v>170</v>
      </c>
      <c r="L401">
        <v>372</v>
      </c>
      <c r="M401">
        <v>248</v>
      </c>
      <c r="N401">
        <v>757</v>
      </c>
      <c r="O401">
        <v>215.7</v>
      </c>
      <c r="P401">
        <v>100.10953430000001</v>
      </c>
      <c r="Q401">
        <v>102</v>
      </c>
      <c r="R401">
        <v>6.0135790000000001E-2</v>
      </c>
      <c r="S401">
        <v>1572</v>
      </c>
      <c r="T401">
        <v>383</v>
      </c>
      <c r="U401">
        <v>767</v>
      </c>
      <c r="V401">
        <v>2210</v>
      </c>
      <c r="W401">
        <v>586</v>
      </c>
      <c r="X401">
        <v>104</v>
      </c>
      <c r="Y401">
        <v>246</v>
      </c>
      <c r="Z401">
        <v>530</v>
      </c>
      <c r="AA401">
        <v>255</v>
      </c>
      <c r="AB401">
        <v>1</v>
      </c>
      <c r="AC401">
        <v>232</v>
      </c>
      <c r="AD401">
        <v>308</v>
      </c>
      <c r="AE401">
        <v>0</v>
      </c>
      <c r="AF401">
        <v>0</v>
      </c>
      <c r="AG401">
        <v>4</v>
      </c>
      <c r="AH401">
        <v>0</v>
      </c>
      <c r="AI401">
        <v>0</v>
      </c>
      <c r="AJ401">
        <v>0</v>
      </c>
      <c r="AK401">
        <v>1.41299</v>
      </c>
      <c r="AL401">
        <v>3</v>
      </c>
      <c r="AM401">
        <v>0</v>
      </c>
      <c r="AN401">
        <v>1542</v>
      </c>
      <c r="AO401">
        <v>0</v>
      </c>
      <c r="AP401">
        <v>0</v>
      </c>
      <c r="AQ401">
        <v>0</v>
      </c>
    </row>
    <row r="402" spans="1:43" x14ac:dyDescent="0.25">
      <c r="A402">
        <v>399</v>
      </c>
      <c r="B402">
        <v>9</v>
      </c>
      <c r="C402">
        <v>9</v>
      </c>
      <c r="D402">
        <v>3</v>
      </c>
      <c r="E402">
        <v>16</v>
      </c>
      <c r="F402">
        <v>34</v>
      </c>
      <c r="G402">
        <v>34</v>
      </c>
      <c r="H402">
        <v>20</v>
      </c>
      <c r="I402">
        <v>7</v>
      </c>
      <c r="J402">
        <v>8</v>
      </c>
      <c r="K402">
        <v>3</v>
      </c>
      <c r="L402">
        <v>4</v>
      </c>
      <c r="M402">
        <v>2</v>
      </c>
      <c r="N402">
        <v>6</v>
      </c>
      <c r="O402">
        <v>318.3</v>
      </c>
      <c r="P402">
        <v>0</v>
      </c>
      <c r="Q402">
        <v>287</v>
      </c>
      <c r="R402">
        <v>0.17647058800000001</v>
      </c>
      <c r="S402">
        <v>7374</v>
      </c>
      <c r="T402">
        <v>2</v>
      </c>
      <c r="U402">
        <v>4</v>
      </c>
      <c r="V402">
        <v>13</v>
      </c>
      <c r="W402">
        <v>9</v>
      </c>
      <c r="X402">
        <v>5</v>
      </c>
      <c r="Y402">
        <v>152</v>
      </c>
      <c r="Z402">
        <v>3925</v>
      </c>
      <c r="AA402">
        <v>268</v>
      </c>
      <c r="AB402">
        <v>2</v>
      </c>
      <c r="AC402">
        <v>677</v>
      </c>
      <c r="AD402">
        <v>2350</v>
      </c>
      <c r="AE402">
        <v>0</v>
      </c>
      <c r="AF402">
        <v>0</v>
      </c>
      <c r="AG402">
        <v>3</v>
      </c>
      <c r="AH402">
        <v>0</v>
      </c>
      <c r="AI402">
        <v>0</v>
      </c>
      <c r="AJ402">
        <v>0</v>
      </c>
      <c r="AK402">
        <v>1.57921</v>
      </c>
      <c r="AL402">
        <v>3</v>
      </c>
      <c r="AM402">
        <v>0</v>
      </c>
      <c r="AN402">
        <v>16</v>
      </c>
      <c r="AO402">
        <v>0</v>
      </c>
      <c r="AP402">
        <v>0</v>
      </c>
      <c r="AQ402">
        <v>0</v>
      </c>
    </row>
    <row r="403" spans="1:43" x14ac:dyDescent="0.25">
      <c r="A403">
        <v>400</v>
      </c>
      <c r="B403">
        <v>9</v>
      </c>
      <c r="C403">
        <v>9</v>
      </c>
      <c r="D403">
        <v>3</v>
      </c>
      <c r="E403">
        <v>1872</v>
      </c>
      <c r="F403">
        <v>4635</v>
      </c>
      <c r="G403">
        <v>4635</v>
      </c>
      <c r="H403">
        <v>2717</v>
      </c>
      <c r="I403">
        <v>892</v>
      </c>
      <c r="J403">
        <v>997</v>
      </c>
      <c r="K403">
        <v>271</v>
      </c>
      <c r="L403">
        <v>322</v>
      </c>
      <c r="M403">
        <v>297</v>
      </c>
      <c r="N403">
        <v>974</v>
      </c>
      <c r="O403">
        <v>247.4</v>
      </c>
      <c r="P403">
        <v>255.30057919999999</v>
      </c>
      <c r="Q403">
        <v>14.18618534</v>
      </c>
      <c r="R403">
        <v>0.12853642200000001</v>
      </c>
      <c r="S403">
        <v>380</v>
      </c>
      <c r="T403">
        <v>256</v>
      </c>
      <c r="U403">
        <v>606</v>
      </c>
      <c r="V403">
        <v>2300</v>
      </c>
      <c r="W403">
        <v>764</v>
      </c>
      <c r="X403">
        <v>438</v>
      </c>
      <c r="Y403">
        <v>10</v>
      </c>
      <c r="Z403">
        <v>90</v>
      </c>
      <c r="AA403">
        <v>230</v>
      </c>
      <c r="AB403">
        <v>0</v>
      </c>
      <c r="AC403">
        <v>15</v>
      </c>
      <c r="AD403">
        <v>35</v>
      </c>
      <c r="AE403">
        <v>0</v>
      </c>
      <c r="AF403">
        <v>0</v>
      </c>
      <c r="AG403">
        <v>4</v>
      </c>
      <c r="AH403">
        <v>92</v>
      </c>
      <c r="AI403">
        <v>0</v>
      </c>
      <c r="AJ403">
        <v>0</v>
      </c>
      <c r="AK403">
        <v>1.25515</v>
      </c>
      <c r="AL403">
        <v>3</v>
      </c>
      <c r="AM403">
        <v>0</v>
      </c>
      <c r="AN403">
        <v>1872</v>
      </c>
      <c r="AO403">
        <v>0</v>
      </c>
      <c r="AP403">
        <v>0</v>
      </c>
      <c r="AQ403">
        <v>0</v>
      </c>
    </row>
    <row r="404" spans="1:43" x14ac:dyDescent="0.25">
      <c r="A404">
        <v>401</v>
      </c>
      <c r="B404">
        <v>9</v>
      </c>
      <c r="C404">
        <v>9</v>
      </c>
      <c r="D404">
        <v>3</v>
      </c>
      <c r="E404">
        <v>538</v>
      </c>
      <c r="F404">
        <v>1246</v>
      </c>
      <c r="G404">
        <v>1337</v>
      </c>
      <c r="H404">
        <v>666</v>
      </c>
      <c r="I404">
        <v>507</v>
      </c>
      <c r="J404">
        <v>23</v>
      </c>
      <c r="K404">
        <v>220</v>
      </c>
      <c r="L404">
        <v>146</v>
      </c>
      <c r="M404">
        <v>81</v>
      </c>
      <c r="N404">
        <v>89</v>
      </c>
      <c r="O404">
        <v>6909</v>
      </c>
      <c r="P404">
        <v>298.02935389999999</v>
      </c>
      <c r="Q404">
        <v>991.62427809999997</v>
      </c>
      <c r="R404">
        <v>0.26533864499999998</v>
      </c>
      <c r="S404">
        <v>36168</v>
      </c>
      <c r="T404">
        <v>16</v>
      </c>
      <c r="U404">
        <v>164</v>
      </c>
      <c r="V404">
        <v>489</v>
      </c>
      <c r="W404">
        <v>257</v>
      </c>
      <c r="X404">
        <v>299</v>
      </c>
      <c r="Y404">
        <v>249</v>
      </c>
      <c r="Z404">
        <v>4602</v>
      </c>
      <c r="AA404">
        <v>4219</v>
      </c>
      <c r="AB404">
        <v>17</v>
      </c>
      <c r="AC404">
        <v>3921</v>
      </c>
      <c r="AD404">
        <v>23160</v>
      </c>
      <c r="AE404">
        <v>0</v>
      </c>
      <c r="AF404">
        <v>0</v>
      </c>
      <c r="AG404">
        <v>3</v>
      </c>
      <c r="AH404">
        <v>82</v>
      </c>
      <c r="AI404">
        <v>0</v>
      </c>
      <c r="AJ404">
        <v>0</v>
      </c>
      <c r="AK404">
        <v>1.4833099999999999</v>
      </c>
      <c r="AL404">
        <v>3</v>
      </c>
      <c r="AM404">
        <v>0</v>
      </c>
      <c r="AN404">
        <v>538</v>
      </c>
      <c r="AO404">
        <v>91</v>
      </c>
      <c r="AP404">
        <v>0</v>
      </c>
      <c r="AQ404">
        <v>0</v>
      </c>
    </row>
    <row r="405" spans="1:43" x14ac:dyDescent="0.25">
      <c r="A405">
        <v>402</v>
      </c>
      <c r="B405">
        <v>9</v>
      </c>
      <c r="C405">
        <v>9</v>
      </c>
      <c r="D405">
        <v>3</v>
      </c>
      <c r="E405">
        <v>184</v>
      </c>
      <c r="F405">
        <v>660</v>
      </c>
      <c r="G405">
        <v>660</v>
      </c>
      <c r="H405">
        <v>273</v>
      </c>
      <c r="I405">
        <v>139</v>
      </c>
      <c r="J405">
        <v>48</v>
      </c>
      <c r="K405">
        <v>13</v>
      </c>
      <c r="L405">
        <v>71</v>
      </c>
      <c r="M405">
        <v>38</v>
      </c>
      <c r="N405">
        <v>65</v>
      </c>
      <c r="O405">
        <v>1592</v>
      </c>
      <c r="P405">
        <v>32</v>
      </c>
      <c r="Q405">
        <v>1346</v>
      </c>
      <c r="R405">
        <v>2.8860029999999998E-3</v>
      </c>
      <c r="S405">
        <v>6124</v>
      </c>
      <c r="T405">
        <v>159</v>
      </c>
      <c r="U405">
        <v>173</v>
      </c>
      <c r="V405">
        <v>260</v>
      </c>
      <c r="W405">
        <v>88</v>
      </c>
      <c r="X405">
        <v>1</v>
      </c>
      <c r="Y405">
        <v>4</v>
      </c>
      <c r="Z405">
        <v>1041</v>
      </c>
      <c r="AA405">
        <v>206</v>
      </c>
      <c r="AB405">
        <v>1</v>
      </c>
      <c r="AC405">
        <v>3824</v>
      </c>
      <c r="AD405">
        <v>1048</v>
      </c>
      <c r="AE405">
        <v>0</v>
      </c>
      <c r="AF405">
        <v>0</v>
      </c>
      <c r="AG405">
        <v>4</v>
      </c>
      <c r="AH405">
        <v>0</v>
      </c>
      <c r="AI405">
        <v>0</v>
      </c>
      <c r="AJ405">
        <v>0</v>
      </c>
      <c r="AK405">
        <v>0.91295999999999999</v>
      </c>
      <c r="AL405">
        <v>3</v>
      </c>
      <c r="AM405">
        <v>0</v>
      </c>
      <c r="AN405">
        <v>184</v>
      </c>
      <c r="AO405">
        <v>0</v>
      </c>
      <c r="AP405">
        <v>0</v>
      </c>
      <c r="AQ405">
        <v>0</v>
      </c>
    </row>
    <row r="406" spans="1:43" x14ac:dyDescent="0.25">
      <c r="A406">
        <v>403</v>
      </c>
      <c r="B406">
        <v>9</v>
      </c>
      <c r="C406">
        <v>9</v>
      </c>
      <c r="D406">
        <v>3</v>
      </c>
      <c r="E406">
        <v>2</v>
      </c>
      <c r="F406">
        <v>9</v>
      </c>
      <c r="G406">
        <v>9</v>
      </c>
      <c r="H406">
        <v>3</v>
      </c>
      <c r="I406">
        <v>2</v>
      </c>
      <c r="J406">
        <v>0</v>
      </c>
      <c r="K406">
        <v>1</v>
      </c>
      <c r="L406">
        <v>0</v>
      </c>
      <c r="M406">
        <v>0</v>
      </c>
      <c r="N406">
        <v>1</v>
      </c>
      <c r="O406">
        <v>1090.5999999999999</v>
      </c>
      <c r="P406">
        <v>0</v>
      </c>
      <c r="Q406">
        <v>1050</v>
      </c>
      <c r="R406">
        <v>0.14285714299999999</v>
      </c>
      <c r="S406">
        <v>30538</v>
      </c>
      <c r="T406">
        <v>0</v>
      </c>
      <c r="U406">
        <v>1</v>
      </c>
      <c r="V406">
        <v>3</v>
      </c>
      <c r="W406">
        <v>2</v>
      </c>
      <c r="X406">
        <v>1</v>
      </c>
      <c r="Y406">
        <v>25</v>
      </c>
      <c r="Z406">
        <v>5669</v>
      </c>
      <c r="AA406">
        <v>717</v>
      </c>
      <c r="AB406">
        <v>6</v>
      </c>
      <c r="AC406">
        <v>6661</v>
      </c>
      <c r="AD406">
        <v>17460</v>
      </c>
      <c r="AE406">
        <v>0</v>
      </c>
      <c r="AF406">
        <v>0</v>
      </c>
      <c r="AG406">
        <v>3</v>
      </c>
      <c r="AH406">
        <v>0</v>
      </c>
      <c r="AI406">
        <v>0</v>
      </c>
      <c r="AJ406">
        <v>0</v>
      </c>
      <c r="AK406">
        <v>1.3547100000000001</v>
      </c>
      <c r="AL406">
        <v>3</v>
      </c>
      <c r="AM406">
        <v>0</v>
      </c>
      <c r="AN406">
        <v>2</v>
      </c>
      <c r="AO406">
        <v>0</v>
      </c>
      <c r="AP406">
        <v>0</v>
      </c>
      <c r="AQ406">
        <v>0</v>
      </c>
    </row>
    <row r="407" spans="1:43" x14ac:dyDescent="0.25">
      <c r="A407">
        <v>404</v>
      </c>
      <c r="B407">
        <v>9</v>
      </c>
      <c r="C407">
        <v>9</v>
      </c>
      <c r="D407">
        <v>3</v>
      </c>
      <c r="E407">
        <v>553</v>
      </c>
      <c r="F407">
        <v>1698</v>
      </c>
      <c r="G407">
        <v>1714</v>
      </c>
      <c r="H407">
        <v>811</v>
      </c>
      <c r="I407">
        <v>498</v>
      </c>
      <c r="J407">
        <v>46</v>
      </c>
      <c r="K407">
        <v>144</v>
      </c>
      <c r="L407">
        <v>125</v>
      </c>
      <c r="M407">
        <v>110</v>
      </c>
      <c r="N407">
        <v>168</v>
      </c>
      <c r="O407">
        <v>9805.7000000000007</v>
      </c>
      <c r="P407">
        <v>243.2337899</v>
      </c>
      <c r="Q407">
        <v>231.17198680000001</v>
      </c>
      <c r="R407">
        <v>0.121848739</v>
      </c>
      <c r="S407">
        <v>4920</v>
      </c>
      <c r="T407">
        <v>120</v>
      </c>
      <c r="U407">
        <v>316</v>
      </c>
      <c r="V407">
        <v>654</v>
      </c>
      <c r="W407">
        <v>564</v>
      </c>
      <c r="X407">
        <v>193</v>
      </c>
      <c r="Y407">
        <v>21</v>
      </c>
      <c r="Z407">
        <v>727</v>
      </c>
      <c r="AA407">
        <v>443</v>
      </c>
      <c r="AB407">
        <v>1</v>
      </c>
      <c r="AC407">
        <v>1629</v>
      </c>
      <c r="AD407">
        <v>2099</v>
      </c>
      <c r="AE407">
        <v>0</v>
      </c>
      <c r="AF407">
        <v>0</v>
      </c>
      <c r="AG407">
        <v>3</v>
      </c>
      <c r="AH407">
        <v>71</v>
      </c>
      <c r="AI407">
        <v>0</v>
      </c>
      <c r="AJ407">
        <v>0</v>
      </c>
      <c r="AK407">
        <v>2.6852399999999998</v>
      </c>
      <c r="AL407">
        <v>3</v>
      </c>
      <c r="AM407">
        <v>0</v>
      </c>
      <c r="AN407">
        <v>553</v>
      </c>
      <c r="AO407">
        <v>16</v>
      </c>
      <c r="AP407">
        <v>0</v>
      </c>
      <c r="AQ407">
        <v>0</v>
      </c>
    </row>
    <row r="408" spans="1:43" x14ac:dyDescent="0.25">
      <c r="A408">
        <v>405</v>
      </c>
      <c r="B408">
        <v>9</v>
      </c>
      <c r="C408">
        <v>9</v>
      </c>
      <c r="D408">
        <v>3</v>
      </c>
      <c r="E408">
        <v>2</v>
      </c>
      <c r="F408">
        <v>9</v>
      </c>
      <c r="G408">
        <v>9</v>
      </c>
      <c r="H408">
        <v>3</v>
      </c>
      <c r="I408">
        <v>2</v>
      </c>
      <c r="J408">
        <v>0</v>
      </c>
      <c r="K408">
        <v>0</v>
      </c>
      <c r="L408">
        <v>1</v>
      </c>
      <c r="M408">
        <v>0</v>
      </c>
      <c r="N408">
        <v>1</v>
      </c>
      <c r="O408">
        <v>3422.8</v>
      </c>
      <c r="P408">
        <v>11</v>
      </c>
      <c r="Q408">
        <v>451.59839269999998</v>
      </c>
      <c r="R408">
        <v>0.125</v>
      </c>
      <c r="S408">
        <v>3766</v>
      </c>
      <c r="T408">
        <v>1</v>
      </c>
      <c r="U408">
        <v>1</v>
      </c>
      <c r="V408">
        <v>2</v>
      </c>
      <c r="W408">
        <v>3</v>
      </c>
      <c r="X408">
        <v>1</v>
      </c>
      <c r="Y408">
        <v>579</v>
      </c>
      <c r="Z408">
        <v>1007</v>
      </c>
      <c r="AA408">
        <v>754</v>
      </c>
      <c r="AB408">
        <v>1</v>
      </c>
      <c r="AC408">
        <v>1230</v>
      </c>
      <c r="AD408">
        <v>195</v>
      </c>
      <c r="AE408">
        <v>0</v>
      </c>
      <c r="AF408">
        <v>0</v>
      </c>
      <c r="AG408">
        <v>4</v>
      </c>
      <c r="AH408">
        <v>0</v>
      </c>
      <c r="AI408">
        <v>0</v>
      </c>
      <c r="AJ408">
        <v>0</v>
      </c>
      <c r="AK408">
        <v>1.2584599999999999</v>
      </c>
      <c r="AL408">
        <v>3</v>
      </c>
      <c r="AM408">
        <v>0</v>
      </c>
      <c r="AN408">
        <v>2</v>
      </c>
      <c r="AO408">
        <v>0</v>
      </c>
      <c r="AP408">
        <v>0</v>
      </c>
      <c r="AQ408">
        <v>0</v>
      </c>
    </row>
    <row r="409" spans="1:43" x14ac:dyDescent="0.25">
      <c r="A409">
        <v>406</v>
      </c>
      <c r="B409">
        <v>9</v>
      </c>
      <c r="C409">
        <v>9</v>
      </c>
      <c r="D409">
        <v>3</v>
      </c>
      <c r="E409">
        <v>667</v>
      </c>
      <c r="F409">
        <v>1475</v>
      </c>
      <c r="G409">
        <v>1487</v>
      </c>
      <c r="H409">
        <v>1156</v>
      </c>
      <c r="I409">
        <v>207</v>
      </c>
      <c r="J409">
        <v>465</v>
      </c>
      <c r="K409">
        <v>42</v>
      </c>
      <c r="L409">
        <v>53</v>
      </c>
      <c r="M409">
        <v>129</v>
      </c>
      <c r="N409">
        <v>447</v>
      </c>
      <c r="O409">
        <v>777.3</v>
      </c>
      <c r="P409">
        <v>20.508356840000001</v>
      </c>
      <c r="Q409">
        <v>472</v>
      </c>
      <c r="R409">
        <v>1.0721944000000001E-2</v>
      </c>
      <c r="S409">
        <v>11581</v>
      </c>
      <c r="T409">
        <v>157</v>
      </c>
      <c r="U409">
        <v>107</v>
      </c>
      <c r="V409">
        <v>867</v>
      </c>
      <c r="W409">
        <v>217</v>
      </c>
      <c r="X409">
        <v>12</v>
      </c>
      <c r="Y409">
        <v>163</v>
      </c>
      <c r="Z409">
        <v>2746</v>
      </c>
      <c r="AA409">
        <v>961</v>
      </c>
      <c r="AB409">
        <v>29</v>
      </c>
      <c r="AC409">
        <v>6411</v>
      </c>
      <c r="AD409">
        <v>1271</v>
      </c>
      <c r="AE409">
        <v>0</v>
      </c>
      <c r="AF409">
        <v>0</v>
      </c>
      <c r="AG409">
        <v>3</v>
      </c>
      <c r="AH409">
        <v>0</v>
      </c>
      <c r="AI409">
        <v>0</v>
      </c>
      <c r="AJ409">
        <v>0</v>
      </c>
      <c r="AK409">
        <v>2.0606900000000001</v>
      </c>
      <c r="AL409">
        <v>3</v>
      </c>
      <c r="AM409">
        <v>0</v>
      </c>
      <c r="AN409">
        <v>667</v>
      </c>
      <c r="AO409">
        <v>12</v>
      </c>
      <c r="AP409">
        <v>0</v>
      </c>
      <c r="AQ409">
        <v>0</v>
      </c>
    </row>
    <row r="410" spans="1:43" x14ac:dyDescent="0.25">
      <c r="A410">
        <v>407</v>
      </c>
      <c r="B410">
        <v>9</v>
      </c>
      <c r="C410">
        <v>9</v>
      </c>
      <c r="D410">
        <v>3</v>
      </c>
      <c r="E410">
        <v>49</v>
      </c>
      <c r="F410">
        <v>112</v>
      </c>
      <c r="G410">
        <v>113</v>
      </c>
      <c r="H410">
        <v>68</v>
      </c>
      <c r="I410">
        <v>4</v>
      </c>
      <c r="J410">
        <v>46</v>
      </c>
      <c r="K410">
        <v>3</v>
      </c>
      <c r="L410">
        <v>4</v>
      </c>
      <c r="M410">
        <v>10</v>
      </c>
      <c r="N410">
        <v>30</v>
      </c>
      <c r="O410">
        <v>1014.2</v>
      </c>
      <c r="P410">
        <v>0</v>
      </c>
      <c r="Q410">
        <v>918.03824169999996</v>
      </c>
      <c r="R410">
        <v>9.3457939999999993E-3</v>
      </c>
      <c r="S410">
        <v>11331</v>
      </c>
      <c r="T410">
        <v>14</v>
      </c>
      <c r="U410">
        <v>4</v>
      </c>
      <c r="V410">
        <v>68</v>
      </c>
      <c r="W410">
        <v>16</v>
      </c>
      <c r="X410">
        <v>0</v>
      </c>
      <c r="Y410">
        <v>644</v>
      </c>
      <c r="Z410">
        <v>1939</v>
      </c>
      <c r="AA410">
        <v>1570</v>
      </c>
      <c r="AB410">
        <v>4</v>
      </c>
      <c r="AC410">
        <v>4668</v>
      </c>
      <c r="AD410">
        <v>2506</v>
      </c>
      <c r="AE410">
        <v>0</v>
      </c>
      <c r="AF410">
        <v>0</v>
      </c>
      <c r="AG410">
        <v>2</v>
      </c>
      <c r="AH410">
        <v>0</v>
      </c>
      <c r="AI410">
        <v>0</v>
      </c>
      <c r="AJ410">
        <v>0</v>
      </c>
      <c r="AK410">
        <v>1.67967</v>
      </c>
      <c r="AL410">
        <v>3</v>
      </c>
      <c r="AM410">
        <v>0</v>
      </c>
      <c r="AN410">
        <v>49</v>
      </c>
      <c r="AO410">
        <v>1</v>
      </c>
      <c r="AP410">
        <v>0</v>
      </c>
      <c r="AQ410">
        <v>0</v>
      </c>
    </row>
    <row r="411" spans="1:43" x14ac:dyDescent="0.25">
      <c r="A411">
        <v>408</v>
      </c>
      <c r="B411">
        <v>9</v>
      </c>
      <c r="C411">
        <v>9</v>
      </c>
      <c r="D411">
        <v>3</v>
      </c>
      <c r="E411">
        <v>17</v>
      </c>
      <c r="F411">
        <v>39</v>
      </c>
      <c r="G411">
        <v>39</v>
      </c>
      <c r="H411">
        <v>24</v>
      </c>
      <c r="I411">
        <v>1</v>
      </c>
      <c r="J411">
        <v>17</v>
      </c>
      <c r="K411">
        <v>1</v>
      </c>
      <c r="L411">
        <v>1</v>
      </c>
      <c r="M411">
        <v>4</v>
      </c>
      <c r="N411">
        <v>11</v>
      </c>
      <c r="O411">
        <v>591.79999999999995</v>
      </c>
      <c r="P411">
        <v>3</v>
      </c>
      <c r="Q411">
        <v>507.85113899999999</v>
      </c>
      <c r="R411">
        <v>0</v>
      </c>
      <c r="S411">
        <v>12499</v>
      </c>
      <c r="T411">
        <v>5</v>
      </c>
      <c r="U411">
        <v>1</v>
      </c>
      <c r="V411">
        <v>26</v>
      </c>
      <c r="W411">
        <v>6</v>
      </c>
      <c r="X411">
        <v>0</v>
      </c>
      <c r="Y411">
        <v>195</v>
      </c>
      <c r="Z411">
        <v>8058</v>
      </c>
      <c r="AA411">
        <v>609</v>
      </c>
      <c r="AB411">
        <v>3</v>
      </c>
      <c r="AC411">
        <v>2582</v>
      </c>
      <c r="AD411">
        <v>1052</v>
      </c>
      <c r="AE411">
        <v>79.119927009999998</v>
      </c>
      <c r="AF411">
        <v>0</v>
      </c>
      <c r="AG411">
        <v>2</v>
      </c>
      <c r="AH411">
        <v>0</v>
      </c>
      <c r="AI411">
        <v>0</v>
      </c>
      <c r="AJ411">
        <v>0</v>
      </c>
      <c r="AK411">
        <v>1.74071</v>
      </c>
      <c r="AL411">
        <v>3</v>
      </c>
      <c r="AM411">
        <v>0</v>
      </c>
      <c r="AN411">
        <v>17</v>
      </c>
      <c r="AO411">
        <v>0</v>
      </c>
      <c r="AP411">
        <v>0</v>
      </c>
      <c r="AQ411">
        <v>0</v>
      </c>
    </row>
    <row r="412" spans="1:43" x14ac:dyDescent="0.25">
      <c r="A412">
        <v>409</v>
      </c>
      <c r="B412">
        <v>9</v>
      </c>
      <c r="C412">
        <v>9</v>
      </c>
      <c r="D412">
        <v>3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568.6</v>
      </c>
      <c r="P412">
        <v>9.3515840509999997</v>
      </c>
      <c r="Q412">
        <v>472</v>
      </c>
      <c r="R412">
        <v>0</v>
      </c>
      <c r="S412">
        <v>13528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62</v>
      </c>
      <c r="Z412">
        <v>5273</v>
      </c>
      <c r="AA412">
        <v>1583</v>
      </c>
      <c r="AB412">
        <v>3</v>
      </c>
      <c r="AC412">
        <v>5987</v>
      </c>
      <c r="AD412">
        <v>620</v>
      </c>
      <c r="AE412">
        <v>0</v>
      </c>
      <c r="AF412">
        <v>0</v>
      </c>
      <c r="AG412">
        <v>1</v>
      </c>
      <c r="AH412">
        <v>0</v>
      </c>
      <c r="AI412">
        <v>0</v>
      </c>
      <c r="AJ412">
        <v>0</v>
      </c>
      <c r="AK412">
        <v>2.5775199999999998</v>
      </c>
      <c r="AL412">
        <v>3</v>
      </c>
      <c r="AM412">
        <v>0</v>
      </c>
      <c r="AN412">
        <v>0</v>
      </c>
      <c r="AO412">
        <v>0</v>
      </c>
      <c r="AP412">
        <v>0</v>
      </c>
      <c r="AQ412">
        <v>0</v>
      </c>
    </row>
    <row r="413" spans="1:43" x14ac:dyDescent="0.25">
      <c r="A413">
        <v>410</v>
      </c>
      <c r="B413">
        <v>9</v>
      </c>
      <c r="C413">
        <v>9</v>
      </c>
      <c r="D413">
        <v>3</v>
      </c>
      <c r="E413">
        <v>4974</v>
      </c>
      <c r="F413">
        <v>10728</v>
      </c>
      <c r="G413">
        <v>10798</v>
      </c>
      <c r="H413">
        <v>7136</v>
      </c>
      <c r="I413">
        <v>532</v>
      </c>
      <c r="J413">
        <v>4571</v>
      </c>
      <c r="K413">
        <v>459</v>
      </c>
      <c r="L413">
        <v>488</v>
      </c>
      <c r="M413">
        <v>1222</v>
      </c>
      <c r="N413">
        <v>2808</v>
      </c>
      <c r="O413">
        <v>560.4</v>
      </c>
      <c r="P413">
        <v>196.04867630000001</v>
      </c>
      <c r="Q413">
        <v>315</v>
      </c>
      <c r="R413">
        <v>2.3793136999999999E-2</v>
      </c>
      <c r="S413">
        <v>11134</v>
      </c>
      <c r="T413">
        <v>917</v>
      </c>
      <c r="U413">
        <v>707</v>
      </c>
      <c r="V413">
        <v>6954</v>
      </c>
      <c r="W413">
        <v>1151</v>
      </c>
      <c r="X413">
        <v>204</v>
      </c>
      <c r="Y413">
        <v>18</v>
      </c>
      <c r="Z413">
        <v>2854</v>
      </c>
      <c r="AA413">
        <v>330</v>
      </c>
      <c r="AB413">
        <v>1</v>
      </c>
      <c r="AC413">
        <v>7537</v>
      </c>
      <c r="AD413">
        <v>394</v>
      </c>
      <c r="AE413">
        <v>0</v>
      </c>
      <c r="AF413">
        <v>0</v>
      </c>
      <c r="AG413">
        <v>3</v>
      </c>
      <c r="AH413">
        <v>683</v>
      </c>
      <c r="AI413">
        <v>0</v>
      </c>
      <c r="AJ413">
        <v>0</v>
      </c>
      <c r="AK413">
        <v>2.0055100000000001</v>
      </c>
      <c r="AL413">
        <v>3</v>
      </c>
      <c r="AM413">
        <v>0</v>
      </c>
      <c r="AN413">
        <v>4974</v>
      </c>
      <c r="AO413">
        <v>70</v>
      </c>
      <c r="AP413">
        <v>0</v>
      </c>
      <c r="AQ413">
        <v>0</v>
      </c>
    </row>
    <row r="414" spans="1:43" x14ac:dyDescent="0.25">
      <c r="A414">
        <v>411</v>
      </c>
      <c r="B414">
        <v>9</v>
      </c>
      <c r="C414">
        <v>9</v>
      </c>
      <c r="D414">
        <v>3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273.5</v>
      </c>
      <c r="P414">
        <v>0</v>
      </c>
      <c r="Q414">
        <v>60</v>
      </c>
      <c r="R414">
        <v>0</v>
      </c>
      <c r="S414">
        <v>646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1</v>
      </c>
      <c r="Z414">
        <v>12</v>
      </c>
      <c r="AA414">
        <v>14</v>
      </c>
      <c r="AB414">
        <v>0</v>
      </c>
      <c r="AC414">
        <v>613</v>
      </c>
      <c r="AD414">
        <v>6</v>
      </c>
      <c r="AE414">
        <v>0</v>
      </c>
      <c r="AF414">
        <v>0</v>
      </c>
      <c r="AG414">
        <v>3</v>
      </c>
      <c r="AH414">
        <v>0</v>
      </c>
      <c r="AI414">
        <v>0</v>
      </c>
      <c r="AJ414">
        <v>0</v>
      </c>
      <c r="AK414">
        <v>1.1464000000000001</v>
      </c>
      <c r="AL414">
        <v>3</v>
      </c>
      <c r="AM414">
        <v>0</v>
      </c>
      <c r="AN414">
        <v>0</v>
      </c>
      <c r="AO414">
        <v>0</v>
      </c>
      <c r="AP414">
        <v>0</v>
      </c>
      <c r="AQ414">
        <v>0</v>
      </c>
    </row>
    <row r="415" spans="1:43" x14ac:dyDescent="0.25">
      <c r="A415">
        <v>412</v>
      </c>
      <c r="B415">
        <v>9</v>
      </c>
      <c r="C415">
        <v>9</v>
      </c>
      <c r="D415">
        <v>3</v>
      </c>
      <c r="E415">
        <v>8736</v>
      </c>
      <c r="F415">
        <v>20057</v>
      </c>
      <c r="G415">
        <v>20057</v>
      </c>
      <c r="H415">
        <v>14182</v>
      </c>
      <c r="I415">
        <v>1370</v>
      </c>
      <c r="J415">
        <v>7569</v>
      </c>
      <c r="K415">
        <v>891</v>
      </c>
      <c r="L415">
        <v>1281</v>
      </c>
      <c r="M415">
        <v>2481</v>
      </c>
      <c r="N415">
        <v>4082</v>
      </c>
      <c r="O415">
        <v>1016.6</v>
      </c>
      <c r="P415">
        <v>356.52935719999999</v>
      </c>
      <c r="Q415">
        <v>694</v>
      </c>
      <c r="R415">
        <v>6.4639729000000007E-2</v>
      </c>
      <c r="S415">
        <v>12616</v>
      </c>
      <c r="T415">
        <v>1374</v>
      </c>
      <c r="U415">
        <v>1423</v>
      </c>
      <c r="V415">
        <v>13023</v>
      </c>
      <c r="W415">
        <v>2850</v>
      </c>
      <c r="X415">
        <v>901</v>
      </c>
      <c r="Y415">
        <v>196</v>
      </c>
      <c r="Z415">
        <v>3095</v>
      </c>
      <c r="AA415">
        <v>1275</v>
      </c>
      <c r="AB415">
        <v>8</v>
      </c>
      <c r="AC415">
        <v>7786</v>
      </c>
      <c r="AD415">
        <v>256</v>
      </c>
      <c r="AE415">
        <v>0</v>
      </c>
      <c r="AF415">
        <v>0</v>
      </c>
      <c r="AG415">
        <v>3</v>
      </c>
      <c r="AH415">
        <v>0</v>
      </c>
      <c r="AI415">
        <v>474</v>
      </c>
      <c r="AJ415">
        <v>147</v>
      </c>
      <c r="AK415">
        <v>2.0499700000000001</v>
      </c>
      <c r="AL415">
        <v>3</v>
      </c>
      <c r="AM415">
        <v>0</v>
      </c>
      <c r="AN415">
        <v>8736</v>
      </c>
      <c r="AO415">
        <v>0</v>
      </c>
      <c r="AP415">
        <v>0</v>
      </c>
      <c r="AQ415">
        <v>0</v>
      </c>
    </row>
    <row r="416" spans="1:43" x14ac:dyDescent="0.25">
      <c r="A416">
        <v>413</v>
      </c>
      <c r="B416">
        <v>9</v>
      </c>
      <c r="C416">
        <v>9</v>
      </c>
      <c r="D416">
        <v>3</v>
      </c>
      <c r="E416">
        <v>4043</v>
      </c>
      <c r="F416">
        <v>9684</v>
      </c>
      <c r="G416">
        <v>9698</v>
      </c>
      <c r="H416">
        <v>6040</v>
      </c>
      <c r="I416">
        <v>1294</v>
      </c>
      <c r="J416">
        <v>2902</v>
      </c>
      <c r="K416">
        <v>657</v>
      </c>
      <c r="L416">
        <v>415</v>
      </c>
      <c r="M416">
        <v>757</v>
      </c>
      <c r="N416">
        <v>2208</v>
      </c>
      <c r="O416">
        <v>339</v>
      </c>
      <c r="P416">
        <v>93.375601709999998</v>
      </c>
      <c r="Q416">
        <v>237</v>
      </c>
      <c r="R416">
        <v>7.5631129000000005E-2</v>
      </c>
      <c r="S416">
        <v>2325</v>
      </c>
      <c r="T416">
        <v>689</v>
      </c>
      <c r="U416">
        <v>1365</v>
      </c>
      <c r="V416">
        <v>4959</v>
      </c>
      <c r="W416">
        <v>1767</v>
      </c>
      <c r="X416">
        <v>545</v>
      </c>
      <c r="Y416">
        <v>156</v>
      </c>
      <c r="Z416">
        <v>232</v>
      </c>
      <c r="AA416">
        <v>539</v>
      </c>
      <c r="AB416">
        <v>3</v>
      </c>
      <c r="AC416">
        <v>1313</v>
      </c>
      <c r="AD416">
        <v>82</v>
      </c>
      <c r="AE416">
        <v>0</v>
      </c>
      <c r="AF416">
        <v>0</v>
      </c>
      <c r="AG416">
        <v>4</v>
      </c>
      <c r="AH416">
        <v>0</v>
      </c>
      <c r="AI416">
        <v>0</v>
      </c>
      <c r="AJ416">
        <v>0</v>
      </c>
      <c r="AK416">
        <v>1.72614</v>
      </c>
      <c r="AL416">
        <v>3</v>
      </c>
      <c r="AM416">
        <v>0</v>
      </c>
      <c r="AN416">
        <v>4043</v>
      </c>
      <c r="AO416">
        <v>14</v>
      </c>
      <c r="AP416">
        <v>0</v>
      </c>
      <c r="AQ416">
        <v>0</v>
      </c>
    </row>
    <row r="417" spans="1:43" x14ac:dyDescent="0.25">
      <c r="A417">
        <v>414</v>
      </c>
      <c r="B417">
        <v>9</v>
      </c>
      <c r="C417">
        <v>9</v>
      </c>
      <c r="D417">
        <v>3</v>
      </c>
      <c r="E417">
        <v>1023</v>
      </c>
      <c r="F417">
        <v>3240</v>
      </c>
      <c r="G417">
        <v>3295</v>
      </c>
      <c r="H417">
        <v>1702</v>
      </c>
      <c r="I417">
        <v>788</v>
      </c>
      <c r="J417">
        <v>207</v>
      </c>
      <c r="K417">
        <v>176</v>
      </c>
      <c r="L417">
        <v>261</v>
      </c>
      <c r="M417">
        <v>195</v>
      </c>
      <c r="N417">
        <v>389</v>
      </c>
      <c r="O417">
        <v>724</v>
      </c>
      <c r="P417">
        <v>165</v>
      </c>
      <c r="Q417">
        <v>501</v>
      </c>
      <c r="R417">
        <v>0.228938156</v>
      </c>
      <c r="S417">
        <v>9184</v>
      </c>
      <c r="T417">
        <v>232</v>
      </c>
      <c r="U417">
        <v>740</v>
      </c>
      <c r="V417">
        <v>1544</v>
      </c>
      <c r="W417">
        <v>887</v>
      </c>
      <c r="X417">
        <v>773</v>
      </c>
      <c r="Y417">
        <v>315</v>
      </c>
      <c r="Z417">
        <v>1538</v>
      </c>
      <c r="AA417">
        <v>1245</v>
      </c>
      <c r="AB417">
        <v>6</v>
      </c>
      <c r="AC417">
        <v>3927</v>
      </c>
      <c r="AD417">
        <v>2153</v>
      </c>
      <c r="AE417">
        <v>0</v>
      </c>
      <c r="AF417">
        <v>0</v>
      </c>
      <c r="AG417">
        <v>3</v>
      </c>
      <c r="AH417">
        <v>57</v>
      </c>
      <c r="AI417">
        <v>0</v>
      </c>
      <c r="AJ417">
        <v>0</v>
      </c>
      <c r="AK417">
        <v>1.6998899999999999</v>
      </c>
      <c r="AL417">
        <v>3</v>
      </c>
      <c r="AM417">
        <v>0</v>
      </c>
      <c r="AN417">
        <v>1023</v>
      </c>
      <c r="AO417">
        <v>55</v>
      </c>
      <c r="AP417">
        <v>0</v>
      </c>
      <c r="AQ417">
        <v>0</v>
      </c>
    </row>
    <row r="418" spans="1:43" x14ac:dyDescent="0.25">
      <c r="A418">
        <v>415</v>
      </c>
      <c r="B418">
        <v>9</v>
      </c>
      <c r="C418">
        <v>9</v>
      </c>
      <c r="D418">
        <v>3</v>
      </c>
      <c r="E418">
        <v>615</v>
      </c>
      <c r="F418">
        <v>1776</v>
      </c>
      <c r="G418">
        <v>1787</v>
      </c>
      <c r="H418">
        <v>1189</v>
      </c>
      <c r="I418">
        <v>547</v>
      </c>
      <c r="J418">
        <v>89</v>
      </c>
      <c r="K418">
        <v>116</v>
      </c>
      <c r="L418">
        <v>93</v>
      </c>
      <c r="M418">
        <v>195</v>
      </c>
      <c r="N418">
        <v>216</v>
      </c>
      <c r="O418">
        <v>1169.4000000000001</v>
      </c>
      <c r="P418">
        <v>115</v>
      </c>
      <c r="Q418">
        <v>925.54890829999999</v>
      </c>
      <c r="R418">
        <v>0.16022099400000001</v>
      </c>
      <c r="S418">
        <v>15016</v>
      </c>
      <c r="T418">
        <v>53</v>
      </c>
      <c r="U418">
        <v>310</v>
      </c>
      <c r="V418">
        <v>621</v>
      </c>
      <c r="W418">
        <v>550</v>
      </c>
      <c r="X418">
        <v>220</v>
      </c>
      <c r="Y418">
        <v>239</v>
      </c>
      <c r="Z418">
        <v>6215</v>
      </c>
      <c r="AA418">
        <v>4114</v>
      </c>
      <c r="AB418">
        <v>4</v>
      </c>
      <c r="AC418">
        <v>3155</v>
      </c>
      <c r="AD418">
        <v>1289</v>
      </c>
      <c r="AE418">
        <v>0</v>
      </c>
      <c r="AF418">
        <v>0</v>
      </c>
      <c r="AG418">
        <v>4</v>
      </c>
      <c r="AH418">
        <v>205</v>
      </c>
      <c r="AI418">
        <v>1846</v>
      </c>
      <c r="AJ418">
        <v>9558</v>
      </c>
      <c r="AK418">
        <v>2.1531799999999999</v>
      </c>
      <c r="AL418">
        <v>3</v>
      </c>
      <c r="AM418">
        <v>0</v>
      </c>
      <c r="AN418">
        <v>615</v>
      </c>
      <c r="AO418">
        <v>11</v>
      </c>
      <c r="AP418">
        <v>0</v>
      </c>
      <c r="AQ418">
        <v>0</v>
      </c>
    </row>
    <row r="419" spans="1:43" x14ac:dyDescent="0.25">
      <c r="A419">
        <v>416</v>
      </c>
      <c r="B419">
        <v>9</v>
      </c>
      <c r="C419">
        <v>9</v>
      </c>
      <c r="D419">
        <v>3</v>
      </c>
      <c r="E419">
        <v>2800</v>
      </c>
      <c r="F419">
        <v>7701</v>
      </c>
      <c r="G419">
        <v>7715</v>
      </c>
      <c r="H419">
        <v>4221</v>
      </c>
      <c r="I419">
        <v>1725</v>
      </c>
      <c r="J419">
        <v>1008</v>
      </c>
      <c r="K419">
        <v>351</v>
      </c>
      <c r="L419">
        <v>307</v>
      </c>
      <c r="M419">
        <v>644</v>
      </c>
      <c r="N419">
        <v>1504</v>
      </c>
      <c r="O419">
        <v>832.9</v>
      </c>
      <c r="P419">
        <v>293.61094179999998</v>
      </c>
      <c r="Q419">
        <v>335.1122881</v>
      </c>
      <c r="R419">
        <v>0.116559591</v>
      </c>
      <c r="S419">
        <v>3520</v>
      </c>
      <c r="T419">
        <v>547</v>
      </c>
      <c r="U419">
        <v>1068</v>
      </c>
      <c r="V419">
        <v>3487</v>
      </c>
      <c r="W419">
        <v>1701</v>
      </c>
      <c r="X419">
        <v>612</v>
      </c>
      <c r="Y419">
        <v>22</v>
      </c>
      <c r="Z419">
        <v>2182</v>
      </c>
      <c r="AA419">
        <v>402</v>
      </c>
      <c r="AB419">
        <v>0</v>
      </c>
      <c r="AC419">
        <v>427</v>
      </c>
      <c r="AD419">
        <v>487</v>
      </c>
      <c r="AE419">
        <v>0</v>
      </c>
      <c r="AF419">
        <v>0</v>
      </c>
      <c r="AG419">
        <v>1</v>
      </c>
      <c r="AH419">
        <v>0</v>
      </c>
      <c r="AI419">
        <v>0</v>
      </c>
      <c r="AJ419">
        <v>0</v>
      </c>
      <c r="AK419">
        <v>1.4460900000000001</v>
      </c>
      <c r="AL419">
        <v>3</v>
      </c>
      <c r="AM419">
        <v>0</v>
      </c>
      <c r="AN419">
        <v>2800</v>
      </c>
      <c r="AO419">
        <v>14</v>
      </c>
      <c r="AP419">
        <v>0</v>
      </c>
      <c r="AQ419">
        <v>0</v>
      </c>
    </row>
    <row r="420" spans="1:43" x14ac:dyDescent="0.25">
      <c r="A420">
        <v>417</v>
      </c>
      <c r="B420">
        <v>9</v>
      </c>
      <c r="C420">
        <v>9</v>
      </c>
      <c r="D420">
        <v>3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236.9</v>
      </c>
      <c r="P420">
        <v>0</v>
      </c>
      <c r="Q420">
        <v>183</v>
      </c>
      <c r="R420">
        <v>0</v>
      </c>
      <c r="S420">
        <v>4332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18</v>
      </c>
      <c r="Z420">
        <v>715</v>
      </c>
      <c r="AA420">
        <v>96</v>
      </c>
      <c r="AB420">
        <v>1</v>
      </c>
      <c r="AC420">
        <v>3159</v>
      </c>
      <c r="AD420">
        <v>343</v>
      </c>
      <c r="AE420">
        <v>0</v>
      </c>
      <c r="AF420">
        <v>0</v>
      </c>
      <c r="AG420">
        <v>2</v>
      </c>
      <c r="AH420">
        <v>0</v>
      </c>
      <c r="AI420">
        <v>0</v>
      </c>
      <c r="AJ420">
        <v>0</v>
      </c>
      <c r="AK420">
        <v>2.0264500000000001</v>
      </c>
      <c r="AL420">
        <v>3</v>
      </c>
      <c r="AM420">
        <v>0</v>
      </c>
      <c r="AN420">
        <v>0</v>
      </c>
      <c r="AO420">
        <v>0</v>
      </c>
      <c r="AP420">
        <v>0</v>
      </c>
      <c r="AQ420">
        <v>0</v>
      </c>
    </row>
    <row r="421" spans="1:43" x14ac:dyDescent="0.25">
      <c r="A421">
        <v>418</v>
      </c>
      <c r="B421">
        <v>9</v>
      </c>
      <c r="C421">
        <v>9</v>
      </c>
      <c r="D421">
        <v>3</v>
      </c>
      <c r="E421">
        <v>513</v>
      </c>
      <c r="F421">
        <v>1357</v>
      </c>
      <c r="G421">
        <v>1362</v>
      </c>
      <c r="H421">
        <v>758</v>
      </c>
      <c r="I421">
        <v>568</v>
      </c>
      <c r="J421">
        <v>0</v>
      </c>
      <c r="K421">
        <v>107</v>
      </c>
      <c r="L421">
        <v>139</v>
      </c>
      <c r="M421">
        <v>136</v>
      </c>
      <c r="N421">
        <v>137</v>
      </c>
      <c r="O421">
        <v>268.8</v>
      </c>
      <c r="P421">
        <v>124</v>
      </c>
      <c r="Q421">
        <v>111</v>
      </c>
      <c r="R421">
        <v>0.188831741</v>
      </c>
      <c r="S421">
        <v>3289</v>
      </c>
      <c r="T421">
        <v>48</v>
      </c>
      <c r="U421">
        <v>229</v>
      </c>
      <c r="V421">
        <v>433</v>
      </c>
      <c r="W421">
        <v>392</v>
      </c>
      <c r="X421">
        <v>233</v>
      </c>
      <c r="Y421">
        <v>79</v>
      </c>
      <c r="Z421">
        <v>633</v>
      </c>
      <c r="AA421">
        <v>340</v>
      </c>
      <c r="AB421">
        <v>2</v>
      </c>
      <c r="AC421">
        <v>1950</v>
      </c>
      <c r="AD421">
        <v>285</v>
      </c>
      <c r="AE421">
        <v>0</v>
      </c>
      <c r="AF421">
        <v>0</v>
      </c>
      <c r="AG421">
        <v>3</v>
      </c>
      <c r="AH421">
        <v>0</v>
      </c>
      <c r="AI421">
        <v>0</v>
      </c>
      <c r="AJ421">
        <v>0</v>
      </c>
      <c r="AK421">
        <v>1.7898099999999999</v>
      </c>
      <c r="AL421">
        <v>3</v>
      </c>
      <c r="AM421">
        <v>0</v>
      </c>
      <c r="AN421">
        <v>513</v>
      </c>
      <c r="AO421">
        <v>5</v>
      </c>
      <c r="AP421">
        <v>0</v>
      </c>
      <c r="AQ421">
        <v>0</v>
      </c>
    </row>
    <row r="422" spans="1:43" x14ac:dyDescent="0.25">
      <c r="A422">
        <v>419</v>
      </c>
      <c r="B422">
        <v>9</v>
      </c>
      <c r="C422">
        <v>9</v>
      </c>
      <c r="D422">
        <v>3</v>
      </c>
      <c r="E422">
        <v>1134</v>
      </c>
      <c r="F422">
        <v>3267</v>
      </c>
      <c r="G422">
        <v>3280</v>
      </c>
      <c r="H422">
        <v>1810</v>
      </c>
      <c r="I422">
        <v>764</v>
      </c>
      <c r="J422">
        <v>392</v>
      </c>
      <c r="K422">
        <v>210</v>
      </c>
      <c r="L422">
        <v>228</v>
      </c>
      <c r="M422">
        <v>300</v>
      </c>
      <c r="N422">
        <v>375</v>
      </c>
      <c r="O422">
        <v>199.9</v>
      </c>
      <c r="P422">
        <v>145</v>
      </c>
      <c r="Q422">
        <v>47</v>
      </c>
      <c r="R422">
        <v>0.16925685200000001</v>
      </c>
      <c r="S422">
        <v>270</v>
      </c>
      <c r="T422">
        <v>162</v>
      </c>
      <c r="U422">
        <v>402</v>
      </c>
      <c r="V422">
        <v>1689</v>
      </c>
      <c r="W422">
        <v>688</v>
      </c>
      <c r="X422">
        <v>503</v>
      </c>
      <c r="Y422">
        <v>7</v>
      </c>
      <c r="Z422">
        <v>44</v>
      </c>
      <c r="AA422">
        <v>188</v>
      </c>
      <c r="AB422">
        <v>0</v>
      </c>
      <c r="AC422">
        <v>20</v>
      </c>
      <c r="AD422">
        <v>11</v>
      </c>
      <c r="AE422">
        <v>0</v>
      </c>
      <c r="AF422">
        <v>0</v>
      </c>
      <c r="AG422">
        <v>3</v>
      </c>
      <c r="AH422">
        <v>0</v>
      </c>
      <c r="AI422">
        <v>0</v>
      </c>
      <c r="AJ422">
        <v>0</v>
      </c>
      <c r="AK422">
        <v>1.3008</v>
      </c>
      <c r="AL422">
        <v>3</v>
      </c>
      <c r="AM422">
        <v>0</v>
      </c>
      <c r="AN422">
        <v>1134</v>
      </c>
      <c r="AO422">
        <v>13</v>
      </c>
      <c r="AP422">
        <v>0</v>
      </c>
      <c r="AQ422">
        <v>0</v>
      </c>
    </row>
    <row r="423" spans="1:43" x14ac:dyDescent="0.25">
      <c r="A423">
        <v>420</v>
      </c>
      <c r="B423">
        <v>9</v>
      </c>
      <c r="C423">
        <v>9</v>
      </c>
      <c r="D423">
        <v>3</v>
      </c>
      <c r="E423">
        <v>825</v>
      </c>
      <c r="F423">
        <v>2691</v>
      </c>
      <c r="G423">
        <v>2700</v>
      </c>
      <c r="H423">
        <v>1399</v>
      </c>
      <c r="I423">
        <v>780</v>
      </c>
      <c r="J423">
        <v>16</v>
      </c>
      <c r="K423">
        <v>140</v>
      </c>
      <c r="L423">
        <v>214</v>
      </c>
      <c r="M423">
        <v>183</v>
      </c>
      <c r="N423">
        <v>296</v>
      </c>
      <c r="O423">
        <v>197</v>
      </c>
      <c r="P423">
        <v>153</v>
      </c>
      <c r="Q423">
        <v>25</v>
      </c>
      <c r="R423">
        <v>0.233584131</v>
      </c>
      <c r="S423">
        <v>255</v>
      </c>
      <c r="T423">
        <v>151</v>
      </c>
      <c r="U423">
        <v>318</v>
      </c>
      <c r="V423">
        <v>970</v>
      </c>
      <c r="W423">
        <v>870</v>
      </c>
      <c r="X423">
        <v>538</v>
      </c>
      <c r="Y423">
        <v>29</v>
      </c>
      <c r="Z423">
        <v>15</v>
      </c>
      <c r="AA423">
        <v>194</v>
      </c>
      <c r="AB423">
        <v>0</v>
      </c>
      <c r="AC423">
        <v>5</v>
      </c>
      <c r="AD423">
        <v>12</v>
      </c>
      <c r="AE423">
        <v>0</v>
      </c>
      <c r="AF423">
        <v>0</v>
      </c>
      <c r="AG423">
        <v>4</v>
      </c>
      <c r="AH423">
        <v>0</v>
      </c>
      <c r="AI423">
        <v>0</v>
      </c>
      <c r="AJ423">
        <v>0</v>
      </c>
      <c r="AK423">
        <v>1.3995299999999999</v>
      </c>
      <c r="AL423">
        <v>3</v>
      </c>
      <c r="AM423">
        <v>0</v>
      </c>
      <c r="AN423">
        <v>825</v>
      </c>
      <c r="AO423">
        <v>9</v>
      </c>
      <c r="AP423">
        <v>0</v>
      </c>
      <c r="AQ423">
        <v>0</v>
      </c>
    </row>
    <row r="424" spans="1:43" x14ac:dyDescent="0.25">
      <c r="A424">
        <v>421</v>
      </c>
      <c r="B424">
        <v>9</v>
      </c>
      <c r="C424">
        <v>9</v>
      </c>
      <c r="D424">
        <v>3</v>
      </c>
      <c r="E424">
        <v>3292</v>
      </c>
      <c r="F424">
        <v>7477</v>
      </c>
      <c r="G424">
        <v>7477</v>
      </c>
      <c r="H424">
        <v>4719</v>
      </c>
      <c r="I424">
        <v>1992</v>
      </c>
      <c r="J424">
        <v>1162</v>
      </c>
      <c r="K424">
        <v>571</v>
      </c>
      <c r="L424">
        <v>794</v>
      </c>
      <c r="M424">
        <v>866</v>
      </c>
      <c r="N424">
        <v>1080</v>
      </c>
      <c r="O424">
        <v>354</v>
      </c>
      <c r="P424">
        <v>279.40380529999999</v>
      </c>
      <c r="Q424">
        <v>52</v>
      </c>
      <c r="R424">
        <v>0.23259876400000001</v>
      </c>
      <c r="S424">
        <v>529</v>
      </c>
      <c r="T424">
        <v>224</v>
      </c>
      <c r="U424">
        <v>576</v>
      </c>
      <c r="V424">
        <v>3113</v>
      </c>
      <c r="W424">
        <v>2125</v>
      </c>
      <c r="X424">
        <v>1200</v>
      </c>
      <c r="Y424">
        <v>19</v>
      </c>
      <c r="Z424">
        <v>233</v>
      </c>
      <c r="AA424">
        <v>178</v>
      </c>
      <c r="AB424">
        <v>0</v>
      </c>
      <c r="AC424">
        <v>63</v>
      </c>
      <c r="AD424">
        <v>36</v>
      </c>
      <c r="AE424">
        <v>0</v>
      </c>
      <c r="AF424">
        <v>0</v>
      </c>
      <c r="AG424">
        <v>4</v>
      </c>
      <c r="AH424">
        <v>0</v>
      </c>
      <c r="AI424">
        <v>0</v>
      </c>
      <c r="AJ424">
        <v>0</v>
      </c>
      <c r="AK424">
        <v>1.3439700000000001</v>
      </c>
      <c r="AL424">
        <v>3</v>
      </c>
      <c r="AM424">
        <v>0</v>
      </c>
      <c r="AN424">
        <v>3292</v>
      </c>
      <c r="AO424">
        <v>0</v>
      </c>
      <c r="AP424">
        <v>0</v>
      </c>
      <c r="AQ424">
        <v>0</v>
      </c>
    </row>
    <row r="425" spans="1:43" x14ac:dyDescent="0.25">
      <c r="A425">
        <v>422</v>
      </c>
      <c r="B425">
        <v>9</v>
      </c>
      <c r="C425">
        <v>9</v>
      </c>
      <c r="D425">
        <v>3</v>
      </c>
      <c r="E425">
        <v>3456</v>
      </c>
      <c r="F425">
        <v>7780</v>
      </c>
      <c r="G425">
        <v>7858</v>
      </c>
      <c r="H425">
        <v>5384</v>
      </c>
      <c r="I425">
        <v>1438</v>
      </c>
      <c r="J425">
        <v>1952</v>
      </c>
      <c r="K425">
        <v>305</v>
      </c>
      <c r="L425">
        <v>551</v>
      </c>
      <c r="M425">
        <v>683</v>
      </c>
      <c r="N425">
        <v>1913</v>
      </c>
      <c r="O425">
        <v>341</v>
      </c>
      <c r="P425">
        <v>171.04256570000001</v>
      </c>
      <c r="Q425">
        <v>134</v>
      </c>
      <c r="R425">
        <v>0.13519525499999999</v>
      </c>
      <c r="S425">
        <v>1744</v>
      </c>
      <c r="T425">
        <v>548</v>
      </c>
      <c r="U425">
        <v>828</v>
      </c>
      <c r="V425">
        <v>4348</v>
      </c>
      <c r="W425">
        <v>1421</v>
      </c>
      <c r="X425">
        <v>770</v>
      </c>
      <c r="Y425">
        <v>14</v>
      </c>
      <c r="Z425">
        <v>472</v>
      </c>
      <c r="AA425">
        <v>242</v>
      </c>
      <c r="AB425">
        <v>1</v>
      </c>
      <c r="AC425">
        <v>193</v>
      </c>
      <c r="AD425">
        <v>822</v>
      </c>
      <c r="AE425">
        <v>0</v>
      </c>
      <c r="AF425">
        <v>0</v>
      </c>
      <c r="AG425">
        <v>4</v>
      </c>
      <c r="AH425">
        <v>0</v>
      </c>
      <c r="AI425">
        <v>0</v>
      </c>
      <c r="AJ425">
        <v>0</v>
      </c>
      <c r="AK425">
        <v>1.51624</v>
      </c>
      <c r="AL425">
        <v>3</v>
      </c>
      <c r="AM425">
        <v>0</v>
      </c>
      <c r="AN425">
        <v>3456</v>
      </c>
      <c r="AO425">
        <v>78</v>
      </c>
      <c r="AP425">
        <v>0</v>
      </c>
      <c r="AQ425">
        <v>0</v>
      </c>
    </row>
    <row r="426" spans="1:43" x14ac:dyDescent="0.25">
      <c r="A426">
        <v>423</v>
      </c>
      <c r="B426">
        <v>9</v>
      </c>
      <c r="C426">
        <v>9</v>
      </c>
      <c r="D426">
        <v>3</v>
      </c>
      <c r="E426">
        <v>1691</v>
      </c>
      <c r="F426">
        <v>4702</v>
      </c>
      <c r="G426">
        <v>4702</v>
      </c>
      <c r="H426">
        <v>2706</v>
      </c>
      <c r="I426">
        <v>935</v>
      </c>
      <c r="J426">
        <v>758</v>
      </c>
      <c r="K426">
        <v>397</v>
      </c>
      <c r="L426">
        <v>337</v>
      </c>
      <c r="M426">
        <v>387</v>
      </c>
      <c r="N426">
        <v>557</v>
      </c>
      <c r="O426">
        <v>231</v>
      </c>
      <c r="P426">
        <v>160</v>
      </c>
      <c r="Q426">
        <v>68</v>
      </c>
      <c r="R426">
        <v>0.13311078700000001</v>
      </c>
      <c r="S426">
        <v>454</v>
      </c>
      <c r="T426">
        <v>317</v>
      </c>
      <c r="U426">
        <v>783</v>
      </c>
      <c r="V426">
        <v>2039</v>
      </c>
      <c r="W426">
        <v>1053</v>
      </c>
      <c r="X426">
        <v>485</v>
      </c>
      <c r="Y426">
        <v>75</v>
      </c>
      <c r="Z426">
        <v>73</v>
      </c>
      <c r="AA426">
        <v>237</v>
      </c>
      <c r="AB426">
        <v>3</v>
      </c>
      <c r="AC426">
        <v>42</v>
      </c>
      <c r="AD426">
        <v>24</v>
      </c>
      <c r="AE426">
        <v>0</v>
      </c>
      <c r="AF426">
        <v>0</v>
      </c>
      <c r="AG426">
        <v>4</v>
      </c>
      <c r="AH426">
        <v>0</v>
      </c>
      <c r="AI426">
        <v>0</v>
      </c>
      <c r="AJ426">
        <v>0</v>
      </c>
      <c r="AK426">
        <v>1.3490599999999999</v>
      </c>
      <c r="AL426">
        <v>3</v>
      </c>
      <c r="AM426">
        <v>0</v>
      </c>
      <c r="AN426">
        <v>1691</v>
      </c>
      <c r="AO426">
        <v>0</v>
      </c>
      <c r="AP426">
        <v>0</v>
      </c>
      <c r="AQ426">
        <v>0</v>
      </c>
    </row>
    <row r="427" spans="1:43" x14ac:dyDescent="0.25">
      <c r="A427">
        <v>424</v>
      </c>
      <c r="B427">
        <v>9</v>
      </c>
      <c r="C427">
        <v>9</v>
      </c>
      <c r="D427">
        <v>3</v>
      </c>
      <c r="E427">
        <v>2485</v>
      </c>
      <c r="F427">
        <v>6836</v>
      </c>
      <c r="G427">
        <v>6849</v>
      </c>
      <c r="H427">
        <v>4038</v>
      </c>
      <c r="I427">
        <v>1599</v>
      </c>
      <c r="J427">
        <v>924</v>
      </c>
      <c r="K427">
        <v>476</v>
      </c>
      <c r="L427">
        <v>643</v>
      </c>
      <c r="M427">
        <v>519</v>
      </c>
      <c r="N427">
        <v>846</v>
      </c>
      <c r="O427">
        <v>378</v>
      </c>
      <c r="P427">
        <v>263</v>
      </c>
      <c r="Q427">
        <v>106</v>
      </c>
      <c r="R427">
        <v>0.12828326800000001</v>
      </c>
      <c r="S427">
        <v>752</v>
      </c>
      <c r="T427">
        <v>396</v>
      </c>
      <c r="U427">
        <v>1137</v>
      </c>
      <c r="V427">
        <v>2763</v>
      </c>
      <c r="W427">
        <v>1730</v>
      </c>
      <c r="X427">
        <v>706</v>
      </c>
      <c r="Y427">
        <v>40</v>
      </c>
      <c r="Z427">
        <v>156</v>
      </c>
      <c r="AA427">
        <v>458</v>
      </c>
      <c r="AB427">
        <v>1</v>
      </c>
      <c r="AC427">
        <v>56</v>
      </c>
      <c r="AD427">
        <v>41</v>
      </c>
      <c r="AE427">
        <v>0</v>
      </c>
      <c r="AF427">
        <v>0</v>
      </c>
      <c r="AG427">
        <v>4</v>
      </c>
      <c r="AH427">
        <v>34</v>
      </c>
      <c r="AI427">
        <v>0</v>
      </c>
      <c r="AJ427">
        <v>0</v>
      </c>
      <c r="AK427">
        <v>1.42547</v>
      </c>
      <c r="AL427">
        <v>3</v>
      </c>
      <c r="AM427">
        <v>0</v>
      </c>
      <c r="AN427">
        <v>2485</v>
      </c>
      <c r="AO427">
        <v>13</v>
      </c>
      <c r="AP427">
        <v>0</v>
      </c>
      <c r="AQ427">
        <v>0</v>
      </c>
    </row>
    <row r="428" spans="1:43" x14ac:dyDescent="0.25">
      <c r="A428">
        <v>425</v>
      </c>
      <c r="B428">
        <v>9</v>
      </c>
      <c r="C428">
        <v>9</v>
      </c>
      <c r="D428">
        <v>3</v>
      </c>
      <c r="E428">
        <v>1442</v>
      </c>
      <c r="F428">
        <v>3625</v>
      </c>
      <c r="G428">
        <v>3625</v>
      </c>
      <c r="H428">
        <v>2431</v>
      </c>
      <c r="I428">
        <v>590</v>
      </c>
      <c r="J428">
        <v>819</v>
      </c>
      <c r="K428">
        <v>226</v>
      </c>
      <c r="L428">
        <v>333</v>
      </c>
      <c r="M428">
        <v>390</v>
      </c>
      <c r="N428">
        <v>498</v>
      </c>
      <c r="O428">
        <v>166</v>
      </c>
      <c r="P428">
        <v>122</v>
      </c>
      <c r="Q428">
        <v>44</v>
      </c>
      <c r="R428">
        <v>0.127952756</v>
      </c>
      <c r="S428">
        <v>786</v>
      </c>
      <c r="T428">
        <v>212</v>
      </c>
      <c r="U428">
        <v>384</v>
      </c>
      <c r="V428">
        <v>1740</v>
      </c>
      <c r="W428">
        <v>842</v>
      </c>
      <c r="X428">
        <v>290</v>
      </c>
      <c r="Y428">
        <v>64</v>
      </c>
      <c r="Z428">
        <v>144</v>
      </c>
      <c r="AA428">
        <v>246</v>
      </c>
      <c r="AB428">
        <v>1</v>
      </c>
      <c r="AC428">
        <v>23</v>
      </c>
      <c r="AD428">
        <v>308</v>
      </c>
      <c r="AE428">
        <v>0</v>
      </c>
      <c r="AF428">
        <v>0</v>
      </c>
      <c r="AG428">
        <v>4</v>
      </c>
      <c r="AH428">
        <v>0</v>
      </c>
      <c r="AI428">
        <v>0</v>
      </c>
      <c r="AJ428">
        <v>0</v>
      </c>
      <c r="AK428">
        <v>1.3874200000000001</v>
      </c>
      <c r="AL428">
        <v>3</v>
      </c>
      <c r="AM428">
        <v>0</v>
      </c>
      <c r="AN428">
        <v>1442</v>
      </c>
      <c r="AO428">
        <v>0</v>
      </c>
      <c r="AP428">
        <v>0</v>
      </c>
      <c r="AQ428">
        <v>0</v>
      </c>
    </row>
    <row r="429" spans="1:43" x14ac:dyDescent="0.25">
      <c r="A429">
        <v>426</v>
      </c>
      <c r="B429">
        <v>9</v>
      </c>
      <c r="C429">
        <v>9</v>
      </c>
      <c r="D429">
        <v>3</v>
      </c>
      <c r="E429">
        <v>1811</v>
      </c>
      <c r="F429">
        <v>4264</v>
      </c>
      <c r="G429">
        <v>4343</v>
      </c>
      <c r="H429">
        <v>2802</v>
      </c>
      <c r="I429">
        <v>995</v>
      </c>
      <c r="J429">
        <v>852</v>
      </c>
      <c r="K429">
        <v>201</v>
      </c>
      <c r="L429">
        <v>331</v>
      </c>
      <c r="M429">
        <v>322</v>
      </c>
      <c r="N429">
        <v>969</v>
      </c>
      <c r="O429">
        <v>324.3</v>
      </c>
      <c r="P429">
        <v>87.094434329999999</v>
      </c>
      <c r="Q429">
        <v>155</v>
      </c>
      <c r="R429">
        <v>9.0167648000000003E-2</v>
      </c>
      <c r="S429">
        <v>1454</v>
      </c>
      <c r="T429">
        <v>325</v>
      </c>
      <c r="U429">
        <v>358</v>
      </c>
      <c r="V429">
        <v>2430</v>
      </c>
      <c r="W429">
        <v>886</v>
      </c>
      <c r="X429">
        <v>300</v>
      </c>
      <c r="Y429">
        <v>188</v>
      </c>
      <c r="Z429">
        <v>90</v>
      </c>
      <c r="AA429">
        <v>177</v>
      </c>
      <c r="AB429">
        <v>1</v>
      </c>
      <c r="AC429">
        <v>960</v>
      </c>
      <c r="AD429">
        <v>38</v>
      </c>
      <c r="AE429">
        <v>0</v>
      </c>
      <c r="AF429">
        <v>0</v>
      </c>
      <c r="AG429">
        <v>3</v>
      </c>
      <c r="AH429">
        <v>0</v>
      </c>
      <c r="AI429">
        <v>0</v>
      </c>
      <c r="AJ429">
        <v>0</v>
      </c>
      <c r="AK429">
        <v>1.6009899999999999</v>
      </c>
      <c r="AL429">
        <v>3</v>
      </c>
      <c r="AM429">
        <v>0</v>
      </c>
      <c r="AN429">
        <v>1811</v>
      </c>
      <c r="AO429">
        <v>79</v>
      </c>
      <c r="AP429">
        <v>0</v>
      </c>
      <c r="AQ429">
        <v>0</v>
      </c>
    </row>
    <row r="430" spans="1:43" x14ac:dyDescent="0.25">
      <c r="A430">
        <v>427</v>
      </c>
      <c r="B430">
        <v>9</v>
      </c>
      <c r="C430">
        <v>9</v>
      </c>
      <c r="D430">
        <v>3</v>
      </c>
      <c r="E430">
        <v>1418</v>
      </c>
      <c r="F430">
        <v>3075</v>
      </c>
      <c r="G430">
        <v>3076</v>
      </c>
      <c r="H430">
        <v>2295</v>
      </c>
      <c r="I430">
        <v>449</v>
      </c>
      <c r="J430">
        <v>996</v>
      </c>
      <c r="K430">
        <v>102</v>
      </c>
      <c r="L430">
        <v>77</v>
      </c>
      <c r="M430">
        <v>347</v>
      </c>
      <c r="N430">
        <v>890</v>
      </c>
      <c r="O430">
        <v>726.4</v>
      </c>
      <c r="P430">
        <v>129.9069417</v>
      </c>
      <c r="Q430">
        <v>756</v>
      </c>
      <c r="R430">
        <v>2.9680365E-2</v>
      </c>
      <c r="S430">
        <v>11768</v>
      </c>
      <c r="T430">
        <v>231</v>
      </c>
      <c r="U430">
        <v>114</v>
      </c>
      <c r="V430">
        <v>2308</v>
      </c>
      <c r="W430">
        <v>257</v>
      </c>
      <c r="X430">
        <v>78</v>
      </c>
      <c r="Y430">
        <v>330</v>
      </c>
      <c r="Z430">
        <v>6550</v>
      </c>
      <c r="AA430">
        <v>1192</v>
      </c>
      <c r="AB430">
        <v>3</v>
      </c>
      <c r="AC430">
        <v>2839</v>
      </c>
      <c r="AD430">
        <v>854</v>
      </c>
      <c r="AE430">
        <v>0</v>
      </c>
      <c r="AF430">
        <v>0</v>
      </c>
      <c r="AG430">
        <v>2</v>
      </c>
      <c r="AH430">
        <v>680</v>
      </c>
      <c r="AI430">
        <v>65</v>
      </c>
      <c r="AJ430">
        <v>46</v>
      </c>
      <c r="AK430">
        <v>1.7423200000000001</v>
      </c>
      <c r="AL430">
        <v>3</v>
      </c>
      <c r="AM430">
        <v>0</v>
      </c>
      <c r="AN430">
        <v>1418</v>
      </c>
      <c r="AO430">
        <v>1</v>
      </c>
      <c r="AP430">
        <v>0</v>
      </c>
      <c r="AQ430">
        <v>0</v>
      </c>
    </row>
    <row r="431" spans="1:43" x14ac:dyDescent="0.25">
      <c r="A431">
        <v>428</v>
      </c>
      <c r="B431">
        <v>9</v>
      </c>
      <c r="C431">
        <v>9</v>
      </c>
      <c r="D431">
        <v>3</v>
      </c>
      <c r="E431">
        <v>681</v>
      </c>
      <c r="F431">
        <v>1467</v>
      </c>
      <c r="G431">
        <v>1467</v>
      </c>
      <c r="H431">
        <v>1107</v>
      </c>
      <c r="I431">
        <v>206</v>
      </c>
      <c r="J431">
        <v>491</v>
      </c>
      <c r="K431">
        <v>49</v>
      </c>
      <c r="L431">
        <v>35</v>
      </c>
      <c r="M431">
        <v>168</v>
      </c>
      <c r="N431">
        <v>434</v>
      </c>
      <c r="O431">
        <v>426.2</v>
      </c>
      <c r="P431">
        <v>62.101684640000002</v>
      </c>
      <c r="Q431">
        <v>347</v>
      </c>
      <c r="R431">
        <v>2.7210884000000001E-2</v>
      </c>
      <c r="S431">
        <v>8314</v>
      </c>
      <c r="T431">
        <v>112</v>
      </c>
      <c r="U431">
        <v>50</v>
      </c>
      <c r="V431">
        <v>1118</v>
      </c>
      <c r="W431">
        <v>114</v>
      </c>
      <c r="X431">
        <v>36</v>
      </c>
      <c r="Y431">
        <v>520</v>
      </c>
      <c r="Z431">
        <v>3787</v>
      </c>
      <c r="AA431">
        <v>1319</v>
      </c>
      <c r="AB431">
        <v>3</v>
      </c>
      <c r="AC431">
        <v>1912</v>
      </c>
      <c r="AD431">
        <v>773</v>
      </c>
      <c r="AE431">
        <v>0</v>
      </c>
      <c r="AF431">
        <v>0</v>
      </c>
      <c r="AG431">
        <v>3</v>
      </c>
      <c r="AH431">
        <v>0</v>
      </c>
      <c r="AI431">
        <v>0</v>
      </c>
      <c r="AJ431">
        <v>0</v>
      </c>
      <c r="AK431">
        <v>2.0558900000000002</v>
      </c>
      <c r="AL431">
        <v>3</v>
      </c>
      <c r="AM431">
        <v>0</v>
      </c>
      <c r="AN431">
        <v>681</v>
      </c>
      <c r="AO431">
        <v>0</v>
      </c>
      <c r="AP431">
        <v>0</v>
      </c>
      <c r="AQ431">
        <v>0</v>
      </c>
    </row>
    <row r="432" spans="1:43" x14ac:dyDescent="0.25">
      <c r="A432">
        <v>429</v>
      </c>
      <c r="B432">
        <v>9</v>
      </c>
      <c r="C432">
        <v>9</v>
      </c>
      <c r="D432">
        <v>3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388</v>
      </c>
      <c r="P432">
        <v>0</v>
      </c>
      <c r="Q432">
        <v>413.19827670000001</v>
      </c>
      <c r="R432">
        <v>0</v>
      </c>
      <c r="S432">
        <v>12354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26</v>
      </c>
      <c r="Z432">
        <v>2278</v>
      </c>
      <c r="AA432">
        <v>682</v>
      </c>
      <c r="AB432">
        <v>3</v>
      </c>
      <c r="AC432">
        <v>6220</v>
      </c>
      <c r="AD432">
        <v>3145</v>
      </c>
      <c r="AE432">
        <v>0</v>
      </c>
      <c r="AF432">
        <v>0</v>
      </c>
      <c r="AG432">
        <v>3</v>
      </c>
      <c r="AH432">
        <v>0</v>
      </c>
      <c r="AI432">
        <v>0</v>
      </c>
      <c r="AJ432">
        <v>0</v>
      </c>
      <c r="AK432">
        <v>2.38042</v>
      </c>
      <c r="AL432">
        <v>3</v>
      </c>
      <c r="AM432">
        <v>0</v>
      </c>
      <c r="AN432">
        <v>0</v>
      </c>
      <c r="AO432">
        <v>0</v>
      </c>
      <c r="AP432">
        <v>0</v>
      </c>
      <c r="AQ432">
        <v>0</v>
      </c>
    </row>
    <row r="433" spans="1:43" x14ac:dyDescent="0.25">
      <c r="A433">
        <v>430</v>
      </c>
      <c r="B433">
        <v>9</v>
      </c>
      <c r="C433">
        <v>9</v>
      </c>
      <c r="D433">
        <v>3</v>
      </c>
      <c r="E433">
        <v>649</v>
      </c>
      <c r="F433">
        <v>1225</v>
      </c>
      <c r="G433">
        <v>1225</v>
      </c>
      <c r="H433">
        <v>1012</v>
      </c>
      <c r="I433">
        <v>53</v>
      </c>
      <c r="J433">
        <v>612</v>
      </c>
      <c r="K433">
        <v>83</v>
      </c>
      <c r="L433">
        <v>135</v>
      </c>
      <c r="M433">
        <v>116</v>
      </c>
      <c r="N433">
        <v>312</v>
      </c>
      <c r="O433">
        <v>552.4</v>
      </c>
      <c r="P433">
        <v>36.425689800000001</v>
      </c>
      <c r="Q433">
        <v>517</v>
      </c>
      <c r="R433">
        <v>4.8424289000000002E-2</v>
      </c>
      <c r="S433">
        <v>16750</v>
      </c>
      <c r="T433">
        <v>56</v>
      </c>
      <c r="U433">
        <v>87</v>
      </c>
      <c r="V433">
        <v>759</v>
      </c>
      <c r="W433">
        <v>333</v>
      </c>
      <c r="X433">
        <v>34</v>
      </c>
      <c r="Y433">
        <v>237</v>
      </c>
      <c r="Z433">
        <v>6157</v>
      </c>
      <c r="AA433">
        <v>983</v>
      </c>
      <c r="AB433">
        <v>2</v>
      </c>
      <c r="AC433">
        <v>8246</v>
      </c>
      <c r="AD433">
        <v>1125</v>
      </c>
      <c r="AE433">
        <v>0</v>
      </c>
      <c r="AF433">
        <v>0</v>
      </c>
      <c r="AG433">
        <v>2</v>
      </c>
      <c r="AH433">
        <v>56</v>
      </c>
      <c r="AI433">
        <v>0</v>
      </c>
      <c r="AJ433">
        <v>0</v>
      </c>
      <c r="AK433">
        <v>1.80813</v>
      </c>
      <c r="AL433">
        <v>3</v>
      </c>
      <c r="AM433">
        <v>0</v>
      </c>
      <c r="AN433">
        <v>649</v>
      </c>
      <c r="AO433">
        <v>0</v>
      </c>
      <c r="AP433">
        <v>0</v>
      </c>
      <c r="AQ433">
        <v>0</v>
      </c>
    </row>
    <row r="434" spans="1:43" x14ac:dyDescent="0.25">
      <c r="A434">
        <v>431</v>
      </c>
      <c r="B434">
        <v>9</v>
      </c>
      <c r="C434">
        <v>9</v>
      </c>
      <c r="D434">
        <v>3</v>
      </c>
      <c r="E434">
        <v>12</v>
      </c>
      <c r="F434">
        <v>23</v>
      </c>
      <c r="G434">
        <v>23</v>
      </c>
      <c r="H434">
        <v>17</v>
      </c>
      <c r="I434">
        <v>1</v>
      </c>
      <c r="J434">
        <v>12</v>
      </c>
      <c r="K434">
        <v>3</v>
      </c>
      <c r="L434">
        <v>3</v>
      </c>
      <c r="M434">
        <v>2</v>
      </c>
      <c r="N434">
        <v>5</v>
      </c>
      <c r="O434">
        <v>312.8</v>
      </c>
      <c r="P434">
        <v>16</v>
      </c>
      <c r="Q434">
        <v>288.25019859999998</v>
      </c>
      <c r="R434">
        <v>0.04</v>
      </c>
      <c r="S434">
        <v>3791</v>
      </c>
      <c r="T434">
        <v>1</v>
      </c>
      <c r="U434">
        <v>2</v>
      </c>
      <c r="V434">
        <v>14</v>
      </c>
      <c r="W434">
        <v>7</v>
      </c>
      <c r="X434">
        <v>1</v>
      </c>
      <c r="Y434">
        <v>105</v>
      </c>
      <c r="Z434">
        <v>843</v>
      </c>
      <c r="AA434">
        <v>441</v>
      </c>
      <c r="AB434">
        <v>3</v>
      </c>
      <c r="AC434">
        <v>1489</v>
      </c>
      <c r="AD434">
        <v>910</v>
      </c>
      <c r="AE434">
        <v>0</v>
      </c>
      <c r="AF434">
        <v>0</v>
      </c>
      <c r="AG434">
        <v>3</v>
      </c>
      <c r="AH434">
        <v>0</v>
      </c>
      <c r="AI434">
        <v>1139</v>
      </c>
      <c r="AJ434">
        <v>0</v>
      </c>
      <c r="AK434">
        <v>1.3904799999999999</v>
      </c>
      <c r="AL434">
        <v>3</v>
      </c>
      <c r="AM434">
        <v>0</v>
      </c>
      <c r="AN434">
        <v>12</v>
      </c>
      <c r="AO434">
        <v>0</v>
      </c>
      <c r="AP434">
        <v>0</v>
      </c>
      <c r="AQ434">
        <v>0</v>
      </c>
    </row>
    <row r="435" spans="1:43" x14ac:dyDescent="0.25">
      <c r="A435">
        <v>432</v>
      </c>
      <c r="B435">
        <v>9</v>
      </c>
      <c r="C435">
        <v>9</v>
      </c>
      <c r="D435">
        <v>3</v>
      </c>
      <c r="E435">
        <v>203</v>
      </c>
      <c r="F435">
        <v>378</v>
      </c>
      <c r="G435">
        <v>378</v>
      </c>
      <c r="H435">
        <v>315</v>
      </c>
      <c r="I435">
        <v>15</v>
      </c>
      <c r="J435">
        <v>193</v>
      </c>
      <c r="K435">
        <v>27</v>
      </c>
      <c r="L435">
        <v>42</v>
      </c>
      <c r="M435">
        <v>36</v>
      </c>
      <c r="N435">
        <v>97</v>
      </c>
      <c r="O435">
        <v>826.2</v>
      </c>
      <c r="P435">
        <v>119.22204619999999</v>
      </c>
      <c r="Q435">
        <v>708</v>
      </c>
      <c r="R435">
        <v>4.7381545999999997E-2</v>
      </c>
      <c r="S435">
        <v>9759</v>
      </c>
      <c r="T435">
        <v>17</v>
      </c>
      <c r="U435">
        <v>26</v>
      </c>
      <c r="V435">
        <v>233</v>
      </c>
      <c r="W435">
        <v>101</v>
      </c>
      <c r="X435">
        <v>10</v>
      </c>
      <c r="Y435">
        <v>438</v>
      </c>
      <c r="Z435">
        <v>2768</v>
      </c>
      <c r="AA435">
        <v>797</v>
      </c>
      <c r="AB435">
        <v>4</v>
      </c>
      <c r="AC435">
        <v>3588</v>
      </c>
      <c r="AD435">
        <v>2164</v>
      </c>
      <c r="AE435">
        <v>0</v>
      </c>
      <c r="AF435">
        <v>0</v>
      </c>
      <c r="AG435">
        <v>1</v>
      </c>
      <c r="AH435">
        <v>0</v>
      </c>
      <c r="AI435">
        <v>0</v>
      </c>
      <c r="AJ435">
        <v>0</v>
      </c>
      <c r="AK435">
        <v>1.5259499999999999</v>
      </c>
      <c r="AL435">
        <v>3</v>
      </c>
      <c r="AM435">
        <v>0</v>
      </c>
      <c r="AN435">
        <v>203</v>
      </c>
      <c r="AO435">
        <v>0</v>
      </c>
      <c r="AP435">
        <v>0</v>
      </c>
      <c r="AQ435">
        <v>0</v>
      </c>
    </row>
    <row r="436" spans="1:43" x14ac:dyDescent="0.25">
      <c r="A436">
        <v>433</v>
      </c>
      <c r="B436">
        <v>9</v>
      </c>
      <c r="C436">
        <v>9</v>
      </c>
      <c r="D436">
        <v>3</v>
      </c>
      <c r="E436">
        <v>2495</v>
      </c>
      <c r="F436">
        <v>5948</v>
      </c>
      <c r="G436">
        <v>5986</v>
      </c>
      <c r="H436">
        <v>3593</v>
      </c>
      <c r="I436">
        <v>831</v>
      </c>
      <c r="J436">
        <v>1662</v>
      </c>
      <c r="K436">
        <v>644</v>
      </c>
      <c r="L436">
        <v>500</v>
      </c>
      <c r="M436">
        <v>453</v>
      </c>
      <c r="N436">
        <v>898</v>
      </c>
      <c r="O436">
        <v>229.5</v>
      </c>
      <c r="P436">
        <v>205.4846536</v>
      </c>
      <c r="Q436">
        <v>19</v>
      </c>
      <c r="R436">
        <v>0.15584005100000001</v>
      </c>
      <c r="S436">
        <v>2403</v>
      </c>
      <c r="T436">
        <v>399</v>
      </c>
      <c r="U436">
        <v>728</v>
      </c>
      <c r="V436">
        <v>2842</v>
      </c>
      <c r="W436">
        <v>1365</v>
      </c>
      <c r="X436">
        <v>851</v>
      </c>
      <c r="Y436">
        <v>52</v>
      </c>
      <c r="Z436">
        <v>417</v>
      </c>
      <c r="AA436">
        <v>636</v>
      </c>
      <c r="AB436">
        <v>2</v>
      </c>
      <c r="AC436">
        <v>372</v>
      </c>
      <c r="AD436">
        <v>924</v>
      </c>
      <c r="AE436">
        <v>0</v>
      </c>
      <c r="AF436">
        <v>0</v>
      </c>
      <c r="AG436">
        <v>4</v>
      </c>
      <c r="AH436">
        <v>0</v>
      </c>
      <c r="AI436">
        <v>0</v>
      </c>
      <c r="AJ436">
        <v>0</v>
      </c>
      <c r="AK436">
        <v>1.8758999999999999</v>
      </c>
      <c r="AL436">
        <v>3</v>
      </c>
      <c r="AM436">
        <v>0</v>
      </c>
      <c r="AN436">
        <v>2495</v>
      </c>
      <c r="AO436">
        <v>38</v>
      </c>
      <c r="AP436">
        <v>0</v>
      </c>
      <c r="AQ436">
        <v>0</v>
      </c>
    </row>
    <row r="437" spans="1:43" x14ac:dyDescent="0.25">
      <c r="A437">
        <v>434</v>
      </c>
      <c r="B437">
        <v>9</v>
      </c>
      <c r="C437">
        <v>9</v>
      </c>
      <c r="D437">
        <v>3</v>
      </c>
      <c r="E437">
        <v>55</v>
      </c>
      <c r="F437">
        <v>160</v>
      </c>
      <c r="G437">
        <v>161</v>
      </c>
      <c r="H437">
        <v>68</v>
      </c>
      <c r="I437">
        <v>31</v>
      </c>
      <c r="J437">
        <v>23</v>
      </c>
      <c r="K437">
        <v>34</v>
      </c>
      <c r="L437">
        <v>23</v>
      </c>
      <c r="M437">
        <v>0</v>
      </c>
      <c r="N437">
        <v>0</v>
      </c>
      <c r="O437">
        <v>1206.0999999999999</v>
      </c>
      <c r="P437">
        <v>6</v>
      </c>
      <c r="Q437">
        <v>1037.5019520000001</v>
      </c>
      <c r="R437">
        <v>0</v>
      </c>
      <c r="S437">
        <v>5015</v>
      </c>
      <c r="T437">
        <v>33</v>
      </c>
      <c r="U437">
        <v>81</v>
      </c>
      <c r="V437">
        <v>61</v>
      </c>
      <c r="W437">
        <v>36</v>
      </c>
      <c r="X437">
        <v>0</v>
      </c>
      <c r="Y437">
        <v>636</v>
      </c>
      <c r="Z437">
        <v>443</v>
      </c>
      <c r="AA437">
        <v>1094</v>
      </c>
      <c r="AB437">
        <v>2</v>
      </c>
      <c r="AC437">
        <v>2121</v>
      </c>
      <c r="AD437">
        <v>719</v>
      </c>
      <c r="AE437">
        <v>0</v>
      </c>
      <c r="AF437">
        <v>0</v>
      </c>
      <c r="AG437">
        <v>4</v>
      </c>
      <c r="AH437">
        <v>0</v>
      </c>
      <c r="AI437">
        <v>0</v>
      </c>
      <c r="AJ437">
        <v>0</v>
      </c>
      <c r="AK437">
        <v>1.08972</v>
      </c>
      <c r="AL437">
        <v>3</v>
      </c>
      <c r="AM437">
        <v>0</v>
      </c>
      <c r="AN437">
        <v>55</v>
      </c>
      <c r="AO437">
        <v>1</v>
      </c>
      <c r="AP437">
        <v>0</v>
      </c>
      <c r="AQ437">
        <v>0</v>
      </c>
    </row>
    <row r="438" spans="1:43" x14ac:dyDescent="0.25">
      <c r="A438">
        <v>435</v>
      </c>
      <c r="B438">
        <v>9</v>
      </c>
      <c r="C438">
        <v>9</v>
      </c>
      <c r="D438">
        <v>3</v>
      </c>
      <c r="E438">
        <v>2038</v>
      </c>
      <c r="F438">
        <v>4047</v>
      </c>
      <c r="G438">
        <v>4121</v>
      </c>
      <c r="H438">
        <v>2511</v>
      </c>
      <c r="I438">
        <v>520</v>
      </c>
      <c r="J438">
        <v>1529</v>
      </c>
      <c r="K438">
        <v>563</v>
      </c>
      <c r="L438">
        <v>469</v>
      </c>
      <c r="M438">
        <v>442</v>
      </c>
      <c r="N438">
        <v>576</v>
      </c>
      <c r="O438">
        <v>517.4</v>
      </c>
      <c r="P438">
        <v>143.13607529999999</v>
      </c>
      <c r="Q438">
        <v>331</v>
      </c>
      <c r="R438">
        <v>0.13009103999999999</v>
      </c>
      <c r="S438">
        <v>15303</v>
      </c>
      <c r="T438">
        <v>333</v>
      </c>
      <c r="U438">
        <v>382</v>
      </c>
      <c r="V438">
        <v>2209</v>
      </c>
      <c r="W438">
        <v>749</v>
      </c>
      <c r="X438">
        <v>376</v>
      </c>
      <c r="Y438">
        <v>251</v>
      </c>
      <c r="Z438">
        <v>7505</v>
      </c>
      <c r="AA438">
        <v>2562</v>
      </c>
      <c r="AB438">
        <v>7</v>
      </c>
      <c r="AC438">
        <v>2439</v>
      </c>
      <c r="AD438">
        <v>2539</v>
      </c>
      <c r="AE438">
        <v>98.334766430000002</v>
      </c>
      <c r="AF438">
        <v>0</v>
      </c>
      <c r="AG438">
        <v>3</v>
      </c>
      <c r="AH438">
        <v>0</v>
      </c>
      <c r="AI438">
        <v>4667</v>
      </c>
      <c r="AJ438">
        <v>0</v>
      </c>
      <c r="AK438">
        <v>2.4540799999999998</v>
      </c>
      <c r="AL438">
        <v>3</v>
      </c>
      <c r="AM438">
        <v>0</v>
      </c>
      <c r="AN438">
        <v>2038</v>
      </c>
      <c r="AO438">
        <v>74</v>
      </c>
      <c r="AP438">
        <v>0</v>
      </c>
      <c r="AQ438">
        <v>0</v>
      </c>
    </row>
    <row r="439" spans="1:43" x14ac:dyDescent="0.25">
      <c r="A439">
        <v>436</v>
      </c>
      <c r="B439">
        <v>9</v>
      </c>
      <c r="C439">
        <v>9</v>
      </c>
      <c r="D439">
        <v>3</v>
      </c>
      <c r="E439">
        <v>1620</v>
      </c>
      <c r="F439">
        <v>4745</v>
      </c>
      <c r="G439">
        <v>4752</v>
      </c>
      <c r="H439">
        <v>2474</v>
      </c>
      <c r="I439">
        <v>1067</v>
      </c>
      <c r="J439">
        <v>577</v>
      </c>
      <c r="K439">
        <v>296</v>
      </c>
      <c r="L439">
        <v>337</v>
      </c>
      <c r="M439">
        <v>429</v>
      </c>
      <c r="N439">
        <v>559</v>
      </c>
      <c r="O439">
        <v>337</v>
      </c>
      <c r="P439">
        <v>276.15520750000002</v>
      </c>
      <c r="Q439">
        <v>60</v>
      </c>
      <c r="R439">
        <v>0.142704778</v>
      </c>
      <c r="S439">
        <v>1801</v>
      </c>
      <c r="T439">
        <v>234</v>
      </c>
      <c r="U439">
        <v>981</v>
      </c>
      <c r="V439">
        <v>1670</v>
      </c>
      <c r="W439">
        <v>1124</v>
      </c>
      <c r="X439">
        <v>564</v>
      </c>
      <c r="Y439">
        <v>279</v>
      </c>
      <c r="Z439">
        <v>463</v>
      </c>
      <c r="AA439">
        <v>928</v>
      </c>
      <c r="AB439">
        <v>1</v>
      </c>
      <c r="AC439">
        <v>86</v>
      </c>
      <c r="AD439">
        <v>44</v>
      </c>
      <c r="AE439">
        <v>0</v>
      </c>
      <c r="AF439">
        <v>0</v>
      </c>
      <c r="AG439">
        <v>4</v>
      </c>
      <c r="AH439">
        <v>149</v>
      </c>
      <c r="AI439">
        <v>0</v>
      </c>
      <c r="AJ439">
        <v>0</v>
      </c>
      <c r="AK439">
        <v>1.2650600000000001</v>
      </c>
      <c r="AL439">
        <v>3</v>
      </c>
      <c r="AM439">
        <v>0</v>
      </c>
      <c r="AN439">
        <v>1620</v>
      </c>
      <c r="AO439">
        <v>7</v>
      </c>
      <c r="AP439">
        <v>0</v>
      </c>
      <c r="AQ439">
        <v>0</v>
      </c>
    </row>
    <row r="440" spans="1:43" x14ac:dyDescent="0.25">
      <c r="A440">
        <v>437</v>
      </c>
      <c r="B440">
        <v>9</v>
      </c>
      <c r="C440">
        <v>9</v>
      </c>
      <c r="D440">
        <v>3</v>
      </c>
      <c r="E440">
        <v>2260</v>
      </c>
      <c r="F440">
        <v>5772</v>
      </c>
      <c r="G440">
        <v>5772</v>
      </c>
      <c r="H440">
        <v>3756</v>
      </c>
      <c r="I440">
        <v>680</v>
      </c>
      <c r="J440">
        <v>1609</v>
      </c>
      <c r="K440">
        <v>397</v>
      </c>
      <c r="L440">
        <v>564</v>
      </c>
      <c r="M440">
        <v>436</v>
      </c>
      <c r="N440">
        <v>877</v>
      </c>
      <c r="O440">
        <v>265</v>
      </c>
      <c r="P440">
        <v>196.51489950000001</v>
      </c>
      <c r="Q440">
        <v>53</v>
      </c>
      <c r="R440">
        <v>0.130972269</v>
      </c>
      <c r="S440">
        <v>521</v>
      </c>
      <c r="T440">
        <v>452</v>
      </c>
      <c r="U440">
        <v>855</v>
      </c>
      <c r="V440">
        <v>2315</v>
      </c>
      <c r="W440">
        <v>1484</v>
      </c>
      <c r="X440">
        <v>725</v>
      </c>
      <c r="Y440">
        <v>138</v>
      </c>
      <c r="Z440">
        <v>73</v>
      </c>
      <c r="AA440">
        <v>250</v>
      </c>
      <c r="AB440">
        <v>1</v>
      </c>
      <c r="AC440">
        <v>25</v>
      </c>
      <c r="AD440">
        <v>34</v>
      </c>
      <c r="AE440">
        <v>0</v>
      </c>
      <c r="AF440">
        <v>0</v>
      </c>
      <c r="AG440">
        <v>4</v>
      </c>
      <c r="AH440">
        <v>0</v>
      </c>
      <c r="AI440">
        <v>0</v>
      </c>
      <c r="AJ440">
        <v>0</v>
      </c>
      <c r="AK440">
        <v>1.44217</v>
      </c>
      <c r="AL440">
        <v>3</v>
      </c>
      <c r="AM440">
        <v>0</v>
      </c>
      <c r="AN440">
        <v>2260</v>
      </c>
      <c r="AO440">
        <v>0</v>
      </c>
      <c r="AP440">
        <v>0</v>
      </c>
      <c r="AQ440">
        <v>0</v>
      </c>
    </row>
    <row r="441" spans="1:43" x14ac:dyDescent="0.25">
      <c r="A441">
        <v>438</v>
      </c>
      <c r="B441">
        <v>9</v>
      </c>
      <c r="C441">
        <v>9</v>
      </c>
      <c r="D441">
        <v>3</v>
      </c>
      <c r="E441">
        <v>1701</v>
      </c>
      <c r="F441">
        <v>4870</v>
      </c>
      <c r="G441">
        <v>4879</v>
      </c>
      <c r="H441">
        <v>2609</v>
      </c>
      <c r="I441">
        <v>1294</v>
      </c>
      <c r="J441">
        <v>372</v>
      </c>
      <c r="K441">
        <v>262</v>
      </c>
      <c r="L441">
        <v>300</v>
      </c>
      <c r="M441">
        <v>336</v>
      </c>
      <c r="N441">
        <v>792</v>
      </c>
      <c r="O441">
        <v>352</v>
      </c>
      <c r="P441">
        <v>248.14824619999999</v>
      </c>
      <c r="Q441">
        <v>91</v>
      </c>
      <c r="R441">
        <v>0.14350143500000001</v>
      </c>
      <c r="S441">
        <v>598</v>
      </c>
      <c r="T441">
        <v>327</v>
      </c>
      <c r="U441">
        <v>817</v>
      </c>
      <c r="V441">
        <v>1860</v>
      </c>
      <c r="W441">
        <v>1138</v>
      </c>
      <c r="X441">
        <v>612</v>
      </c>
      <c r="Y441">
        <v>38</v>
      </c>
      <c r="Z441">
        <v>85</v>
      </c>
      <c r="AA441">
        <v>416</v>
      </c>
      <c r="AB441">
        <v>1</v>
      </c>
      <c r="AC441">
        <v>24</v>
      </c>
      <c r="AD441">
        <v>34</v>
      </c>
      <c r="AE441">
        <v>0</v>
      </c>
      <c r="AF441">
        <v>0</v>
      </c>
      <c r="AG441">
        <v>4</v>
      </c>
      <c r="AH441">
        <v>0</v>
      </c>
      <c r="AI441">
        <v>0</v>
      </c>
      <c r="AJ441">
        <v>0</v>
      </c>
      <c r="AK441">
        <v>1.2278500000000001</v>
      </c>
      <c r="AL441">
        <v>3</v>
      </c>
      <c r="AM441">
        <v>0</v>
      </c>
      <c r="AN441">
        <v>1701</v>
      </c>
      <c r="AO441">
        <v>9</v>
      </c>
      <c r="AP441">
        <v>0</v>
      </c>
      <c r="AQ441">
        <v>0</v>
      </c>
    </row>
    <row r="442" spans="1:43" x14ac:dyDescent="0.25">
      <c r="A442">
        <v>439</v>
      </c>
      <c r="B442">
        <v>9</v>
      </c>
      <c r="C442">
        <v>9</v>
      </c>
      <c r="D442">
        <v>3</v>
      </c>
      <c r="E442">
        <v>1210</v>
      </c>
      <c r="F442">
        <v>3056</v>
      </c>
      <c r="G442">
        <v>3056</v>
      </c>
      <c r="H442">
        <v>1941</v>
      </c>
      <c r="I442">
        <v>691</v>
      </c>
      <c r="J442">
        <v>467</v>
      </c>
      <c r="K442">
        <v>302</v>
      </c>
      <c r="L442">
        <v>162</v>
      </c>
      <c r="M442">
        <v>208</v>
      </c>
      <c r="N442">
        <v>545</v>
      </c>
      <c r="O442">
        <v>267</v>
      </c>
      <c r="P442">
        <v>160.1636503</v>
      </c>
      <c r="Q442">
        <v>44</v>
      </c>
      <c r="R442">
        <v>0.22059779099999999</v>
      </c>
      <c r="S442">
        <v>1006</v>
      </c>
      <c r="T442">
        <v>101</v>
      </c>
      <c r="U442">
        <v>449</v>
      </c>
      <c r="V442">
        <v>1142</v>
      </c>
      <c r="W442">
        <v>841</v>
      </c>
      <c r="X442">
        <v>469</v>
      </c>
      <c r="Y442">
        <v>201</v>
      </c>
      <c r="Z442">
        <v>106</v>
      </c>
      <c r="AA442">
        <v>592</v>
      </c>
      <c r="AB442">
        <v>28</v>
      </c>
      <c r="AC442">
        <v>35</v>
      </c>
      <c r="AD442">
        <v>44</v>
      </c>
      <c r="AE442">
        <v>0</v>
      </c>
      <c r="AF442">
        <v>0</v>
      </c>
      <c r="AG442">
        <v>4</v>
      </c>
      <c r="AH442">
        <v>0</v>
      </c>
      <c r="AI442">
        <v>0</v>
      </c>
      <c r="AJ442">
        <v>0</v>
      </c>
      <c r="AK442">
        <v>1.44546</v>
      </c>
      <c r="AL442">
        <v>3</v>
      </c>
      <c r="AM442">
        <v>0</v>
      </c>
      <c r="AN442">
        <v>1210</v>
      </c>
      <c r="AO442">
        <v>0</v>
      </c>
      <c r="AP442">
        <v>0</v>
      </c>
      <c r="AQ442">
        <v>0</v>
      </c>
    </row>
    <row r="443" spans="1:43" x14ac:dyDescent="0.25">
      <c r="A443">
        <v>440</v>
      </c>
      <c r="B443">
        <v>9</v>
      </c>
      <c r="C443">
        <v>9</v>
      </c>
      <c r="D443">
        <v>3</v>
      </c>
      <c r="E443">
        <v>3679</v>
      </c>
      <c r="F443">
        <v>8734</v>
      </c>
      <c r="G443">
        <v>8734</v>
      </c>
      <c r="H443">
        <v>5018</v>
      </c>
      <c r="I443">
        <v>974</v>
      </c>
      <c r="J443">
        <v>2775</v>
      </c>
      <c r="K443">
        <v>590</v>
      </c>
      <c r="L443">
        <v>449</v>
      </c>
      <c r="M443">
        <v>875</v>
      </c>
      <c r="N443">
        <v>1766</v>
      </c>
      <c r="O443">
        <v>337</v>
      </c>
      <c r="P443">
        <v>278.10305460000001</v>
      </c>
      <c r="Q443">
        <v>80</v>
      </c>
      <c r="R443">
        <v>0.106738293</v>
      </c>
      <c r="S443">
        <v>942</v>
      </c>
      <c r="T443">
        <v>689</v>
      </c>
      <c r="U443">
        <v>1009</v>
      </c>
      <c r="V443">
        <v>4257</v>
      </c>
      <c r="W443">
        <v>1765</v>
      </c>
      <c r="X443">
        <v>625</v>
      </c>
      <c r="Y443">
        <v>39</v>
      </c>
      <c r="Z443">
        <v>109</v>
      </c>
      <c r="AA443">
        <v>695</v>
      </c>
      <c r="AB443">
        <v>1</v>
      </c>
      <c r="AC443">
        <v>29</v>
      </c>
      <c r="AD443">
        <v>69</v>
      </c>
      <c r="AE443">
        <v>0</v>
      </c>
      <c r="AF443">
        <v>0</v>
      </c>
      <c r="AG443">
        <v>3</v>
      </c>
      <c r="AH443">
        <v>1667</v>
      </c>
      <c r="AI443">
        <v>0</v>
      </c>
      <c r="AJ443">
        <v>0</v>
      </c>
      <c r="AK443">
        <v>1.35894</v>
      </c>
      <c r="AL443">
        <v>3</v>
      </c>
      <c r="AM443">
        <v>0</v>
      </c>
      <c r="AN443">
        <v>3679</v>
      </c>
      <c r="AO443">
        <v>0</v>
      </c>
      <c r="AP443">
        <v>0</v>
      </c>
      <c r="AQ443">
        <v>0</v>
      </c>
    </row>
    <row r="444" spans="1:43" x14ac:dyDescent="0.25">
      <c r="A444">
        <v>441</v>
      </c>
      <c r="B444">
        <v>9</v>
      </c>
      <c r="C444">
        <v>9</v>
      </c>
      <c r="D444">
        <v>3</v>
      </c>
      <c r="E444">
        <v>2963</v>
      </c>
      <c r="F444">
        <v>6746</v>
      </c>
      <c r="G444">
        <v>6758</v>
      </c>
      <c r="H444">
        <v>4401</v>
      </c>
      <c r="I444">
        <v>969</v>
      </c>
      <c r="J444">
        <v>1899</v>
      </c>
      <c r="K444">
        <v>556</v>
      </c>
      <c r="L444">
        <v>405</v>
      </c>
      <c r="M444">
        <v>620</v>
      </c>
      <c r="N444">
        <v>1376</v>
      </c>
      <c r="O444">
        <v>292</v>
      </c>
      <c r="P444">
        <v>237.25054499999999</v>
      </c>
      <c r="Q444">
        <v>51</v>
      </c>
      <c r="R444">
        <v>0.128205128</v>
      </c>
      <c r="S444">
        <v>1037</v>
      </c>
      <c r="T444">
        <v>516</v>
      </c>
      <c r="U444">
        <v>695</v>
      </c>
      <c r="V444">
        <v>3325</v>
      </c>
      <c r="W444">
        <v>1291</v>
      </c>
      <c r="X444">
        <v>649</v>
      </c>
      <c r="Y444">
        <v>124</v>
      </c>
      <c r="Z444">
        <v>224</v>
      </c>
      <c r="AA444">
        <v>622</v>
      </c>
      <c r="AB444">
        <v>1</v>
      </c>
      <c r="AC444">
        <v>19</v>
      </c>
      <c r="AD444">
        <v>47</v>
      </c>
      <c r="AE444">
        <v>0</v>
      </c>
      <c r="AF444">
        <v>0</v>
      </c>
      <c r="AG444">
        <v>3</v>
      </c>
      <c r="AH444">
        <v>0</v>
      </c>
      <c r="AI444">
        <v>0</v>
      </c>
      <c r="AJ444">
        <v>0</v>
      </c>
      <c r="AK444">
        <v>1.53712</v>
      </c>
      <c r="AL444">
        <v>3</v>
      </c>
      <c r="AM444">
        <v>0</v>
      </c>
      <c r="AN444">
        <v>2963</v>
      </c>
      <c r="AO444">
        <v>12</v>
      </c>
      <c r="AP444">
        <v>0</v>
      </c>
      <c r="AQ444">
        <v>0</v>
      </c>
    </row>
    <row r="445" spans="1:43" x14ac:dyDescent="0.25">
      <c r="A445">
        <v>442</v>
      </c>
      <c r="B445">
        <v>9</v>
      </c>
      <c r="C445">
        <v>9</v>
      </c>
      <c r="D445">
        <v>3</v>
      </c>
      <c r="E445">
        <v>1138</v>
      </c>
      <c r="F445">
        <v>3401</v>
      </c>
      <c r="G445">
        <v>3412</v>
      </c>
      <c r="H445">
        <v>2139</v>
      </c>
      <c r="I445">
        <v>1108</v>
      </c>
      <c r="J445">
        <v>1</v>
      </c>
      <c r="K445">
        <v>95</v>
      </c>
      <c r="L445">
        <v>133</v>
      </c>
      <c r="M445">
        <v>192</v>
      </c>
      <c r="N445">
        <v>725</v>
      </c>
      <c r="O445">
        <v>246</v>
      </c>
      <c r="P445">
        <v>185.85909559999999</v>
      </c>
      <c r="Q445">
        <v>57</v>
      </c>
      <c r="R445">
        <v>0.18354784599999999</v>
      </c>
      <c r="S445">
        <v>404</v>
      </c>
      <c r="T445">
        <v>84</v>
      </c>
      <c r="U445">
        <v>500</v>
      </c>
      <c r="V445">
        <v>1385</v>
      </c>
      <c r="W445">
        <v>967</v>
      </c>
      <c r="X445">
        <v>547</v>
      </c>
      <c r="Y445">
        <v>40</v>
      </c>
      <c r="Z445">
        <v>28</v>
      </c>
      <c r="AA445">
        <v>309</v>
      </c>
      <c r="AB445">
        <v>0</v>
      </c>
      <c r="AC445">
        <v>6</v>
      </c>
      <c r="AD445">
        <v>21</v>
      </c>
      <c r="AE445">
        <v>0</v>
      </c>
      <c r="AF445">
        <v>0</v>
      </c>
      <c r="AG445">
        <v>4</v>
      </c>
      <c r="AH445">
        <v>1614</v>
      </c>
      <c r="AI445">
        <v>0</v>
      </c>
      <c r="AJ445">
        <v>0</v>
      </c>
      <c r="AK445">
        <v>1.20611</v>
      </c>
      <c r="AL445">
        <v>3</v>
      </c>
      <c r="AM445">
        <v>0</v>
      </c>
      <c r="AN445">
        <v>1138</v>
      </c>
      <c r="AO445">
        <v>11</v>
      </c>
      <c r="AP445">
        <v>0</v>
      </c>
      <c r="AQ445">
        <v>0</v>
      </c>
    </row>
    <row r="446" spans="1:43" x14ac:dyDescent="0.25">
      <c r="A446">
        <v>443</v>
      </c>
      <c r="B446">
        <v>9</v>
      </c>
      <c r="C446">
        <v>9</v>
      </c>
      <c r="D446">
        <v>3</v>
      </c>
      <c r="E446">
        <v>2070</v>
      </c>
      <c r="F446">
        <v>4840</v>
      </c>
      <c r="G446">
        <v>4840</v>
      </c>
      <c r="H446">
        <v>3196</v>
      </c>
      <c r="I446">
        <v>806</v>
      </c>
      <c r="J446">
        <v>1344</v>
      </c>
      <c r="K446">
        <v>213</v>
      </c>
      <c r="L446">
        <v>378</v>
      </c>
      <c r="M446">
        <v>580</v>
      </c>
      <c r="N446">
        <v>899</v>
      </c>
      <c r="O446">
        <v>230</v>
      </c>
      <c r="P446">
        <v>176</v>
      </c>
      <c r="Q446">
        <v>53</v>
      </c>
      <c r="R446">
        <v>0.13487475900000001</v>
      </c>
      <c r="S446">
        <v>317</v>
      </c>
      <c r="T446">
        <v>274</v>
      </c>
      <c r="U446">
        <v>556</v>
      </c>
      <c r="V446">
        <v>2729</v>
      </c>
      <c r="W446">
        <v>969</v>
      </c>
      <c r="X446">
        <v>535</v>
      </c>
      <c r="Y446">
        <v>16</v>
      </c>
      <c r="Z446">
        <v>48</v>
      </c>
      <c r="AA446">
        <v>169</v>
      </c>
      <c r="AB446">
        <v>1</v>
      </c>
      <c r="AC446">
        <v>11</v>
      </c>
      <c r="AD446">
        <v>72</v>
      </c>
      <c r="AE446">
        <v>0</v>
      </c>
      <c r="AF446">
        <v>0</v>
      </c>
      <c r="AG446">
        <v>4</v>
      </c>
      <c r="AH446">
        <v>0</v>
      </c>
      <c r="AI446">
        <v>0</v>
      </c>
      <c r="AJ446">
        <v>0</v>
      </c>
      <c r="AK446">
        <v>1.3386199999999999</v>
      </c>
      <c r="AL446">
        <v>3</v>
      </c>
      <c r="AM446">
        <v>0</v>
      </c>
      <c r="AN446">
        <v>2070</v>
      </c>
      <c r="AO446">
        <v>0</v>
      </c>
      <c r="AP446">
        <v>0</v>
      </c>
      <c r="AQ446">
        <v>0</v>
      </c>
    </row>
    <row r="447" spans="1:43" x14ac:dyDescent="0.25">
      <c r="A447">
        <v>444</v>
      </c>
      <c r="B447">
        <v>9</v>
      </c>
      <c r="C447">
        <v>9</v>
      </c>
      <c r="D447">
        <v>3</v>
      </c>
      <c r="E447">
        <v>2261</v>
      </c>
      <c r="F447">
        <v>5722</v>
      </c>
      <c r="G447">
        <v>5723</v>
      </c>
      <c r="H447">
        <v>3355</v>
      </c>
      <c r="I447">
        <v>1628</v>
      </c>
      <c r="J447">
        <v>594</v>
      </c>
      <c r="K447">
        <v>204</v>
      </c>
      <c r="L447">
        <v>524</v>
      </c>
      <c r="M447">
        <v>394</v>
      </c>
      <c r="N447">
        <v>1121</v>
      </c>
      <c r="O447">
        <v>378</v>
      </c>
      <c r="P447">
        <v>261.4236353</v>
      </c>
      <c r="Q447">
        <v>107</v>
      </c>
      <c r="R447">
        <v>0.17782500900000001</v>
      </c>
      <c r="S447">
        <v>1109</v>
      </c>
      <c r="T447">
        <v>256</v>
      </c>
      <c r="U447">
        <v>817</v>
      </c>
      <c r="V447">
        <v>1938</v>
      </c>
      <c r="W447">
        <v>1885</v>
      </c>
      <c r="X447">
        <v>610</v>
      </c>
      <c r="Y447">
        <v>54</v>
      </c>
      <c r="Z447">
        <v>157</v>
      </c>
      <c r="AA447">
        <v>641</v>
      </c>
      <c r="AB447">
        <v>1</v>
      </c>
      <c r="AC447">
        <v>165</v>
      </c>
      <c r="AD447">
        <v>91</v>
      </c>
      <c r="AE447">
        <v>0</v>
      </c>
      <c r="AF447">
        <v>0</v>
      </c>
      <c r="AG447">
        <v>4</v>
      </c>
      <c r="AH447">
        <v>151</v>
      </c>
      <c r="AI447">
        <v>0</v>
      </c>
      <c r="AJ447">
        <v>0</v>
      </c>
      <c r="AK447">
        <v>1.30138</v>
      </c>
      <c r="AL447">
        <v>3</v>
      </c>
      <c r="AM447">
        <v>0</v>
      </c>
      <c r="AN447">
        <v>2261</v>
      </c>
      <c r="AO447">
        <v>1</v>
      </c>
      <c r="AP447">
        <v>0</v>
      </c>
      <c r="AQ447">
        <v>0</v>
      </c>
    </row>
    <row r="448" spans="1:43" x14ac:dyDescent="0.25">
      <c r="A448">
        <v>445</v>
      </c>
      <c r="B448">
        <v>9</v>
      </c>
      <c r="C448">
        <v>9</v>
      </c>
      <c r="D448">
        <v>3</v>
      </c>
      <c r="E448">
        <v>3495</v>
      </c>
      <c r="F448">
        <v>9344</v>
      </c>
      <c r="G448">
        <v>9360</v>
      </c>
      <c r="H448">
        <v>5045</v>
      </c>
      <c r="I448">
        <v>1594</v>
      </c>
      <c r="J448">
        <v>2053</v>
      </c>
      <c r="K448">
        <v>437</v>
      </c>
      <c r="L448">
        <v>743</v>
      </c>
      <c r="M448">
        <v>821</v>
      </c>
      <c r="N448">
        <v>1491</v>
      </c>
      <c r="O448">
        <v>349</v>
      </c>
      <c r="P448">
        <v>286.53398249999998</v>
      </c>
      <c r="Q448">
        <v>60</v>
      </c>
      <c r="R448">
        <v>0.10494719299999999</v>
      </c>
      <c r="S448">
        <v>684</v>
      </c>
      <c r="T448">
        <v>590</v>
      </c>
      <c r="U448">
        <v>1294</v>
      </c>
      <c r="V448">
        <v>4706</v>
      </c>
      <c r="W448">
        <v>1381</v>
      </c>
      <c r="X448">
        <v>815</v>
      </c>
      <c r="Y448">
        <v>99</v>
      </c>
      <c r="Z448">
        <v>84</v>
      </c>
      <c r="AA448">
        <v>432</v>
      </c>
      <c r="AB448">
        <v>1</v>
      </c>
      <c r="AC448">
        <v>41</v>
      </c>
      <c r="AD448">
        <v>27</v>
      </c>
      <c r="AE448">
        <v>0</v>
      </c>
      <c r="AF448">
        <v>0</v>
      </c>
      <c r="AG448">
        <v>4</v>
      </c>
      <c r="AH448">
        <v>0</v>
      </c>
      <c r="AI448">
        <v>0</v>
      </c>
      <c r="AJ448">
        <v>0</v>
      </c>
      <c r="AK448">
        <v>1.49596</v>
      </c>
      <c r="AL448">
        <v>3</v>
      </c>
      <c r="AM448">
        <v>0</v>
      </c>
      <c r="AN448">
        <v>3495</v>
      </c>
      <c r="AO448">
        <v>16</v>
      </c>
      <c r="AP448">
        <v>0</v>
      </c>
      <c r="AQ448">
        <v>0</v>
      </c>
    </row>
    <row r="449" spans="1:43" x14ac:dyDescent="0.25">
      <c r="A449">
        <v>446</v>
      </c>
      <c r="B449">
        <v>9</v>
      </c>
      <c r="C449">
        <v>9</v>
      </c>
      <c r="D449">
        <v>3</v>
      </c>
      <c r="E449">
        <v>3492</v>
      </c>
      <c r="F449">
        <v>8778</v>
      </c>
      <c r="G449">
        <v>8778</v>
      </c>
      <c r="H449">
        <v>5401</v>
      </c>
      <c r="I449">
        <v>1304</v>
      </c>
      <c r="J449">
        <v>2002</v>
      </c>
      <c r="K449">
        <v>213</v>
      </c>
      <c r="L449">
        <v>544</v>
      </c>
      <c r="M449">
        <v>945</v>
      </c>
      <c r="N449">
        <v>1788</v>
      </c>
      <c r="O449">
        <v>372</v>
      </c>
      <c r="P449">
        <v>350.80875739999999</v>
      </c>
      <c r="Q449">
        <v>64</v>
      </c>
      <c r="R449">
        <v>0.11732377500000001</v>
      </c>
      <c r="S449">
        <v>340</v>
      </c>
      <c r="T449">
        <v>791</v>
      </c>
      <c r="U449">
        <v>676</v>
      </c>
      <c r="V449">
        <v>4368</v>
      </c>
      <c r="W449">
        <v>1509</v>
      </c>
      <c r="X449">
        <v>822</v>
      </c>
      <c r="Y449">
        <v>71</v>
      </c>
      <c r="Z449">
        <v>65</v>
      </c>
      <c r="AA449">
        <v>139</v>
      </c>
      <c r="AB449">
        <v>0</v>
      </c>
      <c r="AC449">
        <v>53</v>
      </c>
      <c r="AD449">
        <v>12</v>
      </c>
      <c r="AE449">
        <v>0</v>
      </c>
      <c r="AF449">
        <v>0</v>
      </c>
      <c r="AG449">
        <v>4</v>
      </c>
      <c r="AH449">
        <v>0</v>
      </c>
      <c r="AI449">
        <v>0</v>
      </c>
      <c r="AJ449">
        <v>0</v>
      </c>
      <c r="AK449">
        <v>1.3634999999999999</v>
      </c>
      <c r="AL449">
        <v>3</v>
      </c>
      <c r="AM449">
        <v>0</v>
      </c>
      <c r="AN449">
        <v>3492</v>
      </c>
      <c r="AO449">
        <v>0</v>
      </c>
      <c r="AP449">
        <v>0</v>
      </c>
      <c r="AQ449">
        <v>0</v>
      </c>
    </row>
    <row r="450" spans="1:43" x14ac:dyDescent="0.25">
      <c r="A450">
        <v>447</v>
      </c>
      <c r="B450">
        <v>9</v>
      </c>
      <c r="C450">
        <v>9</v>
      </c>
      <c r="D450">
        <v>3</v>
      </c>
      <c r="E450">
        <v>2014</v>
      </c>
      <c r="F450">
        <v>4733</v>
      </c>
      <c r="G450">
        <v>4733</v>
      </c>
      <c r="H450">
        <v>2502</v>
      </c>
      <c r="I450">
        <v>1005</v>
      </c>
      <c r="J450">
        <v>1063</v>
      </c>
      <c r="K450">
        <v>274</v>
      </c>
      <c r="L450">
        <v>320</v>
      </c>
      <c r="M450">
        <v>312</v>
      </c>
      <c r="N450">
        <v>1111</v>
      </c>
      <c r="O450">
        <v>286</v>
      </c>
      <c r="P450">
        <v>206</v>
      </c>
      <c r="Q450">
        <v>39</v>
      </c>
      <c r="R450">
        <v>0.172333192</v>
      </c>
      <c r="S450">
        <v>490</v>
      </c>
      <c r="T450">
        <v>451</v>
      </c>
      <c r="U450">
        <v>414</v>
      </c>
      <c r="V450">
        <v>1792</v>
      </c>
      <c r="W450">
        <v>1216</v>
      </c>
      <c r="X450">
        <v>712</v>
      </c>
      <c r="Y450">
        <v>81</v>
      </c>
      <c r="Z450">
        <v>79</v>
      </c>
      <c r="AA450">
        <v>301</v>
      </c>
      <c r="AB450">
        <v>0</v>
      </c>
      <c r="AC450">
        <v>9</v>
      </c>
      <c r="AD450">
        <v>20</v>
      </c>
      <c r="AE450">
        <v>0</v>
      </c>
      <c r="AF450">
        <v>0</v>
      </c>
      <c r="AG450">
        <v>4</v>
      </c>
      <c r="AH450">
        <v>0</v>
      </c>
      <c r="AI450">
        <v>0</v>
      </c>
      <c r="AJ450">
        <v>0</v>
      </c>
      <c r="AK450">
        <v>1.3025899999999999</v>
      </c>
      <c r="AL450">
        <v>3</v>
      </c>
      <c r="AM450">
        <v>0</v>
      </c>
      <c r="AN450">
        <v>2014</v>
      </c>
      <c r="AO450">
        <v>0</v>
      </c>
      <c r="AP450">
        <v>0</v>
      </c>
      <c r="AQ450">
        <v>0</v>
      </c>
    </row>
    <row r="451" spans="1:43" x14ac:dyDescent="0.25">
      <c r="A451">
        <v>448</v>
      </c>
      <c r="B451">
        <v>9</v>
      </c>
      <c r="C451">
        <v>9</v>
      </c>
      <c r="D451">
        <v>3</v>
      </c>
      <c r="E451">
        <v>3321</v>
      </c>
      <c r="F451">
        <v>7707</v>
      </c>
      <c r="G451">
        <v>7732</v>
      </c>
      <c r="H451">
        <v>4643</v>
      </c>
      <c r="I451">
        <v>491</v>
      </c>
      <c r="J451">
        <v>2884</v>
      </c>
      <c r="K451">
        <v>654</v>
      </c>
      <c r="L451">
        <v>570</v>
      </c>
      <c r="M451">
        <v>872</v>
      </c>
      <c r="N451">
        <v>1245</v>
      </c>
      <c r="O451">
        <v>304</v>
      </c>
      <c r="P451">
        <v>179.64452449999999</v>
      </c>
      <c r="Q451">
        <v>98</v>
      </c>
      <c r="R451">
        <v>9.6669269000000002E-2</v>
      </c>
      <c r="S451">
        <v>1609</v>
      </c>
      <c r="T451">
        <v>558</v>
      </c>
      <c r="U451">
        <v>780</v>
      </c>
      <c r="V451">
        <v>4435</v>
      </c>
      <c r="W451">
        <v>1091</v>
      </c>
      <c r="X451">
        <v>642</v>
      </c>
      <c r="Y451">
        <v>348</v>
      </c>
      <c r="Z451">
        <v>440</v>
      </c>
      <c r="AA451">
        <v>749</v>
      </c>
      <c r="AB451">
        <v>1</v>
      </c>
      <c r="AC451">
        <v>27</v>
      </c>
      <c r="AD451">
        <v>44</v>
      </c>
      <c r="AE451">
        <v>0</v>
      </c>
      <c r="AF451">
        <v>0</v>
      </c>
      <c r="AG451">
        <v>4</v>
      </c>
      <c r="AH451">
        <v>0</v>
      </c>
      <c r="AI451">
        <v>0</v>
      </c>
      <c r="AJ451">
        <v>0</v>
      </c>
      <c r="AK451">
        <v>1.77763</v>
      </c>
      <c r="AL451">
        <v>3</v>
      </c>
      <c r="AM451">
        <v>0</v>
      </c>
      <c r="AN451">
        <v>3321</v>
      </c>
      <c r="AO451">
        <v>25</v>
      </c>
      <c r="AP451">
        <v>0</v>
      </c>
      <c r="AQ451">
        <v>0</v>
      </c>
    </row>
    <row r="452" spans="1:43" x14ac:dyDescent="0.25">
      <c r="A452">
        <v>449</v>
      </c>
      <c r="B452">
        <v>9</v>
      </c>
      <c r="C452">
        <v>9</v>
      </c>
      <c r="D452">
        <v>3</v>
      </c>
      <c r="E452">
        <v>2650</v>
      </c>
      <c r="F452">
        <v>6488</v>
      </c>
      <c r="G452">
        <v>6488</v>
      </c>
      <c r="H452">
        <v>3694</v>
      </c>
      <c r="I452">
        <v>950</v>
      </c>
      <c r="J452">
        <v>1770</v>
      </c>
      <c r="K452">
        <v>351</v>
      </c>
      <c r="L452">
        <v>498</v>
      </c>
      <c r="M452">
        <v>554</v>
      </c>
      <c r="N452">
        <v>1262</v>
      </c>
      <c r="O452">
        <v>360</v>
      </c>
      <c r="P452">
        <v>280.1544475</v>
      </c>
      <c r="Q452">
        <v>76</v>
      </c>
      <c r="R452">
        <v>0.15486155800000001</v>
      </c>
      <c r="S452">
        <v>1559</v>
      </c>
      <c r="T452">
        <v>483</v>
      </c>
      <c r="U452">
        <v>871</v>
      </c>
      <c r="V452">
        <v>3152</v>
      </c>
      <c r="W452">
        <v>880</v>
      </c>
      <c r="X452">
        <v>686</v>
      </c>
      <c r="Y452">
        <v>291</v>
      </c>
      <c r="Z452">
        <v>167</v>
      </c>
      <c r="AA452">
        <v>1006</v>
      </c>
      <c r="AB452">
        <v>2</v>
      </c>
      <c r="AC452">
        <v>35</v>
      </c>
      <c r="AD452">
        <v>58</v>
      </c>
      <c r="AE452">
        <v>0</v>
      </c>
      <c r="AF452">
        <v>0</v>
      </c>
      <c r="AG452">
        <v>4</v>
      </c>
      <c r="AH452">
        <v>0</v>
      </c>
      <c r="AI452">
        <v>0</v>
      </c>
      <c r="AJ452">
        <v>0</v>
      </c>
      <c r="AK452">
        <v>1.5136700000000001</v>
      </c>
      <c r="AL452">
        <v>3</v>
      </c>
      <c r="AM452">
        <v>0</v>
      </c>
      <c r="AN452">
        <v>2650</v>
      </c>
      <c r="AO452">
        <v>0</v>
      </c>
      <c r="AP452">
        <v>0</v>
      </c>
      <c r="AQ452">
        <v>0</v>
      </c>
    </row>
    <row r="453" spans="1:43" x14ac:dyDescent="0.25">
      <c r="A453">
        <v>450</v>
      </c>
      <c r="B453">
        <v>9</v>
      </c>
      <c r="C453">
        <v>9</v>
      </c>
      <c r="D453">
        <v>3</v>
      </c>
      <c r="E453">
        <v>2573</v>
      </c>
      <c r="F453">
        <v>5520</v>
      </c>
      <c r="G453">
        <v>5530</v>
      </c>
      <c r="H453">
        <v>3812</v>
      </c>
      <c r="I453">
        <v>988</v>
      </c>
      <c r="J453">
        <v>1626</v>
      </c>
      <c r="K453">
        <v>315</v>
      </c>
      <c r="L453">
        <v>423</v>
      </c>
      <c r="M453">
        <v>727</v>
      </c>
      <c r="N453">
        <v>1120</v>
      </c>
      <c r="O453">
        <v>333</v>
      </c>
      <c r="P453">
        <v>164.58382879999999</v>
      </c>
      <c r="Q453">
        <v>169</v>
      </c>
      <c r="R453">
        <v>0.146188341</v>
      </c>
      <c r="S453">
        <v>4456</v>
      </c>
      <c r="T453">
        <v>393</v>
      </c>
      <c r="U453">
        <v>432</v>
      </c>
      <c r="V453">
        <v>2935</v>
      </c>
      <c r="W453">
        <v>951</v>
      </c>
      <c r="X453">
        <v>733</v>
      </c>
      <c r="Y453">
        <v>429</v>
      </c>
      <c r="Z453">
        <v>1938</v>
      </c>
      <c r="AA453">
        <v>1311</v>
      </c>
      <c r="AB453">
        <v>4</v>
      </c>
      <c r="AC453">
        <v>421</v>
      </c>
      <c r="AD453">
        <v>353</v>
      </c>
      <c r="AE453">
        <v>0</v>
      </c>
      <c r="AF453">
        <v>0</v>
      </c>
      <c r="AG453">
        <v>3</v>
      </c>
      <c r="AH453">
        <v>0</v>
      </c>
      <c r="AI453">
        <v>0</v>
      </c>
      <c r="AJ453">
        <v>0</v>
      </c>
      <c r="AK453">
        <v>1.6110800000000001</v>
      </c>
      <c r="AL453">
        <v>3</v>
      </c>
      <c r="AM453">
        <v>0</v>
      </c>
      <c r="AN453">
        <v>2573</v>
      </c>
      <c r="AO453">
        <v>10</v>
      </c>
      <c r="AP453">
        <v>0</v>
      </c>
      <c r="AQ453">
        <v>0</v>
      </c>
    </row>
    <row r="454" spans="1:43" x14ac:dyDescent="0.25">
      <c r="A454">
        <v>451</v>
      </c>
      <c r="B454">
        <v>9</v>
      </c>
      <c r="C454">
        <v>9</v>
      </c>
      <c r="D454">
        <v>3</v>
      </c>
      <c r="E454">
        <v>2442</v>
      </c>
      <c r="F454">
        <v>6667</v>
      </c>
      <c r="G454">
        <v>6681</v>
      </c>
      <c r="H454">
        <v>3145</v>
      </c>
      <c r="I454">
        <v>1569</v>
      </c>
      <c r="J454">
        <v>734</v>
      </c>
      <c r="K454">
        <v>438</v>
      </c>
      <c r="L454">
        <v>245</v>
      </c>
      <c r="M454">
        <v>473</v>
      </c>
      <c r="N454">
        <v>1285</v>
      </c>
      <c r="O454">
        <v>464</v>
      </c>
      <c r="P454">
        <v>420.92928610000001</v>
      </c>
      <c r="Q454">
        <v>30</v>
      </c>
      <c r="R454">
        <v>0.17045627999999999</v>
      </c>
      <c r="S454">
        <v>1548</v>
      </c>
      <c r="T454">
        <v>318</v>
      </c>
      <c r="U454">
        <v>1330</v>
      </c>
      <c r="V454">
        <v>2273</v>
      </c>
      <c r="W454">
        <v>1575</v>
      </c>
      <c r="X454">
        <v>911</v>
      </c>
      <c r="Y454">
        <v>295</v>
      </c>
      <c r="Z454">
        <v>145</v>
      </c>
      <c r="AA454">
        <v>989</v>
      </c>
      <c r="AB454">
        <v>2</v>
      </c>
      <c r="AC454">
        <v>35</v>
      </c>
      <c r="AD454">
        <v>82</v>
      </c>
      <c r="AE454">
        <v>0</v>
      </c>
      <c r="AF454">
        <v>0</v>
      </c>
      <c r="AG454">
        <v>4</v>
      </c>
      <c r="AH454">
        <v>0</v>
      </c>
      <c r="AI454">
        <v>0</v>
      </c>
      <c r="AJ454">
        <v>0</v>
      </c>
      <c r="AK454">
        <v>1.27658</v>
      </c>
      <c r="AL454">
        <v>3</v>
      </c>
      <c r="AM454">
        <v>0</v>
      </c>
      <c r="AN454">
        <v>2442</v>
      </c>
      <c r="AO454">
        <v>14</v>
      </c>
      <c r="AP454">
        <v>0</v>
      </c>
      <c r="AQ454">
        <v>0</v>
      </c>
    </row>
    <row r="455" spans="1:43" x14ac:dyDescent="0.25">
      <c r="A455">
        <v>452</v>
      </c>
      <c r="B455">
        <v>9</v>
      </c>
      <c r="C455">
        <v>9</v>
      </c>
      <c r="D455">
        <v>3</v>
      </c>
      <c r="E455">
        <v>1011</v>
      </c>
      <c r="F455">
        <v>3184</v>
      </c>
      <c r="G455">
        <v>3184</v>
      </c>
      <c r="H455">
        <v>1431</v>
      </c>
      <c r="I455">
        <v>987</v>
      </c>
      <c r="J455">
        <v>33</v>
      </c>
      <c r="K455">
        <v>74</v>
      </c>
      <c r="L455">
        <v>180</v>
      </c>
      <c r="M455">
        <v>121</v>
      </c>
      <c r="N455">
        <v>636</v>
      </c>
      <c r="O455">
        <v>321</v>
      </c>
      <c r="P455">
        <v>240.13101689999999</v>
      </c>
      <c r="Q455">
        <v>81</v>
      </c>
      <c r="R455">
        <v>0.227710843</v>
      </c>
      <c r="S455">
        <v>1411</v>
      </c>
      <c r="T455">
        <v>241</v>
      </c>
      <c r="U455">
        <v>669</v>
      </c>
      <c r="V455">
        <v>849</v>
      </c>
      <c r="W455">
        <v>842</v>
      </c>
      <c r="X455">
        <v>622</v>
      </c>
      <c r="Y455">
        <v>153</v>
      </c>
      <c r="Z455">
        <v>99</v>
      </c>
      <c r="AA455">
        <v>1069</v>
      </c>
      <c r="AB455">
        <v>2</v>
      </c>
      <c r="AC455">
        <v>43</v>
      </c>
      <c r="AD455">
        <v>45</v>
      </c>
      <c r="AE455">
        <v>0</v>
      </c>
      <c r="AF455">
        <v>0</v>
      </c>
      <c r="AG455">
        <v>4</v>
      </c>
      <c r="AH455">
        <v>2066</v>
      </c>
      <c r="AI455">
        <v>0</v>
      </c>
      <c r="AJ455">
        <v>0</v>
      </c>
      <c r="AK455">
        <v>1.21776</v>
      </c>
      <c r="AL455">
        <v>3</v>
      </c>
      <c r="AM455">
        <v>0</v>
      </c>
      <c r="AN455">
        <v>1011</v>
      </c>
      <c r="AO455">
        <v>0</v>
      </c>
      <c r="AP455">
        <v>0</v>
      </c>
      <c r="AQ455">
        <v>0</v>
      </c>
    </row>
    <row r="456" spans="1:43" x14ac:dyDescent="0.25">
      <c r="A456">
        <v>453</v>
      </c>
      <c r="B456">
        <v>9</v>
      </c>
      <c r="C456">
        <v>9</v>
      </c>
      <c r="D456">
        <v>3</v>
      </c>
      <c r="E456">
        <v>2633</v>
      </c>
      <c r="F456">
        <v>8193</v>
      </c>
      <c r="G456">
        <v>8214</v>
      </c>
      <c r="H456">
        <v>3893</v>
      </c>
      <c r="I456">
        <v>1912</v>
      </c>
      <c r="J456">
        <v>628</v>
      </c>
      <c r="K456">
        <v>271</v>
      </c>
      <c r="L456">
        <v>288</v>
      </c>
      <c r="M456">
        <v>623</v>
      </c>
      <c r="N456">
        <v>1451</v>
      </c>
      <c r="O456">
        <v>615</v>
      </c>
      <c r="P456">
        <v>542</v>
      </c>
      <c r="Q456">
        <v>43</v>
      </c>
      <c r="R456">
        <v>0.127659574</v>
      </c>
      <c r="S456">
        <v>1353</v>
      </c>
      <c r="T456">
        <v>514</v>
      </c>
      <c r="U456">
        <v>1709</v>
      </c>
      <c r="V456">
        <v>3086</v>
      </c>
      <c r="W456">
        <v>1900</v>
      </c>
      <c r="X456">
        <v>847</v>
      </c>
      <c r="Y456">
        <v>285</v>
      </c>
      <c r="Z456">
        <v>218</v>
      </c>
      <c r="AA456">
        <v>770</v>
      </c>
      <c r="AB456">
        <v>1</v>
      </c>
      <c r="AC456">
        <v>29</v>
      </c>
      <c r="AD456">
        <v>50</v>
      </c>
      <c r="AE456">
        <v>0</v>
      </c>
      <c r="AF456">
        <v>0</v>
      </c>
      <c r="AG456">
        <v>4</v>
      </c>
      <c r="AH456">
        <v>0</v>
      </c>
      <c r="AI456">
        <v>0</v>
      </c>
      <c r="AJ456">
        <v>0</v>
      </c>
      <c r="AK456">
        <v>1.19859</v>
      </c>
      <c r="AL456">
        <v>3</v>
      </c>
      <c r="AM456">
        <v>0</v>
      </c>
      <c r="AN456">
        <v>2633</v>
      </c>
      <c r="AO456">
        <v>21</v>
      </c>
      <c r="AP456">
        <v>0</v>
      </c>
      <c r="AQ456">
        <v>0</v>
      </c>
    </row>
    <row r="457" spans="1:43" x14ac:dyDescent="0.25">
      <c r="A457">
        <v>454</v>
      </c>
      <c r="B457">
        <v>9</v>
      </c>
      <c r="C457">
        <v>9</v>
      </c>
      <c r="D457">
        <v>3</v>
      </c>
      <c r="E457">
        <v>1578</v>
      </c>
      <c r="F457">
        <v>4544</v>
      </c>
      <c r="G457">
        <v>4544</v>
      </c>
      <c r="H457">
        <v>2154</v>
      </c>
      <c r="I457">
        <v>1304</v>
      </c>
      <c r="J457">
        <v>190</v>
      </c>
      <c r="K457">
        <v>103</v>
      </c>
      <c r="L457">
        <v>146</v>
      </c>
      <c r="M457">
        <v>264</v>
      </c>
      <c r="N457">
        <v>1073</v>
      </c>
      <c r="O457">
        <v>478</v>
      </c>
      <c r="P457">
        <v>412.08622150000002</v>
      </c>
      <c r="Q457">
        <v>44</v>
      </c>
      <c r="R457">
        <v>0.26669502299999998</v>
      </c>
      <c r="S457">
        <v>1154</v>
      </c>
      <c r="T457">
        <v>136</v>
      </c>
      <c r="U457">
        <v>963</v>
      </c>
      <c r="V457">
        <v>1046</v>
      </c>
      <c r="W457">
        <v>1341</v>
      </c>
      <c r="X457">
        <v>1103</v>
      </c>
      <c r="Y457">
        <v>13</v>
      </c>
      <c r="Z457">
        <v>101</v>
      </c>
      <c r="AA457">
        <v>868</v>
      </c>
      <c r="AB457">
        <v>1</v>
      </c>
      <c r="AC457">
        <v>80</v>
      </c>
      <c r="AD457">
        <v>91</v>
      </c>
      <c r="AE457">
        <v>0</v>
      </c>
      <c r="AF457">
        <v>0</v>
      </c>
      <c r="AG457">
        <v>4</v>
      </c>
      <c r="AH457">
        <v>0</v>
      </c>
      <c r="AI457">
        <v>0</v>
      </c>
      <c r="AJ457">
        <v>0</v>
      </c>
      <c r="AK457">
        <v>1.1411100000000001</v>
      </c>
      <c r="AL457">
        <v>3</v>
      </c>
      <c r="AM457">
        <v>0</v>
      </c>
      <c r="AN457">
        <v>1578</v>
      </c>
      <c r="AO457">
        <v>0</v>
      </c>
      <c r="AP457">
        <v>0</v>
      </c>
      <c r="AQ457">
        <v>0</v>
      </c>
    </row>
    <row r="458" spans="1:43" x14ac:dyDescent="0.25">
      <c r="A458">
        <v>455</v>
      </c>
      <c r="B458">
        <v>9</v>
      </c>
      <c r="C458">
        <v>9</v>
      </c>
      <c r="D458">
        <v>3</v>
      </c>
      <c r="E458">
        <v>922</v>
      </c>
      <c r="F458">
        <v>2570</v>
      </c>
      <c r="G458">
        <v>2571</v>
      </c>
      <c r="H458">
        <v>1075</v>
      </c>
      <c r="I458">
        <v>929</v>
      </c>
      <c r="J458">
        <v>6</v>
      </c>
      <c r="K458">
        <v>162</v>
      </c>
      <c r="L458">
        <v>105</v>
      </c>
      <c r="M458">
        <v>119</v>
      </c>
      <c r="N458">
        <v>534</v>
      </c>
      <c r="O458">
        <v>304</v>
      </c>
      <c r="P458">
        <v>274</v>
      </c>
      <c r="Q458">
        <v>26</v>
      </c>
      <c r="R458">
        <v>0.31374075499999998</v>
      </c>
      <c r="S458">
        <v>785</v>
      </c>
      <c r="T458">
        <v>66</v>
      </c>
      <c r="U458">
        <v>467</v>
      </c>
      <c r="V458">
        <v>490</v>
      </c>
      <c r="W458">
        <v>799</v>
      </c>
      <c r="X458">
        <v>681</v>
      </c>
      <c r="Y458">
        <v>120</v>
      </c>
      <c r="Z458">
        <v>116</v>
      </c>
      <c r="AA458">
        <v>474</v>
      </c>
      <c r="AB458">
        <v>1</v>
      </c>
      <c r="AC458">
        <v>35</v>
      </c>
      <c r="AD458">
        <v>39</v>
      </c>
      <c r="AE458">
        <v>0</v>
      </c>
      <c r="AF458">
        <v>0</v>
      </c>
      <c r="AG458">
        <v>4</v>
      </c>
      <c r="AH458">
        <v>0</v>
      </c>
      <c r="AI458">
        <v>0</v>
      </c>
      <c r="AJ458">
        <v>0</v>
      </c>
      <c r="AK458">
        <v>1.13615</v>
      </c>
      <c r="AL458">
        <v>3</v>
      </c>
      <c r="AM458">
        <v>0</v>
      </c>
      <c r="AN458">
        <v>922</v>
      </c>
      <c r="AO458">
        <v>1</v>
      </c>
      <c r="AP458">
        <v>0</v>
      </c>
      <c r="AQ458">
        <v>0</v>
      </c>
    </row>
    <row r="459" spans="1:43" x14ac:dyDescent="0.25">
      <c r="A459">
        <v>456</v>
      </c>
      <c r="B459">
        <v>9</v>
      </c>
      <c r="C459">
        <v>9</v>
      </c>
      <c r="D459">
        <v>3</v>
      </c>
      <c r="E459">
        <v>3146</v>
      </c>
      <c r="F459">
        <v>8836</v>
      </c>
      <c r="G459">
        <v>8842</v>
      </c>
      <c r="H459">
        <v>4203</v>
      </c>
      <c r="I459">
        <v>1196</v>
      </c>
      <c r="J459">
        <v>1888</v>
      </c>
      <c r="K459">
        <v>613</v>
      </c>
      <c r="L459">
        <v>718</v>
      </c>
      <c r="M459">
        <v>640</v>
      </c>
      <c r="N459">
        <v>1187</v>
      </c>
      <c r="O459">
        <v>320</v>
      </c>
      <c r="P459">
        <v>264.33671409999999</v>
      </c>
      <c r="Q459">
        <v>47</v>
      </c>
      <c r="R459">
        <v>0.15044653099999999</v>
      </c>
      <c r="S459">
        <v>579</v>
      </c>
      <c r="T459">
        <v>575</v>
      </c>
      <c r="U459">
        <v>1810</v>
      </c>
      <c r="V459">
        <v>3082</v>
      </c>
      <c r="W459">
        <v>2062</v>
      </c>
      <c r="X459">
        <v>993</v>
      </c>
      <c r="Y459">
        <v>16</v>
      </c>
      <c r="Z459">
        <v>167</v>
      </c>
      <c r="AA459">
        <v>290</v>
      </c>
      <c r="AB459">
        <v>1</v>
      </c>
      <c r="AC459">
        <v>68</v>
      </c>
      <c r="AD459">
        <v>37</v>
      </c>
      <c r="AE459">
        <v>0</v>
      </c>
      <c r="AF459">
        <v>0</v>
      </c>
      <c r="AG459">
        <v>4</v>
      </c>
      <c r="AH459">
        <v>0</v>
      </c>
      <c r="AI459">
        <v>0</v>
      </c>
      <c r="AJ459">
        <v>0</v>
      </c>
      <c r="AK459">
        <v>1.53661</v>
      </c>
      <c r="AL459">
        <v>3</v>
      </c>
      <c r="AM459">
        <v>0</v>
      </c>
      <c r="AN459">
        <v>3146</v>
      </c>
      <c r="AO459">
        <v>6</v>
      </c>
      <c r="AP459">
        <v>0</v>
      </c>
      <c r="AQ459">
        <v>0</v>
      </c>
    </row>
    <row r="460" spans="1:43" x14ac:dyDescent="0.25">
      <c r="A460">
        <v>457</v>
      </c>
      <c r="B460">
        <v>9</v>
      </c>
      <c r="C460">
        <v>9</v>
      </c>
      <c r="D460">
        <v>3</v>
      </c>
      <c r="E460">
        <v>1751</v>
      </c>
      <c r="F460">
        <v>5869</v>
      </c>
      <c r="G460">
        <v>5869</v>
      </c>
      <c r="H460">
        <v>2453</v>
      </c>
      <c r="I460">
        <v>1464</v>
      </c>
      <c r="J460">
        <v>265</v>
      </c>
      <c r="K460">
        <v>154</v>
      </c>
      <c r="L460">
        <v>237</v>
      </c>
      <c r="M460">
        <v>247</v>
      </c>
      <c r="N460">
        <v>1117</v>
      </c>
      <c r="O460">
        <v>382</v>
      </c>
      <c r="P460">
        <v>314</v>
      </c>
      <c r="Q460">
        <v>53</v>
      </c>
      <c r="R460">
        <v>0.18837746599999999</v>
      </c>
      <c r="S460">
        <v>243</v>
      </c>
      <c r="T460">
        <v>489</v>
      </c>
      <c r="U460">
        <v>1193</v>
      </c>
      <c r="V460">
        <v>1687</v>
      </c>
      <c r="W460">
        <v>1205</v>
      </c>
      <c r="X460">
        <v>894</v>
      </c>
      <c r="Y460">
        <v>2</v>
      </c>
      <c r="Z460">
        <v>77</v>
      </c>
      <c r="AA460">
        <v>132</v>
      </c>
      <c r="AB460">
        <v>0</v>
      </c>
      <c r="AC460">
        <v>10</v>
      </c>
      <c r="AD460">
        <v>22</v>
      </c>
      <c r="AE460">
        <v>0</v>
      </c>
      <c r="AF460">
        <v>0</v>
      </c>
      <c r="AG460">
        <v>4</v>
      </c>
      <c r="AH460">
        <v>0</v>
      </c>
      <c r="AI460">
        <v>0</v>
      </c>
      <c r="AJ460">
        <v>0</v>
      </c>
      <c r="AK460">
        <v>1.2356199999999999</v>
      </c>
      <c r="AL460">
        <v>3</v>
      </c>
      <c r="AM460">
        <v>0</v>
      </c>
      <c r="AN460">
        <v>1751</v>
      </c>
      <c r="AO460">
        <v>0</v>
      </c>
      <c r="AP460">
        <v>0</v>
      </c>
      <c r="AQ460">
        <v>0</v>
      </c>
    </row>
    <row r="461" spans="1:43" x14ac:dyDescent="0.25">
      <c r="A461">
        <v>458</v>
      </c>
      <c r="B461">
        <v>9</v>
      </c>
      <c r="C461">
        <v>9</v>
      </c>
      <c r="D461">
        <v>3</v>
      </c>
      <c r="E461">
        <v>1738</v>
      </c>
      <c r="F461">
        <v>5545</v>
      </c>
      <c r="G461">
        <v>5545</v>
      </c>
      <c r="H461">
        <v>2426</v>
      </c>
      <c r="I461">
        <v>1151</v>
      </c>
      <c r="J461">
        <v>486</v>
      </c>
      <c r="K461">
        <v>240</v>
      </c>
      <c r="L461">
        <v>212</v>
      </c>
      <c r="M461">
        <v>180</v>
      </c>
      <c r="N461">
        <v>1088</v>
      </c>
      <c r="O461">
        <v>248</v>
      </c>
      <c r="P461">
        <v>218.16191169999999</v>
      </c>
      <c r="Q461">
        <v>19</v>
      </c>
      <c r="R461">
        <v>0.13215258899999999</v>
      </c>
      <c r="S461">
        <v>345</v>
      </c>
      <c r="T461">
        <v>269</v>
      </c>
      <c r="U461">
        <v>1184</v>
      </c>
      <c r="V461">
        <v>1814</v>
      </c>
      <c r="W461">
        <v>1209</v>
      </c>
      <c r="X461">
        <v>518</v>
      </c>
      <c r="Y461">
        <v>11</v>
      </c>
      <c r="Z461">
        <v>89</v>
      </c>
      <c r="AA461">
        <v>203</v>
      </c>
      <c r="AB461">
        <v>1</v>
      </c>
      <c r="AC461">
        <v>21</v>
      </c>
      <c r="AD461">
        <v>20</v>
      </c>
      <c r="AE461">
        <v>0</v>
      </c>
      <c r="AF461">
        <v>0</v>
      </c>
      <c r="AG461">
        <v>4</v>
      </c>
      <c r="AH461">
        <v>0</v>
      </c>
      <c r="AI461">
        <v>0</v>
      </c>
      <c r="AJ461">
        <v>0</v>
      </c>
      <c r="AK461">
        <v>1.2537400000000001</v>
      </c>
      <c r="AL461">
        <v>3</v>
      </c>
      <c r="AM461">
        <v>0</v>
      </c>
      <c r="AN461">
        <v>1738</v>
      </c>
      <c r="AO461">
        <v>0</v>
      </c>
      <c r="AP461">
        <v>0</v>
      </c>
      <c r="AQ461">
        <v>0</v>
      </c>
    </row>
    <row r="462" spans="1:43" x14ac:dyDescent="0.25">
      <c r="A462">
        <v>459</v>
      </c>
      <c r="B462">
        <v>9</v>
      </c>
      <c r="C462">
        <v>9</v>
      </c>
      <c r="D462">
        <v>3</v>
      </c>
      <c r="E462">
        <v>2933</v>
      </c>
      <c r="F462">
        <v>7851</v>
      </c>
      <c r="G462">
        <v>7872</v>
      </c>
      <c r="H462">
        <v>4086</v>
      </c>
      <c r="I462">
        <v>1942</v>
      </c>
      <c r="J462">
        <v>1159</v>
      </c>
      <c r="K462">
        <v>362</v>
      </c>
      <c r="L462">
        <v>405</v>
      </c>
      <c r="M462">
        <v>592</v>
      </c>
      <c r="N462">
        <v>1581</v>
      </c>
      <c r="O462">
        <v>640</v>
      </c>
      <c r="P462">
        <v>521.75262339999995</v>
      </c>
      <c r="Q462">
        <v>125</v>
      </c>
      <c r="R462">
        <v>0.20598771799999999</v>
      </c>
      <c r="S462">
        <v>1182</v>
      </c>
      <c r="T462">
        <v>514</v>
      </c>
      <c r="U462">
        <v>1294</v>
      </c>
      <c r="V462">
        <v>2799</v>
      </c>
      <c r="W462">
        <v>1689</v>
      </c>
      <c r="X462">
        <v>1318</v>
      </c>
      <c r="Y462">
        <v>143</v>
      </c>
      <c r="Z462">
        <v>187</v>
      </c>
      <c r="AA462">
        <v>712</v>
      </c>
      <c r="AB462">
        <v>2</v>
      </c>
      <c r="AC462">
        <v>52</v>
      </c>
      <c r="AD462">
        <v>86</v>
      </c>
      <c r="AE462">
        <v>0</v>
      </c>
      <c r="AF462">
        <v>0</v>
      </c>
      <c r="AG462">
        <v>4</v>
      </c>
      <c r="AH462">
        <v>0</v>
      </c>
      <c r="AI462">
        <v>0</v>
      </c>
      <c r="AJ462">
        <v>0</v>
      </c>
      <c r="AK462">
        <v>1.2058800000000001</v>
      </c>
      <c r="AL462">
        <v>3</v>
      </c>
      <c r="AM462">
        <v>0</v>
      </c>
      <c r="AN462">
        <v>2933</v>
      </c>
      <c r="AO462">
        <v>21</v>
      </c>
      <c r="AP462">
        <v>0</v>
      </c>
      <c r="AQ462">
        <v>0</v>
      </c>
    </row>
    <row r="463" spans="1:43" x14ac:dyDescent="0.25">
      <c r="A463">
        <v>460</v>
      </c>
      <c r="B463">
        <v>10</v>
      </c>
      <c r="C463">
        <v>10</v>
      </c>
      <c r="D463">
        <v>3</v>
      </c>
      <c r="E463">
        <v>1416</v>
      </c>
      <c r="F463">
        <v>3687</v>
      </c>
      <c r="G463">
        <v>3713</v>
      </c>
      <c r="H463">
        <v>1842</v>
      </c>
      <c r="I463">
        <v>614</v>
      </c>
      <c r="J463">
        <v>901</v>
      </c>
      <c r="K463">
        <v>102</v>
      </c>
      <c r="L463">
        <v>171</v>
      </c>
      <c r="M463">
        <v>335</v>
      </c>
      <c r="N463">
        <v>799</v>
      </c>
      <c r="O463">
        <v>667</v>
      </c>
      <c r="P463">
        <v>146</v>
      </c>
      <c r="Q463">
        <v>449.64356759999998</v>
      </c>
      <c r="R463">
        <v>0.13582677200000001</v>
      </c>
      <c r="S463">
        <v>40341</v>
      </c>
      <c r="T463">
        <v>240</v>
      </c>
      <c r="U463">
        <v>557</v>
      </c>
      <c r="V463">
        <v>1547</v>
      </c>
      <c r="W463">
        <v>783</v>
      </c>
      <c r="X463">
        <v>327</v>
      </c>
      <c r="Y463">
        <v>123</v>
      </c>
      <c r="Z463">
        <v>273</v>
      </c>
      <c r="AA463">
        <v>5167</v>
      </c>
      <c r="AB463">
        <v>6</v>
      </c>
      <c r="AC463">
        <v>34622</v>
      </c>
      <c r="AD463">
        <v>150</v>
      </c>
      <c r="AE463">
        <v>0</v>
      </c>
      <c r="AF463">
        <v>0</v>
      </c>
      <c r="AG463">
        <v>3</v>
      </c>
      <c r="AH463">
        <v>8</v>
      </c>
      <c r="AI463">
        <v>0</v>
      </c>
      <c r="AJ463">
        <v>0</v>
      </c>
      <c r="AK463">
        <v>1.1938200000000001</v>
      </c>
      <c r="AL463">
        <v>3</v>
      </c>
      <c r="AM463">
        <v>0</v>
      </c>
      <c r="AN463">
        <v>1416</v>
      </c>
      <c r="AO463">
        <v>26</v>
      </c>
      <c r="AP463">
        <v>0</v>
      </c>
      <c r="AQ463">
        <v>0</v>
      </c>
    </row>
    <row r="464" spans="1:43" x14ac:dyDescent="0.25">
      <c r="A464">
        <v>461</v>
      </c>
      <c r="B464">
        <v>10</v>
      </c>
      <c r="C464">
        <v>10</v>
      </c>
      <c r="D464">
        <v>3</v>
      </c>
      <c r="E464">
        <v>1540</v>
      </c>
      <c r="F464">
        <v>4783</v>
      </c>
      <c r="G464">
        <v>4800</v>
      </c>
      <c r="H464">
        <v>2475</v>
      </c>
      <c r="I464">
        <v>1417</v>
      </c>
      <c r="J464">
        <v>218</v>
      </c>
      <c r="K464">
        <v>168</v>
      </c>
      <c r="L464">
        <v>273</v>
      </c>
      <c r="M464">
        <v>393</v>
      </c>
      <c r="N464">
        <v>712</v>
      </c>
      <c r="O464">
        <v>370</v>
      </c>
      <c r="P464">
        <v>311</v>
      </c>
      <c r="Q464">
        <v>47</v>
      </c>
      <c r="R464">
        <v>0.188235294</v>
      </c>
      <c r="S464">
        <v>438</v>
      </c>
      <c r="T464">
        <v>345</v>
      </c>
      <c r="U464">
        <v>815</v>
      </c>
      <c r="V464">
        <v>1574</v>
      </c>
      <c r="W464">
        <v>1360</v>
      </c>
      <c r="X464">
        <v>628</v>
      </c>
      <c r="Y464">
        <v>8</v>
      </c>
      <c r="Z464">
        <v>176</v>
      </c>
      <c r="AA464">
        <v>206</v>
      </c>
      <c r="AB464">
        <v>1</v>
      </c>
      <c r="AC464">
        <v>10</v>
      </c>
      <c r="AD464">
        <v>37</v>
      </c>
      <c r="AE464">
        <v>0</v>
      </c>
      <c r="AF464">
        <v>0</v>
      </c>
      <c r="AG464">
        <v>4</v>
      </c>
      <c r="AH464">
        <v>0</v>
      </c>
      <c r="AI464">
        <v>0</v>
      </c>
      <c r="AJ464">
        <v>0</v>
      </c>
      <c r="AK464">
        <v>1.2678400000000001</v>
      </c>
      <c r="AL464">
        <v>3</v>
      </c>
      <c r="AM464">
        <v>0</v>
      </c>
      <c r="AN464">
        <v>1540</v>
      </c>
      <c r="AO464">
        <v>17</v>
      </c>
      <c r="AP464">
        <v>0</v>
      </c>
      <c r="AQ464">
        <v>0</v>
      </c>
    </row>
    <row r="465" spans="1:43" x14ac:dyDescent="0.25">
      <c r="A465">
        <v>462</v>
      </c>
      <c r="B465">
        <v>10</v>
      </c>
      <c r="C465">
        <v>10</v>
      </c>
      <c r="D465">
        <v>3</v>
      </c>
      <c r="E465">
        <v>1781</v>
      </c>
      <c r="F465">
        <v>5386</v>
      </c>
      <c r="G465">
        <v>5412</v>
      </c>
      <c r="H465">
        <v>2481</v>
      </c>
      <c r="I465">
        <v>1435</v>
      </c>
      <c r="J465">
        <v>247</v>
      </c>
      <c r="K465">
        <v>273</v>
      </c>
      <c r="L465">
        <v>200</v>
      </c>
      <c r="M465">
        <v>387</v>
      </c>
      <c r="N465">
        <v>915</v>
      </c>
      <c r="O465">
        <v>378</v>
      </c>
      <c r="P465">
        <v>259.64564890000003</v>
      </c>
      <c r="Q465">
        <v>109</v>
      </c>
      <c r="R465">
        <v>0.19931008</v>
      </c>
      <c r="S465">
        <v>1320</v>
      </c>
      <c r="T465">
        <v>235</v>
      </c>
      <c r="U465">
        <v>1102</v>
      </c>
      <c r="V465">
        <v>1555</v>
      </c>
      <c r="W465">
        <v>1328</v>
      </c>
      <c r="X465">
        <v>851</v>
      </c>
      <c r="Y465">
        <v>308</v>
      </c>
      <c r="Z465">
        <v>185</v>
      </c>
      <c r="AA465">
        <v>747</v>
      </c>
      <c r="AB465">
        <v>1</v>
      </c>
      <c r="AC465">
        <v>22</v>
      </c>
      <c r="AD465">
        <v>57</v>
      </c>
      <c r="AE465">
        <v>0</v>
      </c>
      <c r="AF465">
        <v>0</v>
      </c>
      <c r="AG465">
        <v>4</v>
      </c>
      <c r="AH465">
        <v>0</v>
      </c>
      <c r="AI465">
        <v>0</v>
      </c>
      <c r="AJ465">
        <v>0</v>
      </c>
      <c r="AK465">
        <v>1.36232</v>
      </c>
      <c r="AL465">
        <v>3</v>
      </c>
      <c r="AM465">
        <v>0</v>
      </c>
      <c r="AN465">
        <v>1781</v>
      </c>
      <c r="AO465">
        <v>26</v>
      </c>
      <c r="AP465">
        <v>0</v>
      </c>
      <c r="AQ465">
        <v>0</v>
      </c>
    </row>
    <row r="466" spans="1:43" x14ac:dyDescent="0.25">
      <c r="A466">
        <v>463</v>
      </c>
      <c r="B466">
        <v>10</v>
      </c>
      <c r="C466">
        <v>10</v>
      </c>
      <c r="D466">
        <v>3</v>
      </c>
      <c r="E466">
        <v>1794</v>
      </c>
      <c r="F466">
        <v>4567</v>
      </c>
      <c r="G466">
        <v>4567</v>
      </c>
      <c r="H466">
        <v>2472</v>
      </c>
      <c r="I466">
        <v>1068</v>
      </c>
      <c r="J466">
        <v>740</v>
      </c>
      <c r="K466">
        <v>135</v>
      </c>
      <c r="L466">
        <v>404</v>
      </c>
      <c r="M466">
        <v>416</v>
      </c>
      <c r="N466">
        <v>826</v>
      </c>
      <c r="O466">
        <v>280</v>
      </c>
      <c r="P466">
        <v>229.32888500000001</v>
      </c>
      <c r="Q466">
        <v>48</v>
      </c>
      <c r="R466">
        <v>0.20027497699999999</v>
      </c>
      <c r="S466">
        <v>326</v>
      </c>
      <c r="T466">
        <v>221</v>
      </c>
      <c r="U466">
        <v>587</v>
      </c>
      <c r="V466">
        <v>1857</v>
      </c>
      <c r="W466">
        <v>883</v>
      </c>
      <c r="X466">
        <v>729</v>
      </c>
      <c r="Y466">
        <v>31</v>
      </c>
      <c r="Z466">
        <v>128</v>
      </c>
      <c r="AA466">
        <v>100</v>
      </c>
      <c r="AB466">
        <v>0</v>
      </c>
      <c r="AC466">
        <v>19</v>
      </c>
      <c r="AD466">
        <v>48</v>
      </c>
      <c r="AE466">
        <v>0</v>
      </c>
      <c r="AF466">
        <v>0</v>
      </c>
      <c r="AG466">
        <v>4</v>
      </c>
      <c r="AH466">
        <v>0</v>
      </c>
      <c r="AI466">
        <v>0</v>
      </c>
      <c r="AJ466">
        <v>0</v>
      </c>
      <c r="AK466">
        <v>1.2780199999999999</v>
      </c>
      <c r="AL466">
        <v>3</v>
      </c>
      <c r="AM466">
        <v>0</v>
      </c>
      <c r="AN466">
        <v>1794</v>
      </c>
      <c r="AO466">
        <v>0</v>
      </c>
      <c r="AP466">
        <v>0</v>
      </c>
      <c r="AQ466">
        <v>0</v>
      </c>
    </row>
    <row r="467" spans="1:43" x14ac:dyDescent="0.25">
      <c r="A467">
        <v>464</v>
      </c>
      <c r="B467">
        <v>10</v>
      </c>
      <c r="C467">
        <v>10</v>
      </c>
      <c r="D467">
        <v>3</v>
      </c>
      <c r="E467">
        <v>1850</v>
      </c>
      <c r="F467">
        <v>5070</v>
      </c>
      <c r="G467">
        <v>5088</v>
      </c>
      <c r="H467">
        <v>2745</v>
      </c>
      <c r="I467">
        <v>1333</v>
      </c>
      <c r="J467">
        <v>530</v>
      </c>
      <c r="K467">
        <v>268</v>
      </c>
      <c r="L467">
        <v>264</v>
      </c>
      <c r="M467">
        <v>501</v>
      </c>
      <c r="N467">
        <v>809</v>
      </c>
      <c r="O467">
        <v>325</v>
      </c>
      <c r="P467">
        <v>299</v>
      </c>
      <c r="Q467">
        <v>8</v>
      </c>
      <c r="R467">
        <v>0.19271043099999999</v>
      </c>
      <c r="S467">
        <v>385</v>
      </c>
      <c r="T467">
        <v>312</v>
      </c>
      <c r="U467">
        <v>629</v>
      </c>
      <c r="V467">
        <v>1832</v>
      </c>
      <c r="W467">
        <v>1321</v>
      </c>
      <c r="X467">
        <v>752</v>
      </c>
      <c r="Y467">
        <v>5</v>
      </c>
      <c r="Z467">
        <v>85</v>
      </c>
      <c r="AA467">
        <v>243</v>
      </c>
      <c r="AB467">
        <v>1</v>
      </c>
      <c r="AC467">
        <v>28</v>
      </c>
      <c r="AD467">
        <v>23</v>
      </c>
      <c r="AE467">
        <v>0</v>
      </c>
      <c r="AF467">
        <v>0</v>
      </c>
      <c r="AG467">
        <v>4</v>
      </c>
      <c r="AH467">
        <v>0</v>
      </c>
      <c r="AI467">
        <v>0</v>
      </c>
      <c r="AJ467">
        <v>0</v>
      </c>
      <c r="AK467">
        <v>1.2256</v>
      </c>
      <c r="AL467">
        <v>3</v>
      </c>
      <c r="AM467">
        <v>0</v>
      </c>
      <c r="AN467">
        <v>1850</v>
      </c>
      <c r="AO467">
        <v>18</v>
      </c>
      <c r="AP467">
        <v>0</v>
      </c>
      <c r="AQ467">
        <v>0</v>
      </c>
    </row>
    <row r="468" spans="1:43" x14ac:dyDescent="0.25">
      <c r="A468">
        <v>465</v>
      </c>
      <c r="B468">
        <v>10</v>
      </c>
      <c r="C468">
        <v>10</v>
      </c>
      <c r="D468">
        <v>3</v>
      </c>
      <c r="E468">
        <v>3471</v>
      </c>
      <c r="F468">
        <v>7927</v>
      </c>
      <c r="G468">
        <v>7965</v>
      </c>
      <c r="H468">
        <v>4567</v>
      </c>
      <c r="I468">
        <v>1542</v>
      </c>
      <c r="J468">
        <v>1886</v>
      </c>
      <c r="K468">
        <v>818</v>
      </c>
      <c r="L468">
        <v>791</v>
      </c>
      <c r="M468">
        <v>542</v>
      </c>
      <c r="N468">
        <v>1335</v>
      </c>
      <c r="O468">
        <v>535</v>
      </c>
      <c r="P468">
        <v>427.03282300000001</v>
      </c>
      <c r="Q468">
        <v>105</v>
      </c>
      <c r="R468">
        <v>0.169320005</v>
      </c>
      <c r="S468">
        <v>2383</v>
      </c>
      <c r="T468">
        <v>430</v>
      </c>
      <c r="U468">
        <v>1042</v>
      </c>
      <c r="V468">
        <v>3404</v>
      </c>
      <c r="W468">
        <v>1905</v>
      </c>
      <c r="X468">
        <v>1143</v>
      </c>
      <c r="Y468">
        <v>705</v>
      </c>
      <c r="Z468">
        <v>314</v>
      </c>
      <c r="AA468">
        <v>1155</v>
      </c>
      <c r="AB468">
        <v>3</v>
      </c>
      <c r="AC468">
        <v>115</v>
      </c>
      <c r="AD468">
        <v>91</v>
      </c>
      <c r="AE468">
        <v>0</v>
      </c>
      <c r="AF468">
        <v>0</v>
      </c>
      <c r="AG468">
        <v>4</v>
      </c>
      <c r="AH468">
        <v>33</v>
      </c>
      <c r="AI468">
        <v>0</v>
      </c>
      <c r="AJ468">
        <v>0</v>
      </c>
      <c r="AK468">
        <v>1.3384499999999999</v>
      </c>
      <c r="AL468">
        <v>3</v>
      </c>
      <c r="AM468">
        <v>0</v>
      </c>
      <c r="AN468">
        <v>3471</v>
      </c>
      <c r="AO468">
        <v>38</v>
      </c>
      <c r="AP468">
        <v>0</v>
      </c>
      <c r="AQ468">
        <v>0</v>
      </c>
    </row>
    <row r="469" spans="1:43" x14ac:dyDescent="0.25">
      <c r="A469">
        <v>466</v>
      </c>
      <c r="B469">
        <v>10</v>
      </c>
      <c r="C469">
        <v>10</v>
      </c>
      <c r="D469">
        <v>3</v>
      </c>
      <c r="E469">
        <v>1689</v>
      </c>
      <c r="F469">
        <v>4371</v>
      </c>
      <c r="G469">
        <v>4379</v>
      </c>
      <c r="H469">
        <v>2553</v>
      </c>
      <c r="I469">
        <v>1350</v>
      </c>
      <c r="J469">
        <v>331</v>
      </c>
      <c r="K469">
        <v>250</v>
      </c>
      <c r="L469">
        <v>360</v>
      </c>
      <c r="M469">
        <v>303</v>
      </c>
      <c r="N469">
        <v>756</v>
      </c>
      <c r="O469">
        <v>415</v>
      </c>
      <c r="P469">
        <v>289</v>
      </c>
      <c r="Q469">
        <v>115.4949857</v>
      </c>
      <c r="R469">
        <v>0.16834937799999999</v>
      </c>
      <c r="S469">
        <v>4474</v>
      </c>
      <c r="T469">
        <v>142</v>
      </c>
      <c r="U469">
        <v>631</v>
      </c>
      <c r="V469">
        <v>1762</v>
      </c>
      <c r="W469">
        <v>1083</v>
      </c>
      <c r="X469">
        <v>546</v>
      </c>
      <c r="Y469">
        <v>3008</v>
      </c>
      <c r="Z469">
        <v>193</v>
      </c>
      <c r="AA469">
        <v>1136</v>
      </c>
      <c r="AB469">
        <v>2</v>
      </c>
      <c r="AC469">
        <v>74</v>
      </c>
      <c r="AD469">
        <v>61</v>
      </c>
      <c r="AE469">
        <v>0</v>
      </c>
      <c r="AF469">
        <v>0</v>
      </c>
      <c r="AG469">
        <v>4</v>
      </c>
      <c r="AH469">
        <v>0</v>
      </c>
      <c r="AI469">
        <v>0</v>
      </c>
      <c r="AJ469">
        <v>0</v>
      </c>
      <c r="AK469">
        <v>1.8272999999999999</v>
      </c>
      <c r="AL469">
        <v>3</v>
      </c>
      <c r="AM469">
        <v>0</v>
      </c>
      <c r="AN469">
        <v>1689</v>
      </c>
      <c r="AO469">
        <v>8</v>
      </c>
      <c r="AP469">
        <v>0</v>
      </c>
      <c r="AQ469">
        <v>0</v>
      </c>
    </row>
    <row r="470" spans="1:43" x14ac:dyDescent="0.25">
      <c r="A470">
        <v>467</v>
      </c>
      <c r="B470">
        <v>10</v>
      </c>
      <c r="C470">
        <v>10</v>
      </c>
      <c r="D470">
        <v>3</v>
      </c>
      <c r="E470">
        <v>2178</v>
      </c>
      <c r="F470">
        <v>4556</v>
      </c>
      <c r="G470">
        <v>4664</v>
      </c>
      <c r="H470">
        <v>2840</v>
      </c>
      <c r="I470">
        <v>740</v>
      </c>
      <c r="J470">
        <v>1570</v>
      </c>
      <c r="K470">
        <v>338</v>
      </c>
      <c r="L470">
        <v>588</v>
      </c>
      <c r="M470">
        <v>364</v>
      </c>
      <c r="N470">
        <v>892</v>
      </c>
      <c r="O470">
        <v>328</v>
      </c>
      <c r="P470">
        <v>189.33256800000001</v>
      </c>
      <c r="Q470">
        <v>96</v>
      </c>
      <c r="R470">
        <v>0.16815286600000001</v>
      </c>
      <c r="S470">
        <v>6991</v>
      </c>
      <c r="T470">
        <v>243</v>
      </c>
      <c r="U470">
        <v>616</v>
      </c>
      <c r="V470">
        <v>1677</v>
      </c>
      <c r="W470">
        <v>1450</v>
      </c>
      <c r="X470">
        <v>592</v>
      </c>
      <c r="Y470">
        <v>654</v>
      </c>
      <c r="Z470">
        <v>2536</v>
      </c>
      <c r="AA470">
        <v>2298</v>
      </c>
      <c r="AB470">
        <v>4</v>
      </c>
      <c r="AC470">
        <v>159</v>
      </c>
      <c r="AD470">
        <v>1340</v>
      </c>
      <c r="AE470">
        <v>0</v>
      </c>
      <c r="AF470">
        <v>0</v>
      </c>
      <c r="AG470">
        <v>3</v>
      </c>
      <c r="AH470">
        <v>0</v>
      </c>
      <c r="AI470">
        <v>0</v>
      </c>
      <c r="AJ470">
        <v>0</v>
      </c>
      <c r="AK470">
        <v>2.0960899999999998</v>
      </c>
      <c r="AL470">
        <v>3</v>
      </c>
      <c r="AM470">
        <v>0</v>
      </c>
      <c r="AN470">
        <v>2178</v>
      </c>
      <c r="AO470">
        <v>108</v>
      </c>
      <c r="AP470">
        <v>0</v>
      </c>
      <c r="AQ470">
        <v>0</v>
      </c>
    </row>
    <row r="471" spans="1:43" x14ac:dyDescent="0.25">
      <c r="A471">
        <v>468</v>
      </c>
      <c r="B471">
        <v>10</v>
      </c>
      <c r="C471">
        <v>10</v>
      </c>
      <c r="D471">
        <v>3</v>
      </c>
      <c r="E471">
        <v>2239</v>
      </c>
      <c r="F471">
        <v>5301</v>
      </c>
      <c r="G471">
        <v>5339</v>
      </c>
      <c r="H471">
        <v>2634</v>
      </c>
      <c r="I471">
        <v>1151</v>
      </c>
      <c r="J471">
        <v>1157</v>
      </c>
      <c r="K471">
        <v>572</v>
      </c>
      <c r="L471">
        <v>482</v>
      </c>
      <c r="M471">
        <v>410</v>
      </c>
      <c r="N471">
        <v>778</v>
      </c>
      <c r="O471">
        <v>352</v>
      </c>
      <c r="P471">
        <v>258.0604313</v>
      </c>
      <c r="Q471">
        <v>83.105045739999994</v>
      </c>
      <c r="R471">
        <v>0.19520295200000001</v>
      </c>
      <c r="S471">
        <v>1125</v>
      </c>
      <c r="T471">
        <v>265</v>
      </c>
      <c r="U471">
        <v>930</v>
      </c>
      <c r="V471">
        <v>1813</v>
      </c>
      <c r="W471">
        <v>1385</v>
      </c>
      <c r="X471">
        <v>890</v>
      </c>
      <c r="Y471">
        <v>121</v>
      </c>
      <c r="Z471">
        <v>197</v>
      </c>
      <c r="AA471">
        <v>675</v>
      </c>
      <c r="AB471">
        <v>2</v>
      </c>
      <c r="AC471">
        <v>33</v>
      </c>
      <c r="AD471">
        <v>97</v>
      </c>
      <c r="AE471">
        <v>0</v>
      </c>
      <c r="AF471">
        <v>0</v>
      </c>
      <c r="AG471">
        <v>3</v>
      </c>
      <c r="AH471">
        <v>0</v>
      </c>
      <c r="AI471">
        <v>0</v>
      </c>
      <c r="AJ471">
        <v>0</v>
      </c>
      <c r="AK471">
        <v>1.4470700000000001</v>
      </c>
      <c r="AL471">
        <v>3</v>
      </c>
      <c r="AM471">
        <v>0</v>
      </c>
      <c r="AN471">
        <v>2239</v>
      </c>
      <c r="AO471">
        <v>38</v>
      </c>
      <c r="AP471">
        <v>0</v>
      </c>
      <c r="AQ471">
        <v>0</v>
      </c>
    </row>
    <row r="472" spans="1:43" x14ac:dyDescent="0.25">
      <c r="A472">
        <v>469</v>
      </c>
      <c r="B472">
        <v>10</v>
      </c>
      <c r="C472">
        <v>10</v>
      </c>
      <c r="D472">
        <v>3</v>
      </c>
      <c r="E472">
        <v>2346</v>
      </c>
      <c r="F472">
        <v>6735</v>
      </c>
      <c r="G472">
        <v>6735</v>
      </c>
      <c r="H472">
        <v>3388</v>
      </c>
      <c r="I472">
        <v>676</v>
      </c>
      <c r="J472">
        <v>1754</v>
      </c>
      <c r="K472">
        <v>506</v>
      </c>
      <c r="L472">
        <v>765</v>
      </c>
      <c r="M472">
        <v>614</v>
      </c>
      <c r="N472">
        <v>453</v>
      </c>
      <c r="O472">
        <v>211</v>
      </c>
      <c r="P472">
        <v>178.149809</v>
      </c>
      <c r="Q472">
        <v>33</v>
      </c>
      <c r="R472">
        <v>0.102971666</v>
      </c>
      <c r="S472">
        <v>1068</v>
      </c>
      <c r="T472">
        <v>813</v>
      </c>
      <c r="U472">
        <v>1576</v>
      </c>
      <c r="V472">
        <v>2640</v>
      </c>
      <c r="W472">
        <v>1533</v>
      </c>
      <c r="X472">
        <v>491</v>
      </c>
      <c r="Y472">
        <v>79</v>
      </c>
      <c r="Z472">
        <v>300</v>
      </c>
      <c r="AA472">
        <v>577</v>
      </c>
      <c r="AB472">
        <v>5</v>
      </c>
      <c r="AC472">
        <v>40</v>
      </c>
      <c r="AD472">
        <v>67</v>
      </c>
      <c r="AE472">
        <v>0</v>
      </c>
      <c r="AF472">
        <v>0</v>
      </c>
      <c r="AG472">
        <v>3</v>
      </c>
      <c r="AH472">
        <v>0</v>
      </c>
      <c r="AI472">
        <v>0</v>
      </c>
      <c r="AJ472">
        <v>0</v>
      </c>
      <c r="AK472">
        <v>1.7200500000000001</v>
      </c>
      <c r="AL472">
        <v>3</v>
      </c>
      <c r="AM472">
        <v>0</v>
      </c>
      <c r="AN472">
        <v>2346</v>
      </c>
      <c r="AO472">
        <v>0</v>
      </c>
      <c r="AP472">
        <v>0</v>
      </c>
      <c r="AQ472">
        <v>0</v>
      </c>
    </row>
    <row r="473" spans="1:43" x14ac:dyDescent="0.25">
      <c r="A473">
        <v>470</v>
      </c>
      <c r="B473">
        <v>10</v>
      </c>
      <c r="C473">
        <v>10</v>
      </c>
      <c r="D473">
        <v>3</v>
      </c>
      <c r="E473">
        <v>2542</v>
      </c>
      <c r="F473">
        <v>6373</v>
      </c>
      <c r="G473">
        <v>6390</v>
      </c>
      <c r="H473">
        <v>3572</v>
      </c>
      <c r="I473">
        <v>1661</v>
      </c>
      <c r="J473">
        <v>862</v>
      </c>
      <c r="K473">
        <v>368</v>
      </c>
      <c r="L473">
        <v>342</v>
      </c>
      <c r="M473">
        <v>593</v>
      </c>
      <c r="N473">
        <v>1232</v>
      </c>
      <c r="O473">
        <v>506</v>
      </c>
      <c r="P473">
        <v>470.39467999999999</v>
      </c>
      <c r="Q473">
        <v>32</v>
      </c>
      <c r="R473">
        <v>0.15938511299999999</v>
      </c>
      <c r="S473">
        <v>1089</v>
      </c>
      <c r="T473">
        <v>186</v>
      </c>
      <c r="U473">
        <v>989</v>
      </c>
      <c r="V473">
        <v>2283</v>
      </c>
      <c r="W473">
        <v>1927</v>
      </c>
      <c r="X473">
        <v>654</v>
      </c>
      <c r="Y473">
        <v>78</v>
      </c>
      <c r="Z473">
        <v>156</v>
      </c>
      <c r="AA473">
        <v>582</v>
      </c>
      <c r="AB473">
        <v>2</v>
      </c>
      <c r="AC473">
        <v>162</v>
      </c>
      <c r="AD473">
        <v>109</v>
      </c>
      <c r="AE473">
        <v>0</v>
      </c>
      <c r="AF473">
        <v>0</v>
      </c>
      <c r="AG473">
        <v>4</v>
      </c>
      <c r="AH473">
        <v>0</v>
      </c>
      <c r="AI473">
        <v>0</v>
      </c>
      <c r="AJ473">
        <v>0</v>
      </c>
      <c r="AK473">
        <v>1.2382500000000001</v>
      </c>
      <c r="AL473">
        <v>3</v>
      </c>
      <c r="AM473">
        <v>0</v>
      </c>
      <c r="AN473">
        <v>2542</v>
      </c>
      <c r="AO473">
        <v>17</v>
      </c>
      <c r="AP473">
        <v>0</v>
      </c>
      <c r="AQ473">
        <v>0</v>
      </c>
    </row>
    <row r="474" spans="1:43" x14ac:dyDescent="0.25">
      <c r="A474">
        <v>471</v>
      </c>
      <c r="B474">
        <v>10</v>
      </c>
      <c r="C474">
        <v>10</v>
      </c>
      <c r="D474">
        <v>3</v>
      </c>
      <c r="E474">
        <v>2207</v>
      </c>
      <c r="F474">
        <v>5095</v>
      </c>
      <c r="G474">
        <v>5130</v>
      </c>
      <c r="H474">
        <v>3224</v>
      </c>
      <c r="I474">
        <v>874</v>
      </c>
      <c r="J474">
        <v>1438</v>
      </c>
      <c r="K474">
        <v>423</v>
      </c>
      <c r="L474">
        <v>614</v>
      </c>
      <c r="M474">
        <v>622</v>
      </c>
      <c r="N474">
        <v>546</v>
      </c>
      <c r="O474">
        <v>367</v>
      </c>
      <c r="P474">
        <v>261.1745201</v>
      </c>
      <c r="Q474">
        <v>62</v>
      </c>
      <c r="R474">
        <v>0.20662615200000001</v>
      </c>
      <c r="S474">
        <v>1660</v>
      </c>
      <c r="T474">
        <v>409</v>
      </c>
      <c r="U474">
        <v>378</v>
      </c>
      <c r="V474">
        <v>2041</v>
      </c>
      <c r="W474">
        <v>1326</v>
      </c>
      <c r="X474">
        <v>802</v>
      </c>
      <c r="Y474">
        <v>450</v>
      </c>
      <c r="Z474">
        <v>146</v>
      </c>
      <c r="AA474">
        <v>933</v>
      </c>
      <c r="AB474">
        <v>3</v>
      </c>
      <c r="AC474">
        <v>70</v>
      </c>
      <c r="AD474">
        <v>58</v>
      </c>
      <c r="AE474">
        <v>0</v>
      </c>
      <c r="AF474">
        <v>0</v>
      </c>
      <c r="AG474">
        <v>4</v>
      </c>
      <c r="AH474">
        <v>804</v>
      </c>
      <c r="AI474">
        <v>0</v>
      </c>
      <c r="AJ474">
        <v>0</v>
      </c>
      <c r="AK474">
        <v>1.4845200000000001</v>
      </c>
      <c r="AL474">
        <v>3</v>
      </c>
      <c r="AM474">
        <v>0</v>
      </c>
      <c r="AN474">
        <v>2207</v>
      </c>
      <c r="AO474">
        <v>35</v>
      </c>
      <c r="AP474">
        <v>0</v>
      </c>
      <c r="AQ474">
        <v>0</v>
      </c>
    </row>
    <row r="475" spans="1:43" x14ac:dyDescent="0.25">
      <c r="A475">
        <v>472</v>
      </c>
      <c r="B475">
        <v>10</v>
      </c>
      <c r="C475">
        <v>10</v>
      </c>
      <c r="D475">
        <v>3</v>
      </c>
      <c r="E475">
        <v>2511</v>
      </c>
      <c r="F475">
        <v>6257</v>
      </c>
      <c r="G475">
        <v>6257</v>
      </c>
      <c r="H475">
        <v>3307</v>
      </c>
      <c r="I475">
        <v>809</v>
      </c>
      <c r="J475">
        <v>1712</v>
      </c>
      <c r="K475">
        <v>479</v>
      </c>
      <c r="L475">
        <v>716</v>
      </c>
      <c r="M475">
        <v>611</v>
      </c>
      <c r="N475">
        <v>708</v>
      </c>
      <c r="O475">
        <v>272</v>
      </c>
      <c r="P475">
        <v>190.6430488</v>
      </c>
      <c r="Q475">
        <v>86.515466489999994</v>
      </c>
      <c r="R475">
        <v>7.6249188999999995E-2</v>
      </c>
      <c r="S475">
        <v>1566</v>
      </c>
      <c r="T475">
        <v>541</v>
      </c>
      <c r="U475">
        <v>1067</v>
      </c>
      <c r="V475">
        <v>2808</v>
      </c>
      <c r="W475">
        <v>1208</v>
      </c>
      <c r="X475">
        <v>380</v>
      </c>
      <c r="Y475">
        <v>29</v>
      </c>
      <c r="Z475">
        <v>449</v>
      </c>
      <c r="AA475">
        <v>780</v>
      </c>
      <c r="AB475">
        <v>3</v>
      </c>
      <c r="AC475">
        <v>151</v>
      </c>
      <c r="AD475">
        <v>154</v>
      </c>
      <c r="AE475">
        <v>0</v>
      </c>
      <c r="AF475">
        <v>0</v>
      </c>
      <c r="AG475">
        <v>4</v>
      </c>
      <c r="AH475">
        <v>280</v>
      </c>
      <c r="AI475">
        <v>0</v>
      </c>
      <c r="AJ475">
        <v>0</v>
      </c>
      <c r="AK475">
        <v>1.49291</v>
      </c>
      <c r="AL475">
        <v>3</v>
      </c>
      <c r="AM475">
        <v>0</v>
      </c>
      <c r="AN475">
        <v>2511</v>
      </c>
      <c r="AO475">
        <v>0</v>
      </c>
      <c r="AP475">
        <v>0</v>
      </c>
      <c r="AQ475">
        <v>0</v>
      </c>
    </row>
    <row r="476" spans="1:43" x14ac:dyDescent="0.25">
      <c r="A476">
        <v>473</v>
      </c>
      <c r="B476">
        <v>10</v>
      </c>
      <c r="C476">
        <v>10</v>
      </c>
      <c r="D476">
        <v>3</v>
      </c>
      <c r="E476">
        <v>2160</v>
      </c>
      <c r="F476">
        <v>5784</v>
      </c>
      <c r="G476">
        <v>5798</v>
      </c>
      <c r="H476">
        <v>2809</v>
      </c>
      <c r="I476">
        <v>916</v>
      </c>
      <c r="J476">
        <v>1479</v>
      </c>
      <c r="K476">
        <v>664</v>
      </c>
      <c r="L476">
        <v>655</v>
      </c>
      <c r="M476">
        <v>323</v>
      </c>
      <c r="N476">
        <v>524</v>
      </c>
      <c r="O476">
        <v>272</v>
      </c>
      <c r="P476">
        <v>204</v>
      </c>
      <c r="Q476">
        <v>57</v>
      </c>
      <c r="R476">
        <v>0.129380994</v>
      </c>
      <c r="S476">
        <v>624</v>
      </c>
      <c r="T476">
        <v>310</v>
      </c>
      <c r="U476">
        <v>955</v>
      </c>
      <c r="V476">
        <v>2055</v>
      </c>
      <c r="W476">
        <v>1673</v>
      </c>
      <c r="X476">
        <v>597</v>
      </c>
      <c r="Y476">
        <v>38</v>
      </c>
      <c r="Z476">
        <v>87</v>
      </c>
      <c r="AA476">
        <v>415</v>
      </c>
      <c r="AB476">
        <v>1</v>
      </c>
      <c r="AC476">
        <v>67</v>
      </c>
      <c r="AD476">
        <v>16</v>
      </c>
      <c r="AE476">
        <v>0</v>
      </c>
      <c r="AF476">
        <v>0</v>
      </c>
      <c r="AG476">
        <v>4</v>
      </c>
      <c r="AH476">
        <v>0</v>
      </c>
      <c r="AI476">
        <v>0</v>
      </c>
      <c r="AJ476">
        <v>0</v>
      </c>
      <c r="AK476">
        <v>1.4598500000000001</v>
      </c>
      <c r="AL476">
        <v>3</v>
      </c>
      <c r="AM476">
        <v>0</v>
      </c>
      <c r="AN476">
        <v>2160</v>
      </c>
      <c r="AO476">
        <v>14</v>
      </c>
      <c r="AP476">
        <v>0</v>
      </c>
      <c r="AQ476">
        <v>0</v>
      </c>
    </row>
    <row r="477" spans="1:43" x14ac:dyDescent="0.25">
      <c r="A477">
        <v>474</v>
      </c>
      <c r="B477">
        <v>10</v>
      </c>
      <c r="C477">
        <v>10</v>
      </c>
      <c r="D477">
        <v>3</v>
      </c>
      <c r="E477">
        <v>1579</v>
      </c>
      <c r="F477">
        <v>4438</v>
      </c>
      <c r="G477">
        <v>4452</v>
      </c>
      <c r="H477">
        <v>2508</v>
      </c>
      <c r="I477">
        <v>856</v>
      </c>
      <c r="J477">
        <v>706</v>
      </c>
      <c r="K477">
        <v>246</v>
      </c>
      <c r="L477">
        <v>405</v>
      </c>
      <c r="M477">
        <v>410</v>
      </c>
      <c r="N477">
        <v>520</v>
      </c>
      <c r="O477">
        <v>251</v>
      </c>
      <c r="P477">
        <v>221.0039573</v>
      </c>
      <c r="Q477">
        <v>34</v>
      </c>
      <c r="R477">
        <v>0.20286559000000001</v>
      </c>
      <c r="S477">
        <v>264</v>
      </c>
      <c r="T477">
        <v>182</v>
      </c>
      <c r="U477">
        <v>611</v>
      </c>
      <c r="V477">
        <v>1567</v>
      </c>
      <c r="W477">
        <v>1276</v>
      </c>
      <c r="X477">
        <v>644</v>
      </c>
      <c r="Y477">
        <v>10</v>
      </c>
      <c r="Z477">
        <v>28</v>
      </c>
      <c r="AA477">
        <v>177</v>
      </c>
      <c r="AB477">
        <v>0</v>
      </c>
      <c r="AC477">
        <v>9</v>
      </c>
      <c r="AD477">
        <v>40</v>
      </c>
      <c r="AE477">
        <v>0</v>
      </c>
      <c r="AF477">
        <v>0</v>
      </c>
      <c r="AG477">
        <v>4</v>
      </c>
      <c r="AH477">
        <v>0</v>
      </c>
      <c r="AI477">
        <v>0</v>
      </c>
      <c r="AJ477">
        <v>0</v>
      </c>
      <c r="AK477">
        <v>1.25722</v>
      </c>
      <c r="AL477">
        <v>3</v>
      </c>
      <c r="AM477">
        <v>0</v>
      </c>
      <c r="AN477">
        <v>1579</v>
      </c>
      <c r="AO477">
        <v>14</v>
      </c>
      <c r="AP477">
        <v>0</v>
      </c>
      <c r="AQ477">
        <v>0</v>
      </c>
    </row>
    <row r="478" spans="1:43" x14ac:dyDescent="0.25">
      <c r="A478">
        <v>475</v>
      </c>
      <c r="B478">
        <v>10</v>
      </c>
      <c r="C478">
        <v>10</v>
      </c>
      <c r="D478">
        <v>3</v>
      </c>
      <c r="E478">
        <v>1544</v>
      </c>
      <c r="F478">
        <v>3732</v>
      </c>
      <c r="G478">
        <v>3732</v>
      </c>
      <c r="H478">
        <v>2143</v>
      </c>
      <c r="I478">
        <v>883</v>
      </c>
      <c r="J478">
        <v>718</v>
      </c>
      <c r="K478">
        <v>245</v>
      </c>
      <c r="L478">
        <v>465</v>
      </c>
      <c r="M478">
        <v>239</v>
      </c>
      <c r="N478">
        <v>593</v>
      </c>
      <c r="O478">
        <v>388</v>
      </c>
      <c r="P478">
        <v>246</v>
      </c>
      <c r="Q478">
        <v>122.2240371</v>
      </c>
      <c r="R478">
        <v>0.18575197900000001</v>
      </c>
      <c r="S478">
        <v>1797</v>
      </c>
      <c r="T478">
        <v>193</v>
      </c>
      <c r="U478">
        <v>613</v>
      </c>
      <c r="V478">
        <v>1356</v>
      </c>
      <c r="W478">
        <v>951</v>
      </c>
      <c r="X478">
        <v>566</v>
      </c>
      <c r="Y478">
        <v>675</v>
      </c>
      <c r="Z478">
        <v>162</v>
      </c>
      <c r="AA478">
        <v>754</v>
      </c>
      <c r="AB478">
        <v>1</v>
      </c>
      <c r="AC478">
        <v>133</v>
      </c>
      <c r="AD478">
        <v>72</v>
      </c>
      <c r="AE478">
        <v>0</v>
      </c>
      <c r="AF478">
        <v>0</v>
      </c>
      <c r="AG478">
        <v>4</v>
      </c>
      <c r="AH478">
        <v>0</v>
      </c>
      <c r="AI478">
        <v>214</v>
      </c>
      <c r="AJ478">
        <v>132</v>
      </c>
      <c r="AK478">
        <v>1.41015</v>
      </c>
      <c r="AL478">
        <v>3</v>
      </c>
      <c r="AM478">
        <v>0</v>
      </c>
      <c r="AN478">
        <v>1544</v>
      </c>
      <c r="AO478">
        <v>0</v>
      </c>
      <c r="AP478">
        <v>0</v>
      </c>
      <c r="AQ478">
        <v>0</v>
      </c>
    </row>
    <row r="479" spans="1:43" x14ac:dyDescent="0.25">
      <c r="A479">
        <v>476</v>
      </c>
      <c r="B479">
        <v>10</v>
      </c>
      <c r="C479">
        <v>10</v>
      </c>
      <c r="D479">
        <v>3</v>
      </c>
      <c r="E479">
        <v>2825</v>
      </c>
      <c r="F479">
        <v>8294</v>
      </c>
      <c r="G479">
        <v>8312</v>
      </c>
      <c r="H479">
        <v>3960</v>
      </c>
      <c r="I479">
        <v>1941</v>
      </c>
      <c r="J479">
        <v>735</v>
      </c>
      <c r="K479">
        <v>241</v>
      </c>
      <c r="L479">
        <v>580</v>
      </c>
      <c r="M479">
        <v>689</v>
      </c>
      <c r="N479">
        <v>1317</v>
      </c>
      <c r="O479">
        <v>616</v>
      </c>
      <c r="P479">
        <v>449</v>
      </c>
      <c r="Q479">
        <v>146.72617149999999</v>
      </c>
      <c r="R479">
        <v>0.222975384</v>
      </c>
      <c r="S479">
        <v>2144</v>
      </c>
      <c r="T479">
        <v>518</v>
      </c>
      <c r="U479">
        <v>1468</v>
      </c>
      <c r="V479">
        <v>2407</v>
      </c>
      <c r="W479">
        <v>2298</v>
      </c>
      <c r="X479">
        <v>1528</v>
      </c>
      <c r="Y479">
        <v>310</v>
      </c>
      <c r="Z479">
        <v>289</v>
      </c>
      <c r="AA479">
        <v>1423</v>
      </c>
      <c r="AB479">
        <v>2</v>
      </c>
      <c r="AC479">
        <v>36</v>
      </c>
      <c r="AD479">
        <v>84</v>
      </c>
      <c r="AE479">
        <v>0</v>
      </c>
      <c r="AF479">
        <v>0</v>
      </c>
      <c r="AG479">
        <v>4</v>
      </c>
      <c r="AH479">
        <v>0</v>
      </c>
      <c r="AI479">
        <v>0</v>
      </c>
      <c r="AJ479">
        <v>0</v>
      </c>
      <c r="AK479">
        <v>1.26572</v>
      </c>
      <c r="AL479">
        <v>3</v>
      </c>
      <c r="AM479">
        <v>0</v>
      </c>
      <c r="AN479">
        <v>2825</v>
      </c>
      <c r="AO479">
        <v>18</v>
      </c>
      <c r="AP479">
        <v>0</v>
      </c>
      <c r="AQ479">
        <v>0</v>
      </c>
    </row>
    <row r="480" spans="1:43" x14ac:dyDescent="0.25">
      <c r="A480">
        <v>477</v>
      </c>
      <c r="B480">
        <v>10</v>
      </c>
      <c r="C480">
        <v>10</v>
      </c>
      <c r="D480">
        <v>3</v>
      </c>
      <c r="E480">
        <v>2045</v>
      </c>
      <c r="F480">
        <v>5746</v>
      </c>
      <c r="G480">
        <v>5746</v>
      </c>
      <c r="H480">
        <v>2884</v>
      </c>
      <c r="I480">
        <v>1766</v>
      </c>
      <c r="J480">
        <v>392</v>
      </c>
      <c r="K480">
        <v>328</v>
      </c>
      <c r="L480">
        <v>353</v>
      </c>
      <c r="M480">
        <v>315</v>
      </c>
      <c r="N480">
        <v>1031</v>
      </c>
      <c r="O480">
        <v>463</v>
      </c>
      <c r="P480">
        <v>362</v>
      </c>
      <c r="Q480">
        <v>75</v>
      </c>
      <c r="R480">
        <v>0.16011539799999999</v>
      </c>
      <c r="S480">
        <v>1225</v>
      </c>
      <c r="T480">
        <v>228</v>
      </c>
      <c r="U480">
        <v>1074</v>
      </c>
      <c r="V480">
        <v>1389</v>
      </c>
      <c r="W480">
        <v>1895</v>
      </c>
      <c r="X480">
        <v>828</v>
      </c>
      <c r="Y480">
        <v>74</v>
      </c>
      <c r="Z480">
        <v>127</v>
      </c>
      <c r="AA480">
        <v>838</v>
      </c>
      <c r="AB480">
        <v>4</v>
      </c>
      <c r="AC480">
        <v>37</v>
      </c>
      <c r="AD480">
        <v>145</v>
      </c>
      <c r="AE480">
        <v>0</v>
      </c>
      <c r="AF480">
        <v>0</v>
      </c>
      <c r="AG480">
        <v>3</v>
      </c>
      <c r="AH480">
        <v>1770</v>
      </c>
      <c r="AI480">
        <v>0</v>
      </c>
      <c r="AJ480">
        <v>0</v>
      </c>
      <c r="AK480">
        <v>1.2323900000000001</v>
      </c>
      <c r="AL480">
        <v>3</v>
      </c>
      <c r="AM480">
        <v>0</v>
      </c>
      <c r="AN480">
        <v>2045</v>
      </c>
      <c r="AO480">
        <v>0</v>
      </c>
      <c r="AP480">
        <v>0</v>
      </c>
      <c r="AQ480">
        <v>0</v>
      </c>
    </row>
    <row r="481" spans="1:43" x14ac:dyDescent="0.25">
      <c r="A481">
        <v>478</v>
      </c>
      <c r="B481">
        <v>10</v>
      </c>
      <c r="C481">
        <v>10</v>
      </c>
      <c r="D481">
        <v>3</v>
      </c>
      <c r="E481">
        <v>2294</v>
      </c>
      <c r="F481">
        <v>6456</v>
      </c>
      <c r="G481">
        <v>6465</v>
      </c>
      <c r="H481">
        <v>3259</v>
      </c>
      <c r="I481">
        <v>420</v>
      </c>
      <c r="J481">
        <v>1886</v>
      </c>
      <c r="K481">
        <v>473</v>
      </c>
      <c r="L481">
        <v>471</v>
      </c>
      <c r="M481">
        <v>629</v>
      </c>
      <c r="N481">
        <v>712</v>
      </c>
      <c r="O481">
        <v>266</v>
      </c>
      <c r="P481">
        <v>173.4184765</v>
      </c>
      <c r="Q481">
        <v>28</v>
      </c>
      <c r="R481">
        <v>0.149665415</v>
      </c>
      <c r="S481">
        <v>2587</v>
      </c>
      <c r="T481">
        <v>275</v>
      </c>
      <c r="U481">
        <v>1055</v>
      </c>
      <c r="V481">
        <v>2761</v>
      </c>
      <c r="W481">
        <v>1166</v>
      </c>
      <c r="X481">
        <v>713</v>
      </c>
      <c r="Y481">
        <v>960</v>
      </c>
      <c r="Z481">
        <v>799</v>
      </c>
      <c r="AA481">
        <v>633</v>
      </c>
      <c r="AB481">
        <v>3</v>
      </c>
      <c r="AC481">
        <v>111</v>
      </c>
      <c r="AD481">
        <v>81</v>
      </c>
      <c r="AE481">
        <v>0</v>
      </c>
      <c r="AF481">
        <v>0</v>
      </c>
      <c r="AG481">
        <v>3</v>
      </c>
      <c r="AH481">
        <v>0</v>
      </c>
      <c r="AI481">
        <v>0</v>
      </c>
      <c r="AJ481">
        <v>0</v>
      </c>
      <c r="AK481">
        <v>1.9820899999999999</v>
      </c>
      <c r="AL481">
        <v>3</v>
      </c>
      <c r="AM481">
        <v>0</v>
      </c>
      <c r="AN481">
        <v>2294</v>
      </c>
      <c r="AO481">
        <v>9</v>
      </c>
      <c r="AP481">
        <v>0</v>
      </c>
      <c r="AQ481">
        <v>0</v>
      </c>
    </row>
    <row r="482" spans="1:43" x14ac:dyDescent="0.25">
      <c r="A482">
        <v>479</v>
      </c>
      <c r="B482">
        <v>10</v>
      </c>
      <c r="C482">
        <v>10</v>
      </c>
      <c r="D482">
        <v>3</v>
      </c>
      <c r="E482">
        <v>2814</v>
      </c>
      <c r="F482">
        <v>8322</v>
      </c>
      <c r="G482">
        <v>8381</v>
      </c>
      <c r="H482">
        <v>3898</v>
      </c>
      <c r="I482">
        <v>2078</v>
      </c>
      <c r="J482">
        <v>812</v>
      </c>
      <c r="K482">
        <v>394</v>
      </c>
      <c r="L482">
        <v>350</v>
      </c>
      <c r="M482">
        <v>510</v>
      </c>
      <c r="N482">
        <v>1566</v>
      </c>
      <c r="O482">
        <v>542</v>
      </c>
      <c r="P482">
        <v>439.63612890000002</v>
      </c>
      <c r="Q482">
        <v>101</v>
      </c>
      <c r="R482">
        <v>0.120876446</v>
      </c>
      <c r="S482">
        <v>1787</v>
      </c>
      <c r="T482">
        <v>480</v>
      </c>
      <c r="U482">
        <v>1659</v>
      </c>
      <c r="V482">
        <v>2928</v>
      </c>
      <c r="W482">
        <v>2129</v>
      </c>
      <c r="X482">
        <v>794</v>
      </c>
      <c r="Y482">
        <v>13</v>
      </c>
      <c r="Z482">
        <v>659</v>
      </c>
      <c r="AA482">
        <v>851</v>
      </c>
      <c r="AB482">
        <v>2</v>
      </c>
      <c r="AC482">
        <v>190</v>
      </c>
      <c r="AD482">
        <v>72</v>
      </c>
      <c r="AE482">
        <v>0</v>
      </c>
      <c r="AF482">
        <v>0</v>
      </c>
      <c r="AG482">
        <v>4</v>
      </c>
      <c r="AH482">
        <v>1800</v>
      </c>
      <c r="AI482">
        <v>0</v>
      </c>
      <c r="AJ482">
        <v>0</v>
      </c>
      <c r="AK482">
        <v>1.30027</v>
      </c>
      <c r="AL482">
        <v>3</v>
      </c>
      <c r="AM482">
        <v>0</v>
      </c>
      <c r="AN482">
        <v>2814</v>
      </c>
      <c r="AO482">
        <v>59</v>
      </c>
      <c r="AP482">
        <v>0</v>
      </c>
      <c r="AQ482">
        <v>0</v>
      </c>
    </row>
    <row r="483" spans="1:43" x14ac:dyDescent="0.25">
      <c r="A483">
        <v>480</v>
      </c>
      <c r="B483">
        <v>10</v>
      </c>
      <c r="C483">
        <v>10</v>
      </c>
      <c r="D483">
        <v>3</v>
      </c>
      <c r="E483">
        <v>1055</v>
      </c>
      <c r="F483">
        <v>3184</v>
      </c>
      <c r="G483">
        <v>3184</v>
      </c>
      <c r="H483">
        <v>1590</v>
      </c>
      <c r="I483">
        <v>1078</v>
      </c>
      <c r="J483">
        <v>10</v>
      </c>
      <c r="K483">
        <v>75</v>
      </c>
      <c r="L483">
        <v>97</v>
      </c>
      <c r="M483">
        <v>139</v>
      </c>
      <c r="N483">
        <v>737</v>
      </c>
      <c r="O483">
        <v>319</v>
      </c>
      <c r="P483">
        <v>246</v>
      </c>
      <c r="Q483">
        <v>62</v>
      </c>
      <c r="R483">
        <v>0.20548840199999999</v>
      </c>
      <c r="S483">
        <v>442</v>
      </c>
      <c r="T483">
        <v>135</v>
      </c>
      <c r="U483">
        <v>608</v>
      </c>
      <c r="V483">
        <v>609</v>
      </c>
      <c r="W483">
        <v>1126</v>
      </c>
      <c r="X483">
        <v>500</v>
      </c>
      <c r="Y483">
        <v>22</v>
      </c>
      <c r="Z483">
        <v>53</v>
      </c>
      <c r="AA483">
        <v>322</v>
      </c>
      <c r="AB483">
        <v>1</v>
      </c>
      <c r="AC483">
        <v>27</v>
      </c>
      <c r="AD483">
        <v>17</v>
      </c>
      <c r="AE483">
        <v>0</v>
      </c>
      <c r="AF483">
        <v>0</v>
      </c>
      <c r="AG483">
        <v>4</v>
      </c>
      <c r="AH483">
        <v>1702</v>
      </c>
      <c r="AI483">
        <v>0</v>
      </c>
      <c r="AJ483">
        <v>0</v>
      </c>
      <c r="AK483">
        <v>1.1584700000000001</v>
      </c>
      <c r="AL483">
        <v>3</v>
      </c>
      <c r="AM483">
        <v>0</v>
      </c>
      <c r="AN483">
        <v>1055</v>
      </c>
      <c r="AO483">
        <v>0</v>
      </c>
      <c r="AP483">
        <v>0</v>
      </c>
      <c r="AQ483">
        <v>0</v>
      </c>
    </row>
    <row r="484" spans="1:43" x14ac:dyDescent="0.25">
      <c r="A484">
        <v>481</v>
      </c>
      <c r="B484">
        <v>10</v>
      </c>
      <c r="C484">
        <v>10</v>
      </c>
      <c r="D484">
        <v>3</v>
      </c>
      <c r="E484">
        <v>1780</v>
      </c>
      <c r="F484">
        <v>5519</v>
      </c>
      <c r="G484">
        <v>5519</v>
      </c>
      <c r="H484">
        <v>2388</v>
      </c>
      <c r="I484">
        <v>1709</v>
      </c>
      <c r="J484">
        <v>27</v>
      </c>
      <c r="K484">
        <v>101</v>
      </c>
      <c r="L484">
        <v>265</v>
      </c>
      <c r="M484">
        <v>385</v>
      </c>
      <c r="N484">
        <v>1044</v>
      </c>
      <c r="O484">
        <v>372</v>
      </c>
      <c r="P484">
        <v>306</v>
      </c>
      <c r="Q484">
        <v>56</v>
      </c>
      <c r="R484">
        <v>0.217597872</v>
      </c>
      <c r="S484">
        <v>565</v>
      </c>
      <c r="T484">
        <v>213</v>
      </c>
      <c r="U484">
        <v>1060</v>
      </c>
      <c r="V484">
        <v>1305</v>
      </c>
      <c r="W484">
        <v>1587</v>
      </c>
      <c r="X484">
        <v>972</v>
      </c>
      <c r="Y484">
        <v>83</v>
      </c>
      <c r="Z484">
        <v>89</v>
      </c>
      <c r="AA484">
        <v>350</v>
      </c>
      <c r="AB484">
        <v>1</v>
      </c>
      <c r="AC484">
        <v>17</v>
      </c>
      <c r="AD484">
        <v>25</v>
      </c>
      <c r="AE484">
        <v>0</v>
      </c>
      <c r="AF484">
        <v>0</v>
      </c>
      <c r="AG484">
        <v>4</v>
      </c>
      <c r="AH484">
        <v>0</v>
      </c>
      <c r="AI484">
        <v>0</v>
      </c>
      <c r="AJ484">
        <v>0</v>
      </c>
      <c r="AK484">
        <v>1.20811</v>
      </c>
      <c r="AL484">
        <v>3</v>
      </c>
      <c r="AM484">
        <v>0</v>
      </c>
      <c r="AN484">
        <v>1780</v>
      </c>
      <c r="AO484">
        <v>0</v>
      </c>
      <c r="AP484">
        <v>0</v>
      </c>
      <c r="AQ484">
        <v>0</v>
      </c>
    </row>
    <row r="485" spans="1:43" x14ac:dyDescent="0.25">
      <c r="A485">
        <v>482</v>
      </c>
      <c r="B485">
        <v>10</v>
      </c>
      <c r="C485">
        <v>10</v>
      </c>
      <c r="D485">
        <v>3</v>
      </c>
      <c r="E485">
        <v>1431</v>
      </c>
      <c r="F485">
        <v>4667</v>
      </c>
      <c r="G485">
        <v>4667</v>
      </c>
      <c r="H485">
        <v>2202</v>
      </c>
      <c r="I485">
        <v>1443</v>
      </c>
      <c r="J485">
        <v>5</v>
      </c>
      <c r="K485">
        <v>146</v>
      </c>
      <c r="L485">
        <v>118</v>
      </c>
      <c r="M485">
        <v>155</v>
      </c>
      <c r="N485">
        <v>1014</v>
      </c>
      <c r="O485">
        <v>342</v>
      </c>
      <c r="P485">
        <v>322</v>
      </c>
      <c r="Q485">
        <v>5</v>
      </c>
      <c r="R485">
        <v>0.15800044599999999</v>
      </c>
      <c r="S485">
        <v>232</v>
      </c>
      <c r="T485">
        <v>48</v>
      </c>
      <c r="U485">
        <v>1040</v>
      </c>
      <c r="V485">
        <v>1069</v>
      </c>
      <c r="W485">
        <v>1648</v>
      </c>
      <c r="X485">
        <v>564</v>
      </c>
      <c r="Y485">
        <v>9</v>
      </c>
      <c r="Z485">
        <v>64</v>
      </c>
      <c r="AA485">
        <v>111</v>
      </c>
      <c r="AB485">
        <v>1</v>
      </c>
      <c r="AC485">
        <v>20</v>
      </c>
      <c r="AD485">
        <v>27</v>
      </c>
      <c r="AE485">
        <v>0</v>
      </c>
      <c r="AF485">
        <v>0</v>
      </c>
      <c r="AG485">
        <v>4</v>
      </c>
      <c r="AH485">
        <v>0</v>
      </c>
      <c r="AI485">
        <v>0</v>
      </c>
      <c r="AJ485">
        <v>0</v>
      </c>
      <c r="AK485">
        <v>1.1617299999999999</v>
      </c>
      <c r="AL485">
        <v>3</v>
      </c>
      <c r="AM485">
        <v>0</v>
      </c>
      <c r="AN485">
        <v>1431</v>
      </c>
      <c r="AO485">
        <v>0</v>
      </c>
      <c r="AP485">
        <v>0</v>
      </c>
      <c r="AQ485">
        <v>0</v>
      </c>
    </row>
    <row r="486" spans="1:43" x14ac:dyDescent="0.25">
      <c r="A486">
        <v>483</v>
      </c>
      <c r="B486">
        <v>10</v>
      </c>
      <c r="C486">
        <v>10</v>
      </c>
      <c r="D486">
        <v>3</v>
      </c>
      <c r="E486">
        <v>2019</v>
      </c>
      <c r="F486">
        <v>5400</v>
      </c>
      <c r="G486">
        <v>5400</v>
      </c>
      <c r="H486">
        <v>2553</v>
      </c>
      <c r="I486">
        <v>1094</v>
      </c>
      <c r="J486">
        <v>1071</v>
      </c>
      <c r="K486">
        <v>491</v>
      </c>
      <c r="L486">
        <v>267</v>
      </c>
      <c r="M486">
        <v>419</v>
      </c>
      <c r="N486">
        <v>842</v>
      </c>
      <c r="O486">
        <v>354</v>
      </c>
      <c r="P486">
        <v>169</v>
      </c>
      <c r="Q486">
        <v>115</v>
      </c>
      <c r="R486">
        <v>0.12816058699999999</v>
      </c>
      <c r="S486">
        <v>1144</v>
      </c>
      <c r="T486">
        <v>254</v>
      </c>
      <c r="U486">
        <v>841</v>
      </c>
      <c r="V486">
        <v>1742</v>
      </c>
      <c r="W486">
        <v>1675</v>
      </c>
      <c r="X486">
        <v>537</v>
      </c>
      <c r="Y486">
        <v>145</v>
      </c>
      <c r="Z486">
        <v>377</v>
      </c>
      <c r="AA486">
        <v>496</v>
      </c>
      <c r="AB486">
        <v>1</v>
      </c>
      <c r="AC486">
        <v>31</v>
      </c>
      <c r="AD486">
        <v>94</v>
      </c>
      <c r="AE486">
        <v>0</v>
      </c>
      <c r="AF486">
        <v>0</v>
      </c>
      <c r="AG486">
        <v>4</v>
      </c>
      <c r="AH486">
        <v>0</v>
      </c>
      <c r="AI486">
        <v>0</v>
      </c>
      <c r="AJ486">
        <v>0</v>
      </c>
      <c r="AK486">
        <v>1.5579000000000001</v>
      </c>
      <c r="AL486">
        <v>3</v>
      </c>
      <c r="AM486">
        <v>0</v>
      </c>
      <c r="AN486">
        <v>2019</v>
      </c>
      <c r="AO486">
        <v>0</v>
      </c>
      <c r="AP486">
        <v>0</v>
      </c>
      <c r="AQ486">
        <v>0</v>
      </c>
    </row>
    <row r="487" spans="1:43" x14ac:dyDescent="0.25">
      <c r="A487">
        <v>484</v>
      </c>
      <c r="B487">
        <v>10</v>
      </c>
      <c r="C487">
        <v>10</v>
      </c>
      <c r="D487">
        <v>3</v>
      </c>
      <c r="E487">
        <v>2979</v>
      </c>
      <c r="F487">
        <v>8155</v>
      </c>
      <c r="G487">
        <v>8155</v>
      </c>
      <c r="H487">
        <v>3572</v>
      </c>
      <c r="I487">
        <v>1944</v>
      </c>
      <c r="J487">
        <v>986</v>
      </c>
      <c r="K487">
        <v>456</v>
      </c>
      <c r="L487">
        <v>460</v>
      </c>
      <c r="M487">
        <v>546</v>
      </c>
      <c r="N487">
        <v>1523</v>
      </c>
      <c r="O487">
        <v>550</v>
      </c>
      <c r="P487">
        <v>398.16514460000002</v>
      </c>
      <c r="Q487">
        <v>143</v>
      </c>
      <c r="R487">
        <v>0.21315453400000001</v>
      </c>
      <c r="S487">
        <v>3409</v>
      </c>
      <c r="T487">
        <v>218</v>
      </c>
      <c r="U487">
        <v>1685</v>
      </c>
      <c r="V487">
        <v>2002</v>
      </c>
      <c r="W487">
        <v>2413</v>
      </c>
      <c r="X487">
        <v>1329</v>
      </c>
      <c r="Y487">
        <v>196</v>
      </c>
      <c r="Z487">
        <v>1209</v>
      </c>
      <c r="AA487">
        <v>1328</v>
      </c>
      <c r="AB487">
        <v>3</v>
      </c>
      <c r="AC487">
        <v>279</v>
      </c>
      <c r="AD487">
        <v>394</v>
      </c>
      <c r="AE487">
        <v>0</v>
      </c>
      <c r="AF487">
        <v>0</v>
      </c>
      <c r="AG487">
        <v>3</v>
      </c>
      <c r="AH487">
        <v>46</v>
      </c>
      <c r="AI487">
        <v>0</v>
      </c>
      <c r="AJ487">
        <v>0</v>
      </c>
      <c r="AK487">
        <v>1.4175599999999999</v>
      </c>
      <c r="AL487">
        <v>3</v>
      </c>
      <c r="AM487">
        <v>0</v>
      </c>
      <c r="AN487">
        <v>2979</v>
      </c>
      <c r="AO487">
        <v>0</v>
      </c>
      <c r="AP487">
        <v>0</v>
      </c>
      <c r="AQ487">
        <v>0</v>
      </c>
    </row>
    <row r="488" spans="1:43" x14ac:dyDescent="0.25">
      <c r="A488">
        <v>485</v>
      </c>
      <c r="B488">
        <v>10</v>
      </c>
      <c r="C488">
        <v>10</v>
      </c>
      <c r="D488">
        <v>3</v>
      </c>
      <c r="E488">
        <v>2429</v>
      </c>
      <c r="F488">
        <v>7006</v>
      </c>
      <c r="G488">
        <v>7019</v>
      </c>
      <c r="H488">
        <v>3342</v>
      </c>
      <c r="I488">
        <v>1871</v>
      </c>
      <c r="J488">
        <v>491</v>
      </c>
      <c r="K488">
        <v>256</v>
      </c>
      <c r="L488">
        <v>187</v>
      </c>
      <c r="M488">
        <v>316</v>
      </c>
      <c r="N488">
        <v>1662</v>
      </c>
      <c r="O488">
        <v>650</v>
      </c>
      <c r="P488">
        <v>308.54854469999998</v>
      </c>
      <c r="Q488">
        <v>282</v>
      </c>
      <c r="R488">
        <v>0.14480748600000001</v>
      </c>
      <c r="S488">
        <v>2604</v>
      </c>
      <c r="T488">
        <v>461</v>
      </c>
      <c r="U488">
        <v>1349</v>
      </c>
      <c r="V488">
        <v>1984</v>
      </c>
      <c r="W488">
        <v>1917</v>
      </c>
      <c r="X488">
        <v>661</v>
      </c>
      <c r="Y488">
        <v>349</v>
      </c>
      <c r="Z488">
        <v>663</v>
      </c>
      <c r="AA488">
        <v>1247</v>
      </c>
      <c r="AB488">
        <v>3</v>
      </c>
      <c r="AC488">
        <v>235</v>
      </c>
      <c r="AD488">
        <v>107</v>
      </c>
      <c r="AE488">
        <v>0</v>
      </c>
      <c r="AF488">
        <v>0</v>
      </c>
      <c r="AG488">
        <v>3</v>
      </c>
      <c r="AH488">
        <v>0</v>
      </c>
      <c r="AI488">
        <v>0</v>
      </c>
      <c r="AJ488">
        <v>0</v>
      </c>
      <c r="AK488">
        <v>1.7404900000000001</v>
      </c>
      <c r="AL488">
        <v>3</v>
      </c>
      <c r="AM488">
        <v>0</v>
      </c>
      <c r="AN488">
        <v>2429</v>
      </c>
      <c r="AO488">
        <v>13</v>
      </c>
      <c r="AP488">
        <v>0</v>
      </c>
      <c r="AQ488">
        <v>0</v>
      </c>
    </row>
    <row r="489" spans="1:43" x14ac:dyDescent="0.25">
      <c r="A489">
        <v>486</v>
      </c>
      <c r="B489">
        <v>10</v>
      </c>
      <c r="C489">
        <v>10</v>
      </c>
      <c r="D489">
        <v>3</v>
      </c>
      <c r="E489">
        <v>2121</v>
      </c>
      <c r="F489">
        <v>6364</v>
      </c>
      <c r="G489">
        <v>6364</v>
      </c>
      <c r="H489">
        <v>2818</v>
      </c>
      <c r="I489">
        <v>830</v>
      </c>
      <c r="J489">
        <v>1242</v>
      </c>
      <c r="K489">
        <v>374</v>
      </c>
      <c r="L489">
        <v>226</v>
      </c>
      <c r="M489">
        <v>485</v>
      </c>
      <c r="N489">
        <v>1045</v>
      </c>
      <c r="O489">
        <v>462</v>
      </c>
      <c r="P489">
        <v>308.17347990000002</v>
      </c>
      <c r="Q489">
        <v>107</v>
      </c>
      <c r="R489">
        <v>8.9097304000000002E-2</v>
      </c>
      <c r="S489">
        <v>1475</v>
      </c>
      <c r="T489">
        <v>247</v>
      </c>
      <c r="U489">
        <v>1533</v>
      </c>
      <c r="V489">
        <v>2560</v>
      </c>
      <c r="W489">
        <v>1073</v>
      </c>
      <c r="X489">
        <v>402</v>
      </c>
      <c r="Y489">
        <v>448</v>
      </c>
      <c r="Z489">
        <v>388</v>
      </c>
      <c r="AA489">
        <v>519</v>
      </c>
      <c r="AB489">
        <v>2</v>
      </c>
      <c r="AC489">
        <v>75</v>
      </c>
      <c r="AD489">
        <v>43</v>
      </c>
      <c r="AE489">
        <v>0</v>
      </c>
      <c r="AF489">
        <v>0</v>
      </c>
      <c r="AG489">
        <v>3</v>
      </c>
      <c r="AH489">
        <v>0</v>
      </c>
      <c r="AI489">
        <v>0</v>
      </c>
      <c r="AJ489">
        <v>0</v>
      </c>
      <c r="AK489">
        <v>1.3517699999999999</v>
      </c>
      <c r="AL489">
        <v>3</v>
      </c>
      <c r="AM489">
        <v>0</v>
      </c>
      <c r="AN489">
        <v>2121</v>
      </c>
      <c r="AO489">
        <v>0</v>
      </c>
      <c r="AP489">
        <v>0</v>
      </c>
      <c r="AQ489">
        <v>0</v>
      </c>
    </row>
    <row r="490" spans="1:43" x14ac:dyDescent="0.25">
      <c r="A490">
        <v>487</v>
      </c>
      <c r="B490">
        <v>10</v>
      </c>
      <c r="C490">
        <v>10</v>
      </c>
      <c r="D490">
        <v>3</v>
      </c>
      <c r="E490">
        <v>2055</v>
      </c>
      <c r="F490">
        <v>5407</v>
      </c>
      <c r="G490">
        <v>5423</v>
      </c>
      <c r="H490">
        <v>2783</v>
      </c>
      <c r="I490">
        <v>902</v>
      </c>
      <c r="J490">
        <v>1257</v>
      </c>
      <c r="K490">
        <v>277</v>
      </c>
      <c r="L490">
        <v>180</v>
      </c>
      <c r="M490">
        <v>460</v>
      </c>
      <c r="N490">
        <v>1128</v>
      </c>
      <c r="O490">
        <v>524</v>
      </c>
      <c r="P490">
        <v>294</v>
      </c>
      <c r="Q490">
        <v>73</v>
      </c>
      <c r="R490">
        <v>0.118281605</v>
      </c>
      <c r="S490">
        <v>841</v>
      </c>
      <c r="T490">
        <v>321</v>
      </c>
      <c r="U490">
        <v>959</v>
      </c>
      <c r="V490">
        <v>2164</v>
      </c>
      <c r="W490">
        <v>1191</v>
      </c>
      <c r="X490">
        <v>517</v>
      </c>
      <c r="Y490">
        <v>83</v>
      </c>
      <c r="Z490">
        <v>130</v>
      </c>
      <c r="AA490">
        <v>557</v>
      </c>
      <c r="AB490">
        <v>1</v>
      </c>
      <c r="AC490">
        <v>23</v>
      </c>
      <c r="AD490">
        <v>47</v>
      </c>
      <c r="AE490">
        <v>0</v>
      </c>
      <c r="AF490">
        <v>0</v>
      </c>
      <c r="AG490">
        <v>3</v>
      </c>
      <c r="AH490">
        <v>2224</v>
      </c>
      <c r="AI490">
        <v>0</v>
      </c>
      <c r="AJ490">
        <v>0</v>
      </c>
      <c r="AK490">
        <v>1.2934300000000001</v>
      </c>
      <c r="AL490">
        <v>2</v>
      </c>
      <c r="AM490">
        <v>0</v>
      </c>
      <c r="AN490">
        <v>2055</v>
      </c>
      <c r="AO490">
        <v>16</v>
      </c>
      <c r="AP490">
        <v>0</v>
      </c>
      <c r="AQ490">
        <v>0</v>
      </c>
    </row>
    <row r="491" spans="1:43" x14ac:dyDescent="0.25">
      <c r="A491">
        <v>488</v>
      </c>
      <c r="B491">
        <v>10</v>
      </c>
      <c r="C491">
        <v>10</v>
      </c>
      <c r="D491">
        <v>3</v>
      </c>
      <c r="E491">
        <v>2486</v>
      </c>
      <c r="F491">
        <v>7254</v>
      </c>
      <c r="G491">
        <v>7270</v>
      </c>
      <c r="H491">
        <v>3193</v>
      </c>
      <c r="I491">
        <v>2094</v>
      </c>
      <c r="J491">
        <v>461</v>
      </c>
      <c r="K491">
        <v>439</v>
      </c>
      <c r="L491">
        <v>338</v>
      </c>
      <c r="M491">
        <v>264</v>
      </c>
      <c r="N491">
        <v>1453</v>
      </c>
      <c r="O491">
        <v>1642</v>
      </c>
      <c r="P491">
        <v>709.93022189999999</v>
      </c>
      <c r="Q491">
        <v>20</v>
      </c>
      <c r="R491">
        <v>0.24581233799999999</v>
      </c>
      <c r="S491">
        <v>1028</v>
      </c>
      <c r="T491">
        <v>207</v>
      </c>
      <c r="U491">
        <v>1629</v>
      </c>
      <c r="V491">
        <v>1968</v>
      </c>
      <c r="W491">
        <v>1828</v>
      </c>
      <c r="X491">
        <v>1542</v>
      </c>
      <c r="Y491">
        <v>15</v>
      </c>
      <c r="Z491">
        <v>238</v>
      </c>
      <c r="AA491">
        <v>632</v>
      </c>
      <c r="AB491">
        <v>2</v>
      </c>
      <c r="AC491">
        <v>63</v>
      </c>
      <c r="AD491">
        <v>78</v>
      </c>
      <c r="AE491">
        <v>0</v>
      </c>
      <c r="AF491">
        <v>0</v>
      </c>
      <c r="AG491">
        <v>4</v>
      </c>
      <c r="AH491">
        <v>0</v>
      </c>
      <c r="AI491">
        <v>0</v>
      </c>
      <c r="AJ491">
        <v>0</v>
      </c>
      <c r="AK491">
        <v>1.1399999999999999</v>
      </c>
      <c r="AL491">
        <v>1</v>
      </c>
      <c r="AM491">
        <v>0</v>
      </c>
      <c r="AN491">
        <v>2486</v>
      </c>
      <c r="AO491">
        <v>16</v>
      </c>
      <c r="AP491">
        <v>0</v>
      </c>
      <c r="AQ491">
        <v>0</v>
      </c>
    </row>
    <row r="492" spans="1:43" x14ac:dyDescent="0.25">
      <c r="A492">
        <v>489</v>
      </c>
      <c r="B492">
        <v>10</v>
      </c>
      <c r="C492">
        <v>10</v>
      </c>
      <c r="D492">
        <v>3</v>
      </c>
      <c r="E492">
        <v>2210</v>
      </c>
      <c r="F492">
        <v>6963</v>
      </c>
      <c r="G492">
        <v>6963</v>
      </c>
      <c r="H492">
        <v>3231</v>
      </c>
      <c r="I492">
        <v>2122</v>
      </c>
      <c r="J492">
        <v>56</v>
      </c>
      <c r="K492">
        <v>247</v>
      </c>
      <c r="L492">
        <v>187</v>
      </c>
      <c r="M492">
        <v>352</v>
      </c>
      <c r="N492">
        <v>1446</v>
      </c>
      <c r="O492">
        <v>1944</v>
      </c>
      <c r="P492">
        <v>797.76475379999999</v>
      </c>
      <c r="Q492">
        <v>55</v>
      </c>
      <c r="R492">
        <v>0.22121486900000001</v>
      </c>
      <c r="S492">
        <v>476</v>
      </c>
      <c r="T492">
        <v>364</v>
      </c>
      <c r="U492">
        <v>1308</v>
      </c>
      <c r="V492">
        <v>1635</v>
      </c>
      <c r="W492">
        <v>2044</v>
      </c>
      <c r="X492">
        <v>1107</v>
      </c>
      <c r="Y492">
        <v>8</v>
      </c>
      <c r="Z492">
        <v>93</v>
      </c>
      <c r="AA492">
        <v>338</v>
      </c>
      <c r="AB492">
        <v>1</v>
      </c>
      <c r="AC492">
        <v>18</v>
      </c>
      <c r="AD492">
        <v>18</v>
      </c>
      <c r="AE492">
        <v>0</v>
      </c>
      <c r="AF492">
        <v>0</v>
      </c>
      <c r="AG492">
        <v>4</v>
      </c>
      <c r="AH492">
        <v>1630</v>
      </c>
      <c r="AI492">
        <v>0</v>
      </c>
      <c r="AJ492">
        <v>0</v>
      </c>
      <c r="AK492">
        <v>1.0446599999999999</v>
      </c>
      <c r="AL492">
        <v>1</v>
      </c>
      <c r="AM492">
        <v>0</v>
      </c>
      <c r="AN492">
        <v>2210</v>
      </c>
      <c r="AO492">
        <v>0</v>
      </c>
      <c r="AP492">
        <v>0</v>
      </c>
      <c r="AQ492">
        <v>0</v>
      </c>
    </row>
    <row r="493" spans="1:43" x14ac:dyDescent="0.25">
      <c r="A493">
        <v>490</v>
      </c>
      <c r="B493">
        <v>10</v>
      </c>
      <c r="C493">
        <v>10</v>
      </c>
      <c r="D493">
        <v>3</v>
      </c>
      <c r="E493">
        <v>1303</v>
      </c>
      <c r="F493">
        <v>3583</v>
      </c>
      <c r="G493">
        <v>3583</v>
      </c>
      <c r="H493">
        <v>1778</v>
      </c>
      <c r="I493">
        <v>1109</v>
      </c>
      <c r="J493">
        <v>187</v>
      </c>
      <c r="K493">
        <v>167</v>
      </c>
      <c r="L493">
        <v>186</v>
      </c>
      <c r="M493">
        <v>214</v>
      </c>
      <c r="N493">
        <v>735</v>
      </c>
      <c r="O493">
        <v>651</v>
      </c>
      <c r="P493">
        <v>392</v>
      </c>
      <c r="Q493">
        <v>210</v>
      </c>
      <c r="R493">
        <v>0.21367276900000001</v>
      </c>
      <c r="S493">
        <v>3642</v>
      </c>
      <c r="T493">
        <v>102</v>
      </c>
      <c r="U493">
        <v>608</v>
      </c>
      <c r="V493">
        <v>894</v>
      </c>
      <c r="W493">
        <v>1111</v>
      </c>
      <c r="X493">
        <v>672</v>
      </c>
      <c r="Y493">
        <v>288</v>
      </c>
      <c r="Z493">
        <v>881</v>
      </c>
      <c r="AA493">
        <v>1705</v>
      </c>
      <c r="AB493">
        <v>3</v>
      </c>
      <c r="AC493">
        <v>520</v>
      </c>
      <c r="AD493">
        <v>245</v>
      </c>
      <c r="AE493">
        <v>0</v>
      </c>
      <c r="AF493">
        <v>0</v>
      </c>
      <c r="AG493">
        <v>4</v>
      </c>
      <c r="AH493">
        <v>51</v>
      </c>
      <c r="AI493">
        <v>10398</v>
      </c>
      <c r="AJ493">
        <v>18222</v>
      </c>
      <c r="AK493">
        <v>1.2692600000000001</v>
      </c>
      <c r="AL493">
        <v>2</v>
      </c>
      <c r="AM493">
        <v>0</v>
      </c>
      <c r="AN493">
        <v>1303</v>
      </c>
      <c r="AO493">
        <v>0</v>
      </c>
      <c r="AP493">
        <v>0</v>
      </c>
      <c r="AQ493">
        <v>0</v>
      </c>
    </row>
    <row r="494" spans="1:43" x14ac:dyDescent="0.25">
      <c r="A494">
        <v>491</v>
      </c>
      <c r="B494">
        <v>10</v>
      </c>
      <c r="C494">
        <v>10</v>
      </c>
      <c r="D494">
        <v>3</v>
      </c>
      <c r="E494">
        <v>1118</v>
      </c>
      <c r="F494">
        <v>3629</v>
      </c>
      <c r="G494">
        <v>3629</v>
      </c>
      <c r="H494">
        <v>1717</v>
      </c>
      <c r="I494">
        <v>900</v>
      </c>
      <c r="J494">
        <v>156</v>
      </c>
      <c r="K494">
        <v>63</v>
      </c>
      <c r="L494">
        <v>136</v>
      </c>
      <c r="M494">
        <v>164</v>
      </c>
      <c r="N494">
        <v>752</v>
      </c>
      <c r="O494">
        <v>244</v>
      </c>
      <c r="P494">
        <v>211</v>
      </c>
      <c r="Q494">
        <v>13</v>
      </c>
      <c r="R494">
        <v>0.15005827499999999</v>
      </c>
      <c r="S494">
        <v>651</v>
      </c>
      <c r="T494">
        <v>159</v>
      </c>
      <c r="U494">
        <v>837</v>
      </c>
      <c r="V494">
        <v>1006</v>
      </c>
      <c r="W494">
        <v>976</v>
      </c>
      <c r="X494">
        <v>369</v>
      </c>
      <c r="Y494">
        <v>228</v>
      </c>
      <c r="Z494">
        <v>90</v>
      </c>
      <c r="AA494">
        <v>289</v>
      </c>
      <c r="AB494">
        <v>1</v>
      </c>
      <c r="AC494">
        <v>22</v>
      </c>
      <c r="AD494">
        <v>21</v>
      </c>
      <c r="AE494">
        <v>0</v>
      </c>
      <c r="AF494">
        <v>0</v>
      </c>
      <c r="AG494">
        <v>4</v>
      </c>
      <c r="AH494">
        <v>110</v>
      </c>
      <c r="AI494">
        <v>0</v>
      </c>
      <c r="AJ494">
        <v>0</v>
      </c>
      <c r="AK494">
        <v>1.22451</v>
      </c>
      <c r="AL494">
        <v>2</v>
      </c>
      <c r="AM494">
        <v>0</v>
      </c>
      <c r="AN494">
        <v>1118</v>
      </c>
      <c r="AO494">
        <v>0</v>
      </c>
      <c r="AP494">
        <v>0</v>
      </c>
      <c r="AQ494">
        <v>0</v>
      </c>
    </row>
    <row r="495" spans="1:43" x14ac:dyDescent="0.25">
      <c r="A495">
        <v>492</v>
      </c>
      <c r="B495">
        <v>10</v>
      </c>
      <c r="C495">
        <v>10</v>
      </c>
      <c r="D495">
        <v>3</v>
      </c>
      <c r="E495">
        <v>1915</v>
      </c>
      <c r="F495">
        <v>6176</v>
      </c>
      <c r="G495">
        <v>6176</v>
      </c>
      <c r="H495">
        <v>2947</v>
      </c>
      <c r="I495">
        <v>1576</v>
      </c>
      <c r="J495">
        <v>262</v>
      </c>
      <c r="K495">
        <v>161</v>
      </c>
      <c r="L495">
        <v>228</v>
      </c>
      <c r="M495">
        <v>268</v>
      </c>
      <c r="N495">
        <v>1261</v>
      </c>
      <c r="O495">
        <v>419</v>
      </c>
      <c r="P495">
        <v>374.15861089999999</v>
      </c>
      <c r="Q495">
        <v>5</v>
      </c>
      <c r="R495">
        <v>0.13181896400000001</v>
      </c>
      <c r="S495">
        <v>899</v>
      </c>
      <c r="T495">
        <v>246</v>
      </c>
      <c r="U495">
        <v>1447</v>
      </c>
      <c r="V495">
        <v>1578</v>
      </c>
      <c r="W495">
        <v>1855</v>
      </c>
      <c r="X495">
        <v>535</v>
      </c>
      <c r="Y495">
        <v>170</v>
      </c>
      <c r="Z495">
        <v>277</v>
      </c>
      <c r="AA495">
        <v>315</v>
      </c>
      <c r="AB495">
        <v>1</v>
      </c>
      <c r="AC495">
        <v>46</v>
      </c>
      <c r="AD495">
        <v>90</v>
      </c>
      <c r="AE495">
        <v>0</v>
      </c>
      <c r="AF495">
        <v>0</v>
      </c>
      <c r="AG495">
        <v>4</v>
      </c>
      <c r="AH495">
        <v>0</v>
      </c>
      <c r="AI495">
        <v>0</v>
      </c>
      <c r="AJ495">
        <v>0</v>
      </c>
      <c r="AK495">
        <v>1.2184299999999999</v>
      </c>
      <c r="AL495">
        <v>2</v>
      </c>
      <c r="AM495">
        <v>0</v>
      </c>
      <c r="AN495">
        <v>1915</v>
      </c>
      <c r="AO495">
        <v>0</v>
      </c>
      <c r="AP495">
        <v>0</v>
      </c>
      <c r="AQ495">
        <v>0</v>
      </c>
    </row>
    <row r="496" spans="1:43" x14ac:dyDescent="0.25">
      <c r="A496">
        <v>493</v>
      </c>
      <c r="B496">
        <v>10</v>
      </c>
      <c r="C496">
        <v>10</v>
      </c>
      <c r="D496">
        <v>3</v>
      </c>
      <c r="E496">
        <v>2006</v>
      </c>
      <c r="F496">
        <v>6009</v>
      </c>
      <c r="G496">
        <v>6024</v>
      </c>
      <c r="H496">
        <v>2558</v>
      </c>
      <c r="I496">
        <v>1915</v>
      </c>
      <c r="J496">
        <v>0</v>
      </c>
      <c r="K496">
        <v>257</v>
      </c>
      <c r="L496">
        <v>300</v>
      </c>
      <c r="M496">
        <v>289</v>
      </c>
      <c r="N496">
        <v>1150</v>
      </c>
      <c r="O496">
        <v>808</v>
      </c>
      <c r="P496">
        <v>637.18056979999994</v>
      </c>
      <c r="Q496">
        <v>77</v>
      </c>
      <c r="R496">
        <v>0.32415075199999999</v>
      </c>
      <c r="S496">
        <v>792</v>
      </c>
      <c r="T496">
        <v>89</v>
      </c>
      <c r="U496">
        <v>1236</v>
      </c>
      <c r="V496">
        <v>948</v>
      </c>
      <c r="W496">
        <v>1929</v>
      </c>
      <c r="X496">
        <v>1573</v>
      </c>
      <c r="Y496">
        <v>19</v>
      </c>
      <c r="Z496">
        <v>232</v>
      </c>
      <c r="AA496">
        <v>436</v>
      </c>
      <c r="AB496">
        <v>2</v>
      </c>
      <c r="AC496">
        <v>37</v>
      </c>
      <c r="AD496">
        <v>66</v>
      </c>
      <c r="AE496">
        <v>0</v>
      </c>
      <c r="AF496">
        <v>0</v>
      </c>
      <c r="AG496">
        <v>4</v>
      </c>
      <c r="AH496">
        <v>0</v>
      </c>
      <c r="AI496">
        <v>0</v>
      </c>
      <c r="AJ496">
        <v>0</v>
      </c>
      <c r="AK496">
        <v>1.0894699999999999</v>
      </c>
      <c r="AL496">
        <v>3</v>
      </c>
      <c r="AM496">
        <v>0</v>
      </c>
      <c r="AN496">
        <v>2006</v>
      </c>
      <c r="AO496">
        <v>15</v>
      </c>
      <c r="AP496">
        <v>0</v>
      </c>
      <c r="AQ496">
        <v>0</v>
      </c>
    </row>
    <row r="497" spans="1:43" x14ac:dyDescent="0.25">
      <c r="A497">
        <v>494</v>
      </c>
      <c r="B497">
        <v>10</v>
      </c>
      <c r="C497">
        <v>10</v>
      </c>
      <c r="D497">
        <v>3</v>
      </c>
      <c r="E497">
        <v>2101</v>
      </c>
      <c r="F497">
        <v>5854</v>
      </c>
      <c r="G497">
        <v>5854</v>
      </c>
      <c r="H497">
        <v>2524</v>
      </c>
      <c r="I497">
        <v>2052</v>
      </c>
      <c r="J497">
        <v>94</v>
      </c>
      <c r="K497">
        <v>239</v>
      </c>
      <c r="L497">
        <v>299</v>
      </c>
      <c r="M497">
        <v>492</v>
      </c>
      <c r="N497">
        <v>1079</v>
      </c>
      <c r="O497">
        <v>905</v>
      </c>
      <c r="P497">
        <v>818.33268480000004</v>
      </c>
      <c r="Q497">
        <v>88</v>
      </c>
      <c r="R497">
        <v>0.29701934800000002</v>
      </c>
      <c r="S497">
        <v>1277</v>
      </c>
      <c r="T497">
        <v>90</v>
      </c>
      <c r="U497">
        <v>1082</v>
      </c>
      <c r="V497">
        <v>1212</v>
      </c>
      <c r="W497">
        <v>1800</v>
      </c>
      <c r="X497">
        <v>1423</v>
      </c>
      <c r="Y497">
        <v>59</v>
      </c>
      <c r="Z497">
        <v>424</v>
      </c>
      <c r="AA497">
        <v>620</v>
      </c>
      <c r="AB497">
        <v>3</v>
      </c>
      <c r="AC497">
        <v>90</v>
      </c>
      <c r="AD497">
        <v>81</v>
      </c>
      <c r="AE497">
        <v>0</v>
      </c>
      <c r="AF497">
        <v>0</v>
      </c>
      <c r="AG497">
        <v>4</v>
      </c>
      <c r="AH497">
        <v>1161</v>
      </c>
      <c r="AI497">
        <v>0</v>
      </c>
      <c r="AJ497">
        <v>0</v>
      </c>
      <c r="AK497">
        <v>1.0678700000000001</v>
      </c>
      <c r="AL497">
        <v>2</v>
      </c>
      <c r="AM497">
        <v>0</v>
      </c>
      <c r="AN497">
        <v>2101</v>
      </c>
      <c r="AO497">
        <v>0</v>
      </c>
      <c r="AP497">
        <v>0</v>
      </c>
      <c r="AQ497">
        <v>0</v>
      </c>
    </row>
    <row r="498" spans="1:43" x14ac:dyDescent="0.25">
      <c r="A498">
        <v>495</v>
      </c>
      <c r="B498">
        <v>10</v>
      </c>
      <c r="C498">
        <v>10</v>
      </c>
      <c r="D498">
        <v>3</v>
      </c>
      <c r="E498">
        <v>2071</v>
      </c>
      <c r="F498">
        <v>6140</v>
      </c>
      <c r="G498">
        <v>6140</v>
      </c>
      <c r="H498">
        <v>2618</v>
      </c>
      <c r="I498">
        <v>1803</v>
      </c>
      <c r="J498">
        <v>246</v>
      </c>
      <c r="K498">
        <v>159</v>
      </c>
      <c r="L498">
        <v>319</v>
      </c>
      <c r="M498">
        <v>273</v>
      </c>
      <c r="N498">
        <v>1304</v>
      </c>
      <c r="O498">
        <v>3410</v>
      </c>
      <c r="P498">
        <v>1380.1071340000001</v>
      </c>
      <c r="Q498">
        <v>26</v>
      </c>
      <c r="R498">
        <v>0.274730737</v>
      </c>
      <c r="S498">
        <v>728</v>
      </c>
      <c r="T498">
        <v>72</v>
      </c>
      <c r="U498">
        <v>1228</v>
      </c>
      <c r="V498">
        <v>1257</v>
      </c>
      <c r="W498">
        <v>1975</v>
      </c>
      <c r="X498">
        <v>1359</v>
      </c>
      <c r="Y498">
        <v>13</v>
      </c>
      <c r="Z498">
        <v>169</v>
      </c>
      <c r="AA498">
        <v>344</v>
      </c>
      <c r="AB498">
        <v>17</v>
      </c>
      <c r="AC498">
        <v>110</v>
      </c>
      <c r="AD498">
        <v>75</v>
      </c>
      <c r="AE498">
        <v>0</v>
      </c>
      <c r="AF498">
        <v>0</v>
      </c>
      <c r="AG498">
        <v>5</v>
      </c>
      <c r="AH498">
        <v>0</v>
      </c>
      <c r="AI498">
        <v>0</v>
      </c>
      <c r="AJ498">
        <v>0</v>
      </c>
      <c r="AK498">
        <v>0.98582999999999998</v>
      </c>
      <c r="AL498">
        <v>1</v>
      </c>
      <c r="AM498">
        <v>0</v>
      </c>
      <c r="AN498">
        <v>2071</v>
      </c>
      <c r="AO498">
        <v>0</v>
      </c>
      <c r="AP498">
        <v>0</v>
      </c>
      <c r="AQ498">
        <v>0</v>
      </c>
    </row>
    <row r="499" spans="1:43" x14ac:dyDescent="0.25">
      <c r="A499">
        <v>496</v>
      </c>
      <c r="B499">
        <v>10</v>
      </c>
      <c r="C499">
        <v>10</v>
      </c>
      <c r="D499">
        <v>3</v>
      </c>
      <c r="E499">
        <v>934</v>
      </c>
      <c r="F499">
        <v>2400</v>
      </c>
      <c r="G499">
        <v>2400</v>
      </c>
      <c r="H499">
        <v>1260</v>
      </c>
      <c r="I499">
        <v>855</v>
      </c>
      <c r="J499">
        <v>118</v>
      </c>
      <c r="K499">
        <v>139</v>
      </c>
      <c r="L499">
        <v>55</v>
      </c>
      <c r="M499">
        <v>134</v>
      </c>
      <c r="N499">
        <v>612</v>
      </c>
      <c r="O499">
        <v>2947</v>
      </c>
      <c r="P499">
        <v>1302.248282</v>
      </c>
      <c r="Q499">
        <v>33</v>
      </c>
      <c r="R499">
        <v>0.36136363599999999</v>
      </c>
      <c r="S499">
        <v>1628</v>
      </c>
      <c r="T499">
        <v>112</v>
      </c>
      <c r="U499">
        <v>323</v>
      </c>
      <c r="V499">
        <v>565</v>
      </c>
      <c r="W499">
        <v>778</v>
      </c>
      <c r="X499">
        <v>785</v>
      </c>
      <c r="Y499">
        <v>32</v>
      </c>
      <c r="Z499">
        <v>336</v>
      </c>
      <c r="AA499">
        <v>999</v>
      </c>
      <c r="AB499">
        <v>3</v>
      </c>
      <c r="AC499">
        <v>75</v>
      </c>
      <c r="AD499">
        <v>183</v>
      </c>
      <c r="AE499">
        <v>0</v>
      </c>
      <c r="AF499">
        <v>0</v>
      </c>
      <c r="AG499">
        <v>5</v>
      </c>
      <c r="AH499">
        <v>0</v>
      </c>
      <c r="AI499">
        <v>0</v>
      </c>
      <c r="AJ499">
        <v>0</v>
      </c>
      <c r="AK499">
        <v>0.97980999999999996</v>
      </c>
      <c r="AL499">
        <v>1</v>
      </c>
      <c r="AM499">
        <v>0</v>
      </c>
      <c r="AN499">
        <v>934</v>
      </c>
      <c r="AO499">
        <v>0</v>
      </c>
      <c r="AP499">
        <v>0</v>
      </c>
      <c r="AQ499">
        <v>0</v>
      </c>
    </row>
    <row r="500" spans="1:43" x14ac:dyDescent="0.25">
      <c r="A500">
        <v>497</v>
      </c>
      <c r="B500">
        <v>10</v>
      </c>
      <c r="C500">
        <v>10</v>
      </c>
      <c r="D500">
        <v>3</v>
      </c>
      <c r="E500">
        <v>2494</v>
      </c>
      <c r="F500">
        <v>7055</v>
      </c>
      <c r="G500">
        <v>7055</v>
      </c>
      <c r="H500">
        <v>2984</v>
      </c>
      <c r="I500">
        <v>2303</v>
      </c>
      <c r="J500">
        <v>334</v>
      </c>
      <c r="K500">
        <v>367</v>
      </c>
      <c r="L500">
        <v>210</v>
      </c>
      <c r="M500">
        <v>205</v>
      </c>
      <c r="N500">
        <v>1730</v>
      </c>
      <c r="O500">
        <v>2097</v>
      </c>
      <c r="P500">
        <v>1848.2082330000001</v>
      </c>
      <c r="Q500">
        <v>226</v>
      </c>
      <c r="R500">
        <v>0.28972512099999997</v>
      </c>
      <c r="S500">
        <v>2107</v>
      </c>
      <c r="T500">
        <v>193</v>
      </c>
      <c r="U500">
        <v>1410</v>
      </c>
      <c r="V500">
        <v>1214</v>
      </c>
      <c r="W500">
        <v>2123</v>
      </c>
      <c r="X500">
        <v>1697</v>
      </c>
      <c r="Y500">
        <v>29</v>
      </c>
      <c r="Z500">
        <v>222</v>
      </c>
      <c r="AA500">
        <v>1580</v>
      </c>
      <c r="AB500">
        <v>44</v>
      </c>
      <c r="AC500">
        <v>84</v>
      </c>
      <c r="AD500">
        <v>148</v>
      </c>
      <c r="AE500">
        <v>0</v>
      </c>
      <c r="AF500">
        <v>0</v>
      </c>
      <c r="AG500">
        <v>4</v>
      </c>
      <c r="AH500">
        <v>0</v>
      </c>
      <c r="AI500">
        <v>2518</v>
      </c>
      <c r="AJ500">
        <v>8729</v>
      </c>
      <c r="AK500">
        <v>0.97487000000000001</v>
      </c>
      <c r="AL500">
        <v>1</v>
      </c>
      <c r="AM500">
        <v>0</v>
      </c>
      <c r="AN500">
        <v>2494</v>
      </c>
      <c r="AO500">
        <v>0</v>
      </c>
      <c r="AP500">
        <v>0</v>
      </c>
      <c r="AQ500">
        <v>0</v>
      </c>
    </row>
    <row r="501" spans="1:43" x14ac:dyDescent="0.25">
      <c r="A501">
        <v>498</v>
      </c>
      <c r="B501">
        <v>10</v>
      </c>
      <c r="C501">
        <v>10</v>
      </c>
      <c r="D501">
        <v>3</v>
      </c>
      <c r="E501">
        <v>1532</v>
      </c>
      <c r="F501">
        <v>4048</v>
      </c>
      <c r="G501">
        <v>4048</v>
      </c>
      <c r="H501">
        <v>2105</v>
      </c>
      <c r="I501">
        <v>1402</v>
      </c>
      <c r="J501">
        <v>125</v>
      </c>
      <c r="K501">
        <v>173</v>
      </c>
      <c r="L501">
        <v>188</v>
      </c>
      <c r="M501">
        <v>241</v>
      </c>
      <c r="N501">
        <v>920</v>
      </c>
      <c r="O501">
        <v>570</v>
      </c>
      <c r="P501">
        <v>413</v>
      </c>
      <c r="Q501">
        <v>83</v>
      </c>
      <c r="R501">
        <v>0.28869346699999998</v>
      </c>
      <c r="S501">
        <v>1241</v>
      </c>
      <c r="T501">
        <v>138</v>
      </c>
      <c r="U501">
        <v>649</v>
      </c>
      <c r="V501">
        <v>877</v>
      </c>
      <c r="W501">
        <v>1318</v>
      </c>
      <c r="X501">
        <v>900</v>
      </c>
      <c r="Y501">
        <v>153</v>
      </c>
      <c r="Z501">
        <v>232</v>
      </c>
      <c r="AA501">
        <v>706</v>
      </c>
      <c r="AB501">
        <v>2</v>
      </c>
      <c r="AC501">
        <v>47</v>
      </c>
      <c r="AD501">
        <v>101</v>
      </c>
      <c r="AE501">
        <v>0</v>
      </c>
      <c r="AF501">
        <v>0</v>
      </c>
      <c r="AG501">
        <v>4</v>
      </c>
      <c r="AH501">
        <v>1460</v>
      </c>
      <c r="AI501">
        <v>0</v>
      </c>
      <c r="AJ501">
        <v>0</v>
      </c>
      <c r="AK501">
        <v>1.1657900000000001</v>
      </c>
      <c r="AL501">
        <v>3</v>
      </c>
      <c r="AM501">
        <v>0</v>
      </c>
      <c r="AN501">
        <v>1532</v>
      </c>
      <c r="AO501">
        <v>0</v>
      </c>
      <c r="AP501">
        <v>0</v>
      </c>
      <c r="AQ501">
        <v>0</v>
      </c>
    </row>
    <row r="502" spans="1:43" x14ac:dyDescent="0.25">
      <c r="A502">
        <v>499</v>
      </c>
      <c r="B502">
        <v>10</v>
      </c>
      <c r="C502">
        <v>10</v>
      </c>
      <c r="D502">
        <v>3</v>
      </c>
      <c r="E502">
        <v>2473</v>
      </c>
      <c r="F502">
        <v>7640</v>
      </c>
      <c r="G502">
        <v>7652</v>
      </c>
      <c r="H502">
        <v>3440</v>
      </c>
      <c r="I502">
        <v>2127</v>
      </c>
      <c r="J502">
        <v>341</v>
      </c>
      <c r="K502">
        <v>245</v>
      </c>
      <c r="L502">
        <v>386</v>
      </c>
      <c r="M502">
        <v>471</v>
      </c>
      <c r="N502">
        <v>1382</v>
      </c>
      <c r="O502">
        <v>606</v>
      </c>
      <c r="P502">
        <v>506.45712040000001</v>
      </c>
      <c r="Q502">
        <v>91</v>
      </c>
      <c r="R502">
        <v>0.18690573199999999</v>
      </c>
      <c r="S502">
        <v>1587</v>
      </c>
      <c r="T502">
        <v>436</v>
      </c>
      <c r="U502">
        <v>1674</v>
      </c>
      <c r="V502">
        <v>2091</v>
      </c>
      <c r="W502">
        <v>2098</v>
      </c>
      <c r="X502">
        <v>892</v>
      </c>
      <c r="Y502">
        <v>323</v>
      </c>
      <c r="Z502">
        <v>187</v>
      </c>
      <c r="AA502">
        <v>938</v>
      </c>
      <c r="AB502">
        <v>2</v>
      </c>
      <c r="AC502">
        <v>63</v>
      </c>
      <c r="AD502">
        <v>74</v>
      </c>
      <c r="AE502">
        <v>0</v>
      </c>
      <c r="AF502">
        <v>0</v>
      </c>
      <c r="AG502">
        <v>4</v>
      </c>
      <c r="AH502">
        <v>0</v>
      </c>
      <c r="AI502">
        <v>0</v>
      </c>
      <c r="AJ502">
        <v>0</v>
      </c>
      <c r="AK502">
        <v>1.2595000000000001</v>
      </c>
      <c r="AL502">
        <v>3</v>
      </c>
      <c r="AM502">
        <v>0</v>
      </c>
      <c r="AN502">
        <v>2473</v>
      </c>
      <c r="AO502">
        <v>12</v>
      </c>
      <c r="AP502">
        <v>0</v>
      </c>
      <c r="AQ502">
        <v>0</v>
      </c>
    </row>
    <row r="503" spans="1:43" x14ac:dyDescent="0.25">
      <c r="A503">
        <v>500</v>
      </c>
      <c r="B503">
        <v>10</v>
      </c>
      <c r="C503">
        <v>10</v>
      </c>
      <c r="D503">
        <v>3</v>
      </c>
      <c r="E503">
        <v>1338</v>
      </c>
      <c r="F503">
        <v>4364</v>
      </c>
      <c r="G503">
        <v>4364</v>
      </c>
      <c r="H503">
        <v>2230</v>
      </c>
      <c r="I503">
        <v>1238</v>
      </c>
      <c r="J503">
        <v>78</v>
      </c>
      <c r="K503">
        <v>88</v>
      </c>
      <c r="L503">
        <v>236</v>
      </c>
      <c r="M503">
        <v>248</v>
      </c>
      <c r="N503">
        <v>770</v>
      </c>
      <c r="O503">
        <v>394</v>
      </c>
      <c r="P503">
        <v>310</v>
      </c>
      <c r="Q503">
        <v>43</v>
      </c>
      <c r="R503">
        <v>0.204076851</v>
      </c>
      <c r="S503">
        <v>364</v>
      </c>
      <c r="T503">
        <v>252</v>
      </c>
      <c r="U503">
        <v>718</v>
      </c>
      <c r="V503">
        <v>1265</v>
      </c>
      <c r="W503">
        <v>1287</v>
      </c>
      <c r="X503">
        <v>629</v>
      </c>
      <c r="Y503">
        <v>8</v>
      </c>
      <c r="Z503">
        <v>55</v>
      </c>
      <c r="AA503">
        <v>215</v>
      </c>
      <c r="AB503">
        <v>1</v>
      </c>
      <c r="AC503">
        <v>23</v>
      </c>
      <c r="AD503">
        <v>62</v>
      </c>
      <c r="AE503">
        <v>0</v>
      </c>
      <c r="AF503">
        <v>0</v>
      </c>
      <c r="AG503">
        <v>4</v>
      </c>
      <c r="AH503">
        <v>1682</v>
      </c>
      <c r="AI503">
        <v>0</v>
      </c>
      <c r="AJ503">
        <v>0</v>
      </c>
      <c r="AK503">
        <v>1.1094299999999999</v>
      </c>
      <c r="AL503">
        <v>3</v>
      </c>
      <c r="AM503">
        <v>0</v>
      </c>
      <c r="AN503">
        <v>1338</v>
      </c>
      <c r="AO503">
        <v>0</v>
      </c>
      <c r="AP503">
        <v>0</v>
      </c>
      <c r="AQ503">
        <v>0</v>
      </c>
    </row>
    <row r="504" spans="1:43" x14ac:dyDescent="0.25">
      <c r="A504">
        <v>501</v>
      </c>
      <c r="B504">
        <v>10</v>
      </c>
      <c r="C504">
        <v>10</v>
      </c>
      <c r="D504">
        <v>3</v>
      </c>
      <c r="E504">
        <v>1546</v>
      </c>
      <c r="F504">
        <v>4459</v>
      </c>
      <c r="G504">
        <v>4459</v>
      </c>
      <c r="H504">
        <v>2131</v>
      </c>
      <c r="I504">
        <v>1259</v>
      </c>
      <c r="J504">
        <v>219</v>
      </c>
      <c r="K504">
        <v>162</v>
      </c>
      <c r="L504">
        <v>215</v>
      </c>
      <c r="M504">
        <v>234</v>
      </c>
      <c r="N504">
        <v>934</v>
      </c>
      <c r="O504">
        <v>323</v>
      </c>
      <c r="P504">
        <v>301</v>
      </c>
      <c r="Q504">
        <v>9</v>
      </c>
      <c r="R504">
        <v>0.15216368799999999</v>
      </c>
      <c r="S504">
        <v>305</v>
      </c>
      <c r="T504">
        <v>155</v>
      </c>
      <c r="U504">
        <v>969</v>
      </c>
      <c r="V504">
        <v>1159</v>
      </c>
      <c r="W504">
        <v>1367</v>
      </c>
      <c r="X504">
        <v>496</v>
      </c>
      <c r="Y504">
        <v>36</v>
      </c>
      <c r="Z504">
        <v>39</v>
      </c>
      <c r="AA504">
        <v>154</v>
      </c>
      <c r="AB504">
        <v>1</v>
      </c>
      <c r="AC504">
        <v>14</v>
      </c>
      <c r="AD504">
        <v>61</v>
      </c>
      <c r="AE504">
        <v>0</v>
      </c>
      <c r="AF504">
        <v>0</v>
      </c>
      <c r="AG504">
        <v>4</v>
      </c>
      <c r="AH504">
        <v>0</v>
      </c>
      <c r="AI504">
        <v>0</v>
      </c>
      <c r="AJ504">
        <v>0</v>
      </c>
      <c r="AK504">
        <v>1.1668099999999999</v>
      </c>
      <c r="AL504">
        <v>3</v>
      </c>
      <c r="AM504">
        <v>0</v>
      </c>
      <c r="AN504">
        <v>1546</v>
      </c>
      <c r="AO504">
        <v>0</v>
      </c>
      <c r="AP504">
        <v>0</v>
      </c>
      <c r="AQ504">
        <v>0</v>
      </c>
    </row>
    <row r="505" spans="1:43" x14ac:dyDescent="0.25">
      <c r="A505">
        <v>502</v>
      </c>
      <c r="B505">
        <v>10</v>
      </c>
      <c r="C505">
        <v>10</v>
      </c>
      <c r="D505">
        <v>3</v>
      </c>
      <c r="E505">
        <v>1836</v>
      </c>
      <c r="F505">
        <v>5071</v>
      </c>
      <c r="G505">
        <v>5081</v>
      </c>
      <c r="H505">
        <v>2510</v>
      </c>
      <c r="I505">
        <v>1197</v>
      </c>
      <c r="J505">
        <v>612</v>
      </c>
      <c r="K505">
        <v>474</v>
      </c>
      <c r="L505">
        <v>411</v>
      </c>
      <c r="M505">
        <v>363</v>
      </c>
      <c r="N505">
        <v>594</v>
      </c>
      <c r="O505">
        <v>302</v>
      </c>
      <c r="P505">
        <v>259.87099710000001</v>
      </c>
      <c r="Q505">
        <v>44</v>
      </c>
      <c r="R505">
        <v>0.204788787</v>
      </c>
      <c r="S505">
        <v>878</v>
      </c>
      <c r="T505">
        <v>359</v>
      </c>
      <c r="U505">
        <v>947</v>
      </c>
      <c r="V505">
        <v>1440</v>
      </c>
      <c r="W505">
        <v>1370</v>
      </c>
      <c r="X505">
        <v>891</v>
      </c>
      <c r="Y505">
        <v>288</v>
      </c>
      <c r="Z505">
        <v>102</v>
      </c>
      <c r="AA505">
        <v>423</v>
      </c>
      <c r="AB505">
        <v>1</v>
      </c>
      <c r="AC505">
        <v>30</v>
      </c>
      <c r="AD505">
        <v>34</v>
      </c>
      <c r="AE505">
        <v>0</v>
      </c>
      <c r="AF505">
        <v>0</v>
      </c>
      <c r="AG505">
        <v>4</v>
      </c>
      <c r="AH505">
        <v>0</v>
      </c>
      <c r="AI505">
        <v>0</v>
      </c>
      <c r="AJ505">
        <v>0</v>
      </c>
      <c r="AK505">
        <v>1.2685</v>
      </c>
      <c r="AL505">
        <v>3</v>
      </c>
      <c r="AM505">
        <v>0</v>
      </c>
      <c r="AN505">
        <v>1836</v>
      </c>
      <c r="AO505">
        <v>10</v>
      </c>
      <c r="AP505">
        <v>0</v>
      </c>
      <c r="AQ505">
        <v>0</v>
      </c>
    </row>
    <row r="506" spans="1:43" x14ac:dyDescent="0.25">
      <c r="A506">
        <v>503</v>
      </c>
      <c r="B506">
        <v>10</v>
      </c>
      <c r="C506">
        <v>10</v>
      </c>
      <c r="D506">
        <v>3</v>
      </c>
      <c r="E506">
        <v>2773</v>
      </c>
      <c r="F506">
        <v>6046</v>
      </c>
      <c r="G506">
        <v>6046</v>
      </c>
      <c r="H506">
        <v>3102</v>
      </c>
      <c r="I506">
        <v>1067</v>
      </c>
      <c r="J506">
        <v>1639</v>
      </c>
      <c r="K506">
        <v>942</v>
      </c>
      <c r="L506">
        <v>538</v>
      </c>
      <c r="M506">
        <v>528</v>
      </c>
      <c r="N506">
        <v>774</v>
      </c>
      <c r="O506">
        <v>415</v>
      </c>
      <c r="P506">
        <v>308.82077199999998</v>
      </c>
      <c r="Q506">
        <v>71</v>
      </c>
      <c r="R506">
        <v>0.26583524800000002</v>
      </c>
      <c r="S506">
        <v>1732</v>
      </c>
      <c r="T506">
        <v>397</v>
      </c>
      <c r="U506">
        <v>872</v>
      </c>
      <c r="V506">
        <v>2151</v>
      </c>
      <c r="W506">
        <v>1171</v>
      </c>
      <c r="X506">
        <v>1380</v>
      </c>
      <c r="Y506">
        <v>143</v>
      </c>
      <c r="Z506">
        <v>190</v>
      </c>
      <c r="AA506">
        <v>1273</v>
      </c>
      <c r="AB506">
        <v>7</v>
      </c>
      <c r="AC506">
        <v>38</v>
      </c>
      <c r="AD506">
        <v>81</v>
      </c>
      <c r="AE506">
        <v>0</v>
      </c>
      <c r="AF506">
        <v>0</v>
      </c>
      <c r="AG506">
        <v>3</v>
      </c>
      <c r="AH506">
        <v>6</v>
      </c>
      <c r="AI506">
        <v>0</v>
      </c>
      <c r="AJ506">
        <v>0</v>
      </c>
      <c r="AK506">
        <v>1.6057699999999999</v>
      </c>
      <c r="AL506">
        <v>3</v>
      </c>
      <c r="AM506">
        <v>0</v>
      </c>
      <c r="AN506">
        <v>2773</v>
      </c>
      <c r="AO506">
        <v>0</v>
      </c>
      <c r="AP506">
        <v>0</v>
      </c>
      <c r="AQ506">
        <v>0</v>
      </c>
    </row>
    <row r="507" spans="1:43" x14ac:dyDescent="0.25">
      <c r="A507">
        <v>504</v>
      </c>
      <c r="B507">
        <v>10</v>
      </c>
      <c r="C507">
        <v>10</v>
      </c>
      <c r="D507">
        <v>3</v>
      </c>
      <c r="E507">
        <v>2176</v>
      </c>
      <c r="F507">
        <v>5154</v>
      </c>
      <c r="G507">
        <v>5162</v>
      </c>
      <c r="H507">
        <v>3041</v>
      </c>
      <c r="I507">
        <v>1214</v>
      </c>
      <c r="J507">
        <v>1117</v>
      </c>
      <c r="K507">
        <v>378</v>
      </c>
      <c r="L507">
        <v>525</v>
      </c>
      <c r="M507">
        <v>503</v>
      </c>
      <c r="N507">
        <v>768</v>
      </c>
      <c r="O507">
        <v>723</v>
      </c>
      <c r="P507">
        <v>234.37687210000001</v>
      </c>
      <c r="Q507">
        <v>337</v>
      </c>
      <c r="R507">
        <v>0.115939086</v>
      </c>
      <c r="S507">
        <v>8974</v>
      </c>
      <c r="T507">
        <v>407</v>
      </c>
      <c r="U507">
        <v>790</v>
      </c>
      <c r="V507">
        <v>2029</v>
      </c>
      <c r="W507">
        <v>1154</v>
      </c>
      <c r="X507">
        <v>397</v>
      </c>
      <c r="Y507">
        <v>654</v>
      </c>
      <c r="Z507">
        <v>1630</v>
      </c>
      <c r="AA507">
        <v>2631</v>
      </c>
      <c r="AB507">
        <v>9</v>
      </c>
      <c r="AC507">
        <v>1736</v>
      </c>
      <c r="AD507">
        <v>2314</v>
      </c>
      <c r="AE507">
        <v>0</v>
      </c>
      <c r="AF507">
        <v>0</v>
      </c>
      <c r="AG507">
        <v>2</v>
      </c>
      <c r="AH507">
        <v>21</v>
      </c>
      <c r="AI507">
        <v>0</v>
      </c>
      <c r="AJ507">
        <v>0</v>
      </c>
      <c r="AK507">
        <v>1.8043400000000001</v>
      </c>
      <c r="AL507">
        <v>3</v>
      </c>
      <c r="AM507">
        <v>0</v>
      </c>
      <c r="AN507">
        <v>2176</v>
      </c>
      <c r="AO507">
        <v>8</v>
      </c>
      <c r="AP507">
        <v>0</v>
      </c>
      <c r="AQ507">
        <v>0</v>
      </c>
    </row>
    <row r="508" spans="1:43" x14ac:dyDescent="0.25">
      <c r="A508">
        <v>505</v>
      </c>
      <c r="B508">
        <v>10</v>
      </c>
      <c r="C508">
        <v>10</v>
      </c>
      <c r="D508">
        <v>3</v>
      </c>
      <c r="E508">
        <v>2033</v>
      </c>
      <c r="F508">
        <v>6033</v>
      </c>
      <c r="G508">
        <v>6055</v>
      </c>
      <c r="H508">
        <v>2778</v>
      </c>
      <c r="I508">
        <v>1416</v>
      </c>
      <c r="J508">
        <v>632</v>
      </c>
      <c r="K508">
        <v>326</v>
      </c>
      <c r="L508">
        <v>509</v>
      </c>
      <c r="M508">
        <v>366</v>
      </c>
      <c r="N508">
        <v>838</v>
      </c>
      <c r="O508">
        <v>425</v>
      </c>
      <c r="P508">
        <v>394.76026940000003</v>
      </c>
      <c r="Q508">
        <v>15</v>
      </c>
      <c r="R508">
        <v>0.11975841199999999</v>
      </c>
      <c r="S508">
        <v>451</v>
      </c>
      <c r="T508">
        <v>268</v>
      </c>
      <c r="U508">
        <v>1393</v>
      </c>
      <c r="V508">
        <v>1834</v>
      </c>
      <c r="W508">
        <v>1598</v>
      </c>
      <c r="X508">
        <v>573</v>
      </c>
      <c r="Y508">
        <v>21</v>
      </c>
      <c r="Z508">
        <v>74</v>
      </c>
      <c r="AA508">
        <v>246</v>
      </c>
      <c r="AB508">
        <v>1</v>
      </c>
      <c r="AC508">
        <v>28</v>
      </c>
      <c r="AD508">
        <v>81</v>
      </c>
      <c r="AE508">
        <v>0</v>
      </c>
      <c r="AF508">
        <v>0</v>
      </c>
      <c r="AG508">
        <v>4</v>
      </c>
      <c r="AH508">
        <v>0</v>
      </c>
      <c r="AI508">
        <v>0</v>
      </c>
      <c r="AJ508">
        <v>0</v>
      </c>
      <c r="AK508">
        <v>1.20007</v>
      </c>
      <c r="AL508">
        <v>3</v>
      </c>
      <c r="AM508">
        <v>0</v>
      </c>
      <c r="AN508">
        <v>2033</v>
      </c>
      <c r="AO508">
        <v>22</v>
      </c>
      <c r="AP508">
        <v>0</v>
      </c>
      <c r="AQ508">
        <v>0</v>
      </c>
    </row>
    <row r="509" spans="1:43" x14ac:dyDescent="0.25">
      <c r="A509">
        <v>506</v>
      </c>
      <c r="B509">
        <v>10</v>
      </c>
      <c r="C509">
        <v>10</v>
      </c>
      <c r="D509">
        <v>3</v>
      </c>
      <c r="E509">
        <v>1377</v>
      </c>
      <c r="F509">
        <v>3622</v>
      </c>
      <c r="G509">
        <v>3644</v>
      </c>
      <c r="H509">
        <v>1627</v>
      </c>
      <c r="I509">
        <v>968</v>
      </c>
      <c r="J509">
        <v>439</v>
      </c>
      <c r="K509">
        <v>282</v>
      </c>
      <c r="L509">
        <v>211</v>
      </c>
      <c r="M509">
        <v>287</v>
      </c>
      <c r="N509">
        <v>596</v>
      </c>
      <c r="O509">
        <v>332</v>
      </c>
      <c r="P509">
        <v>243.11519580000001</v>
      </c>
      <c r="Q509">
        <v>48</v>
      </c>
      <c r="R509">
        <v>0.231754875</v>
      </c>
      <c r="S509">
        <v>1859</v>
      </c>
      <c r="T509">
        <v>261</v>
      </c>
      <c r="U509">
        <v>494</v>
      </c>
      <c r="V509">
        <v>1111</v>
      </c>
      <c r="W509">
        <v>951</v>
      </c>
      <c r="X509">
        <v>680</v>
      </c>
      <c r="Y509">
        <v>43</v>
      </c>
      <c r="Z509">
        <v>245</v>
      </c>
      <c r="AA509">
        <v>1124</v>
      </c>
      <c r="AB509">
        <v>2</v>
      </c>
      <c r="AC509">
        <v>380</v>
      </c>
      <c r="AD509">
        <v>65</v>
      </c>
      <c r="AE509">
        <v>0</v>
      </c>
      <c r="AF509">
        <v>0</v>
      </c>
      <c r="AG509">
        <v>4</v>
      </c>
      <c r="AH509">
        <v>0</v>
      </c>
      <c r="AI509">
        <v>0</v>
      </c>
      <c r="AJ509">
        <v>0</v>
      </c>
      <c r="AK509">
        <v>1.4849300000000001</v>
      </c>
      <c r="AL509">
        <v>3</v>
      </c>
      <c r="AM509">
        <v>0</v>
      </c>
      <c r="AN509">
        <v>1377</v>
      </c>
      <c r="AO509">
        <v>22</v>
      </c>
      <c r="AP509">
        <v>0</v>
      </c>
      <c r="AQ509">
        <v>0</v>
      </c>
    </row>
    <row r="510" spans="1:43" x14ac:dyDescent="0.25">
      <c r="A510">
        <v>507</v>
      </c>
      <c r="B510">
        <v>10</v>
      </c>
      <c r="C510">
        <v>10</v>
      </c>
      <c r="D510">
        <v>3</v>
      </c>
      <c r="E510">
        <v>1912</v>
      </c>
      <c r="F510">
        <v>5009</v>
      </c>
      <c r="G510">
        <v>5009</v>
      </c>
      <c r="H510">
        <v>2264</v>
      </c>
      <c r="I510">
        <v>1606</v>
      </c>
      <c r="J510">
        <v>290</v>
      </c>
      <c r="K510">
        <v>231</v>
      </c>
      <c r="L510">
        <v>253</v>
      </c>
      <c r="M510">
        <v>417</v>
      </c>
      <c r="N510">
        <v>1019</v>
      </c>
      <c r="O510">
        <v>817</v>
      </c>
      <c r="P510">
        <v>625</v>
      </c>
      <c r="Q510">
        <v>62</v>
      </c>
      <c r="R510">
        <v>0.234300021</v>
      </c>
      <c r="S510">
        <v>723</v>
      </c>
      <c r="T510">
        <v>172</v>
      </c>
      <c r="U510">
        <v>1011</v>
      </c>
      <c r="V510">
        <v>1226</v>
      </c>
      <c r="W510">
        <v>1401</v>
      </c>
      <c r="X510">
        <v>879</v>
      </c>
      <c r="Y510">
        <v>70</v>
      </c>
      <c r="Z510">
        <v>151</v>
      </c>
      <c r="AA510">
        <v>411</v>
      </c>
      <c r="AB510">
        <v>3</v>
      </c>
      <c r="AC510">
        <v>32</v>
      </c>
      <c r="AD510">
        <v>56</v>
      </c>
      <c r="AE510">
        <v>0</v>
      </c>
      <c r="AF510">
        <v>0</v>
      </c>
      <c r="AG510">
        <v>4</v>
      </c>
      <c r="AH510">
        <v>0</v>
      </c>
      <c r="AI510">
        <v>0</v>
      </c>
      <c r="AJ510">
        <v>0</v>
      </c>
      <c r="AK510">
        <v>1.0553900000000001</v>
      </c>
      <c r="AL510">
        <v>1</v>
      </c>
      <c r="AM510">
        <v>0</v>
      </c>
      <c r="AN510">
        <v>1912</v>
      </c>
      <c r="AO510">
        <v>0</v>
      </c>
      <c r="AP510">
        <v>0</v>
      </c>
      <c r="AQ510">
        <v>0</v>
      </c>
    </row>
    <row r="511" spans="1:43" x14ac:dyDescent="0.25">
      <c r="A511">
        <v>508</v>
      </c>
      <c r="B511">
        <v>10</v>
      </c>
      <c r="C511">
        <v>10</v>
      </c>
      <c r="D511">
        <v>3</v>
      </c>
      <c r="E511">
        <v>1226</v>
      </c>
      <c r="F511">
        <v>3271</v>
      </c>
      <c r="G511">
        <v>3271</v>
      </c>
      <c r="H511">
        <v>1796</v>
      </c>
      <c r="I511">
        <v>740</v>
      </c>
      <c r="J511">
        <v>481</v>
      </c>
      <c r="K511">
        <v>175</v>
      </c>
      <c r="L511">
        <v>137</v>
      </c>
      <c r="M511">
        <v>244</v>
      </c>
      <c r="N511">
        <v>678</v>
      </c>
      <c r="O511">
        <v>448</v>
      </c>
      <c r="P511">
        <v>270</v>
      </c>
      <c r="Q511">
        <v>87.503025519999994</v>
      </c>
      <c r="R511">
        <v>0.17637844599999999</v>
      </c>
      <c r="S511">
        <v>4611</v>
      </c>
      <c r="T511">
        <v>114</v>
      </c>
      <c r="U511">
        <v>770</v>
      </c>
      <c r="V511">
        <v>879</v>
      </c>
      <c r="W511">
        <v>904</v>
      </c>
      <c r="X511">
        <v>442</v>
      </c>
      <c r="Y511">
        <v>13</v>
      </c>
      <c r="Z511">
        <v>2285</v>
      </c>
      <c r="AA511">
        <v>562</v>
      </c>
      <c r="AB511">
        <v>3</v>
      </c>
      <c r="AC511">
        <v>1208</v>
      </c>
      <c r="AD511">
        <v>540</v>
      </c>
      <c r="AE511">
        <v>0</v>
      </c>
      <c r="AF511">
        <v>0</v>
      </c>
      <c r="AG511">
        <v>4</v>
      </c>
      <c r="AH511">
        <v>0</v>
      </c>
      <c r="AI511">
        <v>0</v>
      </c>
      <c r="AJ511">
        <v>0</v>
      </c>
      <c r="AK511">
        <v>1.40038</v>
      </c>
      <c r="AL511">
        <v>2</v>
      </c>
      <c r="AM511">
        <v>0</v>
      </c>
      <c r="AN511">
        <v>1226</v>
      </c>
      <c r="AO511">
        <v>0</v>
      </c>
      <c r="AP511">
        <v>0</v>
      </c>
      <c r="AQ511">
        <v>0</v>
      </c>
    </row>
    <row r="512" spans="1:43" x14ac:dyDescent="0.25">
      <c r="A512">
        <v>509</v>
      </c>
      <c r="B512">
        <v>10</v>
      </c>
      <c r="C512">
        <v>10</v>
      </c>
      <c r="D512">
        <v>3</v>
      </c>
      <c r="E512">
        <v>1421</v>
      </c>
      <c r="F512">
        <v>3232</v>
      </c>
      <c r="G512">
        <v>3252</v>
      </c>
      <c r="H512">
        <v>1598</v>
      </c>
      <c r="I512">
        <v>677</v>
      </c>
      <c r="J512">
        <v>720</v>
      </c>
      <c r="K512">
        <v>231</v>
      </c>
      <c r="L512">
        <v>281</v>
      </c>
      <c r="M512">
        <v>293</v>
      </c>
      <c r="N512">
        <v>614</v>
      </c>
      <c r="O512">
        <v>434</v>
      </c>
      <c r="P512">
        <v>213.1831751</v>
      </c>
      <c r="Q512">
        <v>61</v>
      </c>
      <c r="R512">
        <v>0.191531591</v>
      </c>
      <c r="S512">
        <v>2380</v>
      </c>
      <c r="T512">
        <v>198</v>
      </c>
      <c r="U512">
        <v>516</v>
      </c>
      <c r="V512">
        <v>880</v>
      </c>
      <c r="W512">
        <v>937</v>
      </c>
      <c r="X512">
        <v>407</v>
      </c>
      <c r="Y512">
        <v>201</v>
      </c>
      <c r="Z512">
        <v>705</v>
      </c>
      <c r="AA512">
        <v>842</v>
      </c>
      <c r="AB512">
        <v>6</v>
      </c>
      <c r="AC512">
        <v>235</v>
      </c>
      <c r="AD512">
        <v>391</v>
      </c>
      <c r="AE512">
        <v>0</v>
      </c>
      <c r="AF512">
        <v>0</v>
      </c>
      <c r="AG512">
        <v>4</v>
      </c>
      <c r="AH512">
        <v>0</v>
      </c>
      <c r="AI512">
        <v>0</v>
      </c>
      <c r="AJ512">
        <v>0</v>
      </c>
      <c r="AK512">
        <v>1.4776199999999999</v>
      </c>
      <c r="AL512">
        <v>1</v>
      </c>
      <c r="AM512">
        <v>0</v>
      </c>
      <c r="AN512">
        <v>1421</v>
      </c>
      <c r="AO512">
        <v>20</v>
      </c>
      <c r="AP512">
        <v>0</v>
      </c>
      <c r="AQ512">
        <v>0</v>
      </c>
    </row>
    <row r="513" spans="1:43" x14ac:dyDescent="0.25">
      <c r="A513">
        <v>510</v>
      </c>
      <c r="B513">
        <v>10</v>
      </c>
      <c r="C513">
        <v>10</v>
      </c>
      <c r="D513">
        <v>3</v>
      </c>
      <c r="E513">
        <v>887</v>
      </c>
      <c r="F513">
        <v>2501</v>
      </c>
      <c r="G513">
        <v>2501</v>
      </c>
      <c r="H513">
        <v>924</v>
      </c>
      <c r="I513">
        <v>909</v>
      </c>
      <c r="J513">
        <v>17</v>
      </c>
      <c r="K513">
        <v>61</v>
      </c>
      <c r="L513">
        <v>69</v>
      </c>
      <c r="M513">
        <v>122</v>
      </c>
      <c r="N513">
        <v>627</v>
      </c>
      <c r="O513">
        <v>776</v>
      </c>
      <c r="P513">
        <v>752.80881969999996</v>
      </c>
      <c r="Q513">
        <v>16</v>
      </c>
      <c r="R513">
        <v>0.32502044200000002</v>
      </c>
      <c r="S513">
        <v>312</v>
      </c>
      <c r="T513">
        <v>25</v>
      </c>
      <c r="U513">
        <v>563</v>
      </c>
      <c r="V513">
        <v>315</v>
      </c>
      <c r="W513">
        <v>868</v>
      </c>
      <c r="X513">
        <v>623</v>
      </c>
      <c r="Y513">
        <v>3</v>
      </c>
      <c r="Z513">
        <v>56</v>
      </c>
      <c r="AA513">
        <v>176</v>
      </c>
      <c r="AB513">
        <v>5</v>
      </c>
      <c r="AC513">
        <v>41</v>
      </c>
      <c r="AD513">
        <v>31</v>
      </c>
      <c r="AE513">
        <v>0</v>
      </c>
      <c r="AF513">
        <v>0</v>
      </c>
      <c r="AG513">
        <v>4</v>
      </c>
      <c r="AH513">
        <v>0</v>
      </c>
      <c r="AI513">
        <v>0</v>
      </c>
      <c r="AJ513">
        <v>0</v>
      </c>
      <c r="AK513">
        <v>0.96972000000000003</v>
      </c>
      <c r="AL513">
        <v>1</v>
      </c>
      <c r="AM513">
        <v>0</v>
      </c>
      <c r="AN513">
        <v>887</v>
      </c>
      <c r="AO513">
        <v>0</v>
      </c>
      <c r="AP513">
        <v>0</v>
      </c>
      <c r="AQ513">
        <v>0</v>
      </c>
    </row>
    <row r="514" spans="1:43" x14ac:dyDescent="0.25">
      <c r="A514">
        <v>511</v>
      </c>
      <c r="B514">
        <v>10</v>
      </c>
      <c r="C514">
        <v>10</v>
      </c>
      <c r="D514">
        <v>3</v>
      </c>
      <c r="E514">
        <v>3007</v>
      </c>
      <c r="F514">
        <v>7153</v>
      </c>
      <c r="G514">
        <v>7167</v>
      </c>
      <c r="H514">
        <v>3154</v>
      </c>
      <c r="I514">
        <v>2285</v>
      </c>
      <c r="J514">
        <v>921</v>
      </c>
      <c r="K514">
        <v>498</v>
      </c>
      <c r="L514">
        <v>354</v>
      </c>
      <c r="M514">
        <v>506</v>
      </c>
      <c r="N514">
        <v>1643</v>
      </c>
      <c r="O514">
        <v>2966</v>
      </c>
      <c r="P514">
        <v>1310.2666569999999</v>
      </c>
      <c r="Q514">
        <v>193</v>
      </c>
      <c r="R514">
        <v>0.29742857099999997</v>
      </c>
      <c r="S514">
        <v>5857</v>
      </c>
      <c r="T514">
        <v>248</v>
      </c>
      <c r="U514">
        <v>1243</v>
      </c>
      <c r="V514">
        <v>1292</v>
      </c>
      <c r="W514">
        <v>2432</v>
      </c>
      <c r="X514">
        <v>1620</v>
      </c>
      <c r="Y514">
        <v>373</v>
      </c>
      <c r="Z514">
        <v>940</v>
      </c>
      <c r="AA514">
        <v>3199</v>
      </c>
      <c r="AB514">
        <v>23</v>
      </c>
      <c r="AC514">
        <v>382</v>
      </c>
      <c r="AD514">
        <v>940</v>
      </c>
      <c r="AE514">
        <v>0</v>
      </c>
      <c r="AF514">
        <v>0</v>
      </c>
      <c r="AG514">
        <v>5</v>
      </c>
      <c r="AH514">
        <v>1986</v>
      </c>
      <c r="AI514">
        <v>0</v>
      </c>
      <c r="AJ514">
        <v>0</v>
      </c>
      <c r="AK514">
        <v>1.21035</v>
      </c>
      <c r="AL514">
        <v>1</v>
      </c>
      <c r="AM514">
        <v>0</v>
      </c>
      <c r="AN514">
        <v>3007</v>
      </c>
      <c r="AO514">
        <v>14</v>
      </c>
      <c r="AP514">
        <v>0</v>
      </c>
      <c r="AQ514">
        <v>0</v>
      </c>
    </row>
    <row r="515" spans="1:43" x14ac:dyDescent="0.25">
      <c r="A515">
        <v>512</v>
      </c>
      <c r="B515">
        <v>10</v>
      </c>
      <c r="C515">
        <v>10</v>
      </c>
      <c r="D515">
        <v>3</v>
      </c>
      <c r="E515">
        <v>1698</v>
      </c>
      <c r="F515">
        <v>4529</v>
      </c>
      <c r="G515">
        <v>4548</v>
      </c>
      <c r="H515">
        <v>2411</v>
      </c>
      <c r="I515">
        <v>1703</v>
      </c>
      <c r="J515">
        <v>37</v>
      </c>
      <c r="K515">
        <v>156</v>
      </c>
      <c r="L515">
        <v>271</v>
      </c>
      <c r="M515">
        <v>358</v>
      </c>
      <c r="N515">
        <v>906</v>
      </c>
      <c r="O515">
        <v>33268</v>
      </c>
      <c r="P515">
        <v>1854.923029</v>
      </c>
      <c r="Q515">
        <v>23</v>
      </c>
      <c r="R515">
        <v>0.15645658900000001</v>
      </c>
      <c r="S515">
        <v>479</v>
      </c>
      <c r="T515">
        <v>131</v>
      </c>
      <c r="U515">
        <v>887</v>
      </c>
      <c r="V515">
        <v>1118</v>
      </c>
      <c r="W515">
        <v>1728</v>
      </c>
      <c r="X515">
        <v>572</v>
      </c>
      <c r="Y515">
        <v>7</v>
      </c>
      <c r="Z515">
        <v>120</v>
      </c>
      <c r="AA515">
        <v>204</v>
      </c>
      <c r="AB515">
        <v>2</v>
      </c>
      <c r="AC515">
        <v>44</v>
      </c>
      <c r="AD515">
        <v>102</v>
      </c>
      <c r="AE515">
        <v>0</v>
      </c>
      <c r="AF515">
        <v>0</v>
      </c>
      <c r="AG515">
        <v>5</v>
      </c>
      <c r="AH515">
        <v>0</v>
      </c>
      <c r="AI515">
        <v>0</v>
      </c>
      <c r="AJ515">
        <v>0</v>
      </c>
      <c r="AK515">
        <v>0.95835999999999999</v>
      </c>
      <c r="AL515">
        <v>1</v>
      </c>
      <c r="AM515">
        <v>0</v>
      </c>
      <c r="AN515">
        <v>1698</v>
      </c>
      <c r="AO515">
        <v>19</v>
      </c>
      <c r="AP515">
        <v>0</v>
      </c>
      <c r="AQ515">
        <v>0</v>
      </c>
    </row>
    <row r="516" spans="1:43" x14ac:dyDescent="0.25">
      <c r="A516">
        <v>513</v>
      </c>
      <c r="B516">
        <v>10</v>
      </c>
      <c r="C516">
        <v>10</v>
      </c>
      <c r="D516">
        <v>3</v>
      </c>
      <c r="E516">
        <v>1156</v>
      </c>
      <c r="F516">
        <v>3222</v>
      </c>
      <c r="G516">
        <v>3308</v>
      </c>
      <c r="H516">
        <v>1362</v>
      </c>
      <c r="I516">
        <v>1118</v>
      </c>
      <c r="J516">
        <v>19</v>
      </c>
      <c r="K516">
        <v>173</v>
      </c>
      <c r="L516">
        <v>88</v>
      </c>
      <c r="M516">
        <v>109</v>
      </c>
      <c r="N516">
        <v>789</v>
      </c>
      <c r="O516">
        <v>3381</v>
      </c>
      <c r="P516">
        <v>729.85445949999996</v>
      </c>
      <c r="Q516">
        <v>13</v>
      </c>
      <c r="R516">
        <v>0.26939970699999999</v>
      </c>
      <c r="S516">
        <v>374</v>
      </c>
      <c r="T516">
        <v>62</v>
      </c>
      <c r="U516">
        <v>716</v>
      </c>
      <c r="V516">
        <v>515</v>
      </c>
      <c r="W516">
        <v>1339</v>
      </c>
      <c r="X516">
        <v>695</v>
      </c>
      <c r="Y516">
        <v>9</v>
      </c>
      <c r="Z516">
        <v>73</v>
      </c>
      <c r="AA516">
        <v>234</v>
      </c>
      <c r="AB516">
        <v>7</v>
      </c>
      <c r="AC516">
        <v>14</v>
      </c>
      <c r="AD516">
        <v>37</v>
      </c>
      <c r="AE516">
        <v>0</v>
      </c>
      <c r="AF516">
        <v>0</v>
      </c>
      <c r="AG516">
        <v>4</v>
      </c>
      <c r="AH516">
        <v>0</v>
      </c>
      <c r="AI516">
        <v>0</v>
      </c>
      <c r="AJ516">
        <v>0</v>
      </c>
      <c r="AK516">
        <v>0.98319000000000001</v>
      </c>
      <c r="AL516">
        <v>1</v>
      </c>
      <c r="AM516">
        <v>0</v>
      </c>
      <c r="AN516">
        <v>1156</v>
      </c>
      <c r="AO516">
        <v>86</v>
      </c>
      <c r="AP516">
        <v>0</v>
      </c>
      <c r="AQ516">
        <v>0</v>
      </c>
    </row>
    <row r="517" spans="1:43" x14ac:dyDescent="0.25">
      <c r="A517">
        <v>514</v>
      </c>
      <c r="B517">
        <v>10</v>
      </c>
      <c r="C517">
        <v>10</v>
      </c>
      <c r="D517">
        <v>3</v>
      </c>
      <c r="E517">
        <v>2870</v>
      </c>
      <c r="F517">
        <v>8377</v>
      </c>
      <c r="G517">
        <v>8377</v>
      </c>
      <c r="H517">
        <v>3444</v>
      </c>
      <c r="I517">
        <v>2360</v>
      </c>
      <c r="J517">
        <v>379</v>
      </c>
      <c r="K517">
        <v>313</v>
      </c>
      <c r="L517">
        <v>368</v>
      </c>
      <c r="M517">
        <v>569</v>
      </c>
      <c r="N517">
        <v>1616</v>
      </c>
      <c r="O517">
        <v>2314</v>
      </c>
      <c r="P517">
        <v>1401.892881</v>
      </c>
      <c r="Q517">
        <v>46</v>
      </c>
      <c r="R517">
        <v>0.228896501</v>
      </c>
      <c r="S517">
        <v>1386</v>
      </c>
      <c r="T517">
        <v>236</v>
      </c>
      <c r="U517">
        <v>1988</v>
      </c>
      <c r="V517">
        <v>1786</v>
      </c>
      <c r="W517">
        <v>2416</v>
      </c>
      <c r="X517">
        <v>1554</v>
      </c>
      <c r="Y517">
        <v>198</v>
      </c>
      <c r="Z517">
        <v>192</v>
      </c>
      <c r="AA517">
        <v>811</v>
      </c>
      <c r="AB517">
        <v>2</v>
      </c>
      <c r="AC517">
        <v>44</v>
      </c>
      <c r="AD517">
        <v>139</v>
      </c>
      <c r="AE517">
        <v>0</v>
      </c>
      <c r="AF517">
        <v>0</v>
      </c>
      <c r="AG517">
        <v>4</v>
      </c>
      <c r="AH517">
        <v>37</v>
      </c>
      <c r="AI517">
        <v>0</v>
      </c>
      <c r="AJ517">
        <v>0</v>
      </c>
      <c r="AK517">
        <v>1.0347599999999999</v>
      </c>
      <c r="AL517">
        <v>1</v>
      </c>
      <c r="AM517">
        <v>0</v>
      </c>
      <c r="AN517">
        <v>2870</v>
      </c>
      <c r="AO517">
        <v>0</v>
      </c>
      <c r="AP517">
        <v>0</v>
      </c>
      <c r="AQ517">
        <v>0</v>
      </c>
    </row>
    <row r="518" spans="1:43" x14ac:dyDescent="0.25">
      <c r="A518">
        <v>515</v>
      </c>
      <c r="B518">
        <v>10</v>
      </c>
      <c r="C518">
        <v>10</v>
      </c>
      <c r="D518">
        <v>3</v>
      </c>
      <c r="E518">
        <v>2334</v>
      </c>
      <c r="F518">
        <v>7094</v>
      </c>
      <c r="G518">
        <v>7112</v>
      </c>
      <c r="H518">
        <v>3498</v>
      </c>
      <c r="I518">
        <v>1818</v>
      </c>
      <c r="J518">
        <v>421</v>
      </c>
      <c r="K518">
        <v>360</v>
      </c>
      <c r="L518">
        <v>565</v>
      </c>
      <c r="M518">
        <v>304</v>
      </c>
      <c r="N518">
        <v>1105</v>
      </c>
      <c r="O518">
        <v>562</v>
      </c>
      <c r="P518">
        <v>443.25204609999997</v>
      </c>
      <c r="Q518">
        <v>93</v>
      </c>
      <c r="R518">
        <v>0.13497884299999999</v>
      </c>
      <c r="S518">
        <v>606</v>
      </c>
      <c r="T518">
        <v>225</v>
      </c>
      <c r="U518">
        <v>1639</v>
      </c>
      <c r="V518">
        <v>2350</v>
      </c>
      <c r="W518">
        <v>1942</v>
      </c>
      <c r="X518">
        <v>739</v>
      </c>
      <c r="Y518">
        <v>20</v>
      </c>
      <c r="Z518">
        <v>93</v>
      </c>
      <c r="AA518">
        <v>379</v>
      </c>
      <c r="AB518">
        <v>1</v>
      </c>
      <c r="AC518">
        <v>44</v>
      </c>
      <c r="AD518">
        <v>69</v>
      </c>
      <c r="AE518">
        <v>0</v>
      </c>
      <c r="AF518">
        <v>0</v>
      </c>
      <c r="AG518">
        <v>4</v>
      </c>
      <c r="AH518">
        <v>1884</v>
      </c>
      <c r="AI518">
        <v>0</v>
      </c>
      <c r="AJ518">
        <v>0</v>
      </c>
      <c r="AK518">
        <v>1.1879599999999999</v>
      </c>
      <c r="AL518">
        <v>3</v>
      </c>
      <c r="AM518">
        <v>0</v>
      </c>
      <c r="AN518">
        <v>2334</v>
      </c>
      <c r="AO518">
        <v>18</v>
      </c>
      <c r="AP518">
        <v>0</v>
      </c>
      <c r="AQ518">
        <v>0</v>
      </c>
    </row>
    <row r="519" spans="1:43" x14ac:dyDescent="0.25">
      <c r="A519">
        <v>516</v>
      </c>
      <c r="B519">
        <v>10</v>
      </c>
      <c r="C519">
        <v>10</v>
      </c>
      <c r="D519">
        <v>3</v>
      </c>
      <c r="E519">
        <v>1624</v>
      </c>
      <c r="F519">
        <v>4787</v>
      </c>
      <c r="G519">
        <v>4787</v>
      </c>
      <c r="H519">
        <v>2497</v>
      </c>
      <c r="I519">
        <v>1348</v>
      </c>
      <c r="J519">
        <v>195</v>
      </c>
      <c r="K519">
        <v>113</v>
      </c>
      <c r="L519">
        <v>259</v>
      </c>
      <c r="M519">
        <v>299</v>
      </c>
      <c r="N519">
        <v>963</v>
      </c>
      <c r="O519">
        <v>380</v>
      </c>
      <c r="P519">
        <v>352.36803450000002</v>
      </c>
      <c r="Q519">
        <v>28</v>
      </c>
      <c r="R519">
        <v>0.16623207300000001</v>
      </c>
      <c r="S519">
        <v>268</v>
      </c>
      <c r="T519">
        <v>149</v>
      </c>
      <c r="U519">
        <v>1075</v>
      </c>
      <c r="V519">
        <v>941</v>
      </c>
      <c r="W519">
        <v>1710</v>
      </c>
      <c r="X519">
        <v>609</v>
      </c>
      <c r="Y519">
        <v>5</v>
      </c>
      <c r="Z519">
        <v>58</v>
      </c>
      <c r="AA519">
        <v>167</v>
      </c>
      <c r="AB519">
        <v>1</v>
      </c>
      <c r="AC519">
        <v>18</v>
      </c>
      <c r="AD519">
        <v>19</v>
      </c>
      <c r="AE519">
        <v>0</v>
      </c>
      <c r="AF519">
        <v>0</v>
      </c>
      <c r="AG519">
        <v>4</v>
      </c>
      <c r="AH519">
        <v>0</v>
      </c>
      <c r="AI519">
        <v>0</v>
      </c>
      <c r="AJ519">
        <v>0</v>
      </c>
      <c r="AK519">
        <v>1.0990500000000001</v>
      </c>
      <c r="AL519">
        <v>2</v>
      </c>
      <c r="AM519">
        <v>0</v>
      </c>
      <c r="AN519">
        <v>1624</v>
      </c>
      <c r="AO519">
        <v>0</v>
      </c>
      <c r="AP519">
        <v>0</v>
      </c>
      <c r="AQ519">
        <v>0</v>
      </c>
    </row>
    <row r="520" spans="1:43" x14ac:dyDescent="0.25">
      <c r="A520">
        <v>517</v>
      </c>
      <c r="B520">
        <v>10</v>
      </c>
      <c r="C520">
        <v>10</v>
      </c>
      <c r="D520">
        <v>3</v>
      </c>
      <c r="E520">
        <v>2000</v>
      </c>
      <c r="F520">
        <v>6197</v>
      </c>
      <c r="G520">
        <v>6203</v>
      </c>
      <c r="H520">
        <v>3199</v>
      </c>
      <c r="I520">
        <v>1738</v>
      </c>
      <c r="J520">
        <v>243</v>
      </c>
      <c r="K520">
        <v>319</v>
      </c>
      <c r="L520">
        <v>221</v>
      </c>
      <c r="M520">
        <v>367</v>
      </c>
      <c r="N520">
        <v>1082</v>
      </c>
      <c r="O520">
        <v>503</v>
      </c>
      <c r="P520">
        <v>400.58740119999999</v>
      </c>
      <c r="Q520">
        <v>52</v>
      </c>
      <c r="R520">
        <v>0.18674596399999999</v>
      </c>
      <c r="S520">
        <v>1169</v>
      </c>
      <c r="T520">
        <v>254</v>
      </c>
      <c r="U520">
        <v>1327</v>
      </c>
      <c r="V520">
        <v>1922</v>
      </c>
      <c r="W520">
        <v>1532</v>
      </c>
      <c r="X520">
        <v>713</v>
      </c>
      <c r="Y520">
        <v>133</v>
      </c>
      <c r="Z520">
        <v>106</v>
      </c>
      <c r="AA520">
        <v>747</v>
      </c>
      <c r="AB520">
        <v>2</v>
      </c>
      <c r="AC520">
        <v>50</v>
      </c>
      <c r="AD520">
        <v>131</v>
      </c>
      <c r="AE520">
        <v>0</v>
      </c>
      <c r="AF520">
        <v>0</v>
      </c>
      <c r="AG520">
        <v>4</v>
      </c>
      <c r="AH520">
        <v>0</v>
      </c>
      <c r="AI520">
        <v>0</v>
      </c>
      <c r="AJ520">
        <v>0</v>
      </c>
      <c r="AK520">
        <v>1.34413</v>
      </c>
      <c r="AL520">
        <v>3</v>
      </c>
      <c r="AM520">
        <v>0</v>
      </c>
      <c r="AN520">
        <v>2000</v>
      </c>
      <c r="AO520">
        <v>6</v>
      </c>
      <c r="AP520">
        <v>0</v>
      </c>
      <c r="AQ520">
        <v>0</v>
      </c>
    </row>
    <row r="521" spans="1:43" x14ac:dyDescent="0.25">
      <c r="A521">
        <v>518</v>
      </c>
      <c r="B521">
        <v>10</v>
      </c>
      <c r="C521">
        <v>10</v>
      </c>
      <c r="D521">
        <v>3</v>
      </c>
      <c r="E521">
        <v>2182</v>
      </c>
      <c r="F521">
        <v>5956</v>
      </c>
      <c r="G521">
        <v>5956</v>
      </c>
      <c r="H521">
        <v>2823</v>
      </c>
      <c r="I521">
        <v>1592</v>
      </c>
      <c r="J521">
        <v>572</v>
      </c>
      <c r="K521">
        <v>251</v>
      </c>
      <c r="L521">
        <v>307</v>
      </c>
      <c r="M521">
        <v>359</v>
      </c>
      <c r="N521">
        <v>1244</v>
      </c>
      <c r="O521">
        <v>725</v>
      </c>
      <c r="P521">
        <v>521.34902639999996</v>
      </c>
      <c r="Q521">
        <v>128</v>
      </c>
      <c r="R521">
        <v>0.20452695000000001</v>
      </c>
      <c r="S521">
        <v>3517</v>
      </c>
      <c r="T521">
        <v>305</v>
      </c>
      <c r="U521">
        <v>1319</v>
      </c>
      <c r="V521">
        <v>1567</v>
      </c>
      <c r="W521">
        <v>1753</v>
      </c>
      <c r="X521">
        <v>1035</v>
      </c>
      <c r="Y521">
        <v>546</v>
      </c>
      <c r="Z521">
        <v>522</v>
      </c>
      <c r="AA521">
        <v>2151</v>
      </c>
      <c r="AB521">
        <v>4</v>
      </c>
      <c r="AC521">
        <v>123</v>
      </c>
      <c r="AD521">
        <v>171</v>
      </c>
      <c r="AE521">
        <v>0</v>
      </c>
      <c r="AF521">
        <v>0</v>
      </c>
      <c r="AG521">
        <v>4</v>
      </c>
      <c r="AH521">
        <v>0</v>
      </c>
      <c r="AI521">
        <v>0</v>
      </c>
      <c r="AJ521">
        <v>0</v>
      </c>
      <c r="AK521">
        <v>1.29312</v>
      </c>
      <c r="AL521">
        <v>2</v>
      </c>
      <c r="AM521">
        <v>0</v>
      </c>
      <c r="AN521">
        <v>2182</v>
      </c>
      <c r="AO521">
        <v>0</v>
      </c>
      <c r="AP521">
        <v>0</v>
      </c>
      <c r="AQ521">
        <v>0</v>
      </c>
    </row>
    <row r="522" spans="1:43" x14ac:dyDescent="0.25">
      <c r="A522">
        <v>519</v>
      </c>
      <c r="B522">
        <v>10</v>
      </c>
      <c r="C522">
        <v>10</v>
      </c>
      <c r="D522">
        <v>3</v>
      </c>
      <c r="E522">
        <v>3268</v>
      </c>
      <c r="F522">
        <v>8025</v>
      </c>
      <c r="G522">
        <v>8061</v>
      </c>
      <c r="H522">
        <v>4323</v>
      </c>
      <c r="I522">
        <v>2299</v>
      </c>
      <c r="J522">
        <v>998</v>
      </c>
      <c r="K522">
        <v>368</v>
      </c>
      <c r="L522">
        <v>552</v>
      </c>
      <c r="M522">
        <v>758</v>
      </c>
      <c r="N522">
        <v>1590</v>
      </c>
      <c r="O522">
        <v>756</v>
      </c>
      <c r="P522">
        <v>440.17791940000001</v>
      </c>
      <c r="Q522">
        <v>134</v>
      </c>
      <c r="R522">
        <v>0.18754596700000001</v>
      </c>
      <c r="S522">
        <v>6763</v>
      </c>
      <c r="T522">
        <v>417</v>
      </c>
      <c r="U522">
        <v>1471</v>
      </c>
      <c r="V522">
        <v>2324</v>
      </c>
      <c r="W522">
        <v>2530</v>
      </c>
      <c r="X522">
        <v>1200</v>
      </c>
      <c r="Y522">
        <v>88</v>
      </c>
      <c r="Z522">
        <v>513</v>
      </c>
      <c r="AA522">
        <v>4206</v>
      </c>
      <c r="AB522">
        <v>5</v>
      </c>
      <c r="AC522">
        <v>1742</v>
      </c>
      <c r="AD522">
        <v>209</v>
      </c>
      <c r="AE522">
        <v>0</v>
      </c>
      <c r="AF522">
        <v>0</v>
      </c>
      <c r="AG522">
        <v>4</v>
      </c>
      <c r="AH522">
        <v>0</v>
      </c>
      <c r="AI522">
        <v>0</v>
      </c>
      <c r="AJ522">
        <v>0</v>
      </c>
      <c r="AK522">
        <v>1.4360599999999999</v>
      </c>
      <c r="AL522">
        <v>3</v>
      </c>
      <c r="AM522">
        <v>0</v>
      </c>
      <c r="AN522">
        <v>3268</v>
      </c>
      <c r="AO522">
        <v>36</v>
      </c>
      <c r="AP522">
        <v>0</v>
      </c>
      <c r="AQ522">
        <v>0</v>
      </c>
    </row>
    <row r="523" spans="1:43" x14ac:dyDescent="0.25">
      <c r="A523">
        <v>520</v>
      </c>
      <c r="B523">
        <v>10</v>
      </c>
      <c r="C523">
        <v>10</v>
      </c>
      <c r="D523">
        <v>3</v>
      </c>
      <c r="E523">
        <v>1464</v>
      </c>
      <c r="F523">
        <v>4595</v>
      </c>
      <c r="G523">
        <v>4620</v>
      </c>
      <c r="H523">
        <v>2358</v>
      </c>
      <c r="I523">
        <v>1356</v>
      </c>
      <c r="J523">
        <v>80</v>
      </c>
      <c r="K523">
        <v>227</v>
      </c>
      <c r="L523">
        <v>214</v>
      </c>
      <c r="M523">
        <v>260</v>
      </c>
      <c r="N523">
        <v>753</v>
      </c>
      <c r="O523">
        <v>419</v>
      </c>
      <c r="P523">
        <v>388.03471330000002</v>
      </c>
      <c r="Q523">
        <v>40</v>
      </c>
      <c r="R523">
        <v>0.143245078</v>
      </c>
      <c r="S523">
        <v>1037</v>
      </c>
      <c r="T523">
        <v>333</v>
      </c>
      <c r="U523">
        <v>857</v>
      </c>
      <c r="V523">
        <v>1164</v>
      </c>
      <c r="W523">
        <v>1467</v>
      </c>
      <c r="X523">
        <v>483</v>
      </c>
      <c r="Y523">
        <v>80</v>
      </c>
      <c r="Z523">
        <v>229</v>
      </c>
      <c r="AA523">
        <v>570</v>
      </c>
      <c r="AB523">
        <v>2</v>
      </c>
      <c r="AC523">
        <v>59</v>
      </c>
      <c r="AD523">
        <v>97</v>
      </c>
      <c r="AE523">
        <v>0</v>
      </c>
      <c r="AF523">
        <v>0</v>
      </c>
      <c r="AG523">
        <v>4</v>
      </c>
      <c r="AH523">
        <v>0</v>
      </c>
      <c r="AI523">
        <v>0</v>
      </c>
      <c r="AJ523">
        <v>0</v>
      </c>
      <c r="AK523">
        <v>1.19499</v>
      </c>
      <c r="AL523">
        <v>3</v>
      </c>
      <c r="AM523">
        <v>0</v>
      </c>
      <c r="AN523">
        <v>1464</v>
      </c>
      <c r="AO523">
        <v>25</v>
      </c>
      <c r="AP523">
        <v>0</v>
      </c>
      <c r="AQ523">
        <v>0</v>
      </c>
    </row>
    <row r="524" spans="1:43" x14ac:dyDescent="0.25">
      <c r="A524">
        <v>521</v>
      </c>
      <c r="B524">
        <v>10</v>
      </c>
      <c r="C524">
        <v>10</v>
      </c>
      <c r="D524">
        <v>3</v>
      </c>
      <c r="E524">
        <v>2131</v>
      </c>
      <c r="F524">
        <v>5666</v>
      </c>
      <c r="G524">
        <v>5691</v>
      </c>
      <c r="H524">
        <v>2997</v>
      </c>
      <c r="I524">
        <v>1341</v>
      </c>
      <c r="J524">
        <v>816</v>
      </c>
      <c r="K524">
        <v>534</v>
      </c>
      <c r="L524">
        <v>389</v>
      </c>
      <c r="M524">
        <v>432</v>
      </c>
      <c r="N524">
        <v>778</v>
      </c>
      <c r="O524">
        <v>428</v>
      </c>
      <c r="P524">
        <v>287.66713879999998</v>
      </c>
      <c r="Q524">
        <v>116.4663099</v>
      </c>
      <c r="R524">
        <v>0.17679558000000001</v>
      </c>
      <c r="S524">
        <v>2747</v>
      </c>
      <c r="T524">
        <v>456</v>
      </c>
      <c r="U524">
        <v>1065</v>
      </c>
      <c r="V524">
        <v>2014</v>
      </c>
      <c r="W524">
        <v>1282</v>
      </c>
      <c r="X524">
        <v>646</v>
      </c>
      <c r="Y524">
        <v>276</v>
      </c>
      <c r="Z524">
        <v>270</v>
      </c>
      <c r="AA524">
        <v>1556</v>
      </c>
      <c r="AB524">
        <v>2</v>
      </c>
      <c r="AC524">
        <v>209</v>
      </c>
      <c r="AD524">
        <v>434</v>
      </c>
      <c r="AE524">
        <v>0</v>
      </c>
      <c r="AF524">
        <v>0</v>
      </c>
      <c r="AG524">
        <v>4</v>
      </c>
      <c r="AH524">
        <v>0</v>
      </c>
      <c r="AI524">
        <v>0</v>
      </c>
      <c r="AJ524">
        <v>0</v>
      </c>
      <c r="AK524">
        <v>1.3541099999999999</v>
      </c>
      <c r="AL524">
        <v>3</v>
      </c>
      <c r="AM524">
        <v>0</v>
      </c>
      <c r="AN524">
        <v>2131</v>
      </c>
      <c r="AO524">
        <v>25</v>
      </c>
      <c r="AP524">
        <v>0</v>
      </c>
      <c r="AQ524">
        <v>0</v>
      </c>
    </row>
    <row r="525" spans="1:43" x14ac:dyDescent="0.25">
      <c r="A525">
        <v>522</v>
      </c>
      <c r="B525">
        <v>11</v>
      </c>
      <c r="C525">
        <v>11</v>
      </c>
      <c r="D525">
        <v>3</v>
      </c>
      <c r="E525">
        <v>2215</v>
      </c>
      <c r="F525">
        <v>6257</v>
      </c>
      <c r="G525">
        <v>6314</v>
      </c>
      <c r="H525">
        <v>3682</v>
      </c>
      <c r="I525">
        <v>1684</v>
      </c>
      <c r="J525">
        <v>558</v>
      </c>
      <c r="K525">
        <v>432</v>
      </c>
      <c r="L525">
        <v>401</v>
      </c>
      <c r="M525">
        <v>456</v>
      </c>
      <c r="N525">
        <v>913</v>
      </c>
      <c r="O525">
        <v>462</v>
      </c>
      <c r="P525">
        <v>366</v>
      </c>
      <c r="Q525">
        <v>96</v>
      </c>
      <c r="R525">
        <v>0.15290519899999999</v>
      </c>
      <c r="S525">
        <v>1120</v>
      </c>
      <c r="T525">
        <v>322</v>
      </c>
      <c r="U525">
        <v>987</v>
      </c>
      <c r="V525">
        <v>2229</v>
      </c>
      <c r="W525">
        <v>1752</v>
      </c>
      <c r="X525">
        <v>760</v>
      </c>
      <c r="Y525">
        <v>77</v>
      </c>
      <c r="Z525">
        <v>190</v>
      </c>
      <c r="AA525">
        <v>548</v>
      </c>
      <c r="AB525">
        <v>2</v>
      </c>
      <c r="AC525">
        <v>40</v>
      </c>
      <c r="AD525">
        <v>263</v>
      </c>
      <c r="AE525">
        <v>0</v>
      </c>
      <c r="AF525">
        <v>0</v>
      </c>
      <c r="AG525">
        <v>4</v>
      </c>
      <c r="AH525">
        <v>0</v>
      </c>
      <c r="AI525">
        <v>0</v>
      </c>
      <c r="AJ525">
        <v>0</v>
      </c>
      <c r="AK525">
        <v>1.2153099999999999</v>
      </c>
      <c r="AL525">
        <v>3</v>
      </c>
      <c r="AM525">
        <v>0</v>
      </c>
      <c r="AN525">
        <v>2215</v>
      </c>
      <c r="AO525">
        <v>57</v>
      </c>
      <c r="AP525">
        <v>0</v>
      </c>
      <c r="AQ525">
        <v>0</v>
      </c>
    </row>
    <row r="526" spans="1:43" x14ac:dyDescent="0.25">
      <c r="A526">
        <v>523</v>
      </c>
      <c r="B526">
        <v>11</v>
      </c>
      <c r="C526">
        <v>11</v>
      </c>
      <c r="D526">
        <v>3</v>
      </c>
      <c r="E526">
        <v>3094</v>
      </c>
      <c r="F526">
        <v>9026</v>
      </c>
      <c r="G526">
        <v>9071</v>
      </c>
      <c r="H526">
        <v>4655</v>
      </c>
      <c r="I526">
        <v>2770</v>
      </c>
      <c r="J526">
        <v>158</v>
      </c>
      <c r="K526">
        <v>281</v>
      </c>
      <c r="L526">
        <v>581</v>
      </c>
      <c r="M526">
        <v>665</v>
      </c>
      <c r="N526">
        <v>1561</v>
      </c>
      <c r="O526">
        <v>644</v>
      </c>
      <c r="P526">
        <v>564.32462199999998</v>
      </c>
      <c r="Q526">
        <v>69</v>
      </c>
      <c r="R526">
        <v>0.188614843</v>
      </c>
      <c r="S526">
        <v>1351</v>
      </c>
      <c r="T526">
        <v>526</v>
      </c>
      <c r="U526">
        <v>2129</v>
      </c>
      <c r="V526">
        <v>2490</v>
      </c>
      <c r="W526">
        <v>2391</v>
      </c>
      <c r="X526">
        <v>1338</v>
      </c>
      <c r="Y526">
        <v>661</v>
      </c>
      <c r="Z526">
        <v>136</v>
      </c>
      <c r="AA526">
        <v>428</v>
      </c>
      <c r="AB526">
        <v>1</v>
      </c>
      <c r="AC526">
        <v>31</v>
      </c>
      <c r="AD526">
        <v>94</v>
      </c>
      <c r="AE526">
        <v>0</v>
      </c>
      <c r="AF526">
        <v>0</v>
      </c>
      <c r="AG526">
        <v>4</v>
      </c>
      <c r="AH526">
        <v>0</v>
      </c>
      <c r="AI526">
        <v>0</v>
      </c>
      <c r="AJ526">
        <v>0</v>
      </c>
      <c r="AK526">
        <v>1.2183299999999999</v>
      </c>
      <c r="AL526">
        <v>3</v>
      </c>
      <c r="AM526">
        <v>0</v>
      </c>
      <c r="AN526">
        <v>3094</v>
      </c>
      <c r="AO526">
        <v>45</v>
      </c>
      <c r="AP526">
        <v>0</v>
      </c>
      <c r="AQ526">
        <v>0</v>
      </c>
    </row>
    <row r="527" spans="1:43" x14ac:dyDescent="0.25">
      <c r="A527">
        <v>524</v>
      </c>
      <c r="B527">
        <v>11</v>
      </c>
      <c r="C527">
        <v>11</v>
      </c>
      <c r="D527">
        <v>3</v>
      </c>
      <c r="E527">
        <v>1923</v>
      </c>
      <c r="F527">
        <v>5470</v>
      </c>
      <c r="G527">
        <v>5484</v>
      </c>
      <c r="H527">
        <v>2595</v>
      </c>
      <c r="I527">
        <v>1899</v>
      </c>
      <c r="J527">
        <v>18</v>
      </c>
      <c r="K527">
        <v>253</v>
      </c>
      <c r="L527">
        <v>251</v>
      </c>
      <c r="M527">
        <v>343</v>
      </c>
      <c r="N527">
        <v>1078</v>
      </c>
      <c r="O527">
        <v>458</v>
      </c>
      <c r="P527">
        <v>414</v>
      </c>
      <c r="Q527">
        <v>33</v>
      </c>
      <c r="R527">
        <v>0.21100569299999999</v>
      </c>
      <c r="S527">
        <v>380</v>
      </c>
      <c r="T527">
        <v>485</v>
      </c>
      <c r="U527">
        <v>852</v>
      </c>
      <c r="V527">
        <v>1372</v>
      </c>
      <c r="W527">
        <v>1487</v>
      </c>
      <c r="X527">
        <v>958</v>
      </c>
      <c r="Y527">
        <v>16</v>
      </c>
      <c r="Z527">
        <v>152</v>
      </c>
      <c r="AA527">
        <v>111</v>
      </c>
      <c r="AB527">
        <v>1</v>
      </c>
      <c r="AC527">
        <v>36</v>
      </c>
      <c r="AD527">
        <v>64</v>
      </c>
      <c r="AE527">
        <v>0</v>
      </c>
      <c r="AF527">
        <v>0</v>
      </c>
      <c r="AG527">
        <v>4</v>
      </c>
      <c r="AH527">
        <v>0</v>
      </c>
      <c r="AI527">
        <v>0</v>
      </c>
      <c r="AJ527">
        <v>0</v>
      </c>
      <c r="AK527">
        <v>1.1261699999999999</v>
      </c>
      <c r="AL527">
        <v>3</v>
      </c>
      <c r="AM527">
        <v>0</v>
      </c>
      <c r="AN527">
        <v>1923</v>
      </c>
      <c r="AO527">
        <v>14</v>
      </c>
      <c r="AP527">
        <v>0</v>
      </c>
      <c r="AQ527">
        <v>0</v>
      </c>
    </row>
    <row r="528" spans="1:43" x14ac:dyDescent="0.25">
      <c r="A528">
        <v>525</v>
      </c>
      <c r="B528">
        <v>11</v>
      </c>
      <c r="C528">
        <v>11</v>
      </c>
      <c r="D528">
        <v>3</v>
      </c>
      <c r="E528">
        <v>1690</v>
      </c>
      <c r="F528">
        <v>4474</v>
      </c>
      <c r="G528">
        <v>4491</v>
      </c>
      <c r="H528">
        <v>1963</v>
      </c>
      <c r="I528">
        <v>1619</v>
      </c>
      <c r="J528">
        <v>28</v>
      </c>
      <c r="K528">
        <v>166</v>
      </c>
      <c r="L528">
        <v>426</v>
      </c>
      <c r="M528">
        <v>402</v>
      </c>
      <c r="N528">
        <v>695</v>
      </c>
      <c r="O528">
        <v>429</v>
      </c>
      <c r="P528">
        <v>403</v>
      </c>
      <c r="Q528">
        <v>26</v>
      </c>
      <c r="R528">
        <v>0.25387205400000001</v>
      </c>
      <c r="S528">
        <v>882</v>
      </c>
      <c r="T528">
        <v>351</v>
      </c>
      <c r="U528">
        <v>858</v>
      </c>
      <c r="V528">
        <v>867</v>
      </c>
      <c r="W528">
        <v>1329</v>
      </c>
      <c r="X528">
        <v>924</v>
      </c>
      <c r="Y528">
        <v>23</v>
      </c>
      <c r="Z528">
        <v>149</v>
      </c>
      <c r="AA528">
        <v>569</v>
      </c>
      <c r="AB528">
        <v>2</v>
      </c>
      <c r="AC528">
        <v>77</v>
      </c>
      <c r="AD528">
        <v>62</v>
      </c>
      <c r="AE528">
        <v>0</v>
      </c>
      <c r="AF528">
        <v>0</v>
      </c>
      <c r="AG528">
        <v>4</v>
      </c>
      <c r="AH528">
        <v>547</v>
      </c>
      <c r="AI528">
        <v>0</v>
      </c>
      <c r="AJ528">
        <v>0</v>
      </c>
      <c r="AK528">
        <v>1.1069500000000001</v>
      </c>
      <c r="AL528">
        <v>3</v>
      </c>
      <c r="AM528">
        <v>0</v>
      </c>
      <c r="AN528">
        <v>1690</v>
      </c>
      <c r="AO528">
        <v>17</v>
      </c>
      <c r="AP528">
        <v>0</v>
      </c>
      <c r="AQ528">
        <v>0</v>
      </c>
    </row>
    <row r="529" spans="1:43" x14ac:dyDescent="0.25">
      <c r="A529">
        <v>526</v>
      </c>
      <c r="B529">
        <v>11</v>
      </c>
      <c r="C529">
        <v>11</v>
      </c>
      <c r="D529">
        <v>3</v>
      </c>
      <c r="E529">
        <v>2431</v>
      </c>
      <c r="F529">
        <v>6833</v>
      </c>
      <c r="G529">
        <v>6851</v>
      </c>
      <c r="H529">
        <v>3546</v>
      </c>
      <c r="I529">
        <v>2180</v>
      </c>
      <c r="J529">
        <v>337</v>
      </c>
      <c r="K529">
        <v>282</v>
      </c>
      <c r="L529">
        <v>236</v>
      </c>
      <c r="M529">
        <v>434</v>
      </c>
      <c r="N529">
        <v>1477</v>
      </c>
      <c r="O529">
        <v>618</v>
      </c>
      <c r="P529">
        <v>503.71072600000002</v>
      </c>
      <c r="Q529">
        <v>93</v>
      </c>
      <c r="R529">
        <v>0.16184794199999999</v>
      </c>
      <c r="S529">
        <v>799</v>
      </c>
      <c r="T529">
        <v>645</v>
      </c>
      <c r="U529">
        <v>1172</v>
      </c>
      <c r="V529">
        <v>2156</v>
      </c>
      <c r="W529">
        <v>1593</v>
      </c>
      <c r="X529">
        <v>811</v>
      </c>
      <c r="Y529">
        <v>27</v>
      </c>
      <c r="Z529">
        <v>112</v>
      </c>
      <c r="AA529">
        <v>568</v>
      </c>
      <c r="AB529">
        <v>9</v>
      </c>
      <c r="AC529">
        <v>25</v>
      </c>
      <c r="AD529">
        <v>58</v>
      </c>
      <c r="AE529">
        <v>0</v>
      </c>
      <c r="AF529">
        <v>0</v>
      </c>
      <c r="AG529">
        <v>4</v>
      </c>
      <c r="AH529">
        <v>1543</v>
      </c>
      <c r="AI529">
        <v>0</v>
      </c>
      <c r="AJ529">
        <v>0</v>
      </c>
      <c r="AK529">
        <v>1.20546</v>
      </c>
      <c r="AL529">
        <v>3</v>
      </c>
      <c r="AM529">
        <v>0</v>
      </c>
      <c r="AN529">
        <v>2431</v>
      </c>
      <c r="AO529">
        <v>18</v>
      </c>
      <c r="AP529">
        <v>0</v>
      </c>
      <c r="AQ529">
        <v>0</v>
      </c>
    </row>
    <row r="530" spans="1:43" x14ac:dyDescent="0.25">
      <c r="A530">
        <v>527</v>
      </c>
      <c r="B530">
        <v>11</v>
      </c>
      <c r="C530">
        <v>11</v>
      </c>
      <c r="D530">
        <v>3</v>
      </c>
      <c r="E530">
        <v>2814</v>
      </c>
      <c r="F530">
        <v>6906</v>
      </c>
      <c r="G530">
        <v>6986</v>
      </c>
      <c r="H530">
        <v>3880</v>
      </c>
      <c r="I530">
        <v>2296</v>
      </c>
      <c r="J530">
        <v>465</v>
      </c>
      <c r="K530">
        <v>544</v>
      </c>
      <c r="L530">
        <v>486</v>
      </c>
      <c r="M530">
        <v>314</v>
      </c>
      <c r="N530">
        <v>1475</v>
      </c>
      <c r="O530">
        <v>688</v>
      </c>
      <c r="P530">
        <v>564.44613149999998</v>
      </c>
      <c r="Q530">
        <v>82</v>
      </c>
      <c r="R530">
        <v>0.22049062</v>
      </c>
      <c r="S530">
        <v>1593</v>
      </c>
      <c r="T530">
        <v>380</v>
      </c>
      <c r="U530">
        <v>1015</v>
      </c>
      <c r="V530">
        <v>1783</v>
      </c>
      <c r="W530">
        <v>2212</v>
      </c>
      <c r="X530">
        <v>1340</v>
      </c>
      <c r="Y530">
        <v>135</v>
      </c>
      <c r="Z530">
        <v>477</v>
      </c>
      <c r="AA530">
        <v>799</v>
      </c>
      <c r="AB530">
        <v>3</v>
      </c>
      <c r="AC530">
        <v>53</v>
      </c>
      <c r="AD530">
        <v>126</v>
      </c>
      <c r="AE530">
        <v>0</v>
      </c>
      <c r="AF530">
        <v>0</v>
      </c>
      <c r="AG530">
        <v>4</v>
      </c>
      <c r="AH530">
        <v>0</v>
      </c>
      <c r="AI530">
        <v>0</v>
      </c>
      <c r="AJ530">
        <v>0</v>
      </c>
      <c r="AK530">
        <v>1.23386</v>
      </c>
      <c r="AL530">
        <v>3</v>
      </c>
      <c r="AM530">
        <v>0</v>
      </c>
      <c r="AN530">
        <v>2814</v>
      </c>
      <c r="AO530">
        <v>80</v>
      </c>
      <c r="AP530">
        <v>0</v>
      </c>
      <c r="AQ530">
        <v>0</v>
      </c>
    </row>
    <row r="531" spans="1:43" x14ac:dyDescent="0.25">
      <c r="A531">
        <v>528</v>
      </c>
      <c r="B531">
        <v>11</v>
      </c>
      <c r="C531">
        <v>11</v>
      </c>
      <c r="D531">
        <v>3</v>
      </c>
      <c r="E531">
        <v>2658</v>
      </c>
      <c r="F531">
        <v>6514</v>
      </c>
      <c r="G531">
        <v>6537</v>
      </c>
      <c r="H531">
        <v>3809</v>
      </c>
      <c r="I531">
        <v>1426</v>
      </c>
      <c r="J531">
        <v>1142</v>
      </c>
      <c r="K531">
        <v>365</v>
      </c>
      <c r="L531">
        <v>596</v>
      </c>
      <c r="M531">
        <v>700</v>
      </c>
      <c r="N531">
        <v>998</v>
      </c>
      <c r="O531">
        <v>467</v>
      </c>
      <c r="P531">
        <v>424.5865417</v>
      </c>
      <c r="Q531">
        <v>24</v>
      </c>
      <c r="R531">
        <v>0.18029768299999999</v>
      </c>
      <c r="S531">
        <v>1617</v>
      </c>
      <c r="T531">
        <v>360</v>
      </c>
      <c r="U531">
        <v>947</v>
      </c>
      <c r="V531">
        <v>2402</v>
      </c>
      <c r="W531">
        <v>1656</v>
      </c>
      <c r="X531">
        <v>988</v>
      </c>
      <c r="Y531">
        <v>119</v>
      </c>
      <c r="Z531">
        <v>373</v>
      </c>
      <c r="AA531">
        <v>872</v>
      </c>
      <c r="AB531">
        <v>17</v>
      </c>
      <c r="AC531">
        <v>84</v>
      </c>
      <c r="AD531">
        <v>152</v>
      </c>
      <c r="AE531">
        <v>0</v>
      </c>
      <c r="AF531">
        <v>0</v>
      </c>
      <c r="AG531">
        <v>4</v>
      </c>
      <c r="AH531">
        <v>0</v>
      </c>
      <c r="AI531">
        <v>0</v>
      </c>
      <c r="AJ531">
        <v>0</v>
      </c>
      <c r="AK531">
        <v>1.2678700000000001</v>
      </c>
      <c r="AL531">
        <v>3</v>
      </c>
      <c r="AM531">
        <v>0</v>
      </c>
      <c r="AN531">
        <v>2658</v>
      </c>
      <c r="AO531">
        <v>23</v>
      </c>
      <c r="AP531">
        <v>0</v>
      </c>
      <c r="AQ531">
        <v>0</v>
      </c>
    </row>
    <row r="532" spans="1:43" x14ac:dyDescent="0.25">
      <c r="A532">
        <v>529</v>
      </c>
      <c r="B532">
        <v>11</v>
      </c>
      <c r="C532">
        <v>11</v>
      </c>
      <c r="D532">
        <v>3</v>
      </c>
      <c r="E532">
        <v>1425</v>
      </c>
      <c r="F532">
        <v>3343</v>
      </c>
      <c r="G532">
        <v>3343</v>
      </c>
      <c r="H532">
        <v>1288</v>
      </c>
      <c r="I532">
        <v>986</v>
      </c>
      <c r="J532">
        <v>414</v>
      </c>
      <c r="K532">
        <v>191</v>
      </c>
      <c r="L532">
        <v>233</v>
      </c>
      <c r="M532">
        <v>395</v>
      </c>
      <c r="N532">
        <v>610</v>
      </c>
      <c r="O532">
        <v>361</v>
      </c>
      <c r="P532">
        <v>324.48200109999999</v>
      </c>
      <c r="Q532">
        <v>38</v>
      </c>
      <c r="R532">
        <v>0.33226529999999999</v>
      </c>
      <c r="S532">
        <v>1184</v>
      </c>
      <c r="T532">
        <v>134</v>
      </c>
      <c r="U532">
        <v>619</v>
      </c>
      <c r="V532">
        <v>463</v>
      </c>
      <c r="W532">
        <v>972</v>
      </c>
      <c r="X532">
        <v>864</v>
      </c>
      <c r="Y532">
        <v>247</v>
      </c>
      <c r="Z532">
        <v>219</v>
      </c>
      <c r="AA532">
        <v>514</v>
      </c>
      <c r="AB532">
        <v>5</v>
      </c>
      <c r="AC532">
        <v>71</v>
      </c>
      <c r="AD532">
        <v>128</v>
      </c>
      <c r="AE532">
        <v>0</v>
      </c>
      <c r="AF532">
        <v>0</v>
      </c>
      <c r="AG532">
        <v>4</v>
      </c>
      <c r="AH532">
        <v>0</v>
      </c>
      <c r="AI532">
        <v>0</v>
      </c>
      <c r="AJ532">
        <v>0</v>
      </c>
      <c r="AK532">
        <v>1.17018</v>
      </c>
      <c r="AL532">
        <v>3</v>
      </c>
      <c r="AM532">
        <v>0</v>
      </c>
      <c r="AN532">
        <v>1425</v>
      </c>
      <c r="AO532">
        <v>0</v>
      </c>
      <c r="AP532">
        <v>0</v>
      </c>
      <c r="AQ532">
        <v>0</v>
      </c>
    </row>
    <row r="533" spans="1:43" x14ac:dyDescent="0.25">
      <c r="A533">
        <v>530</v>
      </c>
      <c r="B533">
        <v>11</v>
      </c>
      <c r="C533">
        <v>11</v>
      </c>
      <c r="D533">
        <v>3</v>
      </c>
      <c r="E533">
        <v>3207</v>
      </c>
      <c r="F533">
        <v>6871</v>
      </c>
      <c r="G533">
        <v>6873</v>
      </c>
      <c r="H533">
        <v>4119</v>
      </c>
      <c r="I533">
        <v>1340</v>
      </c>
      <c r="J533">
        <v>1934</v>
      </c>
      <c r="K533">
        <v>553</v>
      </c>
      <c r="L533">
        <v>837</v>
      </c>
      <c r="M533">
        <v>716</v>
      </c>
      <c r="N533">
        <v>1126</v>
      </c>
      <c r="O533">
        <v>630</v>
      </c>
      <c r="P533">
        <v>419.21195669999997</v>
      </c>
      <c r="Q533">
        <v>123</v>
      </c>
      <c r="R533">
        <v>0.16173120699999999</v>
      </c>
      <c r="S533">
        <v>8175</v>
      </c>
      <c r="T533">
        <v>451</v>
      </c>
      <c r="U533">
        <v>1020</v>
      </c>
      <c r="V533">
        <v>2575</v>
      </c>
      <c r="W533">
        <v>1920</v>
      </c>
      <c r="X533">
        <v>859</v>
      </c>
      <c r="Y533">
        <v>933</v>
      </c>
      <c r="Z533">
        <v>3100</v>
      </c>
      <c r="AA533">
        <v>2449</v>
      </c>
      <c r="AB533">
        <v>6</v>
      </c>
      <c r="AC533">
        <v>475</v>
      </c>
      <c r="AD533">
        <v>1212</v>
      </c>
      <c r="AE533">
        <v>0</v>
      </c>
      <c r="AF533">
        <v>0</v>
      </c>
      <c r="AG533">
        <v>3</v>
      </c>
      <c r="AH533">
        <v>0</v>
      </c>
      <c r="AI533">
        <v>0</v>
      </c>
      <c r="AJ533">
        <v>0</v>
      </c>
      <c r="AK533">
        <v>1.7123699999999999</v>
      </c>
      <c r="AL533">
        <v>3</v>
      </c>
      <c r="AM533">
        <v>0</v>
      </c>
      <c r="AN533">
        <v>3207</v>
      </c>
      <c r="AO533">
        <v>2</v>
      </c>
      <c r="AP533">
        <v>0</v>
      </c>
      <c r="AQ533">
        <v>0</v>
      </c>
    </row>
    <row r="534" spans="1:43" x14ac:dyDescent="0.25">
      <c r="A534">
        <v>531</v>
      </c>
      <c r="B534">
        <v>11</v>
      </c>
      <c r="C534">
        <v>11</v>
      </c>
      <c r="D534">
        <v>3</v>
      </c>
      <c r="E534">
        <v>1416</v>
      </c>
      <c r="F534">
        <v>2747</v>
      </c>
      <c r="G534">
        <v>2788</v>
      </c>
      <c r="H534">
        <v>1615</v>
      </c>
      <c r="I534">
        <v>789</v>
      </c>
      <c r="J534">
        <v>593</v>
      </c>
      <c r="K534">
        <v>421</v>
      </c>
      <c r="L534">
        <v>304</v>
      </c>
      <c r="M534">
        <v>272</v>
      </c>
      <c r="N534">
        <v>422</v>
      </c>
      <c r="O534">
        <v>273</v>
      </c>
      <c r="P534">
        <v>241</v>
      </c>
      <c r="Q534">
        <v>32</v>
      </c>
      <c r="R534">
        <v>0.25635738800000002</v>
      </c>
      <c r="S534">
        <v>4784</v>
      </c>
      <c r="T534">
        <v>115</v>
      </c>
      <c r="U534">
        <v>284</v>
      </c>
      <c r="V534">
        <v>1107</v>
      </c>
      <c r="W534">
        <v>768</v>
      </c>
      <c r="X534">
        <v>579</v>
      </c>
      <c r="Y534">
        <v>2713</v>
      </c>
      <c r="Z534">
        <v>755</v>
      </c>
      <c r="AA534">
        <v>1152</v>
      </c>
      <c r="AB534">
        <v>3</v>
      </c>
      <c r="AC534">
        <v>75</v>
      </c>
      <c r="AD534">
        <v>86</v>
      </c>
      <c r="AE534">
        <v>0</v>
      </c>
      <c r="AF534">
        <v>0</v>
      </c>
      <c r="AG534">
        <v>3</v>
      </c>
      <c r="AH534">
        <v>0</v>
      </c>
      <c r="AI534">
        <v>0</v>
      </c>
      <c r="AJ534">
        <v>0</v>
      </c>
      <c r="AK534">
        <v>2.9889399999999999</v>
      </c>
      <c r="AL534">
        <v>2</v>
      </c>
      <c r="AM534">
        <v>0</v>
      </c>
      <c r="AN534">
        <v>1416</v>
      </c>
      <c r="AO534">
        <v>41</v>
      </c>
      <c r="AP534">
        <v>0</v>
      </c>
      <c r="AQ534">
        <v>0</v>
      </c>
    </row>
    <row r="535" spans="1:43" x14ac:dyDescent="0.25">
      <c r="A535">
        <v>532</v>
      </c>
      <c r="B535">
        <v>11</v>
      </c>
      <c r="C535">
        <v>11</v>
      </c>
      <c r="D535">
        <v>3</v>
      </c>
      <c r="E535">
        <v>3054</v>
      </c>
      <c r="F535">
        <v>6875</v>
      </c>
      <c r="G535">
        <v>6958</v>
      </c>
      <c r="H535">
        <v>4223</v>
      </c>
      <c r="I535">
        <v>509</v>
      </c>
      <c r="J535">
        <v>2526</v>
      </c>
      <c r="K535">
        <v>923</v>
      </c>
      <c r="L535">
        <v>856</v>
      </c>
      <c r="M535">
        <v>547</v>
      </c>
      <c r="N535">
        <v>725</v>
      </c>
      <c r="O535">
        <v>236</v>
      </c>
      <c r="P535">
        <v>199.99185539999999</v>
      </c>
      <c r="Q535">
        <v>47</v>
      </c>
      <c r="R535">
        <v>0.16100898999999999</v>
      </c>
      <c r="S535">
        <v>816</v>
      </c>
      <c r="T535">
        <v>463</v>
      </c>
      <c r="U535">
        <v>1019</v>
      </c>
      <c r="V535">
        <v>3321</v>
      </c>
      <c r="W535">
        <v>1629</v>
      </c>
      <c r="X535">
        <v>838</v>
      </c>
      <c r="Y535">
        <v>114</v>
      </c>
      <c r="Z535">
        <v>78</v>
      </c>
      <c r="AA535">
        <v>556</v>
      </c>
      <c r="AB535">
        <v>1</v>
      </c>
      <c r="AC535">
        <v>27</v>
      </c>
      <c r="AD535">
        <v>40</v>
      </c>
      <c r="AE535">
        <v>0</v>
      </c>
      <c r="AF535">
        <v>0</v>
      </c>
      <c r="AG535">
        <v>3</v>
      </c>
      <c r="AH535">
        <v>35</v>
      </c>
      <c r="AI535">
        <v>0</v>
      </c>
      <c r="AJ535">
        <v>0</v>
      </c>
      <c r="AK535">
        <v>1.56786</v>
      </c>
      <c r="AL535">
        <v>3</v>
      </c>
      <c r="AM535">
        <v>0</v>
      </c>
      <c r="AN535">
        <v>3054</v>
      </c>
      <c r="AO535">
        <v>83</v>
      </c>
      <c r="AP535">
        <v>0</v>
      </c>
      <c r="AQ535">
        <v>0</v>
      </c>
    </row>
    <row r="536" spans="1:43" x14ac:dyDescent="0.25">
      <c r="A536">
        <v>533</v>
      </c>
      <c r="B536">
        <v>11</v>
      </c>
      <c r="C536">
        <v>11</v>
      </c>
      <c r="D536">
        <v>3</v>
      </c>
      <c r="E536">
        <v>2673</v>
      </c>
      <c r="F536">
        <v>6590</v>
      </c>
      <c r="G536">
        <v>6626</v>
      </c>
      <c r="H536">
        <v>4042</v>
      </c>
      <c r="I536">
        <v>903</v>
      </c>
      <c r="J536">
        <v>1717</v>
      </c>
      <c r="K536">
        <v>847</v>
      </c>
      <c r="L536">
        <v>795</v>
      </c>
      <c r="M536">
        <v>506</v>
      </c>
      <c r="N536">
        <v>545</v>
      </c>
      <c r="O536">
        <v>447</v>
      </c>
      <c r="P536">
        <v>244.76507179999999</v>
      </c>
      <c r="Q536">
        <v>203</v>
      </c>
      <c r="R536">
        <v>0.12936910800000001</v>
      </c>
      <c r="S536">
        <v>7403</v>
      </c>
      <c r="T536">
        <v>216</v>
      </c>
      <c r="U536">
        <v>1094</v>
      </c>
      <c r="V536">
        <v>2851</v>
      </c>
      <c r="W536">
        <v>1813</v>
      </c>
      <c r="X536">
        <v>755</v>
      </c>
      <c r="Y536">
        <v>57</v>
      </c>
      <c r="Z536">
        <v>437</v>
      </c>
      <c r="AA536">
        <v>6748</v>
      </c>
      <c r="AB536">
        <v>3</v>
      </c>
      <c r="AC536">
        <v>57</v>
      </c>
      <c r="AD536">
        <v>101</v>
      </c>
      <c r="AE536">
        <v>0</v>
      </c>
      <c r="AF536">
        <v>0</v>
      </c>
      <c r="AG536">
        <v>3</v>
      </c>
      <c r="AH536">
        <v>1359</v>
      </c>
      <c r="AI536">
        <v>2101</v>
      </c>
      <c r="AJ536">
        <v>11609</v>
      </c>
      <c r="AK536">
        <v>1.5528200000000001</v>
      </c>
      <c r="AL536">
        <v>3</v>
      </c>
      <c r="AM536">
        <v>0</v>
      </c>
      <c r="AN536">
        <v>2673</v>
      </c>
      <c r="AO536">
        <v>36</v>
      </c>
      <c r="AP536">
        <v>0</v>
      </c>
      <c r="AQ536">
        <v>0</v>
      </c>
    </row>
    <row r="537" spans="1:43" x14ac:dyDescent="0.25">
      <c r="A537">
        <v>534</v>
      </c>
      <c r="B537">
        <v>11</v>
      </c>
      <c r="C537">
        <v>11</v>
      </c>
      <c r="D537">
        <v>3</v>
      </c>
      <c r="E537">
        <v>2181</v>
      </c>
      <c r="F537">
        <v>4772</v>
      </c>
      <c r="G537">
        <v>4811</v>
      </c>
      <c r="H537">
        <v>2989</v>
      </c>
      <c r="I537">
        <v>1428</v>
      </c>
      <c r="J537">
        <v>752</v>
      </c>
      <c r="K537">
        <v>628</v>
      </c>
      <c r="L537">
        <v>315</v>
      </c>
      <c r="M537">
        <v>459</v>
      </c>
      <c r="N537">
        <v>782</v>
      </c>
      <c r="O537">
        <v>475</v>
      </c>
      <c r="P537">
        <v>354.8436739</v>
      </c>
      <c r="Q537">
        <v>71</v>
      </c>
      <c r="R537">
        <v>0.19643211099999999</v>
      </c>
      <c r="S537">
        <v>1374</v>
      </c>
      <c r="T537">
        <v>204</v>
      </c>
      <c r="U537">
        <v>771</v>
      </c>
      <c r="V537">
        <v>1915</v>
      </c>
      <c r="W537">
        <v>1201</v>
      </c>
      <c r="X537">
        <v>854</v>
      </c>
      <c r="Y537">
        <v>92</v>
      </c>
      <c r="Z537">
        <v>325</v>
      </c>
      <c r="AA537">
        <v>521</v>
      </c>
      <c r="AB537">
        <v>1</v>
      </c>
      <c r="AC537">
        <v>352</v>
      </c>
      <c r="AD537">
        <v>83</v>
      </c>
      <c r="AE537">
        <v>0</v>
      </c>
      <c r="AF537">
        <v>0</v>
      </c>
      <c r="AG537">
        <v>3</v>
      </c>
      <c r="AH537">
        <v>0</v>
      </c>
      <c r="AI537">
        <v>0</v>
      </c>
      <c r="AJ537">
        <v>0</v>
      </c>
      <c r="AK537">
        <v>2.05152</v>
      </c>
      <c r="AL537">
        <v>3</v>
      </c>
      <c r="AM537">
        <v>0</v>
      </c>
      <c r="AN537">
        <v>2181</v>
      </c>
      <c r="AO537">
        <v>39</v>
      </c>
      <c r="AP537">
        <v>0</v>
      </c>
      <c r="AQ537">
        <v>0</v>
      </c>
    </row>
    <row r="538" spans="1:43" x14ac:dyDescent="0.25">
      <c r="A538">
        <v>535</v>
      </c>
      <c r="B538">
        <v>11</v>
      </c>
      <c r="C538">
        <v>11</v>
      </c>
      <c r="D538">
        <v>3</v>
      </c>
      <c r="E538">
        <v>2096</v>
      </c>
      <c r="F538">
        <v>4689</v>
      </c>
      <c r="G538">
        <v>4689</v>
      </c>
      <c r="H538">
        <v>2859</v>
      </c>
      <c r="I538">
        <v>1283</v>
      </c>
      <c r="J538">
        <v>834</v>
      </c>
      <c r="K538">
        <v>499</v>
      </c>
      <c r="L538">
        <v>509</v>
      </c>
      <c r="M538">
        <v>545</v>
      </c>
      <c r="N538">
        <v>528</v>
      </c>
      <c r="O538">
        <v>331</v>
      </c>
      <c r="P538">
        <v>190.16012409999999</v>
      </c>
      <c r="Q538">
        <v>77</v>
      </c>
      <c r="R538">
        <v>0.20159429400000001</v>
      </c>
      <c r="S538">
        <v>1579</v>
      </c>
      <c r="T538">
        <v>282</v>
      </c>
      <c r="U538">
        <v>675</v>
      </c>
      <c r="V538">
        <v>1991</v>
      </c>
      <c r="W538">
        <v>1094</v>
      </c>
      <c r="X538">
        <v>606</v>
      </c>
      <c r="Y538">
        <v>194</v>
      </c>
      <c r="Z538">
        <v>258</v>
      </c>
      <c r="AA538">
        <v>953</v>
      </c>
      <c r="AB538">
        <v>3</v>
      </c>
      <c r="AC538">
        <v>95</v>
      </c>
      <c r="AD538">
        <v>76</v>
      </c>
      <c r="AE538">
        <v>0</v>
      </c>
      <c r="AF538">
        <v>0</v>
      </c>
      <c r="AG538">
        <v>4</v>
      </c>
      <c r="AH538">
        <v>0</v>
      </c>
      <c r="AI538">
        <v>0</v>
      </c>
      <c r="AJ538">
        <v>0</v>
      </c>
      <c r="AK538">
        <v>1.5257700000000001</v>
      </c>
      <c r="AL538">
        <v>3</v>
      </c>
      <c r="AM538">
        <v>0</v>
      </c>
      <c r="AN538">
        <v>2096</v>
      </c>
      <c r="AO538">
        <v>0</v>
      </c>
      <c r="AP538">
        <v>0</v>
      </c>
      <c r="AQ538">
        <v>0</v>
      </c>
    </row>
    <row r="539" spans="1:43" x14ac:dyDescent="0.25">
      <c r="A539">
        <v>536</v>
      </c>
      <c r="B539">
        <v>11</v>
      </c>
      <c r="C539">
        <v>11</v>
      </c>
      <c r="D539">
        <v>3</v>
      </c>
      <c r="E539">
        <v>1857</v>
      </c>
      <c r="F539">
        <v>4975</v>
      </c>
      <c r="G539">
        <v>4975</v>
      </c>
      <c r="H539">
        <v>3257</v>
      </c>
      <c r="I539">
        <v>767</v>
      </c>
      <c r="J539">
        <v>1046</v>
      </c>
      <c r="K539">
        <v>363</v>
      </c>
      <c r="L539">
        <v>582</v>
      </c>
      <c r="M539">
        <v>372</v>
      </c>
      <c r="N539">
        <v>528</v>
      </c>
      <c r="O539">
        <v>230</v>
      </c>
      <c r="P539">
        <v>140.62949180000001</v>
      </c>
      <c r="Q539">
        <v>25</v>
      </c>
      <c r="R539">
        <v>6.2547098999999995E-2</v>
      </c>
      <c r="S539">
        <v>751</v>
      </c>
      <c r="T539">
        <v>265</v>
      </c>
      <c r="U539">
        <v>1108</v>
      </c>
      <c r="V539">
        <v>2415</v>
      </c>
      <c r="W539">
        <v>1155</v>
      </c>
      <c r="X539">
        <v>238</v>
      </c>
      <c r="Y539">
        <v>149</v>
      </c>
      <c r="Z539">
        <v>101</v>
      </c>
      <c r="AA539">
        <v>402</v>
      </c>
      <c r="AB539">
        <v>1</v>
      </c>
      <c r="AC539">
        <v>35</v>
      </c>
      <c r="AD539">
        <v>63</v>
      </c>
      <c r="AE539">
        <v>0</v>
      </c>
      <c r="AF539">
        <v>0</v>
      </c>
      <c r="AG539">
        <v>4</v>
      </c>
      <c r="AH539">
        <v>0</v>
      </c>
      <c r="AI539">
        <v>0</v>
      </c>
      <c r="AJ539">
        <v>0</v>
      </c>
      <c r="AK539">
        <v>1.70221</v>
      </c>
      <c r="AL539">
        <v>3</v>
      </c>
      <c r="AM539">
        <v>0</v>
      </c>
      <c r="AN539">
        <v>1857</v>
      </c>
      <c r="AO539">
        <v>0</v>
      </c>
      <c r="AP539">
        <v>0</v>
      </c>
      <c r="AQ539">
        <v>0</v>
      </c>
    </row>
    <row r="540" spans="1:43" x14ac:dyDescent="0.25">
      <c r="A540">
        <v>537</v>
      </c>
      <c r="B540">
        <v>11</v>
      </c>
      <c r="C540">
        <v>11</v>
      </c>
      <c r="D540">
        <v>3</v>
      </c>
      <c r="E540">
        <v>3056</v>
      </c>
      <c r="F540">
        <v>5875</v>
      </c>
      <c r="G540">
        <v>5947</v>
      </c>
      <c r="H540">
        <v>4072</v>
      </c>
      <c r="I540">
        <v>673</v>
      </c>
      <c r="J540">
        <v>2500</v>
      </c>
      <c r="K540">
        <v>619</v>
      </c>
      <c r="L540">
        <v>600</v>
      </c>
      <c r="M540">
        <v>791</v>
      </c>
      <c r="N540">
        <v>1061</v>
      </c>
      <c r="O540">
        <v>410</v>
      </c>
      <c r="P540">
        <v>104.0475849</v>
      </c>
      <c r="Q540">
        <v>259</v>
      </c>
      <c r="R540">
        <v>8.3458271000000001E-2</v>
      </c>
      <c r="S540">
        <v>3326</v>
      </c>
      <c r="T540">
        <v>228</v>
      </c>
      <c r="U540">
        <v>687</v>
      </c>
      <c r="V540">
        <v>3358</v>
      </c>
      <c r="W540">
        <v>1213</v>
      </c>
      <c r="X540">
        <v>358</v>
      </c>
      <c r="Y540">
        <v>332</v>
      </c>
      <c r="Z540">
        <v>655</v>
      </c>
      <c r="AA540">
        <v>1079</v>
      </c>
      <c r="AB540">
        <v>6</v>
      </c>
      <c r="AC540">
        <v>798</v>
      </c>
      <c r="AD540">
        <v>456</v>
      </c>
      <c r="AE540">
        <v>0</v>
      </c>
      <c r="AF540">
        <v>0</v>
      </c>
      <c r="AG540">
        <v>4</v>
      </c>
      <c r="AH540">
        <v>412</v>
      </c>
      <c r="AI540">
        <v>0</v>
      </c>
      <c r="AJ540">
        <v>0</v>
      </c>
      <c r="AK540">
        <v>1.7461100000000001</v>
      </c>
      <c r="AL540">
        <v>3</v>
      </c>
      <c r="AM540">
        <v>0</v>
      </c>
      <c r="AN540">
        <v>3056</v>
      </c>
      <c r="AO540">
        <v>72</v>
      </c>
      <c r="AP540">
        <v>0</v>
      </c>
      <c r="AQ540">
        <v>0</v>
      </c>
    </row>
    <row r="541" spans="1:43" x14ac:dyDescent="0.25">
      <c r="A541">
        <v>538</v>
      </c>
      <c r="B541">
        <v>11</v>
      </c>
      <c r="C541">
        <v>11</v>
      </c>
      <c r="D541">
        <v>3</v>
      </c>
      <c r="E541">
        <v>1284</v>
      </c>
      <c r="F541">
        <v>2744</v>
      </c>
      <c r="G541">
        <v>3309</v>
      </c>
      <c r="H541">
        <v>1705</v>
      </c>
      <c r="I541">
        <v>656</v>
      </c>
      <c r="J541">
        <v>691</v>
      </c>
      <c r="K541">
        <v>239</v>
      </c>
      <c r="L541">
        <v>415</v>
      </c>
      <c r="M541">
        <v>242</v>
      </c>
      <c r="N541">
        <v>402</v>
      </c>
      <c r="O541">
        <v>164.2</v>
      </c>
      <c r="P541">
        <v>118.3912009</v>
      </c>
      <c r="Q541">
        <v>40.195670149999998</v>
      </c>
      <c r="R541">
        <v>0.12977834899999999</v>
      </c>
      <c r="S541">
        <v>755</v>
      </c>
      <c r="T541">
        <v>111</v>
      </c>
      <c r="U541">
        <v>312</v>
      </c>
      <c r="V541">
        <v>1482</v>
      </c>
      <c r="W541">
        <v>831</v>
      </c>
      <c r="X541">
        <v>295</v>
      </c>
      <c r="Y541">
        <v>48</v>
      </c>
      <c r="Z541">
        <v>339</v>
      </c>
      <c r="AA541">
        <v>241</v>
      </c>
      <c r="AB541">
        <v>69</v>
      </c>
      <c r="AC541">
        <v>16</v>
      </c>
      <c r="AD541">
        <v>42</v>
      </c>
      <c r="AE541">
        <v>40.690248179999998</v>
      </c>
      <c r="AF541">
        <v>20.345124089999999</v>
      </c>
      <c r="AG541">
        <v>3</v>
      </c>
      <c r="AH541">
        <v>0</v>
      </c>
      <c r="AI541">
        <v>0</v>
      </c>
      <c r="AJ541">
        <v>0</v>
      </c>
      <c r="AK541">
        <v>1.65842</v>
      </c>
      <c r="AL541">
        <v>3</v>
      </c>
      <c r="AM541">
        <v>0</v>
      </c>
      <c r="AN541">
        <v>1284</v>
      </c>
      <c r="AO541">
        <v>565</v>
      </c>
      <c r="AP541">
        <v>0</v>
      </c>
      <c r="AQ541">
        <v>0</v>
      </c>
    </row>
    <row r="542" spans="1:43" x14ac:dyDescent="0.25">
      <c r="A542">
        <v>539</v>
      </c>
      <c r="B542">
        <v>11</v>
      </c>
      <c r="C542">
        <v>11</v>
      </c>
      <c r="D542">
        <v>3</v>
      </c>
      <c r="E542">
        <v>434</v>
      </c>
      <c r="F542">
        <v>923</v>
      </c>
      <c r="G542">
        <v>1176</v>
      </c>
      <c r="H542">
        <v>729</v>
      </c>
      <c r="I542">
        <v>174</v>
      </c>
      <c r="J542">
        <v>263</v>
      </c>
      <c r="K542">
        <v>88</v>
      </c>
      <c r="L542">
        <v>80</v>
      </c>
      <c r="M542">
        <v>97</v>
      </c>
      <c r="N542">
        <v>165</v>
      </c>
      <c r="O542">
        <v>508.1</v>
      </c>
      <c r="P542">
        <v>77.215851999999998</v>
      </c>
      <c r="Q542">
        <v>361.71885279999998</v>
      </c>
      <c r="R542">
        <v>0.125599233</v>
      </c>
      <c r="S542">
        <v>4915</v>
      </c>
      <c r="T542">
        <v>48</v>
      </c>
      <c r="U542">
        <v>121</v>
      </c>
      <c r="V542">
        <v>485</v>
      </c>
      <c r="W542">
        <v>302</v>
      </c>
      <c r="X542">
        <v>61</v>
      </c>
      <c r="Y542">
        <v>546</v>
      </c>
      <c r="Z542">
        <v>702</v>
      </c>
      <c r="AA542">
        <v>2150</v>
      </c>
      <c r="AB542">
        <v>2</v>
      </c>
      <c r="AC542">
        <v>519</v>
      </c>
      <c r="AD542">
        <v>996</v>
      </c>
      <c r="AE542">
        <v>25.43140511</v>
      </c>
      <c r="AF542">
        <v>0</v>
      </c>
      <c r="AG542">
        <v>3</v>
      </c>
      <c r="AH542">
        <v>0</v>
      </c>
      <c r="AI542">
        <v>0</v>
      </c>
      <c r="AJ542">
        <v>0</v>
      </c>
      <c r="AK542">
        <v>1.75406</v>
      </c>
      <c r="AL542">
        <v>3</v>
      </c>
      <c r="AM542">
        <v>0</v>
      </c>
      <c r="AN542">
        <v>434</v>
      </c>
      <c r="AO542">
        <v>253</v>
      </c>
      <c r="AP542">
        <v>0</v>
      </c>
      <c r="AQ542">
        <v>0</v>
      </c>
    </row>
    <row r="543" spans="1:43" x14ac:dyDescent="0.25">
      <c r="A543">
        <v>540</v>
      </c>
      <c r="B543">
        <v>11</v>
      </c>
      <c r="C543">
        <v>11</v>
      </c>
      <c r="D543">
        <v>3</v>
      </c>
      <c r="E543">
        <v>2332</v>
      </c>
      <c r="F543">
        <v>5785</v>
      </c>
      <c r="G543">
        <v>5800</v>
      </c>
      <c r="H543">
        <v>3165</v>
      </c>
      <c r="I543">
        <v>1039</v>
      </c>
      <c r="J543">
        <v>1332</v>
      </c>
      <c r="K543">
        <v>507</v>
      </c>
      <c r="L543">
        <v>630</v>
      </c>
      <c r="M543">
        <v>542</v>
      </c>
      <c r="N543">
        <v>666</v>
      </c>
      <c r="O543">
        <v>329</v>
      </c>
      <c r="P543">
        <v>230.15853849999999</v>
      </c>
      <c r="Q543">
        <v>87</v>
      </c>
      <c r="R543">
        <v>0.1296754</v>
      </c>
      <c r="S543">
        <v>3861</v>
      </c>
      <c r="T543">
        <v>144</v>
      </c>
      <c r="U543">
        <v>1237</v>
      </c>
      <c r="V543">
        <v>2776</v>
      </c>
      <c r="W543">
        <v>1161</v>
      </c>
      <c r="X543">
        <v>588</v>
      </c>
      <c r="Y543">
        <v>181</v>
      </c>
      <c r="Z543">
        <v>987</v>
      </c>
      <c r="AA543">
        <v>2184</v>
      </c>
      <c r="AB543">
        <v>39</v>
      </c>
      <c r="AC543">
        <v>268</v>
      </c>
      <c r="AD543">
        <v>202</v>
      </c>
      <c r="AE543">
        <v>0</v>
      </c>
      <c r="AF543">
        <v>0</v>
      </c>
      <c r="AG543">
        <v>3</v>
      </c>
      <c r="AH543">
        <v>0</v>
      </c>
      <c r="AI543">
        <v>0</v>
      </c>
      <c r="AJ543">
        <v>0</v>
      </c>
      <c r="AK543">
        <v>1.6573100000000001</v>
      </c>
      <c r="AL543">
        <v>3</v>
      </c>
      <c r="AM543">
        <v>0</v>
      </c>
      <c r="AN543">
        <v>2332</v>
      </c>
      <c r="AO543">
        <v>15</v>
      </c>
      <c r="AP543">
        <v>0</v>
      </c>
      <c r="AQ543">
        <v>0</v>
      </c>
    </row>
    <row r="544" spans="1:43" x14ac:dyDescent="0.25">
      <c r="A544">
        <v>541</v>
      </c>
      <c r="B544">
        <v>11</v>
      </c>
      <c r="C544">
        <v>11</v>
      </c>
      <c r="D544">
        <v>3</v>
      </c>
      <c r="E544">
        <v>2132</v>
      </c>
      <c r="F544">
        <v>4726</v>
      </c>
      <c r="G544">
        <v>4737</v>
      </c>
      <c r="H544">
        <v>2691</v>
      </c>
      <c r="I544">
        <v>1794</v>
      </c>
      <c r="J544">
        <v>411</v>
      </c>
      <c r="K544">
        <v>254</v>
      </c>
      <c r="L544">
        <v>304</v>
      </c>
      <c r="M544">
        <v>544</v>
      </c>
      <c r="N544">
        <v>1035</v>
      </c>
      <c r="O544">
        <v>531</v>
      </c>
      <c r="P544">
        <v>328.38690309999998</v>
      </c>
      <c r="Q544">
        <v>174</v>
      </c>
      <c r="R544">
        <v>0.26713147399999998</v>
      </c>
      <c r="S544">
        <v>2142</v>
      </c>
      <c r="T544">
        <v>194</v>
      </c>
      <c r="U544">
        <v>551</v>
      </c>
      <c r="V544">
        <v>1403</v>
      </c>
      <c r="W544">
        <v>1685</v>
      </c>
      <c r="X544">
        <v>1058</v>
      </c>
      <c r="Y544">
        <v>191</v>
      </c>
      <c r="Z544">
        <v>257</v>
      </c>
      <c r="AA544">
        <v>1486</v>
      </c>
      <c r="AB544">
        <v>3</v>
      </c>
      <c r="AC544">
        <v>102</v>
      </c>
      <c r="AD544">
        <v>103</v>
      </c>
      <c r="AE544">
        <v>0</v>
      </c>
      <c r="AF544">
        <v>0</v>
      </c>
      <c r="AG544">
        <v>4</v>
      </c>
      <c r="AH544">
        <v>1590</v>
      </c>
      <c r="AI544">
        <v>0</v>
      </c>
      <c r="AJ544">
        <v>0</v>
      </c>
      <c r="AK544">
        <v>1.40551</v>
      </c>
      <c r="AL544">
        <v>3</v>
      </c>
      <c r="AM544">
        <v>0</v>
      </c>
      <c r="AN544">
        <v>2132</v>
      </c>
      <c r="AO544">
        <v>11</v>
      </c>
      <c r="AP544">
        <v>0</v>
      </c>
      <c r="AQ544">
        <v>0</v>
      </c>
    </row>
    <row r="545" spans="1:43" x14ac:dyDescent="0.25">
      <c r="A545">
        <v>542</v>
      </c>
      <c r="B545">
        <v>11</v>
      </c>
      <c r="C545">
        <v>11</v>
      </c>
      <c r="D545">
        <v>3</v>
      </c>
      <c r="E545">
        <v>1051</v>
      </c>
      <c r="F545">
        <v>2400</v>
      </c>
      <c r="G545">
        <v>2416</v>
      </c>
      <c r="H545">
        <v>1511</v>
      </c>
      <c r="I545">
        <v>572</v>
      </c>
      <c r="J545">
        <v>443</v>
      </c>
      <c r="K545">
        <v>98</v>
      </c>
      <c r="L545">
        <v>272</v>
      </c>
      <c r="M545">
        <v>278</v>
      </c>
      <c r="N545">
        <v>407</v>
      </c>
      <c r="O545">
        <v>252</v>
      </c>
      <c r="P545">
        <v>192.41984310000001</v>
      </c>
      <c r="Q545">
        <v>48</v>
      </c>
      <c r="R545">
        <v>0.131237721</v>
      </c>
      <c r="S545">
        <v>2237</v>
      </c>
      <c r="T545">
        <v>152</v>
      </c>
      <c r="U545">
        <v>267</v>
      </c>
      <c r="V545">
        <v>1207</v>
      </c>
      <c r="W545">
        <v>596</v>
      </c>
      <c r="X545">
        <v>253</v>
      </c>
      <c r="Y545">
        <v>9</v>
      </c>
      <c r="Z545">
        <v>487</v>
      </c>
      <c r="AA545">
        <v>1073</v>
      </c>
      <c r="AB545">
        <v>3</v>
      </c>
      <c r="AC545">
        <v>92</v>
      </c>
      <c r="AD545">
        <v>573</v>
      </c>
      <c r="AE545">
        <v>0</v>
      </c>
      <c r="AF545">
        <v>0</v>
      </c>
      <c r="AG545">
        <v>4</v>
      </c>
      <c r="AH545">
        <v>1660</v>
      </c>
      <c r="AI545">
        <v>0</v>
      </c>
      <c r="AJ545">
        <v>0</v>
      </c>
      <c r="AK545">
        <v>1.51355</v>
      </c>
      <c r="AL545">
        <v>3</v>
      </c>
      <c r="AM545">
        <v>0</v>
      </c>
      <c r="AN545">
        <v>1051</v>
      </c>
      <c r="AO545">
        <v>16</v>
      </c>
      <c r="AP545">
        <v>0</v>
      </c>
      <c r="AQ545">
        <v>0</v>
      </c>
    </row>
    <row r="546" spans="1:43" x14ac:dyDescent="0.25">
      <c r="A546">
        <v>543</v>
      </c>
      <c r="B546">
        <v>11</v>
      </c>
      <c r="C546">
        <v>11</v>
      </c>
      <c r="D546">
        <v>3</v>
      </c>
      <c r="E546">
        <v>1447</v>
      </c>
      <c r="F546">
        <v>3329</v>
      </c>
      <c r="G546">
        <v>5805</v>
      </c>
      <c r="H546">
        <v>1864</v>
      </c>
      <c r="I546">
        <v>885</v>
      </c>
      <c r="J546">
        <v>580</v>
      </c>
      <c r="K546">
        <v>387</v>
      </c>
      <c r="L546">
        <v>314</v>
      </c>
      <c r="M546">
        <v>225</v>
      </c>
      <c r="N546">
        <v>514</v>
      </c>
      <c r="O546">
        <v>369</v>
      </c>
      <c r="P546">
        <v>167.0323664</v>
      </c>
      <c r="Q546">
        <v>192</v>
      </c>
      <c r="R546">
        <v>4.5774013000000002E-2</v>
      </c>
      <c r="S546">
        <v>4359</v>
      </c>
      <c r="T546">
        <v>209</v>
      </c>
      <c r="U546">
        <v>1600</v>
      </c>
      <c r="V546">
        <v>2775</v>
      </c>
      <c r="W546">
        <v>601</v>
      </c>
      <c r="X546">
        <v>226</v>
      </c>
      <c r="Y546">
        <v>105</v>
      </c>
      <c r="Z546">
        <v>545</v>
      </c>
      <c r="AA546">
        <v>2749</v>
      </c>
      <c r="AB546">
        <v>35</v>
      </c>
      <c r="AC546">
        <v>116</v>
      </c>
      <c r="AD546">
        <v>809</v>
      </c>
      <c r="AE546">
        <v>0</v>
      </c>
      <c r="AF546">
        <v>0</v>
      </c>
      <c r="AG546">
        <v>4</v>
      </c>
      <c r="AH546">
        <v>0</v>
      </c>
      <c r="AI546">
        <v>8436</v>
      </c>
      <c r="AJ546">
        <v>1693</v>
      </c>
      <c r="AK546">
        <v>1.61077</v>
      </c>
      <c r="AL546">
        <v>3</v>
      </c>
      <c r="AM546">
        <v>0</v>
      </c>
      <c r="AN546">
        <v>1447</v>
      </c>
      <c r="AO546">
        <v>2476</v>
      </c>
      <c r="AP546">
        <v>0</v>
      </c>
      <c r="AQ546">
        <v>0</v>
      </c>
    </row>
    <row r="547" spans="1:43" x14ac:dyDescent="0.25">
      <c r="A547">
        <v>544</v>
      </c>
      <c r="B547">
        <v>11</v>
      </c>
      <c r="C547">
        <v>11</v>
      </c>
      <c r="D547">
        <v>3</v>
      </c>
      <c r="E547">
        <v>2437</v>
      </c>
      <c r="F547">
        <v>5609</v>
      </c>
      <c r="G547">
        <v>5668</v>
      </c>
      <c r="H547">
        <v>3477</v>
      </c>
      <c r="I547">
        <v>1018</v>
      </c>
      <c r="J547">
        <v>1557</v>
      </c>
      <c r="K547">
        <v>618</v>
      </c>
      <c r="L547">
        <v>625</v>
      </c>
      <c r="M547">
        <v>602</v>
      </c>
      <c r="N547">
        <v>586</v>
      </c>
      <c r="O547">
        <v>391</v>
      </c>
      <c r="P547">
        <v>256.11701900000003</v>
      </c>
      <c r="Q547">
        <v>74</v>
      </c>
      <c r="R547">
        <v>0.12028786800000001</v>
      </c>
      <c r="S547">
        <v>878</v>
      </c>
      <c r="T547">
        <v>205</v>
      </c>
      <c r="U547">
        <v>491</v>
      </c>
      <c r="V547">
        <v>3334</v>
      </c>
      <c r="W547">
        <v>1210</v>
      </c>
      <c r="X547">
        <v>472</v>
      </c>
      <c r="Y547">
        <v>74</v>
      </c>
      <c r="Z547">
        <v>167</v>
      </c>
      <c r="AA547">
        <v>439</v>
      </c>
      <c r="AB547">
        <v>2</v>
      </c>
      <c r="AC547">
        <v>94</v>
      </c>
      <c r="AD547">
        <v>102</v>
      </c>
      <c r="AE547">
        <v>0</v>
      </c>
      <c r="AF547">
        <v>0</v>
      </c>
      <c r="AG547">
        <v>4</v>
      </c>
      <c r="AH547">
        <v>0</v>
      </c>
      <c r="AI547">
        <v>0</v>
      </c>
      <c r="AJ547">
        <v>0</v>
      </c>
      <c r="AK547">
        <v>1.4271499999999999</v>
      </c>
      <c r="AL547">
        <v>3</v>
      </c>
      <c r="AM547">
        <v>0</v>
      </c>
      <c r="AN547">
        <v>2437</v>
      </c>
      <c r="AO547">
        <v>59</v>
      </c>
      <c r="AP547">
        <v>0</v>
      </c>
      <c r="AQ547">
        <v>0</v>
      </c>
    </row>
    <row r="548" spans="1:43" x14ac:dyDescent="0.25">
      <c r="A548">
        <v>545</v>
      </c>
      <c r="B548">
        <v>11</v>
      </c>
      <c r="C548">
        <v>11</v>
      </c>
      <c r="D548">
        <v>3</v>
      </c>
      <c r="E548">
        <v>1270</v>
      </c>
      <c r="F548">
        <v>2934</v>
      </c>
      <c r="G548">
        <v>4023</v>
      </c>
      <c r="H548">
        <v>1669</v>
      </c>
      <c r="I548">
        <v>568</v>
      </c>
      <c r="J548">
        <v>752</v>
      </c>
      <c r="K548">
        <v>352</v>
      </c>
      <c r="L548">
        <v>236</v>
      </c>
      <c r="M548">
        <v>288</v>
      </c>
      <c r="N548">
        <v>375</v>
      </c>
      <c r="O548">
        <v>236</v>
      </c>
      <c r="P548">
        <v>163.89603299999999</v>
      </c>
      <c r="Q548">
        <v>58</v>
      </c>
      <c r="R548">
        <v>0.131765243</v>
      </c>
      <c r="S548">
        <v>1300</v>
      </c>
      <c r="T548">
        <v>175</v>
      </c>
      <c r="U548">
        <v>1236</v>
      </c>
      <c r="V548">
        <v>1848</v>
      </c>
      <c r="W548">
        <v>485</v>
      </c>
      <c r="X548">
        <v>521</v>
      </c>
      <c r="Y548">
        <v>34</v>
      </c>
      <c r="Z548">
        <v>311</v>
      </c>
      <c r="AA548">
        <v>885</v>
      </c>
      <c r="AB548">
        <v>1</v>
      </c>
      <c r="AC548">
        <v>32</v>
      </c>
      <c r="AD548">
        <v>37</v>
      </c>
      <c r="AE548">
        <v>0</v>
      </c>
      <c r="AF548">
        <v>0</v>
      </c>
      <c r="AG548">
        <v>4</v>
      </c>
      <c r="AH548">
        <v>0</v>
      </c>
      <c r="AI548">
        <v>0</v>
      </c>
      <c r="AJ548">
        <v>0</v>
      </c>
      <c r="AK548">
        <v>1.51115</v>
      </c>
      <c r="AL548">
        <v>3</v>
      </c>
      <c r="AM548">
        <v>0</v>
      </c>
      <c r="AN548">
        <v>1270</v>
      </c>
      <c r="AO548">
        <v>1089</v>
      </c>
      <c r="AP548">
        <v>0</v>
      </c>
      <c r="AQ548">
        <v>0</v>
      </c>
    </row>
    <row r="549" spans="1:43" x14ac:dyDescent="0.25">
      <c r="A549">
        <v>546</v>
      </c>
      <c r="B549">
        <v>11</v>
      </c>
      <c r="C549">
        <v>11</v>
      </c>
      <c r="D549">
        <v>3</v>
      </c>
      <c r="E549">
        <v>1974</v>
      </c>
      <c r="F549">
        <v>4259</v>
      </c>
      <c r="G549">
        <v>4274</v>
      </c>
      <c r="H549">
        <v>2950</v>
      </c>
      <c r="I549">
        <v>870</v>
      </c>
      <c r="J549">
        <v>1252</v>
      </c>
      <c r="K549">
        <v>227</v>
      </c>
      <c r="L549">
        <v>576</v>
      </c>
      <c r="M549">
        <v>380</v>
      </c>
      <c r="N549">
        <v>801</v>
      </c>
      <c r="O549">
        <v>470</v>
      </c>
      <c r="P549">
        <v>172.34108309999999</v>
      </c>
      <c r="Q549">
        <v>208.26336860000001</v>
      </c>
      <c r="R549">
        <v>6.3817979999999996E-2</v>
      </c>
      <c r="S549">
        <v>25960</v>
      </c>
      <c r="T549">
        <v>354</v>
      </c>
      <c r="U549">
        <v>488</v>
      </c>
      <c r="V549">
        <v>3423</v>
      </c>
      <c r="W549">
        <v>740</v>
      </c>
      <c r="X549">
        <v>257</v>
      </c>
      <c r="Y549">
        <v>59</v>
      </c>
      <c r="Z549">
        <v>1702</v>
      </c>
      <c r="AA549">
        <v>10476</v>
      </c>
      <c r="AB549">
        <v>4</v>
      </c>
      <c r="AC549">
        <v>385</v>
      </c>
      <c r="AD549">
        <v>13334</v>
      </c>
      <c r="AE549">
        <v>0</v>
      </c>
      <c r="AF549">
        <v>17.519412410000001</v>
      </c>
      <c r="AG549">
        <v>2</v>
      </c>
      <c r="AH549">
        <v>0</v>
      </c>
      <c r="AI549">
        <v>0</v>
      </c>
      <c r="AJ549">
        <v>0</v>
      </c>
      <c r="AK549">
        <v>3.5990500000000001</v>
      </c>
      <c r="AL549">
        <v>3</v>
      </c>
      <c r="AM549">
        <v>0</v>
      </c>
      <c r="AN549">
        <v>1974</v>
      </c>
      <c r="AO549">
        <v>15</v>
      </c>
      <c r="AP549">
        <v>0</v>
      </c>
      <c r="AQ549">
        <v>0</v>
      </c>
    </row>
    <row r="550" spans="1:43" x14ac:dyDescent="0.25">
      <c r="A550">
        <v>547</v>
      </c>
      <c r="B550">
        <v>11</v>
      </c>
      <c r="C550">
        <v>11</v>
      </c>
      <c r="D550">
        <v>3</v>
      </c>
      <c r="E550">
        <v>2939</v>
      </c>
      <c r="F550">
        <v>6826</v>
      </c>
      <c r="G550">
        <v>6906</v>
      </c>
      <c r="H550">
        <v>4527</v>
      </c>
      <c r="I550">
        <v>1449</v>
      </c>
      <c r="J550">
        <v>1522</v>
      </c>
      <c r="K550">
        <v>689</v>
      </c>
      <c r="L550">
        <v>341</v>
      </c>
      <c r="M550">
        <v>705</v>
      </c>
      <c r="N550">
        <v>1199</v>
      </c>
      <c r="O550">
        <v>475</v>
      </c>
      <c r="P550">
        <v>275.51967639999998</v>
      </c>
      <c r="Q550">
        <v>196</v>
      </c>
      <c r="R550">
        <v>0.13020372</v>
      </c>
      <c r="S550">
        <v>5849</v>
      </c>
      <c r="T550">
        <v>567</v>
      </c>
      <c r="U550">
        <v>1113</v>
      </c>
      <c r="V550">
        <v>3563</v>
      </c>
      <c r="W550">
        <v>1565</v>
      </c>
      <c r="X550">
        <v>912</v>
      </c>
      <c r="Y550">
        <v>162</v>
      </c>
      <c r="Z550">
        <v>1967</v>
      </c>
      <c r="AA550">
        <v>820</v>
      </c>
      <c r="AB550">
        <v>2</v>
      </c>
      <c r="AC550">
        <v>524</v>
      </c>
      <c r="AD550">
        <v>2374</v>
      </c>
      <c r="AE550">
        <v>0</v>
      </c>
      <c r="AF550">
        <v>0</v>
      </c>
      <c r="AG550">
        <v>3</v>
      </c>
      <c r="AH550">
        <v>0</v>
      </c>
      <c r="AI550">
        <v>0</v>
      </c>
      <c r="AJ550">
        <v>0</v>
      </c>
      <c r="AK550">
        <v>1.5114300000000001</v>
      </c>
      <c r="AL550">
        <v>3</v>
      </c>
      <c r="AM550">
        <v>0</v>
      </c>
      <c r="AN550">
        <v>2939</v>
      </c>
      <c r="AO550">
        <v>80</v>
      </c>
      <c r="AP550">
        <v>0</v>
      </c>
      <c r="AQ550">
        <v>0</v>
      </c>
    </row>
    <row r="551" spans="1:43" x14ac:dyDescent="0.25">
      <c r="A551">
        <v>548</v>
      </c>
      <c r="B551">
        <v>11</v>
      </c>
      <c r="C551">
        <v>11</v>
      </c>
      <c r="D551">
        <v>3</v>
      </c>
      <c r="E551">
        <v>3342</v>
      </c>
      <c r="F551">
        <v>7761</v>
      </c>
      <c r="G551">
        <v>7821</v>
      </c>
      <c r="H551">
        <v>4434</v>
      </c>
      <c r="I551">
        <v>1828</v>
      </c>
      <c r="J551">
        <v>1472</v>
      </c>
      <c r="K551">
        <v>894</v>
      </c>
      <c r="L551">
        <v>699</v>
      </c>
      <c r="M551">
        <v>842</v>
      </c>
      <c r="N551">
        <v>888</v>
      </c>
      <c r="O551">
        <v>455</v>
      </c>
      <c r="P551">
        <v>315.53895640000002</v>
      </c>
      <c r="Q551">
        <v>83</v>
      </c>
      <c r="R551">
        <v>0.17593457900000001</v>
      </c>
      <c r="S551">
        <v>1166</v>
      </c>
      <c r="T551">
        <v>430</v>
      </c>
      <c r="U551">
        <v>1050</v>
      </c>
      <c r="V551">
        <v>3438</v>
      </c>
      <c r="W551">
        <v>2295</v>
      </c>
      <c r="X551">
        <v>1123</v>
      </c>
      <c r="Y551">
        <v>71</v>
      </c>
      <c r="Z551">
        <v>191</v>
      </c>
      <c r="AA551">
        <v>699</v>
      </c>
      <c r="AB551">
        <v>2</v>
      </c>
      <c r="AC551">
        <v>116</v>
      </c>
      <c r="AD551">
        <v>87</v>
      </c>
      <c r="AE551">
        <v>0</v>
      </c>
      <c r="AF551">
        <v>0</v>
      </c>
      <c r="AG551">
        <v>4</v>
      </c>
      <c r="AH551">
        <v>0</v>
      </c>
      <c r="AI551">
        <v>0</v>
      </c>
      <c r="AJ551">
        <v>0</v>
      </c>
      <c r="AK551">
        <v>1.4360200000000001</v>
      </c>
      <c r="AL551">
        <v>3</v>
      </c>
      <c r="AM551">
        <v>0</v>
      </c>
      <c r="AN551">
        <v>3342</v>
      </c>
      <c r="AO551">
        <v>60</v>
      </c>
      <c r="AP551">
        <v>0</v>
      </c>
      <c r="AQ551">
        <v>0</v>
      </c>
    </row>
    <row r="552" spans="1:43" x14ac:dyDescent="0.25">
      <c r="A552">
        <v>549</v>
      </c>
      <c r="B552">
        <v>11</v>
      </c>
      <c r="C552">
        <v>11</v>
      </c>
      <c r="D552">
        <v>3</v>
      </c>
      <c r="E552">
        <v>2426</v>
      </c>
      <c r="F552">
        <v>4833</v>
      </c>
      <c r="G552">
        <v>4921</v>
      </c>
      <c r="H552">
        <v>2619</v>
      </c>
      <c r="I552">
        <v>392</v>
      </c>
      <c r="J552">
        <v>2133</v>
      </c>
      <c r="K552">
        <v>1157</v>
      </c>
      <c r="L552">
        <v>732</v>
      </c>
      <c r="M552">
        <v>273</v>
      </c>
      <c r="N552">
        <v>265</v>
      </c>
      <c r="O552">
        <v>199</v>
      </c>
      <c r="P552">
        <v>105.6637727</v>
      </c>
      <c r="Q552">
        <v>87</v>
      </c>
      <c r="R552">
        <v>0.19228462900000001</v>
      </c>
      <c r="S552">
        <v>2858</v>
      </c>
      <c r="T552">
        <v>276</v>
      </c>
      <c r="U552">
        <v>575</v>
      </c>
      <c r="V552">
        <v>2282</v>
      </c>
      <c r="W552">
        <v>967</v>
      </c>
      <c r="X552">
        <v>764</v>
      </c>
      <c r="Y552">
        <v>105</v>
      </c>
      <c r="Z552">
        <v>1293</v>
      </c>
      <c r="AA552">
        <v>1000</v>
      </c>
      <c r="AB552">
        <v>6</v>
      </c>
      <c r="AC552">
        <v>142</v>
      </c>
      <c r="AD552">
        <v>312</v>
      </c>
      <c r="AE552">
        <v>0</v>
      </c>
      <c r="AF552">
        <v>48.037098540000002</v>
      </c>
      <c r="AG552">
        <v>3</v>
      </c>
      <c r="AH552">
        <v>0</v>
      </c>
      <c r="AI552">
        <v>0</v>
      </c>
      <c r="AJ552">
        <v>0</v>
      </c>
      <c r="AK552">
        <v>3.64005</v>
      </c>
      <c r="AL552">
        <v>3</v>
      </c>
      <c r="AM552">
        <v>0</v>
      </c>
      <c r="AN552">
        <v>2426</v>
      </c>
      <c r="AO552">
        <v>88</v>
      </c>
      <c r="AP552">
        <v>0</v>
      </c>
      <c r="AQ552">
        <v>0</v>
      </c>
    </row>
    <row r="553" spans="1:43" x14ac:dyDescent="0.25">
      <c r="A553">
        <v>550</v>
      </c>
      <c r="B553">
        <v>11</v>
      </c>
      <c r="C553">
        <v>11</v>
      </c>
      <c r="D553">
        <v>3</v>
      </c>
      <c r="E553">
        <v>1510</v>
      </c>
      <c r="F553">
        <v>4007</v>
      </c>
      <c r="G553">
        <v>4055</v>
      </c>
      <c r="H553">
        <v>2494</v>
      </c>
      <c r="I553">
        <v>902</v>
      </c>
      <c r="J553">
        <v>564</v>
      </c>
      <c r="K553">
        <v>384</v>
      </c>
      <c r="L553">
        <v>326</v>
      </c>
      <c r="M553">
        <v>409</v>
      </c>
      <c r="N553">
        <v>378</v>
      </c>
      <c r="O553">
        <v>205</v>
      </c>
      <c r="P553">
        <v>180.23394630000001</v>
      </c>
      <c r="Q553">
        <v>24</v>
      </c>
      <c r="R553">
        <v>0.14131185299999999</v>
      </c>
      <c r="S553">
        <v>603</v>
      </c>
      <c r="T553">
        <v>172</v>
      </c>
      <c r="U553">
        <v>582</v>
      </c>
      <c r="V553">
        <v>2083</v>
      </c>
      <c r="W553">
        <v>941</v>
      </c>
      <c r="X553">
        <v>464</v>
      </c>
      <c r="Y553">
        <v>36</v>
      </c>
      <c r="Z553">
        <v>176</v>
      </c>
      <c r="AA553">
        <v>314</v>
      </c>
      <c r="AB553">
        <v>1</v>
      </c>
      <c r="AC553">
        <v>15</v>
      </c>
      <c r="AD553">
        <v>61</v>
      </c>
      <c r="AE553">
        <v>0</v>
      </c>
      <c r="AF553">
        <v>14.12855839</v>
      </c>
      <c r="AG553">
        <v>3</v>
      </c>
      <c r="AH553">
        <v>0</v>
      </c>
      <c r="AI553">
        <v>0</v>
      </c>
      <c r="AJ553">
        <v>0</v>
      </c>
      <c r="AK553">
        <v>1.3924799999999999</v>
      </c>
      <c r="AL553">
        <v>3</v>
      </c>
      <c r="AM553">
        <v>0</v>
      </c>
      <c r="AN553">
        <v>1510</v>
      </c>
      <c r="AO553">
        <v>48</v>
      </c>
      <c r="AP553">
        <v>0</v>
      </c>
      <c r="AQ553">
        <v>0</v>
      </c>
    </row>
    <row r="554" spans="1:43" x14ac:dyDescent="0.25">
      <c r="A554">
        <v>551</v>
      </c>
      <c r="B554">
        <v>11</v>
      </c>
      <c r="C554">
        <v>11</v>
      </c>
      <c r="D554">
        <v>3</v>
      </c>
      <c r="E554">
        <v>1875</v>
      </c>
      <c r="F554">
        <v>5185</v>
      </c>
      <c r="G554">
        <v>5441</v>
      </c>
      <c r="H554">
        <v>2653</v>
      </c>
      <c r="I554">
        <v>879</v>
      </c>
      <c r="J554">
        <v>929</v>
      </c>
      <c r="K554">
        <v>631</v>
      </c>
      <c r="L554">
        <v>603</v>
      </c>
      <c r="M554">
        <v>376</v>
      </c>
      <c r="N554">
        <v>264</v>
      </c>
      <c r="O554">
        <v>371</v>
      </c>
      <c r="P554">
        <v>225.40975800000001</v>
      </c>
      <c r="Q554">
        <v>95.313797010000002</v>
      </c>
      <c r="R554">
        <v>0.180597279</v>
      </c>
      <c r="S554">
        <v>1276</v>
      </c>
      <c r="T554">
        <v>288</v>
      </c>
      <c r="U554">
        <v>977</v>
      </c>
      <c r="V554">
        <v>1954</v>
      </c>
      <c r="W554">
        <v>1465</v>
      </c>
      <c r="X554">
        <v>831</v>
      </c>
      <c r="Y554">
        <v>106</v>
      </c>
      <c r="Z554">
        <v>153</v>
      </c>
      <c r="AA554">
        <v>553</v>
      </c>
      <c r="AB554">
        <v>1</v>
      </c>
      <c r="AC554">
        <v>272</v>
      </c>
      <c r="AD554">
        <v>191</v>
      </c>
      <c r="AE554">
        <v>0</v>
      </c>
      <c r="AF554">
        <v>0</v>
      </c>
      <c r="AG554">
        <v>4</v>
      </c>
      <c r="AH554">
        <v>1298</v>
      </c>
      <c r="AI554">
        <v>0</v>
      </c>
      <c r="AJ554">
        <v>0</v>
      </c>
      <c r="AK554">
        <v>1.52935</v>
      </c>
      <c r="AL554">
        <v>3</v>
      </c>
      <c r="AM554">
        <v>0</v>
      </c>
      <c r="AN554">
        <v>1875</v>
      </c>
      <c r="AO554">
        <v>256</v>
      </c>
      <c r="AP554">
        <v>0</v>
      </c>
      <c r="AQ554">
        <v>0</v>
      </c>
    </row>
    <row r="555" spans="1:43" x14ac:dyDescent="0.25">
      <c r="A555">
        <v>552</v>
      </c>
      <c r="B555">
        <v>11</v>
      </c>
      <c r="C555">
        <v>11</v>
      </c>
      <c r="D555">
        <v>3</v>
      </c>
      <c r="E555">
        <v>1351</v>
      </c>
      <c r="F555">
        <v>3805</v>
      </c>
      <c r="G555">
        <v>3805</v>
      </c>
      <c r="H555">
        <v>1870</v>
      </c>
      <c r="I555">
        <v>909</v>
      </c>
      <c r="J555">
        <v>417</v>
      </c>
      <c r="K555">
        <v>465</v>
      </c>
      <c r="L555">
        <v>498</v>
      </c>
      <c r="M555">
        <v>179</v>
      </c>
      <c r="N555">
        <v>212</v>
      </c>
      <c r="O555">
        <v>151</v>
      </c>
      <c r="P555">
        <v>125</v>
      </c>
      <c r="Q555">
        <v>14</v>
      </c>
      <c r="R555">
        <v>0.116133686</v>
      </c>
      <c r="S555">
        <v>389</v>
      </c>
      <c r="T555">
        <v>413</v>
      </c>
      <c r="U555">
        <v>750</v>
      </c>
      <c r="V555">
        <v>1545</v>
      </c>
      <c r="W555">
        <v>968</v>
      </c>
      <c r="X555">
        <v>390</v>
      </c>
      <c r="Y555">
        <v>5</v>
      </c>
      <c r="Z555">
        <v>64</v>
      </c>
      <c r="AA555">
        <v>170</v>
      </c>
      <c r="AB555">
        <v>1</v>
      </c>
      <c r="AC555">
        <v>14</v>
      </c>
      <c r="AD555">
        <v>135</v>
      </c>
      <c r="AE555">
        <v>0</v>
      </c>
      <c r="AF555">
        <v>0</v>
      </c>
      <c r="AG555">
        <v>3</v>
      </c>
      <c r="AH555">
        <v>0</v>
      </c>
      <c r="AI555">
        <v>0</v>
      </c>
      <c r="AJ555">
        <v>0</v>
      </c>
      <c r="AK555">
        <v>1.5435000000000001</v>
      </c>
      <c r="AL555">
        <v>3</v>
      </c>
      <c r="AM555">
        <v>0</v>
      </c>
      <c r="AN555">
        <v>1351</v>
      </c>
      <c r="AO555">
        <v>0</v>
      </c>
      <c r="AP555">
        <v>0</v>
      </c>
      <c r="AQ555">
        <v>0</v>
      </c>
    </row>
    <row r="556" spans="1:43" x14ac:dyDescent="0.25">
      <c r="A556">
        <v>553</v>
      </c>
      <c r="B556">
        <v>11</v>
      </c>
      <c r="C556">
        <v>11</v>
      </c>
      <c r="D556">
        <v>3</v>
      </c>
      <c r="E556">
        <v>1242</v>
      </c>
      <c r="F556">
        <v>3853</v>
      </c>
      <c r="G556">
        <v>3960</v>
      </c>
      <c r="H556">
        <v>1836</v>
      </c>
      <c r="I556">
        <v>1057</v>
      </c>
      <c r="J556">
        <v>151</v>
      </c>
      <c r="K556">
        <v>372</v>
      </c>
      <c r="L556">
        <v>296</v>
      </c>
      <c r="M556">
        <v>188</v>
      </c>
      <c r="N556">
        <v>385</v>
      </c>
      <c r="O556">
        <v>205</v>
      </c>
      <c r="P556">
        <v>117.5012799</v>
      </c>
      <c r="Q556">
        <v>18</v>
      </c>
      <c r="R556">
        <v>0.13341346200000001</v>
      </c>
      <c r="S556">
        <v>251</v>
      </c>
      <c r="T556">
        <v>249</v>
      </c>
      <c r="U556">
        <v>665</v>
      </c>
      <c r="V556">
        <v>1760</v>
      </c>
      <c r="W556">
        <v>906</v>
      </c>
      <c r="X556">
        <v>471</v>
      </c>
      <c r="Y556">
        <v>21</v>
      </c>
      <c r="Z556">
        <v>13</v>
      </c>
      <c r="AA556">
        <v>168</v>
      </c>
      <c r="AB556">
        <v>0</v>
      </c>
      <c r="AC556">
        <v>32</v>
      </c>
      <c r="AD556">
        <v>17</v>
      </c>
      <c r="AE556">
        <v>0</v>
      </c>
      <c r="AF556">
        <v>0</v>
      </c>
      <c r="AG556">
        <v>3</v>
      </c>
      <c r="AH556">
        <v>0</v>
      </c>
      <c r="AI556">
        <v>0</v>
      </c>
      <c r="AJ556">
        <v>0</v>
      </c>
      <c r="AK556">
        <v>1.6256299999999999</v>
      </c>
      <c r="AL556">
        <v>3</v>
      </c>
      <c r="AM556">
        <v>0</v>
      </c>
      <c r="AN556">
        <v>1242</v>
      </c>
      <c r="AO556">
        <v>107</v>
      </c>
      <c r="AP556">
        <v>0</v>
      </c>
      <c r="AQ556">
        <v>0</v>
      </c>
    </row>
    <row r="557" spans="1:43" x14ac:dyDescent="0.25">
      <c r="A557">
        <v>554</v>
      </c>
      <c r="B557">
        <v>11</v>
      </c>
      <c r="C557">
        <v>11</v>
      </c>
      <c r="D557">
        <v>3</v>
      </c>
      <c r="E557">
        <v>1125</v>
      </c>
      <c r="F557">
        <v>2880</v>
      </c>
      <c r="G557">
        <v>3443</v>
      </c>
      <c r="H557">
        <v>1610</v>
      </c>
      <c r="I557">
        <v>726</v>
      </c>
      <c r="J557">
        <v>516</v>
      </c>
      <c r="K557">
        <v>398</v>
      </c>
      <c r="L557">
        <v>126</v>
      </c>
      <c r="M557">
        <v>218</v>
      </c>
      <c r="N557">
        <v>395</v>
      </c>
      <c r="O557">
        <v>182</v>
      </c>
      <c r="P557">
        <v>154</v>
      </c>
      <c r="Q557">
        <v>25</v>
      </c>
      <c r="R557">
        <v>0.125769136</v>
      </c>
      <c r="S557">
        <v>642</v>
      </c>
      <c r="T557">
        <v>130</v>
      </c>
      <c r="U557">
        <v>729</v>
      </c>
      <c r="V557">
        <v>1739</v>
      </c>
      <c r="W557">
        <v>961</v>
      </c>
      <c r="X557">
        <v>390</v>
      </c>
      <c r="Y557">
        <v>53</v>
      </c>
      <c r="Z557">
        <v>116</v>
      </c>
      <c r="AA557">
        <v>395</v>
      </c>
      <c r="AB557">
        <v>1</v>
      </c>
      <c r="AC557">
        <v>16</v>
      </c>
      <c r="AD557">
        <v>61</v>
      </c>
      <c r="AE557">
        <v>0</v>
      </c>
      <c r="AF557">
        <v>15.8239854</v>
      </c>
      <c r="AG557">
        <v>3</v>
      </c>
      <c r="AH557">
        <v>0</v>
      </c>
      <c r="AI557">
        <v>0</v>
      </c>
      <c r="AJ557">
        <v>0</v>
      </c>
      <c r="AK557">
        <v>1.5051699999999999</v>
      </c>
      <c r="AL557">
        <v>3</v>
      </c>
      <c r="AM557">
        <v>0</v>
      </c>
      <c r="AN557">
        <v>1125</v>
      </c>
      <c r="AO557">
        <v>563</v>
      </c>
      <c r="AP557">
        <v>0</v>
      </c>
      <c r="AQ557">
        <v>0</v>
      </c>
    </row>
    <row r="558" spans="1:43" x14ac:dyDescent="0.25">
      <c r="A558">
        <v>555</v>
      </c>
      <c r="B558">
        <v>11</v>
      </c>
      <c r="C558">
        <v>11</v>
      </c>
      <c r="D558">
        <v>3</v>
      </c>
      <c r="E558">
        <v>2809</v>
      </c>
      <c r="F558">
        <v>6840</v>
      </c>
      <c r="G558">
        <v>6989</v>
      </c>
      <c r="H558">
        <v>4320</v>
      </c>
      <c r="I558">
        <v>919</v>
      </c>
      <c r="J558">
        <v>1987</v>
      </c>
      <c r="K558">
        <v>1004</v>
      </c>
      <c r="L558">
        <v>798</v>
      </c>
      <c r="M558">
        <v>501</v>
      </c>
      <c r="N558">
        <v>484</v>
      </c>
      <c r="O558">
        <v>302</v>
      </c>
      <c r="P558">
        <v>169.4379275</v>
      </c>
      <c r="Q558">
        <v>72</v>
      </c>
      <c r="R558">
        <v>7.4901266999999994E-2</v>
      </c>
      <c r="S558">
        <v>849</v>
      </c>
      <c r="T558">
        <v>248</v>
      </c>
      <c r="U558">
        <v>893</v>
      </c>
      <c r="V558">
        <v>4620</v>
      </c>
      <c r="W558">
        <v>993</v>
      </c>
      <c r="X558">
        <v>411</v>
      </c>
      <c r="Y558">
        <v>47</v>
      </c>
      <c r="Z558">
        <v>80</v>
      </c>
      <c r="AA558">
        <v>617</v>
      </c>
      <c r="AB558">
        <v>1</v>
      </c>
      <c r="AC558">
        <v>76</v>
      </c>
      <c r="AD558">
        <v>28</v>
      </c>
      <c r="AE558">
        <v>0</v>
      </c>
      <c r="AF558">
        <v>0</v>
      </c>
      <c r="AG558">
        <v>3</v>
      </c>
      <c r="AH558">
        <v>686</v>
      </c>
      <c r="AI558">
        <v>0</v>
      </c>
      <c r="AJ558">
        <v>0</v>
      </c>
      <c r="AK558">
        <v>1.62568</v>
      </c>
      <c r="AL558">
        <v>3</v>
      </c>
      <c r="AM558">
        <v>0</v>
      </c>
      <c r="AN558">
        <v>2809</v>
      </c>
      <c r="AO558">
        <v>149</v>
      </c>
      <c r="AP558">
        <v>0</v>
      </c>
      <c r="AQ558">
        <v>0</v>
      </c>
    </row>
    <row r="559" spans="1:43" x14ac:dyDescent="0.25">
      <c r="A559">
        <v>556</v>
      </c>
      <c r="B559">
        <v>11</v>
      </c>
      <c r="C559">
        <v>11</v>
      </c>
      <c r="D559">
        <v>3</v>
      </c>
      <c r="E559">
        <v>564</v>
      </c>
      <c r="F559">
        <v>1628</v>
      </c>
      <c r="G559">
        <v>5492</v>
      </c>
      <c r="H559">
        <v>827</v>
      </c>
      <c r="I559">
        <v>63</v>
      </c>
      <c r="J559">
        <v>536</v>
      </c>
      <c r="K559">
        <v>349</v>
      </c>
      <c r="L559">
        <v>160</v>
      </c>
      <c r="M559">
        <v>40</v>
      </c>
      <c r="N559">
        <v>9</v>
      </c>
      <c r="O559">
        <v>61</v>
      </c>
      <c r="P559">
        <v>24</v>
      </c>
      <c r="Q559">
        <v>37</v>
      </c>
      <c r="R559">
        <v>2.6880555E-2</v>
      </c>
      <c r="S559">
        <v>380</v>
      </c>
      <c r="T559">
        <v>34</v>
      </c>
      <c r="U559">
        <v>2128</v>
      </c>
      <c r="V559">
        <v>1972</v>
      </c>
      <c r="W559">
        <v>308</v>
      </c>
      <c r="X559">
        <v>62</v>
      </c>
      <c r="Y559">
        <v>3</v>
      </c>
      <c r="Z559">
        <v>21</v>
      </c>
      <c r="AA559">
        <v>341</v>
      </c>
      <c r="AB559">
        <v>0</v>
      </c>
      <c r="AC559">
        <v>7</v>
      </c>
      <c r="AD559">
        <v>8</v>
      </c>
      <c r="AE559">
        <v>0</v>
      </c>
      <c r="AF559">
        <v>25.996547450000001</v>
      </c>
      <c r="AG559">
        <v>1</v>
      </c>
      <c r="AH559">
        <v>0</v>
      </c>
      <c r="AI559">
        <v>0</v>
      </c>
      <c r="AJ559">
        <v>0</v>
      </c>
      <c r="AK559">
        <v>4.0183</v>
      </c>
      <c r="AL559">
        <v>3</v>
      </c>
      <c r="AM559">
        <v>0</v>
      </c>
      <c r="AN559">
        <v>564</v>
      </c>
      <c r="AO559">
        <v>3864</v>
      </c>
      <c r="AP559">
        <v>0</v>
      </c>
      <c r="AQ559">
        <v>0</v>
      </c>
    </row>
    <row r="560" spans="1:43" x14ac:dyDescent="0.25">
      <c r="A560">
        <v>557</v>
      </c>
      <c r="B560">
        <v>11</v>
      </c>
      <c r="C560">
        <v>11</v>
      </c>
      <c r="D560">
        <v>3</v>
      </c>
      <c r="E560">
        <v>2258</v>
      </c>
      <c r="F560">
        <v>4120</v>
      </c>
      <c r="G560">
        <v>4247</v>
      </c>
      <c r="H560">
        <v>2469</v>
      </c>
      <c r="I560">
        <v>91</v>
      </c>
      <c r="J560">
        <v>2242</v>
      </c>
      <c r="K560">
        <v>884</v>
      </c>
      <c r="L560">
        <v>405</v>
      </c>
      <c r="M560">
        <v>452</v>
      </c>
      <c r="N560">
        <v>502</v>
      </c>
      <c r="O560">
        <v>179</v>
      </c>
      <c r="P560">
        <v>21.386742049999999</v>
      </c>
      <c r="Q560">
        <v>158</v>
      </c>
      <c r="R560">
        <v>0.12895267999999999</v>
      </c>
      <c r="S560">
        <v>9383</v>
      </c>
      <c r="T560">
        <v>48</v>
      </c>
      <c r="U560">
        <v>442</v>
      </c>
      <c r="V560">
        <v>2665</v>
      </c>
      <c r="W560">
        <v>711</v>
      </c>
      <c r="X560">
        <v>484</v>
      </c>
      <c r="Y560">
        <v>133</v>
      </c>
      <c r="Z560">
        <v>602</v>
      </c>
      <c r="AA560">
        <v>5289</v>
      </c>
      <c r="AB560">
        <v>4</v>
      </c>
      <c r="AC560">
        <v>179</v>
      </c>
      <c r="AD560">
        <v>3176</v>
      </c>
      <c r="AE560">
        <v>128.28731020000001</v>
      </c>
      <c r="AF560">
        <v>75.729073</v>
      </c>
      <c r="AG560">
        <v>1</v>
      </c>
      <c r="AH560">
        <v>0</v>
      </c>
      <c r="AI560">
        <v>28221</v>
      </c>
      <c r="AJ560">
        <v>11984</v>
      </c>
      <c r="AK560">
        <v>3.6990799999999999</v>
      </c>
      <c r="AL560">
        <v>3</v>
      </c>
      <c r="AM560">
        <v>0</v>
      </c>
      <c r="AN560">
        <v>2258</v>
      </c>
      <c r="AO560">
        <v>127</v>
      </c>
      <c r="AP560">
        <v>0</v>
      </c>
      <c r="AQ560">
        <v>0</v>
      </c>
    </row>
    <row r="561" spans="1:43" x14ac:dyDescent="0.25">
      <c r="A561">
        <v>558</v>
      </c>
      <c r="B561">
        <v>11</v>
      </c>
      <c r="C561">
        <v>11</v>
      </c>
      <c r="D561">
        <v>3</v>
      </c>
      <c r="E561">
        <v>2486</v>
      </c>
      <c r="F561">
        <v>4359</v>
      </c>
      <c r="G561">
        <v>4530</v>
      </c>
      <c r="H561">
        <v>3063</v>
      </c>
      <c r="I561">
        <v>373</v>
      </c>
      <c r="J561">
        <v>2457</v>
      </c>
      <c r="K561">
        <v>686</v>
      </c>
      <c r="L561">
        <v>303</v>
      </c>
      <c r="M561">
        <v>461</v>
      </c>
      <c r="N561">
        <v>1039</v>
      </c>
      <c r="O561">
        <v>408</v>
      </c>
      <c r="P561">
        <v>56.848708960000003</v>
      </c>
      <c r="Q561">
        <v>236.58555029999999</v>
      </c>
      <c r="R561">
        <v>0.12536248</v>
      </c>
      <c r="S561">
        <v>20102</v>
      </c>
      <c r="T561">
        <v>70</v>
      </c>
      <c r="U561">
        <v>233</v>
      </c>
      <c r="V561">
        <v>2623</v>
      </c>
      <c r="W561">
        <v>967</v>
      </c>
      <c r="X561">
        <v>493</v>
      </c>
      <c r="Y561">
        <v>194</v>
      </c>
      <c r="Z561">
        <v>9140</v>
      </c>
      <c r="AA561">
        <v>3078</v>
      </c>
      <c r="AB561">
        <v>19</v>
      </c>
      <c r="AC561">
        <v>407</v>
      </c>
      <c r="AD561">
        <v>7264</v>
      </c>
      <c r="AE561">
        <v>110.7678978</v>
      </c>
      <c r="AF561">
        <v>38.994821170000002</v>
      </c>
      <c r="AG561">
        <v>1</v>
      </c>
      <c r="AH561">
        <v>0</v>
      </c>
      <c r="AI561">
        <v>0</v>
      </c>
      <c r="AJ561">
        <v>0</v>
      </c>
      <c r="AK561">
        <v>3.9460600000000001</v>
      </c>
      <c r="AL561">
        <v>3</v>
      </c>
      <c r="AM561">
        <v>0</v>
      </c>
      <c r="AN561">
        <v>2486</v>
      </c>
      <c r="AO561">
        <v>171</v>
      </c>
      <c r="AP561">
        <v>0</v>
      </c>
      <c r="AQ561">
        <v>0</v>
      </c>
    </row>
    <row r="562" spans="1:43" x14ac:dyDescent="0.25">
      <c r="A562">
        <v>559</v>
      </c>
      <c r="B562">
        <v>11</v>
      </c>
      <c r="C562">
        <v>11</v>
      </c>
      <c r="D562">
        <v>3</v>
      </c>
      <c r="E562">
        <v>1751</v>
      </c>
      <c r="F562">
        <v>4512</v>
      </c>
      <c r="G562">
        <v>4519</v>
      </c>
      <c r="H562">
        <v>2597</v>
      </c>
      <c r="I562">
        <v>1539</v>
      </c>
      <c r="J562">
        <v>281</v>
      </c>
      <c r="K562">
        <v>276</v>
      </c>
      <c r="L562">
        <v>438</v>
      </c>
      <c r="M562">
        <v>342</v>
      </c>
      <c r="N562">
        <v>703</v>
      </c>
      <c r="O562">
        <v>381</v>
      </c>
      <c r="P562">
        <v>288.91558900000001</v>
      </c>
      <c r="Q562">
        <v>48</v>
      </c>
      <c r="R562">
        <v>0.18606663800000001</v>
      </c>
      <c r="S562">
        <v>805</v>
      </c>
      <c r="T562">
        <v>385</v>
      </c>
      <c r="U562">
        <v>652</v>
      </c>
      <c r="V562">
        <v>1732</v>
      </c>
      <c r="W562">
        <v>1062</v>
      </c>
      <c r="X562">
        <v>660</v>
      </c>
      <c r="Y562">
        <v>33</v>
      </c>
      <c r="Z562">
        <v>137</v>
      </c>
      <c r="AA562">
        <v>483</v>
      </c>
      <c r="AB562">
        <v>2</v>
      </c>
      <c r="AC562">
        <v>53</v>
      </c>
      <c r="AD562">
        <v>97</v>
      </c>
      <c r="AE562">
        <v>0</v>
      </c>
      <c r="AF562">
        <v>0</v>
      </c>
      <c r="AG562">
        <v>4</v>
      </c>
      <c r="AH562">
        <v>0</v>
      </c>
      <c r="AI562">
        <v>0</v>
      </c>
      <c r="AJ562">
        <v>0</v>
      </c>
      <c r="AK562">
        <v>1.2740499999999999</v>
      </c>
      <c r="AL562">
        <v>3</v>
      </c>
      <c r="AM562">
        <v>0</v>
      </c>
      <c r="AN562">
        <v>1751</v>
      </c>
      <c r="AO562">
        <v>7</v>
      </c>
      <c r="AP562">
        <v>0</v>
      </c>
      <c r="AQ562">
        <v>0</v>
      </c>
    </row>
    <row r="563" spans="1:43" x14ac:dyDescent="0.25">
      <c r="A563">
        <v>560</v>
      </c>
      <c r="B563">
        <v>11</v>
      </c>
      <c r="C563">
        <v>11</v>
      </c>
      <c r="D563">
        <v>3</v>
      </c>
      <c r="E563">
        <v>1423</v>
      </c>
      <c r="F563">
        <v>4003</v>
      </c>
      <c r="G563">
        <v>4215</v>
      </c>
      <c r="H563">
        <v>2188</v>
      </c>
      <c r="I563">
        <v>861</v>
      </c>
      <c r="J563">
        <v>675</v>
      </c>
      <c r="K563">
        <v>486</v>
      </c>
      <c r="L563">
        <v>291</v>
      </c>
      <c r="M563">
        <v>284</v>
      </c>
      <c r="N563">
        <v>366</v>
      </c>
      <c r="O563">
        <v>254</v>
      </c>
      <c r="P563">
        <v>174.22835449999999</v>
      </c>
      <c r="Q563">
        <v>18</v>
      </c>
      <c r="R563">
        <v>7.5235109999999994E-2</v>
      </c>
      <c r="S563">
        <v>2589</v>
      </c>
      <c r="T563">
        <v>396</v>
      </c>
      <c r="U563">
        <v>863</v>
      </c>
      <c r="V563">
        <v>1909</v>
      </c>
      <c r="W563">
        <v>955</v>
      </c>
      <c r="X563">
        <v>242</v>
      </c>
      <c r="Y563">
        <v>47</v>
      </c>
      <c r="Z563">
        <v>1209</v>
      </c>
      <c r="AA563">
        <v>1057</v>
      </c>
      <c r="AB563">
        <v>2</v>
      </c>
      <c r="AC563">
        <v>187</v>
      </c>
      <c r="AD563">
        <v>87</v>
      </c>
      <c r="AE563">
        <v>109.0724708</v>
      </c>
      <c r="AF563">
        <v>17.519412410000001</v>
      </c>
      <c r="AG563">
        <v>3</v>
      </c>
      <c r="AH563">
        <v>0</v>
      </c>
      <c r="AI563">
        <v>335</v>
      </c>
      <c r="AJ563">
        <v>0</v>
      </c>
      <c r="AK563">
        <v>4.7478100000000003</v>
      </c>
      <c r="AL563">
        <v>3</v>
      </c>
      <c r="AM563">
        <v>0</v>
      </c>
      <c r="AN563">
        <v>1423</v>
      </c>
      <c r="AO563">
        <v>212</v>
      </c>
      <c r="AP563">
        <v>0</v>
      </c>
      <c r="AQ563">
        <v>0</v>
      </c>
    </row>
    <row r="564" spans="1:43" x14ac:dyDescent="0.25">
      <c r="A564">
        <v>561</v>
      </c>
      <c r="B564">
        <v>11</v>
      </c>
      <c r="C564">
        <v>11</v>
      </c>
      <c r="D564">
        <v>3</v>
      </c>
      <c r="E564">
        <v>1460</v>
      </c>
      <c r="F564">
        <v>3912</v>
      </c>
      <c r="G564">
        <v>3922</v>
      </c>
      <c r="H564">
        <v>1879</v>
      </c>
      <c r="I564">
        <v>540</v>
      </c>
      <c r="J564">
        <v>900</v>
      </c>
      <c r="K564">
        <v>574</v>
      </c>
      <c r="L564">
        <v>466</v>
      </c>
      <c r="M564">
        <v>269</v>
      </c>
      <c r="N564">
        <v>163</v>
      </c>
      <c r="O564">
        <v>283</v>
      </c>
      <c r="P564">
        <v>92.395101830000002</v>
      </c>
      <c r="Q564">
        <v>184</v>
      </c>
      <c r="R564">
        <v>0.115952733</v>
      </c>
      <c r="S564">
        <v>1176</v>
      </c>
      <c r="T564">
        <v>362</v>
      </c>
      <c r="U564">
        <v>557</v>
      </c>
      <c r="V564">
        <v>1691</v>
      </c>
      <c r="W564">
        <v>1012</v>
      </c>
      <c r="X564">
        <v>347</v>
      </c>
      <c r="Y564">
        <v>74</v>
      </c>
      <c r="Z564">
        <v>210</v>
      </c>
      <c r="AA564">
        <v>470</v>
      </c>
      <c r="AB564">
        <v>9</v>
      </c>
      <c r="AC564">
        <v>288</v>
      </c>
      <c r="AD564">
        <v>125</v>
      </c>
      <c r="AE564">
        <v>0</v>
      </c>
      <c r="AF564">
        <v>0</v>
      </c>
      <c r="AG564">
        <v>4</v>
      </c>
      <c r="AH564">
        <v>0</v>
      </c>
      <c r="AI564">
        <v>0</v>
      </c>
      <c r="AJ564">
        <v>0</v>
      </c>
      <c r="AK564">
        <v>1.3507400000000001</v>
      </c>
      <c r="AL564">
        <v>3</v>
      </c>
      <c r="AM564">
        <v>0</v>
      </c>
      <c r="AN564">
        <v>1460</v>
      </c>
      <c r="AO564">
        <v>10</v>
      </c>
      <c r="AP564">
        <v>0</v>
      </c>
      <c r="AQ564">
        <v>0</v>
      </c>
    </row>
    <row r="565" spans="1:43" x14ac:dyDescent="0.25">
      <c r="A565">
        <v>562</v>
      </c>
      <c r="B565">
        <v>11</v>
      </c>
      <c r="C565">
        <v>11</v>
      </c>
      <c r="D565">
        <v>3</v>
      </c>
      <c r="E565">
        <v>1354</v>
      </c>
      <c r="F565">
        <v>4154</v>
      </c>
      <c r="G565">
        <v>4184</v>
      </c>
      <c r="H565">
        <v>2264</v>
      </c>
      <c r="I565">
        <v>814</v>
      </c>
      <c r="J565">
        <v>456</v>
      </c>
      <c r="K565">
        <v>453</v>
      </c>
      <c r="L565">
        <v>368</v>
      </c>
      <c r="M565">
        <v>248</v>
      </c>
      <c r="N565">
        <v>287</v>
      </c>
      <c r="O565">
        <v>170</v>
      </c>
      <c r="P565">
        <v>105.52457939999999</v>
      </c>
      <c r="Q565">
        <v>32</v>
      </c>
      <c r="R565">
        <v>0.10116402100000001</v>
      </c>
      <c r="S565">
        <v>468</v>
      </c>
      <c r="T565">
        <v>326</v>
      </c>
      <c r="U565">
        <v>925</v>
      </c>
      <c r="V565">
        <v>2137</v>
      </c>
      <c r="W565">
        <v>776</v>
      </c>
      <c r="X565">
        <v>442</v>
      </c>
      <c r="Y565">
        <v>58</v>
      </c>
      <c r="Z565">
        <v>56</v>
      </c>
      <c r="AA565">
        <v>243</v>
      </c>
      <c r="AB565">
        <v>1</v>
      </c>
      <c r="AC565">
        <v>18</v>
      </c>
      <c r="AD565">
        <v>92</v>
      </c>
      <c r="AE565">
        <v>0</v>
      </c>
      <c r="AF565">
        <v>0</v>
      </c>
      <c r="AG565">
        <v>4</v>
      </c>
      <c r="AH565">
        <v>0</v>
      </c>
      <c r="AI565">
        <v>0</v>
      </c>
      <c r="AJ565">
        <v>0</v>
      </c>
      <c r="AK565">
        <v>1.7144900000000001</v>
      </c>
      <c r="AL565">
        <v>3</v>
      </c>
      <c r="AM565">
        <v>0</v>
      </c>
      <c r="AN565">
        <v>1354</v>
      </c>
      <c r="AO565">
        <v>30</v>
      </c>
      <c r="AP565">
        <v>0</v>
      </c>
      <c r="AQ565">
        <v>0</v>
      </c>
    </row>
    <row r="566" spans="1:43" x14ac:dyDescent="0.25">
      <c r="A566">
        <v>563</v>
      </c>
      <c r="B566">
        <v>11</v>
      </c>
      <c r="C566">
        <v>11</v>
      </c>
      <c r="D566">
        <v>3</v>
      </c>
      <c r="E566">
        <v>4485</v>
      </c>
      <c r="F566">
        <v>11084</v>
      </c>
      <c r="G566">
        <v>11641</v>
      </c>
      <c r="H566">
        <v>5597</v>
      </c>
      <c r="I566">
        <v>1640</v>
      </c>
      <c r="J566">
        <v>2803</v>
      </c>
      <c r="K566">
        <v>2095</v>
      </c>
      <c r="L566">
        <v>1162</v>
      </c>
      <c r="M566">
        <v>833</v>
      </c>
      <c r="N566">
        <v>411</v>
      </c>
      <c r="O566">
        <v>1599</v>
      </c>
      <c r="P566">
        <v>387</v>
      </c>
      <c r="Q566">
        <v>954.50354030000005</v>
      </c>
      <c r="R566">
        <v>0.17681537</v>
      </c>
      <c r="S566">
        <v>15306</v>
      </c>
      <c r="T566">
        <v>392</v>
      </c>
      <c r="U566">
        <v>2626</v>
      </c>
      <c r="V566">
        <v>4268</v>
      </c>
      <c r="W566">
        <v>2954</v>
      </c>
      <c r="X566">
        <v>1769</v>
      </c>
      <c r="Y566">
        <v>1453</v>
      </c>
      <c r="Z566">
        <v>1923</v>
      </c>
      <c r="AA566">
        <v>3234</v>
      </c>
      <c r="AB566">
        <v>15</v>
      </c>
      <c r="AC566">
        <v>4992</v>
      </c>
      <c r="AD566">
        <v>3689</v>
      </c>
      <c r="AE566">
        <v>0</v>
      </c>
      <c r="AF566">
        <v>0</v>
      </c>
      <c r="AG566">
        <v>4</v>
      </c>
      <c r="AH566">
        <v>1837</v>
      </c>
      <c r="AI566">
        <v>0</v>
      </c>
      <c r="AJ566">
        <v>0</v>
      </c>
      <c r="AK566">
        <v>1.5749500000000001</v>
      </c>
      <c r="AL566">
        <v>3</v>
      </c>
      <c r="AM566">
        <v>0</v>
      </c>
      <c r="AN566">
        <v>4485</v>
      </c>
      <c r="AO566">
        <v>557</v>
      </c>
      <c r="AP566">
        <v>0</v>
      </c>
      <c r="AQ566">
        <v>0</v>
      </c>
    </row>
    <row r="567" spans="1:43" x14ac:dyDescent="0.25">
      <c r="A567">
        <v>564</v>
      </c>
      <c r="B567">
        <v>11</v>
      </c>
      <c r="C567">
        <v>11</v>
      </c>
      <c r="D567">
        <v>3</v>
      </c>
      <c r="E567">
        <v>3278</v>
      </c>
      <c r="F567">
        <v>9250</v>
      </c>
      <c r="G567">
        <v>9281</v>
      </c>
      <c r="H567">
        <v>4802</v>
      </c>
      <c r="I567">
        <v>1524</v>
      </c>
      <c r="J567">
        <v>1704</v>
      </c>
      <c r="K567">
        <v>764</v>
      </c>
      <c r="L567">
        <v>730</v>
      </c>
      <c r="M567">
        <v>871</v>
      </c>
      <c r="N567">
        <v>914</v>
      </c>
      <c r="O567">
        <v>580</v>
      </c>
      <c r="P567">
        <v>306.76953650000002</v>
      </c>
      <c r="Q567">
        <v>175</v>
      </c>
      <c r="R567">
        <v>0.13723200999999999</v>
      </c>
      <c r="S567">
        <v>1659</v>
      </c>
      <c r="T567">
        <v>492</v>
      </c>
      <c r="U567">
        <v>1654</v>
      </c>
      <c r="V567">
        <v>3620</v>
      </c>
      <c r="W567">
        <v>2426</v>
      </c>
      <c r="X567">
        <v>1003</v>
      </c>
      <c r="Y567">
        <v>630</v>
      </c>
      <c r="Z567">
        <v>147</v>
      </c>
      <c r="AA567">
        <v>754</v>
      </c>
      <c r="AB567">
        <v>1</v>
      </c>
      <c r="AC567">
        <v>35</v>
      </c>
      <c r="AD567">
        <v>92</v>
      </c>
      <c r="AE567">
        <v>0</v>
      </c>
      <c r="AF567">
        <v>0</v>
      </c>
      <c r="AG567">
        <v>4</v>
      </c>
      <c r="AH567">
        <v>499</v>
      </c>
      <c r="AI567">
        <v>0</v>
      </c>
      <c r="AJ567">
        <v>0</v>
      </c>
      <c r="AK567">
        <v>1.3474900000000001</v>
      </c>
      <c r="AL567">
        <v>2</v>
      </c>
      <c r="AM567">
        <v>0</v>
      </c>
      <c r="AN567">
        <v>3278</v>
      </c>
      <c r="AO567">
        <v>31</v>
      </c>
      <c r="AP567">
        <v>0</v>
      </c>
      <c r="AQ567">
        <v>0</v>
      </c>
    </row>
    <row r="568" spans="1:43" x14ac:dyDescent="0.25">
      <c r="A568">
        <v>565</v>
      </c>
      <c r="B568">
        <v>11</v>
      </c>
      <c r="C568">
        <v>11</v>
      </c>
      <c r="D568">
        <v>3</v>
      </c>
      <c r="E568">
        <v>2454</v>
      </c>
      <c r="F568">
        <v>6214</v>
      </c>
      <c r="G568">
        <v>6214</v>
      </c>
      <c r="H568">
        <v>3185</v>
      </c>
      <c r="I568">
        <v>1396</v>
      </c>
      <c r="J568">
        <v>914</v>
      </c>
      <c r="K568">
        <v>706</v>
      </c>
      <c r="L568">
        <v>505</v>
      </c>
      <c r="M568">
        <v>638</v>
      </c>
      <c r="N568">
        <v>615</v>
      </c>
      <c r="O568">
        <v>307</v>
      </c>
      <c r="P568">
        <v>185</v>
      </c>
      <c r="Q568">
        <v>23</v>
      </c>
      <c r="R568">
        <v>0.215334673</v>
      </c>
      <c r="S568">
        <v>1100</v>
      </c>
      <c r="T568">
        <v>362</v>
      </c>
      <c r="U568">
        <v>959</v>
      </c>
      <c r="V568">
        <v>2319</v>
      </c>
      <c r="W568">
        <v>1509</v>
      </c>
      <c r="X568">
        <v>1142</v>
      </c>
      <c r="Y568">
        <v>13</v>
      </c>
      <c r="Z568">
        <v>388</v>
      </c>
      <c r="AA568">
        <v>351</v>
      </c>
      <c r="AB568">
        <v>1</v>
      </c>
      <c r="AC568">
        <v>186</v>
      </c>
      <c r="AD568">
        <v>161</v>
      </c>
      <c r="AE568">
        <v>0</v>
      </c>
      <c r="AF568">
        <v>0</v>
      </c>
      <c r="AG568">
        <v>4</v>
      </c>
      <c r="AH568">
        <v>0</v>
      </c>
      <c r="AI568">
        <v>0</v>
      </c>
      <c r="AJ568">
        <v>0</v>
      </c>
      <c r="AK568">
        <v>1.6760999999999999</v>
      </c>
      <c r="AL568">
        <v>1</v>
      </c>
      <c r="AM568">
        <v>0</v>
      </c>
      <c r="AN568">
        <v>2454</v>
      </c>
      <c r="AO568">
        <v>0</v>
      </c>
      <c r="AP568">
        <v>0</v>
      </c>
      <c r="AQ568">
        <v>0</v>
      </c>
    </row>
    <row r="569" spans="1:43" x14ac:dyDescent="0.25">
      <c r="A569">
        <v>566</v>
      </c>
      <c r="B569">
        <v>11</v>
      </c>
      <c r="C569">
        <v>11</v>
      </c>
      <c r="D569">
        <v>3</v>
      </c>
      <c r="E569">
        <v>3433</v>
      </c>
      <c r="F569">
        <v>8583</v>
      </c>
      <c r="G569">
        <v>8600</v>
      </c>
      <c r="H569">
        <v>5043</v>
      </c>
      <c r="I569">
        <v>2445</v>
      </c>
      <c r="J569">
        <v>1000</v>
      </c>
      <c r="K569">
        <v>703</v>
      </c>
      <c r="L569">
        <v>590</v>
      </c>
      <c r="M569">
        <v>648</v>
      </c>
      <c r="N569">
        <v>1487</v>
      </c>
      <c r="O569">
        <v>1079</v>
      </c>
      <c r="P569">
        <v>636.79480000000001</v>
      </c>
      <c r="Q569">
        <v>119.4507632</v>
      </c>
      <c r="R569">
        <v>0.160956081</v>
      </c>
      <c r="S569">
        <v>1306</v>
      </c>
      <c r="T569">
        <v>481</v>
      </c>
      <c r="U569">
        <v>1512</v>
      </c>
      <c r="V569">
        <v>3424</v>
      </c>
      <c r="W569">
        <v>1879</v>
      </c>
      <c r="X569">
        <v>1002</v>
      </c>
      <c r="Y569">
        <v>99</v>
      </c>
      <c r="Z569">
        <v>181</v>
      </c>
      <c r="AA569">
        <v>517</v>
      </c>
      <c r="AB569">
        <v>3</v>
      </c>
      <c r="AC569">
        <v>153</v>
      </c>
      <c r="AD569">
        <v>353</v>
      </c>
      <c r="AE569">
        <v>0</v>
      </c>
      <c r="AF569">
        <v>0</v>
      </c>
      <c r="AG569">
        <v>4</v>
      </c>
      <c r="AH569">
        <v>60</v>
      </c>
      <c r="AI569">
        <v>0</v>
      </c>
      <c r="AJ569">
        <v>0</v>
      </c>
      <c r="AK569">
        <v>1.26875</v>
      </c>
      <c r="AL569">
        <v>1</v>
      </c>
      <c r="AM569">
        <v>0</v>
      </c>
      <c r="AN569">
        <v>3433</v>
      </c>
      <c r="AO569">
        <v>17</v>
      </c>
      <c r="AP569">
        <v>0</v>
      </c>
      <c r="AQ569">
        <v>0</v>
      </c>
    </row>
    <row r="570" spans="1:43" x14ac:dyDescent="0.25">
      <c r="A570">
        <v>567</v>
      </c>
      <c r="B570">
        <v>11</v>
      </c>
      <c r="C570">
        <v>11</v>
      </c>
      <c r="D570">
        <v>3</v>
      </c>
      <c r="E570">
        <v>2420</v>
      </c>
      <c r="F570">
        <v>7929</v>
      </c>
      <c r="G570">
        <v>7956</v>
      </c>
      <c r="H570">
        <v>4087</v>
      </c>
      <c r="I570">
        <v>1516</v>
      </c>
      <c r="J570">
        <v>812</v>
      </c>
      <c r="K570">
        <v>770</v>
      </c>
      <c r="L570">
        <v>770</v>
      </c>
      <c r="M570">
        <v>603</v>
      </c>
      <c r="N570">
        <v>283</v>
      </c>
      <c r="O570">
        <v>444</v>
      </c>
      <c r="P570">
        <v>174.08546569999999</v>
      </c>
      <c r="Q570">
        <v>222</v>
      </c>
      <c r="R570">
        <v>0.16668641200000001</v>
      </c>
      <c r="S570">
        <v>2062</v>
      </c>
      <c r="T570">
        <v>429</v>
      </c>
      <c r="U570">
        <v>1681</v>
      </c>
      <c r="V570">
        <v>2827</v>
      </c>
      <c r="W570">
        <v>1973</v>
      </c>
      <c r="X570">
        <v>1295</v>
      </c>
      <c r="Y570">
        <v>253</v>
      </c>
      <c r="Z570">
        <v>233</v>
      </c>
      <c r="AA570">
        <v>745</v>
      </c>
      <c r="AB570">
        <v>3</v>
      </c>
      <c r="AC570">
        <v>494</v>
      </c>
      <c r="AD570">
        <v>334</v>
      </c>
      <c r="AE570">
        <v>107.9421861</v>
      </c>
      <c r="AF570">
        <v>0</v>
      </c>
      <c r="AG570">
        <v>4</v>
      </c>
      <c r="AH570">
        <v>0</v>
      </c>
      <c r="AI570">
        <v>0</v>
      </c>
      <c r="AJ570">
        <v>0</v>
      </c>
      <c r="AK570">
        <v>1.3220000000000001</v>
      </c>
      <c r="AL570">
        <v>3</v>
      </c>
      <c r="AM570">
        <v>0</v>
      </c>
      <c r="AN570">
        <v>2420</v>
      </c>
      <c r="AO570">
        <v>27</v>
      </c>
      <c r="AP570">
        <v>0</v>
      </c>
      <c r="AQ570">
        <v>0</v>
      </c>
    </row>
    <row r="571" spans="1:43" x14ac:dyDescent="0.25">
      <c r="A571">
        <v>568</v>
      </c>
      <c r="B571">
        <v>11</v>
      </c>
      <c r="C571">
        <v>11</v>
      </c>
      <c r="D571">
        <v>3</v>
      </c>
      <c r="E571">
        <v>2209</v>
      </c>
      <c r="F571">
        <v>7027</v>
      </c>
      <c r="G571">
        <v>7047</v>
      </c>
      <c r="H571">
        <v>2821</v>
      </c>
      <c r="I571">
        <v>1481</v>
      </c>
      <c r="J571">
        <v>651</v>
      </c>
      <c r="K571">
        <v>782</v>
      </c>
      <c r="L571">
        <v>576</v>
      </c>
      <c r="M571">
        <v>390</v>
      </c>
      <c r="N571">
        <v>442</v>
      </c>
      <c r="O571">
        <v>345</v>
      </c>
      <c r="P571">
        <v>269.13294300000001</v>
      </c>
      <c r="Q571">
        <v>31.363193259999999</v>
      </c>
      <c r="R571">
        <v>0.15155038800000001</v>
      </c>
      <c r="S571">
        <v>832</v>
      </c>
      <c r="T571">
        <v>296</v>
      </c>
      <c r="U571">
        <v>1970</v>
      </c>
      <c r="V571">
        <v>2658</v>
      </c>
      <c r="W571">
        <v>1856</v>
      </c>
      <c r="X571">
        <v>790</v>
      </c>
      <c r="Y571">
        <v>92</v>
      </c>
      <c r="Z571">
        <v>76</v>
      </c>
      <c r="AA571">
        <v>453</v>
      </c>
      <c r="AB571">
        <v>1</v>
      </c>
      <c r="AC571">
        <v>100</v>
      </c>
      <c r="AD571">
        <v>110</v>
      </c>
      <c r="AE571">
        <v>0</v>
      </c>
      <c r="AF571">
        <v>0</v>
      </c>
      <c r="AG571">
        <v>4</v>
      </c>
      <c r="AH571">
        <v>7</v>
      </c>
      <c r="AI571">
        <v>0</v>
      </c>
      <c r="AJ571">
        <v>0</v>
      </c>
      <c r="AK571">
        <v>1.52515</v>
      </c>
      <c r="AL571">
        <v>3</v>
      </c>
      <c r="AM571">
        <v>0</v>
      </c>
      <c r="AN571">
        <v>2209</v>
      </c>
      <c r="AO571">
        <v>20</v>
      </c>
      <c r="AP571">
        <v>0</v>
      </c>
      <c r="AQ571">
        <v>0</v>
      </c>
    </row>
    <row r="572" spans="1:43" x14ac:dyDescent="0.25">
      <c r="A572">
        <v>569</v>
      </c>
      <c r="B572">
        <v>11</v>
      </c>
      <c r="C572">
        <v>11</v>
      </c>
      <c r="D572">
        <v>3</v>
      </c>
      <c r="E572">
        <v>988</v>
      </c>
      <c r="F572">
        <v>3679</v>
      </c>
      <c r="G572">
        <v>3679</v>
      </c>
      <c r="H572">
        <v>1852</v>
      </c>
      <c r="I572">
        <v>908</v>
      </c>
      <c r="J572">
        <v>63</v>
      </c>
      <c r="K572">
        <v>295</v>
      </c>
      <c r="L572">
        <v>303</v>
      </c>
      <c r="M572">
        <v>227</v>
      </c>
      <c r="N572">
        <v>168</v>
      </c>
      <c r="O572">
        <v>148</v>
      </c>
      <c r="P572">
        <v>113</v>
      </c>
      <c r="Q572">
        <v>10</v>
      </c>
      <c r="R572">
        <v>0.11038078</v>
      </c>
      <c r="S572">
        <v>257</v>
      </c>
      <c r="T572">
        <v>259</v>
      </c>
      <c r="U572">
        <v>1334</v>
      </c>
      <c r="V572">
        <v>1459</v>
      </c>
      <c r="W572">
        <v>890</v>
      </c>
      <c r="X572">
        <v>368</v>
      </c>
      <c r="Y572">
        <v>4</v>
      </c>
      <c r="Z572">
        <v>27</v>
      </c>
      <c r="AA572">
        <v>192</v>
      </c>
      <c r="AB572">
        <v>0</v>
      </c>
      <c r="AC572">
        <v>11</v>
      </c>
      <c r="AD572">
        <v>23</v>
      </c>
      <c r="AE572">
        <v>0</v>
      </c>
      <c r="AF572">
        <v>0</v>
      </c>
      <c r="AG572">
        <v>3</v>
      </c>
      <c r="AH572">
        <v>0</v>
      </c>
      <c r="AI572">
        <v>0</v>
      </c>
      <c r="AJ572">
        <v>0</v>
      </c>
      <c r="AK572">
        <v>1.6482699999999999</v>
      </c>
      <c r="AL572">
        <v>3</v>
      </c>
      <c r="AM572">
        <v>0</v>
      </c>
      <c r="AN572">
        <v>988</v>
      </c>
      <c r="AO572">
        <v>0</v>
      </c>
      <c r="AP572">
        <v>0</v>
      </c>
      <c r="AQ572">
        <v>0</v>
      </c>
    </row>
    <row r="573" spans="1:43" x14ac:dyDescent="0.25">
      <c r="A573">
        <v>570</v>
      </c>
      <c r="B573">
        <v>11</v>
      </c>
      <c r="C573">
        <v>11</v>
      </c>
      <c r="D573">
        <v>3</v>
      </c>
      <c r="E573">
        <v>1105</v>
      </c>
      <c r="F573">
        <v>3626</v>
      </c>
      <c r="G573">
        <v>3642</v>
      </c>
      <c r="H573">
        <v>1741</v>
      </c>
      <c r="I573">
        <v>544</v>
      </c>
      <c r="J573">
        <v>523</v>
      </c>
      <c r="K573">
        <v>469</v>
      </c>
      <c r="L573">
        <v>366</v>
      </c>
      <c r="M573">
        <v>185</v>
      </c>
      <c r="N573">
        <v>102</v>
      </c>
      <c r="O573">
        <v>145</v>
      </c>
      <c r="P573">
        <v>104</v>
      </c>
      <c r="Q573">
        <v>19</v>
      </c>
      <c r="R573">
        <v>0.11694616100000001</v>
      </c>
      <c r="S573">
        <v>535</v>
      </c>
      <c r="T573">
        <v>143</v>
      </c>
      <c r="U573">
        <v>1127</v>
      </c>
      <c r="V573">
        <v>1703</v>
      </c>
      <c r="W573">
        <v>1085</v>
      </c>
      <c r="X573">
        <v>358</v>
      </c>
      <c r="Y573">
        <v>100</v>
      </c>
      <c r="Z573">
        <v>130</v>
      </c>
      <c r="AA573">
        <v>234</v>
      </c>
      <c r="AB573">
        <v>2</v>
      </c>
      <c r="AC573">
        <v>28</v>
      </c>
      <c r="AD573">
        <v>41</v>
      </c>
      <c r="AE573">
        <v>0</v>
      </c>
      <c r="AF573">
        <v>0</v>
      </c>
      <c r="AG573">
        <v>3</v>
      </c>
      <c r="AH573">
        <v>0</v>
      </c>
      <c r="AI573">
        <v>0</v>
      </c>
      <c r="AJ573">
        <v>0</v>
      </c>
      <c r="AK573">
        <v>1.7199599999999999</v>
      </c>
      <c r="AL573">
        <v>3</v>
      </c>
      <c r="AM573">
        <v>0</v>
      </c>
      <c r="AN573">
        <v>1105</v>
      </c>
      <c r="AO573">
        <v>16</v>
      </c>
      <c r="AP573">
        <v>0</v>
      </c>
      <c r="AQ573">
        <v>0</v>
      </c>
    </row>
    <row r="574" spans="1:43" x14ac:dyDescent="0.25">
      <c r="A574">
        <v>571</v>
      </c>
      <c r="B574">
        <v>11</v>
      </c>
      <c r="C574">
        <v>11</v>
      </c>
      <c r="D574">
        <v>3</v>
      </c>
      <c r="E574">
        <v>758</v>
      </c>
      <c r="F574">
        <v>2697</v>
      </c>
      <c r="G574">
        <v>2697</v>
      </c>
      <c r="H574">
        <v>1585</v>
      </c>
      <c r="I574">
        <v>722</v>
      </c>
      <c r="J574">
        <v>12</v>
      </c>
      <c r="K574">
        <v>150</v>
      </c>
      <c r="L574">
        <v>136</v>
      </c>
      <c r="M574">
        <v>222</v>
      </c>
      <c r="N574">
        <v>251</v>
      </c>
      <c r="O574">
        <v>284</v>
      </c>
      <c r="P574">
        <v>5556.0737829999998</v>
      </c>
      <c r="Q574">
        <v>8</v>
      </c>
      <c r="R574">
        <v>0.13996937200000001</v>
      </c>
      <c r="S574">
        <v>291</v>
      </c>
      <c r="T574">
        <v>238</v>
      </c>
      <c r="U574">
        <v>560</v>
      </c>
      <c r="V574">
        <v>1187</v>
      </c>
      <c r="W574">
        <v>844</v>
      </c>
      <c r="X574">
        <v>338</v>
      </c>
      <c r="Y574">
        <v>7</v>
      </c>
      <c r="Z574">
        <v>43</v>
      </c>
      <c r="AA574">
        <v>166</v>
      </c>
      <c r="AB574">
        <v>2</v>
      </c>
      <c r="AC574">
        <v>20</v>
      </c>
      <c r="AD574">
        <v>53</v>
      </c>
      <c r="AE574">
        <v>0</v>
      </c>
      <c r="AF574">
        <v>0</v>
      </c>
      <c r="AG574">
        <v>4</v>
      </c>
      <c r="AH574">
        <v>0</v>
      </c>
      <c r="AI574">
        <v>0</v>
      </c>
      <c r="AJ574">
        <v>0</v>
      </c>
      <c r="AK574">
        <v>1.4409799999999999</v>
      </c>
      <c r="AL574">
        <v>3</v>
      </c>
      <c r="AM574">
        <v>0</v>
      </c>
      <c r="AN574">
        <v>758</v>
      </c>
      <c r="AO574">
        <v>0</v>
      </c>
      <c r="AP574">
        <v>0</v>
      </c>
      <c r="AQ574">
        <v>0</v>
      </c>
    </row>
    <row r="575" spans="1:43" x14ac:dyDescent="0.25">
      <c r="A575">
        <v>572</v>
      </c>
      <c r="B575">
        <v>11</v>
      </c>
      <c r="C575">
        <v>11</v>
      </c>
      <c r="D575">
        <v>3</v>
      </c>
      <c r="E575">
        <v>1022</v>
      </c>
      <c r="F575">
        <v>3803</v>
      </c>
      <c r="G575">
        <v>3803</v>
      </c>
      <c r="H575">
        <v>2063</v>
      </c>
      <c r="I575">
        <v>1004</v>
      </c>
      <c r="J575">
        <v>4</v>
      </c>
      <c r="K575">
        <v>163</v>
      </c>
      <c r="L575">
        <v>307</v>
      </c>
      <c r="M575">
        <v>263</v>
      </c>
      <c r="N575">
        <v>282</v>
      </c>
      <c r="O575">
        <v>377</v>
      </c>
      <c r="P575">
        <v>196</v>
      </c>
      <c r="Q575">
        <v>54</v>
      </c>
      <c r="R575">
        <v>0.12626831999999999</v>
      </c>
      <c r="S575">
        <v>602</v>
      </c>
      <c r="T575">
        <v>165</v>
      </c>
      <c r="U575">
        <v>794</v>
      </c>
      <c r="V575">
        <v>1640</v>
      </c>
      <c r="W575">
        <v>1271</v>
      </c>
      <c r="X575">
        <v>466</v>
      </c>
      <c r="Y575">
        <v>3</v>
      </c>
      <c r="Z575">
        <v>37</v>
      </c>
      <c r="AA575">
        <v>527</v>
      </c>
      <c r="AB575">
        <v>0</v>
      </c>
      <c r="AC575">
        <v>17</v>
      </c>
      <c r="AD575">
        <v>18</v>
      </c>
      <c r="AE575">
        <v>0</v>
      </c>
      <c r="AF575">
        <v>0</v>
      </c>
      <c r="AG575">
        <v>4</v>
      </c>
      <c r="AH575">
        <v>1564</v>
      </c>
      <c r="AI575">
        <v>0</v>
      </c>
      <c r="AJ575">
        <v>0</v>
      </c>
      <c r="AK575">
        <v>1.28569</v>
      </c>
      <c r="AL575">
        <v>3</v>
      </c>
      <c r="AM575">
        <v>0</v>
      </c>
      <c r="AN575">
        <v>1022</v>
      </c>
      <c r="AO575">
        <v>0</v>
      </c>
      <c r="AP575">
        <v>0</v>
      </c>
      <c r="AQ575">
        <v>0</v>
      </c>
    </row>
    <row r="576" spans="1:43" x14ac:dyDescent="0.25">
      <c r="A576">
        <v>573</v>
      </c>
      <c r="B576">
        <v>11</v>
      </c>
      <c r="C576">
        <v>11</v>
      </c>
      <c r="D576">
        <v>3</v>
      </c>
      <c r="E576">
        <v>944</v>
      </c>
      <c r="F576">
        <v>3316</v>
      </c>
      <c r="G576">
        <v>3356</v>
      </c>
      <c r="H576">
        <v>1459</v>
      </c>
      <c r="I576">
        <v>901</v>
      </c>
      <c r="J576">
        <v>3</v>
      </c>
      <c r="K576">
        <v>175</v>
      </c>
      <c r="L576">
        <v>229</v>
      </c>
      <c r="M576">
        <v>210</v>
      </c>
      <c r="N576">
        <v>329</v>
      </c>
      <c r="O576">
        <v>340</v>
      </c>
      <c r="P576">
        <v>215</v>
      </c>
      <c r="Q576">
        <v>5</v>
      </c>
      <c r="R576">
        <v>0.26469768700000001</v>
      </c>
      <c r="S576">
        <v>299</v>
      </c>
      <c r="T576">
        <v>122</v>
      </c>
      <c r="U576">
        <v>703</v>
      </c>
      <c r="V576">
        <v>984</v>
      </c>
      <c r="W576">
        <v>934</v>
      </c>
      <c r="X576">
        <v>769</v>
      </c>
      <c r="Y576">
        <v>50</v>
      </c>
      <c r="Z576">
        <v>25</v>
      </c>
      <c r="AA576">
        <v>186</v>
      </c>
      <c r="AB576">
        <v>0</v>
      </c>
      <c r="AC576">
        <v>20</v>
      </c>
      <c r="AD576">
        <v>18</v>
      </c>
      <c r="AE576">
        <v>0</v>
      </c>
      <c r="AF576">
        <v>0</v>
      </c>
      <c r="AG576">
        <v>4</v>
      </c>
      <c r="AH576">
        <v>8</v>
      </c>
      <c r="AI576">
        <v>0</v>
      </c>
      <c r="AJ576">
        <v>0</v>
      </c>
      <c r="AK576">
        <v>1.29325</v>
      </c>
      <c r="AL576">
        <v>3</v>
      </c>
      <c r="AM576">
        <v>0</v>
      </c>
      <c r="AN576">
        <v>944</v>
      </c>
      <c r="AO576">
        <v>40</v>
      </c>
      <c r="AP576">
        <v>0</v>
      </c>
      <c r="AQ576">
        <v>0</v>
      </c>
    </row>
    <row r="577" spans="1:43" x14ac:dyDescent="0.25">
      <c r="A577">
        <v>574</v>
      </c>
      <c r="B577">
        <v>11</v>
      </c>
      <c r="C577">
        <v>11</v>
      </c>
      <c r="D577">
        <v>3</v>
      </c>
      <c r="E577">
        <v>1301</v>
      </c>
      <c r="F577">
        <v>4525</v>
      </c>
      <c r="G577">
        <v>4597</v>
      </c>
      <c r="H577">
        <v>2322</v>
      </c>
      <c r="I577">
        <v>1219</v>
      </c>
      <c r="J577">
        <v>60</v>
      </c>
      <c r="K577">
        <v>388</v>
      </c>
      <c r="L577">
        <v>511</v>
      </c>
      <c r="M577">
        <v>288</v>
      </c>
      <c r="N577">
        <v>110</v>
      </c>
      <c r="O577">
        <v>284</v>
      </c>
      <c r="P577">
        <v>164.49076969999999</v>
      </c>
      <c r="Q577">
        <v>22</v>
      </c>
      <c r="R577">
        <v>0.162256809</v>
      </c>
      <c r="S577">
        <v>571</v>
      </c>
      <c r="T577">
        <v>200</v>
      </c>
      <c r="U577">
        <v>1414</v>
      </c>
      <c r="V577">
        <v>1483</v>
      </c>
      <c r="W577">
        <v>1344</v>
      </c>
      <c r="X577">
        <v>575</v>
      </c>
      <c r="Y577">
        <v>22</v>
      </c>
      <c r="Z577">
        <v>79</v>
      </c>
      <c r="AA577">
        <v>394</v>
      </c>
      <c r="AB577">
        <v>1</v>
      </c>
      <c r="AC577">
        <v>25</v>
      </c>
      <c r="AD577">
        <v>50</v>
      </c>
      <c r="AE577">
        <v>0</v>
      </c>
      <c r="AF577">
        <v>0</v>
      </c>
      <c r="AG577">
        <v>4</v>
      </c>
      <c r="AH577">
        <v>0</v>
      </c>
      <c r="AI577">
        <v>0</v>
      </c>
      <c r="AJ577">
        <v>0</v>
      </c>
      <c r="AK577">
        <v>1.4410700000000001</v>
      </c>
      <c r="AL577">
        <v>3</v>
      </c>
      <c r="AM577">
        <v>0</v>
      </c>
      <c r="AN577">
        <v>1301</v>
      </c>
      <c r="AO577">
        <v>72</v>
      </c>
      <c r="AP577">
        <v>0</v>
      </c>
      <c r="AQ577">
        <v>0</v>
      </c>
    </row>
    <row r="578" spans="1:43" x14ac:dyDescent="0.25">
      <c r="A578">
        <v>575</v>
      </c>
      <c r="B578">
        <v>11</v>
      </c>
      <c r="C578">
        <v>11</v>
      </c>
      <c r="D578">
        <v>3</v>
      </c>
      <c r="E578">
        <v>1019</v>
      </c>
      <c r="F578">
        <v>3439</v>
      </c>
      <c r="G578">
        <v>3481</v>
      </c>
      <c r="H578">
        <v>1821</v>
      </c>
      <c r="I578">
        <v>969</v>
      </c>
      <c r="J578">
        <v>0</v>
      </c>
      <c r="K578">
        <v>203</v>
      </c>
      <c r="L578">
        <v>252</v>
      </c>
      <c r="M578">
        <v>239</v>
      </c>
      <c r="N578">
        <v>315</v>
      </c>
      <c r="O578">
        <v>410</v>
      </c>
      <c r="P578">
        <v>155</v>
      </c>
      <c r="Q578">
        <v>29</v>
      </c>
      <c r="R578">
        <v>0.239463602</v>
      </c>
      <c r="S578">
        <v>754</v>
      </c>
      <c r="T578">
        <v>187</v>
      </c>
      <c r="U578">
        <v>574</v>
      </c>
      <c r="V578">
        <v>1358</v>
      </c>
      <c r="W578">
        <v>1240</v>
      </c>
      <c r="X578">
        <v>730</v>
      </c>
      <c r="Y578">
        <v>87</v>
      </c>
      <c r="Z578">
        <v>50</v>
      </c>
      <c r="AA578">
        <v>506</v>
      </c>
      <c r="AB578">
        <v>1</v>
      </c>
      <c r="AC578">
        <v>67</v>
      </c>
      <c r="AD578">
        <v>43</v>
      </c>
      <c r="AE578">
        <v>0</v>
      </c>
      <c r="AF578">
        <v>0</v>
      </c>
      <c r="AG578">
        <v>4</v>
      </c>
      <c r="AH578">
        <v>0</v>
      </c>
      <c r="AI578">
        <v>0</v>
      </c>
      <c r="AJ578">
        <v>0</v>
      </c>
      <c r="AK578">
        <v>1.4584699999999999</v>
      </c>
      <c r="AL578">
        <v>3</v>
      </c>
      <c r="AM578">
        <v>0</v>
      </c>
      <c r="AN578">
        <v>1019</v>
      </c>
      <c r="AO578">
        <v>42</v>
      </c>
      <c r="AP578">
        <v>0</v>
      </c>
      <c r="AQ578">
        <v>0</v>
      </c>
    </row>
    <row r="579" spans="1:43" x14ac:dyDescent="0.25">
      <c r="A579">
        <v>576</v>
      </c>
      <c r="B579">
        <v>11</v>
      </c>
      <c r="C579">
        <v>11</v>
      </c>
      <c r="D579">
        <v>3</v>
      </c>
      <c r="E579">
        <v>1191</v>
      </c>
      <c r="F579">
        <v>3868</v>
      </c>
      <c r="G579">
        <v>3911</v>
      </c>
      <c r="H579">
        <v>1859</v>
      </c>
      <c r="I579">
        <v>1164</v>
      </c>
      <c r="J579">
        <v>0</v>
      </c>
      <c r="K579">
        <v>193</v>
      </c>
      <c r="L579">
        <v>439</v>
      </c>
      <c r="M579">
        <v>305</v>
      </c>
      <c r="N579">
        <v>254</v>
      </c>
      <c r="O579">
        <v>267</v>
      </c>
      <c r="P579">
        <v>227</v>
      </c>
      <c r="Q579">
        <v>29</v>
      </c>
      <c r="R579">
        <v>0.22187499999999999</v>
      </c>
      <c r="S579">
        <v>495</v>
      </c>
      <c r="T579">
        <v>191</v>
      </c>
      <c r="U579">
        <v>543</v>
      </c>
      <c r="V579">
        <v>1205</v>
      </c>
      <c r="W579">
        <v>1317</v>
      </c>
      <c r="X579">
        <v>785</v>
      </c>
      <c r="Y579">
        <v>46</v>
      </c>
      <c r="Z579">
        <v>61</v>
      </c>
      <c r="AA579">
        <v>245</v>
      </c>
      <c r="AB579">
        <v>0</v>
      </c>
      <c r="AC579">
        <v>57</v>
      </c>
      <c r="AD579">
        <v>86</v>
      </c>
      <c r="AE579">
        <v>0</v>
      </c>
      <c r="AF579">
        <v>0</v>
      </c>
      <c r="AG579">
        <v>4</v>
      </c>
      <c r="AH579">
        <v>0</v>
      </c>
      <c r="AI579">
        <v>0</v>
      </c>
      <c r="AJ579">
        <v>0</v>
      </c>
      <c r="AK579">
        <v>1.2952399999999999</v>
      </c>
      <c r="AL579">
        <v>3</v>
      </c>
      <c r="AM579">
        <v>0</v>
      </c>
      <c r="AN579">
        <v>1191</v>
      </c>
      <c r="AO579">
        <v>43</v>
      </c>
      <c r="AP579">
        <v>0</v>
      </c>
      <c r="AQ579">
        <v>0</v>
      </c>
    </row>
    <row r="580" spans="1:43" x14ac:dyDescent="0.25">
      <c r="A580">
        <v>577</v>
      </c>
      <c r="B580">
        <v>11</v>
      </c>
      <c r="C580">
        <v>11</v>
      </c>
      <c r="D580">
        <v>3</v>
      </c>
      <c r="E580">
        <v>1158</v>
      </c>
      <c r="F580">
        <v>4489</v>
      </c>
      <c r="G580">
        <v>4523</v>
      </c>
      <c r="H580">
        <v>2370</v>
      </c>
      <c r="I580">
        <v>1101</v>
      </c>
      <c r="J580">
        <v>72</v>
      </c>
      <c r="K580">
        <v>132</v>
      </c>
      <c r="L580">
        <v>378</v>
      </c>
      <c r="M580">
        <v>399</v>
      </c>
      <c r="N580">
        <v>243</v>
      </c>
      <c r="O580">
        <v>232</v>
      </c>
      <c r="P580">
        <v>199</v>
      </c>
      <c r="Q580">
        <v>21</v>
      </c>
      <c r="R580">
        <v>0.19664314299999999</v>
      </c>
      <c r="S580">
        <v>401</v>
      </c>
      <c r="T580">
        <v>273</v>
      </c>
      <c r="U580">
        <v>932</v>
      </c>
      <c r="V580">
        <v>1773</v>
      </c>
      <c r="W580">
        <v>1230</v>
      </c>
      <c r="X580">
        <v>898</v>
      </c>
      <c r="Y580">
        <v>4</v>
      </c>
      <c r="Z580">
        <v>14</v>
      </c>
      <c r="AA580">
        <v>371</v>
      </c>
      <c r="AB580">
        <v>0</v>
      </c>
      <c r="AC580">
        <v>6</v>
      </c>
      <c r="AD580">
        <v>6</v>
      </c>
      <c r="AE580">
        <v>0</v>
      </c>
      <c r="AF580">
        <v>0</v>
      </c>
      <c r="AG580">
        <v>3</v>
      </c>
      <c r="AH580">
        <v>0</v>
      </c>
      <c r="AI580">
        <v>0</v>
      </c>
      <c r="AJ580">
        <v>0</v>
      </c>
      <c r="AK580">
        <v>1.3955</v>
      </c>
      <c r="AL580">
        <v>3</v>
      </c>
      <c r="AM580">
        <v>0</v>
      </c>
      <c r="AN580">
        <v>1158</v>
      </c>
      <c r="AO580">
        <v>34</v>
      </c>
      <c r="AP580">
        <v>0</v>
      </c>
      <c r="AQ580">
        <v>0</v>
      </c>
    </row>
    <row r="581" spans="1:43" x14ac:dyDescent="0.25">
      <c r="A581">
        <v>578</v>
      </c>
      <c r="B581">
        <v>11</v>
      </c>
      <c r="C581">
        <v>11</v>
      </c>
      <c r="D581">
        <v>3</v>
      </c>
      <c r="E581">
        <v>2255</v>
      </c>
      <c r="F581">
        <v>6550</v>
      </c>
      <c r="G581">
        <v>6555</v>
      </c>
      <c r="H581">
        <v>3624</v>
      </c>
      <c r="I581">
        <v>868</v>
      </c>
      <c r="J581">
        <v>1317</v>
      </c>
      <c r="K581">
        <v>571</v>
      </c>
      <c r="L581">
        <v>739</v>
      </c>
      <c r="M581">
        <v>610</v>
      </c>
      <c r="N581">
        <v>341</v>
      </c>
      <c r="O581">
        <v>268</v>
      </c>
      <c r="P581">
        <v>218</v>
      </c>
      <c r="Q581">
        <v>45</v>
      </c>
      <c r="R581">
        <v>0.13778330599999999</v>
      </c>
      <c r="S581">
        <v>754</v>
      </c>
      <c r="T581">
        <v>325</v>
      </c>
      <c r="U581">
        <v>1386</v>
      </c>
      <c r="V581">
        <v>2839</v>
      </c>
      <c r="W581">
        <v>1761</v>
      </c>
      <c r="X581">
        <v>749</v>
      </c>
      <c r="Y581">
        <v>70</v>
      </c>
      <c r="Z581">
        <v>106</v>
      </c>
      <c r="AA581">
        <v>498</v>
      </c>
      <c r="AB581">
        <v>2</v>
      </c>
      <c r="AC581">
        <v>31</v>
      </c>
      <c r="AD581">
        <v>47</v>
      </c>
      <c r="AE581">
        <v>0</v>
      </c>
      <c r="AF581">
        <v>0</v>
      </c>
      <c r="AG581">
        <v>3</v>
      </c>
      <c r="AH581">
        <v>0</v>
      </c>
      <c r="AI581">
        <v>0</v>
      </c>
      <c r="AJ581">
        <v>0</v>
      </c>
      <c r="AK581">
        <v>1.6416500000000001</v>
      </c>
      <c r="AL581">
        <v>3</v>
      </c>
      <c r="AM581">
        <v>0</v>
      </c>
      <c r="AN581">
        <v>2255</v>
      </c>
      <c r="AO581">
        <v>5</v>
      </c>
      <c r="AP581">
        <v>0</v>
      </c>
      <c r="AQ581">
        <v>0</v>
      </c>
    </row>
    <row r="582" spans="1:43" x14ac:dyDescent="0.25">
      <c r="A582">
        <v>579</v>
      </c>
      <c r="B582">
        <v>11</v>
      </c>
      <c r="C582">
        <v>11</v>
      </c>
      <c r="D582">
        <v>3</v>
      </c>
      <c r="E582">
        <v>752</v>
      </c>
      <c r="F582">
        <v>1883</v>
      </c>
      <c r="G582">
        <v>2031</v>
      </c>
      <c r="H582">
        <v>911</v>
      </c>
      <c r="I582">
        <v>201</v>
      </c>
      <c r="J582">
        <v>533</v>
      </c>
      <c r="K582">
        <v>360</v>
      </c>
      <c r="L582">
        <v>219</v>
      </c>
      <c r="M582">
        <v>84</v>
      </c>
      <c r="N582">
        <v>88</v>
      </c>
      <c r="O582">
        <v>437</v>
      </c>
      <c r="P582">
        <v>63.73137766</v>
      </c>
      <c r="Q582">
        <v>101.7589808</v>
      </c>
      <c r="R582">
        <v>0.27349228599999997</v>
      </c>
      <c r="S582">
        <v>2485</v>
      </c>
      <c r="T582">
        <v>66</v>
      </c>
      <c r="U582">
        <v>278</v>
      </c>
      <c r="V582">
        <v>722</v>
      </c>
      <c r="W582">
        <v>519</v>
      </c>
      <c r="X582">
        <v>491</v>
      </c>
      <c r="Y582">
        <v>574</v>
      </c>
      <c r="Z582">
        <v>110</v>
      </c>
      <c r="AA582">
        <v>1045</v>
      </c>
      <c r="AB582">
        <v>2</v>
      </c>
      <c r="AC582">
        <v>243</v>
      </c>
      <c r="AD582">
        <v>511</v>
      </c>
      <c r="AE582">
        <v>0</v>
      </c>
      <c r="AF582">
        <v>0</v>
      </c>
      <c r="AG582">
        <v>4</v>
      </c>
      <c r="AH582">
        <v>0</v>
      </c>
      <c r="AI582">
        <v>0</v>
      </c>
      <c r="AJ582">
        <v>0</v>
      </c>
      <c r="AK582">
        <v>1.6454</v>
      </c>
      <c r="AL582">
        <v>3</v>
      </c>
      <c r="AM582">
        <v>0</v>
      </c>
      <c r="AN582">
        <v>752</v>
      </c>
      <c r="AO582">
        <v>148</v>
      </c>
      <c r="AP582">
        <v>0</v>
      </c>
      <c r="AQ582">
        <v>0</v>
      </c>
    </row>
    <row r="583" spans="1:43" x14ac:dyDescent="0.25">
      <c r="A583">
        <v>580</v>
      </c>
      <c r="B583">
        <v>11</v>
      </c>
      <c r="C583">
        <v>11</v>
      </c>
      <c r="D583">
        <v>3</v>
      </c>
      <c r="E583">
        <v>979</v>
      </c>
      <c r="F583">
        <v>3622</v>
      </c>
      <c r="G583">
        <v>3713</v>
      </c>
      <c r="H583">
        <v>1769</v>
      </c>
      <c r="I583">
        <v>447</v>
      </c>
      <c r="J583">
        <v>517</v>
      </c>
      <c r="K583">
        <v>304</v>
      </c>
      <c r="L583">
        <v>326</v>
      </c>
      <c r="M583">
        <v>267</v>
      </c>
      <c r="N583">
        <v>73</v>
      </c>
      <c r="O583">
        <v>201</v>
      </c>
      <c r="P583">
        <v>72</v>
      </c>
      <c r="Q583">
        <v>82</v>
      </c>
      <c r="R583">
        <v>9.6139661000000001E-2</v>
      </c>
      <c r="S583">
        <v>603</v>
      </c>
      <c r="T583">
        <v>288</v>
      </c>
      <c r="U583">
        <v>1107</v>
      </c>
      <c r="V583">
        <v>1414</v>
      </c>
      <c r="W583">
        <v>917</v>
      </c>
      <c r="X583">
        <v>250</v>
      </c>
      <c r="Y583">
        <v>70</v>
      </c>
      <c r="Z583">
        <v>49</v>
      </c>
      <c r="AA583">
        <v>245</v>
      </c>
      <c r="AB583">
        <v>0</v>
      </c>
      <c r="AC583">
        <v>120</v>
      </c>
      <c r="AD583">
        <v>119</v>
      </c>
      <c r="AE583">
        <v>0</v>
      </c>
      <c r="AF583">
        <v>0</v>
      </c>
      <c r="AG583">
        <v>3</v>
      </c>
      <c r="AH583">
        <v>0</v>
      </c>
      <c r="AI583">
        <v>0</v>
      </c>
      <c r="AJ583">
        <v>0</v>
      </c>
      <c r="AK583">
        <v>1.7342299999999999</v>
      </c>
      <c r="AL583">
        <v>3</v>
      </c>
      <c r="AM583">
        <v>0</v>
      </c>
      <c r="AN583">
        <v>979</v>
      </c>
      <c r="AO583">
        <v>91</v>
      </c>
      <c r="AP583">
        <v>0</v>
      </c>
      <c r="AQ583">
        <v>0</v>
      </c>
    </row>
    <row r="584" spans="1:43" x14ac:dyDescent="0.25">
      <c r="A584">
        <v>581</v>
      </c>
      <c r="B584">
        <v>12</v>
      </c>
      <c r="C584">
        <v>12</v>
      </c>
      <c r="D584">
        <v>3</v>
      </c>
      <c r="E584">
        <v>1086</v>
      </c>
      <c r="F584">
        <v>3967</v>
      </c>
      <c r="G584">
        <v>3983</v>
      </c>
      <c r="H584">
        <v>1680</v>
      </c>
      <c r="I584">
        <v>494</v>
      </c>
      <c r="J584">
        <v>580</v>
      </c>
      <c r="K584">
        <v>468</v>
      </c>
      <c r="L584">
        <v>300</v>
      </c>
      <c r="M584">
        <v>133</v>
      </c>
      <c r="N584">
        <v>191</v>
      </c>
      <c r="O584">
        <v>214</v>
      </c>
      <c r="P584">
        <v>141</v>
      </c>
      <c r="Q584">
        <v>6</v>
      </c>
      <c r="R584">
        <v>0.124626547</v>
      </c>
      <c r="S584">
        <v>432</v>
      </c>
      <c r="T584">
        <v>241</v>
      </c>
      <c r="U584">
        <v>1364</v>
      </c>
      <c r="V584">
        <v>1462</v>
      </c>
      <c r="W584">
        <v>963</v>
      </c>
      <c r="X584">
        <v>530</v>
      </c>
      <c r="Y584">
        <v>65</v>
      </c>
      <c r="Z584">
        <v>33</v>
      </c>
      <c r="AA584">
        <v>309</v>
      </c>
      <c r="AB584">
        <v>0</v>
      </c>
      <c r="AC584">
        <v>8</v>
      </c>
      <c r="AD584">
        <v>17</v>
      </c>
      <c r="AE584">
        <v>0</v>
      </c>
      <c r="AF584">
        <v>0</v>
      </c>
      <c r="AG584">
        <v>3</v>
      </c>
      <c r="AH584">
        <v>0</v>
      </c>
      <c r="AI584">
        <v>0</v>
      </c>
      <c r="AJ584">
        <v>0</v>
      </c>
      <c r="AK584">
        <v>1.74844</v>
      </c>
      <c r="AL584">
        <v>3</v>
      </c>
      <c r="AM584">
        <v>0</v>
      </c>
      <c r="AN584">
        <v>1086</v>
      </c>
      <c r="AO584">
        <v>16</v>
      </c>
      <c r="AP584">
        <v>0</v>
      </c>
      <c r="AQ584">
        <v>0</v>
      </c>
    </row>
    <row r="585" spans="1:43" x14ac:dyDescent="0.25">
      <c r="A585">
        <v>582</v>
      </c>
      <c r="B585">
        <v>12</v>
      </c>
      <c r="C585">
        <v>12</v>
      </c>
      <c r="D585">
        <v>3</v>
      </c>
      <c r="E585">
        <v>1813</v>
      </c>
      <c r="F585">
        <v>6052</v>
      </c>
      <c r="G585">
        <v>6083</v>
      </c>
      <c r="H585">
        <v>3092</v>
      </c>
      <c r="I585">
        <v>1284</v>
      </c>
      <c r="J585">
        <v>448</v>
      </c>
      <c r="K585">
        <v>599</v>
      </c>
      <c r="L585">
        <v>414</v>
      </c>
      <c r="M585">
        <v>444</v>
      </c>
      <c r="N585">
        <v>347</v>
      </c>
      <c r="O585">
        <v>353</v>
      </c>
      <c r="P585">
        <v>273.19286299999999</v>
      </c>
      <c r="Q585">
        <v>45.807331490000003</v>
      </c>
      <c r="R585">
        <v>0.230452675</v>
      </c>
      <c r="S585">
        <v>2008</v>
      </c>
      <c r="T585">
        <v>226</v>
      </c>
      <c r="U585">
        <v>1212</v>
      </c>
      <c r="V585">
        <v>1887</v>
      </c>
      <c r="W585">
        <v>1926</v>
      </c>
      <c r="X585">
        <v>1373</v>
      </c>
      <c r="Y585">
        <v>369</v>
      </c>
      <c r="Z585">
        <v>134</v>
      </c>
      <c r="AA585">
        <v>1387</v>
      </c>
      <c r="AB585">
        <v>1</v>
      </c>
      <c r="AC585">
        <v>59</v>
      </c>
      <c r="AD585">
        <v>58</v>
      </c>
      <c r="AE585">
        <v>0</v>
      </c>
      <c r="AF585">
        <v>0</v>
      </c>
      <c r="AG585">
        <v>4</v>
      </c>
      <c r="AH585">
        <v>0</v>
      </c>
      <c r="AI585">
        <v>0</v>
      </c>
      <c r="AJ585">
        <v>0</v>
      </c>
      <c r="AK585">
        <v>1.59554</v>
      </c>
      <c r="AL585">
        <v>3</v>
      </c>
      <c r="AM585">
        <v>0</v>
      </c>
      <c r="AN585">
        <v>1813</v>
      </c>
      <c r="AO585">
        <v>31</v>
      </c>
      <c r="AP585">
        <v>0</v>
      </c>
      <c r="AQ585">
        <v>0</v>
      </c>
    </row>
    <row r="586" spans="1:43" x14ac:dyDescent="0.25">
      <c r="A586">
        <v>583</v>
      </c>
      <c r="B586">
        <v>12</v>
      </c>
      <c r="C586">
        <v>12</v>
      </c>
      <c r="D586">
        <v>3</v>
      </c>
      <c r="E586">
        <v>1439</v>
      </c>
      <c r="F586">
        <v>5085</v>
      </c>
      <c r="G586">
        <v>5100</v>
      </c>
      <c r="H586">
        <v>2559</v>
      </c>
      <c r="I586">
        <v>1144</v>
      </c>
      <c r="J586">
        <v>214</v>
      </c>
      <c r="K586">
        <v>481</v>
      </c>
      <c r="L586">
        <v>386</v>
      </c>
      <c r="M586">
        <v>237</v>
      </c>
      <c r="N586">
        <v>325</v>
      </c>
      <c r="O586">
        <v>617</v>
      </c>
      <c r="P586">
        <v>333</v>
      </c>
      <c r="Q586">
        <v>240.33704900000001</v>
      </c>
      <c r="R586">
        <v>0.201571575</v>
      </c>
      <c r="S586">
        <v>3131</v>
      </c>
      <c r="T586">
        <v>339</v>
      </c>
      <c r="U586">
        <v>1236</v>
      </c>
      <c r="V586">
        <v>1877</v>
      </c>
      <c r="W586">
        <v>1333</v>
      </c>
      <c r="X586">
        <v>937</v>
      </c>
      <c r="Y586">
        <v>1062</v>
      </c>
      <c r="Z586">
        <v>248</v>
      </c>
      <c r="AA586">
        <v>1708</v>
      </c>
      <c r="AB586">
        <v>1</v>
      </c>
      <c r="AC586">
        <v>53</v>
      </c>
      <c r="AD586">
        <v>59</v>
      </c>
      <c r="AE586">
        <v>0</v>
      </c>
      <c r="AF586">
        <v>0</v>
      </c>
      <c r="AG586">
        <v>4</v>
      </c>
      <c r="AH586">
        <v>25</v>
      </c>
      <c r="AI586">
        <v>170</v>
      </c>
      <c r="AJ586">
        <v>0</v>
      </c>
      <c r="AK586">
        <v>1.4779899999999999</v>
      </c>
      <c r="AL586">
        <v>3</v>
      </c>
      <c r="AM586">
        <v>0</v>
      </c>
      <c r="AN586">
        <v>1439</v>
      </c>
      <c r="AO586">
        <v>15</v>
      </c>
      <c r="AP586">
        <v>0</v>
      </c>
      <c r="AQ586">
        <v>0</v>
      </c>
    </row>
    <row r="587" spans="1:43" x14ac:dyDescent="0.25">
      <c r="A587">
        <v>584</v>
      </c>
      <c r="B587">
        <v>12</v>
      </c>
      <c r="C587">
        <v>12</v>
      </c>
      <c r="D587">
        <v>3</v>
      </c>
      <c r="E587">
        <v>878</v>
      </c>
      <c r="F587">
        <v>3390</v>
      </c>
      <c r="G587">
        <v>3397</v>
      </c>
      <c r="H587">
        <v>1814</v>
      </c>
      <c r="I587">
        <v>867</v>
      </c>
      <c r="J587">
        <v>0</v>
      </c>
      <c r="K587">
        <v>222</v>
      </c>
      <c r="L587">
        <v>208</v>
      </c>
      <c r="M587">
        <v>197</v>
      </c>
      <c r="N587">
        <v>246</v>
      </c>
      <c r="O587">
        <v>424</v>
      </c>
      <c r="P587">
        <v>184</v>
      </c>
      <c r="Q587">
        <v>182</v>
      </c>
      <c r="R587">
        <v>0.16457197100000001</v>
      </c>
      <c r="S587">
        <v>582</v>
      </c>
      <c r="T587">
        <v>128</v>
      </c>
      <c r="U587">
        <v>779</v>
      </c>
      <c r="V587">
        <v>1402</v>
      </c>
      <c r="W587">
        <v>1301</v>
      </c>
      <c r="X587">
        <v>517</v>
      </c>
      <c r="Y587">
        <v>55</v>
      </c>
      <c r="Z587">
        <v>62</v>
      </c>
      <c r="AA587">
        <v>389</v>
      </c>
      <c r="AB587">
        <v>1</v>
      </c>
      <c r="AC587">
        <v>39</v>
      </c>
      <c r="AD587">
        <v>36</v>
      </c>
      <c r="AE587">
        <v>0</v>
      </c>
      <c r="AF587">
        <v>0</v>
      </c>
      <c r="AG587">
        <v>4</v>
      </c>
      <c r="AH587">
        <v>0</v>
      </c>
      <c r="AI587">
        <v>0</v>
      </c>
      <c r="AJ587">
        <v>0</v>
      </c>
      <c r="AK587">
        <v>1.16195</v>
      </c>
      <c r="AL587">
        <v>3</v>
      </c>
      <c r="AM587">
        <v>0</v>
      </c>
      <c r="AN587">
        <v>878</v>
      </c>
      <c r="AO587">
        <v>7</v>
      </c>
      <c r="AP587">
        <v>0</v>
      </c>
      <c r="AQ587">
        <v>0</v>
      </c>
    </row>
    <row r="588" spans="1:43" x14ac:dyDescent="0.25">
      <c r="A588">
        <v>585</v>
      </c>
      <c r="B588">
        <v>12</v>
      </c>
      <c r="C588">
        <v>12</v>
      </c>
      <c r="D588">
        <v>3</v>
      </c>
      <c r="E588">
        <v>959</v>
      </c>
      <c r="F588">
        <v>3302</v>
      </c>
      <c r="G588">
        <v>3305</v>
      </c>
      <c r="H588">
        <v>1729</v>
      </c>
      <c r="I588">
        <v>906</v>
      </c>
      <c r="J588">
        <v>43</v>
      </c>
      <c r="K588">
        <v>244</v>
      </c>
      <c r="L588">
        <v>303</v>
      </c>
      <c r="M588">
        <v>257</v>
      </c>
      <c r="N588">
        <v>150</v>
      </c>
      <c r="O588">
        <v>187</v>
      </c>
      <c r="P588">
        <v>138</v>
      </c>
      <c r="Q588">
        <v>19</v>
      </c>
      <c r="R588">
        <v>0.217688679</v>
      </c>
      <c r="S588">
        <v>475</v>
      </c>
      <c r="T588">
        <v>242</v>
      </c>
      <c r="U588">
        <v>852</v>
      </c>
      <c r="V588">
        <v>1321</v>
      </c>
      <c r="W588">
        <v>1068</v>
      </c>
      <c r="X588">
        <v>656</v>
      </c>
      <c r="Y588">
        <v>92</v>
      </c>
      <c r="Z588">
        <v>41</v>
      </c>
      <c r="AA588">
        <v>326</v>
      </c>
      <c r="AB588">
        <v>0</v>
      </c>
      <c r="AC588">
        <v>8</v>
      </c>
      <c r="AD588">
        <v>8</v>
      </c>
      <c r="AE588">
        <v>0</v>
      </c>
      <c r="AF588">
        <v>0</v>
      </c>
      <c r="AG588">
        <v>3</v>
      </c>
      <c r="AH588">
        <v>0</v>
      </c>
      <c r="AI588">
        <v>0</v>
      </c>
      <c r="AJ588">
        <v>0</v>
      </c>
      <c r="AK588">
        <v>1.5567</v>
      </c>
      <c r="AL588">
        <v>3</v>
      </c>
      <c r="AM588">
        <v>0</v>
      </c>
      <c r="AN588">
        <v>959</v>
      </c>
      <c r="AO588">
        <v>3</v>
      </c>
      <c r="AP588">
        <v>0</v>
      </c>
      <c r="AQ588">
        <v>0</v>
      </c>
    </row>
    <row r="589" spans="1:43" x14ac:dyDescent="0.25">
      <c r="A589">
        <v>586</v>
      </c>
      <c r="B589">
        <v>12</v>
      </c>
      <c r="C589">
        <v>12</v>
      </c>
      <c r="D589">
        <v>3</v>
      </c>
      <c r="E589">
        <v>1136</v>
      </c>
      <c r="F589">
        <v>4706</v>
      </c>
      <c r="G589">
        <v>4706</v>
      </c>
      <c r="H589">
        <v>2751</v>
      </c>
      <c r="I589">
        <v>1200</v>
      </c>
      <c r="J589">
        <v>0</v>
      </c>
      <c r="K589">
        <v>170</v>
      </c>
      <c r="L589">
        <v>256</v>
      </c>
      <c r="M589">
        <v>349</v>
      </c>
      <c r="N589">
        <v>370</v>
      </c>
      <c r="O589">
        <v>274</v>
      </c>
      <c r="P589">
        <v>196</v>
      </c>
      <c r="Q589">
        <v>78</v>
      </c>
      <c r="R589">
        <v>0.11319407200000001</v>
      </c>
      <c r="S589">
        <v>799</v>
      </c>
      <c r="T589">
        <v>212</v>
      </c>
      <c r="U589">
        <v>1066</v>
      </c>
      <c r="V589">
        <v>2398</v>
      </c>
      <c r="W589">
        <v>1327</v>
      </c>
      <c r="X589">
        <v>455</v>
      </c>
      <c r="Y589">
        <v>235</v>
      </c>
      <c r="Z589">
        <v>47</v>
      </c>
      <c r="AA589">
        <v>432</v>
      </c>
      <c r="AB589">
        <v>1</v>
      </c>
      <c r="AC589">
        <v>28</v>
      </c>
      <c r="AD589">
        <v>56</v>
      </c>
      <c r="AE589">
        <v>0</v>
      </c>
      <c r="AF589">
        <v>0</v>
      </c>
      <c r="AG589">
        <v>4</v>
      </c>
      <c r="AH589">
        <v>1909</v>
      </c>
      <c r="AI589">
        <v>0</v>
      </c>
      <c r="AJ589">
        <v>0</v>
      </c>
      <c r="AK589">
        <v>1.4347700000000001</v>
      </c>
      <c r="AL589">
        <v>3</v>
      </c>
      <c r="AM589">
        <v>0</v>
      </c>
      <c r="AN589">
        <v>1136</v>
      </c>
      <c r="AO589">
        <v>0</v>
      </c>
      <c r="AP589">
        <v>0</v>
      </c>
      <c r="AQ589">
        <v>0</v>
      </c>
    </row>
    <row r="590" spans="1:43" x14ac:dyDescent="0.25">
      <c r="A590">
        <v>587</v>
      </c>
      <c r="B590">
        <v>12</v>
      </c>
      <c r="C590">
        <v>12</v>
      </c>
      <c r="D590">
        <v>3</v>
      </c>
      <c r="E590">
        <v>376</v>
      </c>
      <c r="F590">
        <v>1470</v>
      </c>
      <c r="G590">
        <v>1475</v>
      </c>
      <c r="H590">
        <v>914</v>
      </c>
      <c r="I590">
        <v>363</v>
      </c>
      <c r="J590">
        <v>5</v>
      </c>
      <c r="K590">
        <v>57</v>
      </c>
      <c r="L590">
        <v>102</v>
      </c>
      <c r="M590">
        <v>110</v>
      </c>
      <c r="N590">
        <v>112</v>
      </c>
      <c r="O590">
        <v>93</v>
      </c>
      <c r="P590">
        <v>84</v>
      </c>
      <c r="Q590">
        <v>9</v>
      </c>
      <c r="R590">
        <v>0.16466235000000001</v>
      </c>
      <c r="S590">
        <v>433</v>
      </c>
      <c r="T590">
        <v>76</v>
      </c>
      <c r="U590">
        <v>527</v>
      </c>
      <c r="V590">
        <v>759</v>
      </c>
      <c r="W590">
        <v>459</v>
      </c>
      <c r="X590">
        <v>293</v>
      </c>
      <c r="Y590">
        <v>3</v>
      </c>
      <c r="Z590">
        <v>36</v>
      </c>
      <c r="AA590">
        <v>367</v>
      </c>
      <c r="AB590">
        <v>1</v>
      </c>
      <c r="AC590">
        <v>12</v>
      </c>
      <c r="AD590">
        <v>14</v>
      </c>
      <c r="AE590">
        <v>0</v>
      </c>
      <c r="AF590">
        <v>0</v>
      </c>
      <c r="AG590">
        <v>4</v>
      </c>
      <c r="AH590">
        <v>0</v>
      </c>
      <c r="AI590">
        <v>0</v>
      </c>
      <c r="AJ590">
        <v>0</v>
      </c>
      <c r="AK590">
        <v>1.5128999999999999</v>
      </c>
      <c r="AL590">
        <v>3</v>
      </c>
      <c r="AM590">
        <v>0</v>
      </c>
      <c r="AN590">
        <v>376</v>
      </c>
      <c r="AO590">
        <v>5</v>
      </c>
      <c r="AP590">
        <v>0</v>
      </c>
      <c r="AQ590">
        <v>0</v>
      </c>
    </row>
    <row r="591" spans="1:43" x14ac:dyDescent="0.25">
      <c r="A591">
        <v>588</v>
      </c>
      <c r="B591">
        <v>12</v>
      </c>
      <c r="C591">
        <v>12</v>
      </c>
      <c r="D591">
        <v>3</v>
      </c>
      <c r="E591">
        <v>1281</v>
      </c>
      <c r="F591">
        <v>5037</v>
      </c>
      <c r="G591">
        <v>5073</v>
      </c>
      <c r="H591">
        <v>2719</v>
      </c>
      <c r="I591">
        <v>875</v>
      </c>
      <c r="J591">
        <v>369</v>
      </c>
      <c r="K591">
        <v>182</v>
      </c>
      <c r="L591">
        <v>459</v>
      </c>
      <c r="M591">
        <v>308</v>
      </c>
      <c r="N591">
        <v>328</v>
      </c>
      <c r="O591">
        <v>248</v>
      </c>
      <c r="P591">
        <v>209</v>
      </c>
      <c r="Q591">
        <v>18</v>
      </c>
      <c r="R591">
        <v>0.147464768</v>
      </c>
      <c r="S591">
        <v>472</v>
      </c>
      <c r="T591">
        <v>234</v>
      </c>
      <c r="U591">
        <v>1812</v>
      </c>
      <c r="V591">
        <v>2494</v>
      </c>
      <c r="W591">
        <v>1325</v>
      </c>
      <c r="X591">
        <v>857</v>
      </c>
      <c r="Y591">
        <v>29</v>
      </c>
      <c r="Z591">
        <v>55</v>
      </c>
      <c r="AA591">
        <v>343</v>
      </c>
      <c r="AB591">
        <v>1</v>
      </c>
      <c r="AC591">
        <v>16</v>
      </c>
      <c r="AD591">
        <v>28</v>
      </c>
      <c r="AE591">
        <v>0</v>
      </c>
      <c r="AF591">
        <v>0</v>
      </c>
      <c r="AG591">
        <v>4</v>
      </c>
      <c r="AH591">
        <v>0</v>
      </c>
      <c r="AI591">
        <v>0</v>
      </c>
      <c r="AJ591">
        <v>0</v>
      </c>
      <c r="AK591">
        <v>1.45824</v>
      </c>
      <c r="AL591">
        <v>3</v>
      </c>
      <c r="AM591">
        <v>0</v>
      </c>
      <c r="AN591">
        <v>1281</v>
      </c>
      <c r="AO591">
        <v>36</v>
      </c>
      <c r="AP591">
        <v>0</v>
      </c>
      <c r="AQ591">
        <v>0</v>
      </c>
    </row>
    <row r="592" spans="1:43" x14ac:dyDescent="0.25">
      <c r="A592">
        <v>589</v>
      </c>
      <c r="B592">
        <v>12</v>
      </c>
      <c r="C592">
        <v>12</v>
      </c>
      <c r="D592">
        <v>3</v>
      </c>
      <c r="E592">
        <v>1462</v>
      </c>
      <c r="F592">
        <v>5425</v>
      </c>
      <c r="G592">
        <v>5446</v>
      </c>
      <c r="H592">
        <v>2874</v>
      </c>
      <c r="I592">
        <v>1173</v>
      </c>
      <c r="J592">
        <v>253</v>
      </c>
      <c r="K592">
        <v>423</v>
      </c>
      <c r="L592">
        <v>437</v>
      </c>
      <c r="M592">
        <v>302</v>
      </c>
      <c r="N592">
        <v>303</v>
      </c>
      <c r="O592">
        <v>256</v>
      </c>
      <c r="P592">
        <v>157</v>
      </c>
      <c r="Q592">
        <v>27</v>
      </c>
      <c r="R592">
        <v>0.14988253700000001</v>
      </c>
      <c r="S592">
        <v>630</v>
      </c>
      <c r="T592">
        <v>286</v>
      </c>
      <c r="U592">
        <v>1048</v>
      </c>
      <c r="V592">
        <v>2364</v>
      </c>
      <c r="W592">
        <v>1813</v>
      </c>
      <c r="X592">
        <v>706</v>
      </c>
      <c r="Y592">
        <v>54</v>
      </c>
      <c r="Z592">
        <v>78</v>
      </c>
      <c r="AA592">
        <v>378</v>
      </c>
      <c r="AB592">
        <v>1</v>
      </c>
      <c r="AC592">
        <v>56</v>
      </c>
      <c r="AD592">
        <v>63</v>
      </c>
      <c r="AE592">
        <v>0</v>
      </c>
      <c r="AF592">
        <v>0</v>
      </c>
      <c r="AG592">
        <v>4</v>
      </c>
      <c r="AH592">
        <v>0</v>
      </c>
      <c r="AI592">
        <v>0</v>
      </c>
      <c r="AJ592">
        <v>0</v>
      </c>
      <c r="AK592">
        <v>1.6229</v>
      </c>
      <c r="AL592">
        <v>3</v>
      </c>
      <c r="AM592">
        <v>0</v>
      </c>
      <c r="AN592">
        <v>1462</v>
      </c>
      <c r="AO592">
        <v>21</v>
      </c>
      <c r="AP592">
        <v>0</v>
      </c>
      <c r="AQ592">
        <v>0</v>
      </c>
    </row>
    <row r="593" spans="1:43" x14ac:dyDescent="0.25">
      <c r="A593">
        <v>590</v>
      </c>
      <c r="B593">
        <v>12</v>
      </c>
      <c r="C593">
        <v>12</v>
      </c>
      <c r="D593">
        <v>3</v>
      </c>
      <c r="E593">
        <v>885</v>
      </c>
      <c r="F593">
        <v>3208</v>
      </c>
      <c r="G593">
        <v>3208</v>
      </c>
      <c r="H593">
        <v>1800</v>
      </c>
      <c r="I593">
        <v>609</v>
      </c>
      <c r="J593">
        <v>247</v>
      </c>
      <c r="K593">
        <v>277</v>
      </c>
      <c r="L593">
        <v>317</v>
      </c>
      <c r="M593">
        <v>162</v>
      </c>
      <c r="N593">
        <v>136</v>
      </c>
      <c r="O593">
        <v>180</v>
      </c>
      <c r="P593">
        <v>70</v>
      </c>
      <c r="Q593">
        <v>60</v>
      </c>
      <c r="R593">
        <v>0.144547325</v>
      </c>
      <c r="S593">
        <v>556</v>
      </c>
      <c r="T593">
        <v>187</v>
      </c>
      <c r="U593">
        <v>849</v>
      </c>
      <c r="V593">
        <v>1347</v>
      </c>
      <c r="W593">
        <v>1016</v>
      </c>
      <c r="X593">
        <v>398</v>
      </c>
      <c r="Y593">
        <v>188</v>
      </c>
      <c r="Z593">
        <v>62</v>
      </c>
      <c r="AA593">
        <v>240</v>
      </c>
      <c r="AB593">
        <v>1</v>
      </c>
      <c r="AC593">
        <v>47</v>
      </c>
      <c r="AD593">
        <v>18</v>
      </c>
      <c r="AE593">
        <v>0</v>
      </c>
      <c r="AF593">
        <v>0</v>
      </c>
      <c r="AG593">
        <v>4</v>
      </c>
      <c r="AH593">
        <v>0</v>
      </c>
      <c r="AI593">
        <v>0</v>
      </c>
      <c r="AJ593">
        <v>0</v>
      </c>
      <c r="AK593">
        <v>1.61887</v>
      </c>
      <c r="AL593">
        <v>3</v>
      </c>
      <c r="AM593">
        <v>0</v>
      </c>
      <c r="AN593">
        <v>885</v>
      </c>
      <c r="AO593">
        <v>0</v>
      </c>
      <c r="AP593">
        <v>0</v>
      </c>
      <c r="AQ593">
        <v>0</v>
      </c>
    </row>
    <row r="594" spans="1:43" x14ac:dyDescent="0.25">
      <c r="A594">
        <v>591</v>
      </c>
      <c r="B594">
        <v>12</v>
      </c>
      <c r="C594">
        <v>12</v>
      </c>
      <c r="D594">
        <v>3</v>
      </c>
      <c r="E594">
        <v>2079</v>
      </c>
      <c r="F594">
        <v>6890</v>
      </c>
      <c r="G594">
        <v>7022</v>
      </c>
      <c r="H594">
        <v>3623</v>
      </c>
      <c r="I594">
        <v>1452</v>
      </c>
      <c r="J594">
        <v>613</v>
      </c>
      <c r="K594">
        <v>734</v>
      </c>
      <c r="L594">
        <v>562</v>
      </c>
      <c r="M594">
        <v>420</v>
      </c>
      <c r="N594">
        <v>357</v>
      </c>
      <c r="O594">
        <v>357</v>
      </c>
      <c r="P594">
        <v>252.15267879999999</v>
      </c>
      <c r="Q594">
        <v>62.046987180000002</v>
      </c>
      <c r="R594">
        <v>0.134212472</v>
      </c>
      <c r="S594">
        <v>879</v>
      </c>
      <c r="T594">
        <v>721</v>
      </c>
      <c r="U594">
        <v>1788</v>
      </c>
      <c r="V594">
        <v>2847</v>
      </c>
      <c r="W594">
        <v>1660</v>
      </c>
      <c r="X594">
        <v>901</v>
      </c>
      <c r="Y594">
        <v>66</v>
      </c>
      <c r="Z594">
        <v>109</v>
      </c>
      <c r="AA594">
        <v>582</v>
      </c>
      <c r="AB594">
        <v>1</v>
      </c>
      <c r="AC594">
        <v>34</v>
      </c>
      <c r="AD594">
        <v>87</v>
      </c>
      <c r="AE594">
        <v>0</v>
      </c>
      <c r="AF594">
        <v>0</v>
      </c>
      <c r="AG594">
        <v>4</v>
      </c>
      <c r="AH594">
        <v>0</v>
      </c>
      <c r="AI594">
        <v>0</v>
      </c>
      <c r="AJ594">
        <v>0</v>
      </c>
      <c r="AK594">
        <v>1.8466</v>
      </c>
      <c r="AL594">
        <v>3</v>
      </c>
      <c r="AM594">
        <v>0</v>
      </c>
      <c r="AN594">
        <v>2079</v>
      </c>
      <c r="AO594">
        <v>132</v>
      </c>
      <c r="AP594">
        <v>0</v>
      </c>
      <c r="AQ594">
        <v>0</v>
      </c>
    </row>
    <row r="595" spans="1:43" x14ac:dyDescent="0.25">
      <c r="A595">
        <v>592</v>
      </c>
      <c r="B595">
        <v>12</v>
      </c>
      <c r="C595">
        <v>12</v>
      </c>
      <c r="D595">
        <v>3</v>
      </c>
      <c r="E595">
        <v>1305</v>
      </c>
      <c r="F595">
        <v>4482</v>
      </c>
      <c r="G595">
        <v>4500</v>
      </c>
      <c r="H595">
        <v>2342</v>
      </c>
      <c r="I595">
        <v>870</v>
      </c>
      <c r="J595">
        <v>364</v>
      </c>
      <c r="K595">
        <v>402</v>
      </c>
      <c r="L595">
        <v>368</v>
      </c>
      <c r="M595">
        <v>281</v>
      </c>
      <c r="N595">
        <v>247</v>
      </c>
      <c r="O595">
        <v>293</v>
      </c>
      <c r="P595">
        <v>129</v>
      </c>
      <c r="Q595">
        <v>4</v>
      </c>
      <c r="R595">
        <v>0.15946717399999999</v>
      </c>
      <c r="S595">
        <v>507</v>
      </c>
      <c r="T595">
        <v>247</v>
      </c>
      <c r="U595">
        <v>1226</v>
      </c>
      <c r="V595">
        <v>1939</v>
      </c>
      <c r="W595">
        <v>929</v>
      </c>
      <c r="X595">
        <v>775</v>
      </c>
      <c r="Y595">
        <v>34</v>
      </c>
      <c r="Z595">
        <v>32</v>
      </c>
      <c r="AA595">
        <v>267</v>
      </c>
      <c r="AB595">
        <v>30</v>
      </c>
      <c r="AC595">
        <v>86</v>
      </c>
      <c r="AD595">
        <v>58</v>
      </c>
      <c r="AE595">
        <v>0</v>
      </c>
      <c r="AF595">
        <v>0</v>
      </c>
      <c r="AG595">
        <v>4</v>
      </c>
      <c r="AH595">
        <v>0</v>
      </c>
      <c r="AI595">
        <v>0</v>
      </c>
      <c r="AJ595">
        <v>0</v>
      </c>
      <c r="AK595">
        <v>1.6974899999999999</v>
      </c>
      <c r="AL595">
        <v>3</v>
      </c>
      <c r="AM595">
        <v>0</v>
      </c>
      <c r="AN595">
        <v>1305</v>
      </c>
      <c r="AO595">
        <v>18</v>
      </c>
      <c r="AP595">
        <v>0</v>
      </c>
      <c r="AQ595">
        <v>0</v>
      </c>
    </row>
    <row r="596" spans="1:43" x14ac:dyDescent="0.25">
      <c r="A596">
        <v>593</v>
      </c>
      <c r="B596">
        <v>12</v>
      </c>
      <c r="C596">
        <v>12</v>
      </c>
      <c r="D596">
        <v>3</v>
      </c>
      <c r="E596">
        <v>906</v>
      </c>
      <c r="F596">
        <v>3115</v>
      </c>
      <c r="G596">
        <v>3120</v>
      </c>
      <c r="H596">
        <v>1676</v>
      </c>
      <c r="I596">
        <v>571</v>
      </c>
      <c r="J596">
        <v>314</v>
      </c>
      <c r="K596">
        <v>215</v>
      </c>
      <c r="L596">
        <v>273</v>
      </c>
      <c r="M596">
        <v>183</v>
      </c>
      <c r="N596">
        <v>235</v>
      </c>
      <c r="O596">
        <v>335</v>
      </c>
      <c r="P596">
        <v>104</v>
      </c>
      <c r="Q596">
        <v>185</v>
      </c>
      <c r="R596">
        <v>0.13512004499999999</v>
      </c>
      <c r="S596">
        <v>3017</v>
      </c>
      <c r="T596">
        <v>169</v>
      </c>
      <c r="U596">
        <v>765</v>
      </c>
      <c r="V596">
        <v>1291</v>
      </c>
      <c r="W596">
        <v>874</v>
      </c>
      <c r="X596">
        <v>370</v>
      </c>
      <c r="Y596">
        <v>136</v>
      </c>
      <c r="Z596">
        <v>170</v>
      </c>
      <c r="AA596">
        <v>260</v>
      </c>
      <c r="AB596">
        <v>2</v>
      </c>
      <c r="AC596">
        <v>1133</v>
      </c>
      <c r="AD596">
        <v>1316</v>
      </c>
      <c r="AE596">
        <v>0</v>
      </c>
      <c r="AF596">
        <v>0</v>
      </c>
      <c r="AG596">
        <v>4</v>
      </c>
      <c r="AH596">
        <v>0</v>
      </c>
      <c r="AI596">
        <v>0</v>
      </c>
      <c r="AJ596">
        <v>0</v>
      </c>
      <c r="AK596">
        <v>1.43353</v>
      </c>
      <c r="AL596">
        <v>3</v>
      </c>
      <c r="AM596">
        <v>0</v>
      </c>
      <c r="AN596">
        <v>906</v>
      </c>
      <c r="AO596">
        <v>5</v>
      </c>
      <c r="AP596">
        <v>0</v>
      </c>
      <c r="AQ596">
        <v>0</v>
      </c>
    </row>
    <row r="597" spans="1:43" x14ac:dyDescent="0.25">
      <c r="A597">
        <v>594</v>
      </c>
      <c r="B597">
        <v>12</v>
      </c>
      <c r="C597">
        <v>12</v>
      </c>
      <c r="D597">
        <v>3</v>
      </c>
      <c r="E597">
        <v>1383</v>
      </c>
      <c r="F597">
        <v>4874</v>
      </c>
      <c r="G597">
        <v>4938</v>
      </c>
      <c r="H597">
        <v>2536</v>
      </c>
      <c r="I597">
        <v>885</v>
      </c>
      <c r="J597">
        <v>486</v>
      </c>
      <c r="K597">
        <v>342</v>
      </c>
      <c r="L597">
        <v>433</v>
      </c>
      <c r="M597">
        <v>354</v>
      </c>
      <c r="N597">
        <v>272</v>
      </c>
      <c r="O597">
        <v>190</v>
      </c>
      <c r="P597">
        <v>159.47038230000001</v>
      </c>
      <c r="Q597">
        <v>21</v>
      </c>
      <c r="R597">
        <v>0.15254559300000001</v>
      </c>
      <c r="S597">
        <v>514</v>
      </c>
      <c r="T597">
        <v>216</v>
      </c>
      <c r="U597">
        <v>918</v>
      </c>
      <c r="V597">
        <v>1926</v>
      </c>
      <c r="W597">
        <v>1478</v>
      </c>
      <c r="X597">
        <v>584</v>
      </c>
      <c r="Y597">
        <v>15</v>
      </c>
      <c r="Z597">
        <v>64</v>
      </c>
      <c r="AA597">
        <v>299</v>
      </c>
      <c r="AB597">
        <v>1</v>
      </c>
      <c r="AC597">
        <v>20</v>
      </c>
      <c r="AD597">
        <v>115</v>
      </c>
      <c r="AE597">
        <v>0</v>
      </c>
      <c r="AF597">
        <v>0</v>
      </c>
      <c r="AG597">
        <v>3</v>
      </c>
      <c r="AH597">
        <v>0</v>
      </c>
      <c r="AI597">
        <v>0</v>
      </c>
      <c r="AJ597">
        <v>0</v>
      </c>
      <c r="AK597">
        <v>1.5819399999999999</v>
      </c>
      <c r="AL597">
        <v>3</v>
      </c>
      <c r="AM597">
        <v>0</v>
      </c>
      <c r="AN597">
        <v>1383</v>
      </c>
      <c r="AO597">
        <v>64</v>
      </c>
      <c r="AP597">
        <v>0</v>
      </c>
      <c r="AQ597">
        <v>0</v>
      </c>
    </row>
    <row r="598" spans="1:43" x14ac:dyDescent="0.25">
      <c r="A598">
        <v>595</v>
      </c>
      <c r="B598">
        <v>12</v>
      </c>
      <c r="C598">
        <v>12</v>
      </c>
      <c r="D598">
        <v>3</v>
      </c>
      <c r="E598">
        <v>2446</v>
      </c>
      <c r="F598">
        <v>6680</v>
      </c>
      <c r="G598">
        <v>6680</v>
      </c>
      <c r="H598">
        <v>3338</v>
      </c>
      <c r="I598">
        <v>409</v>
      </c>
      <c r="J598">
        <v>2003</v>
      </c>
      <c r="K598">
        <v>1016</v>
      </c>
      <c r="L598">
        <v>738</v>
      </c>
      <c r="M598">
        <v>498</v>
      </c>
      <c r="N598">
        <v>211</v>
      </c>
      <c r="O598">
        <v>275</v>
      </c>
      <c r="P598">
        <v>148</v>
      </c>
      <c r="Q598">
        <v>65</v>
      </c>
      <c r="R598">
        <v>0.19071829000000001</v>
      </c>
      <c r="S598">
        <v>3246</v>
      </c>
      <c r="T598">
        <v>357</v>
      </c>
      <c r="U598">
        <v>1639</v>
      </c>
      <c r="V598">
        <v>2602</v>
      </c>
      <c r="W598">
        <v>1680</v>
      </c>
      <c r="X598">
        <v>1219</v>
      </c>
      <c r="Y598">
        <v>95</v>
      </c>
      <c r="Z598">
        <v>179</v>
      </c>
      <c r="AA598">
        <v>2895</v>
      </c>
      <c r="AB598">
        <v>2</v>
      </c>
      <c r="AC598">
        <v>30</v>
      </c>
      <c r="AD598">
        <v>45</v>
      </c>
      <c r="AE598">
        <v>0</v>
      </c>
      <c r="AF598">
        <v>0</v>
      </c>
      <c r="AG598">
        <v>3</v>
      </c>
      <c r="AH598">
        <v>0</v>
      </c>
      <c r="AI598">
        <v>0</v>
      </c>
      <c r="AJ598">
        <v>0</v>
      </c>
      <c r="AK598">
        <v>1.7691600000000001</v>
      </c>
      <c r="AL598">
        <v>3</v>
      </c>
      <c r="AM598">
        <v>0</v>
      </c>
      <c r="AN598">
        <v>2446</v>
      </c>
      <c r="AO598">
        <v>0</v>
      </c>
      <c r="AP598">
        <v>0</v>
      </c>
      <c r="AQ598">
        <v>0</v>
      </c>
    </row>
    <row r="599" spans="1:43" x14ac:dyDescent="0.25">
      <c r="A599">
        <v>596</v>
      </c>
      <c r="B599">
        <v>12</v>
      </c>
      <c r="C599">
        <v>12</v>
      </c>
      <c r="D599">
        <v>3</v>
      </c>
      <c r="E599">
        <v>724</v>
      </c>
      <c r="F599">
        <v>2350</v>
      </c>
      <c r="G599">
        <v>2370</v>
      </c>
      <c r="H599">
        <v>1309</v>
      </c>
      <c r="I599">
        <v>500</v>
      </c>
      <c r="J599">
        <v>187</v>
      </c>
      <c r="K599">
        <v>216</v>
      </c>
      <c r="L599">
        <v>156</v>
      </c>
      <c r="M599">
        <v>197</v>
      </c>
      <c r="N599">
        <v>166</v>
      </c>
      <c r="O599">
        <v>298</v>
      </c>
      <c r="P599">
        <v>111</v>
      </c>
      <c r="Q599">
        <v>92</v>
      </c>
      <c r="R599">
        <v>0.207362885</v>
      </c>
      <c r="S599">
        <v>756</v>
      </c>
      <c r="T599">
        <v>120</v>
      </c>
      <c r="U599">
        <v>372</v>
      </c>
      <c r="V599">
        <v>998</v>
      </c>
      <c r="W599">
        <v>661</v>
      </c>
      <c r="X599">
        <v>437</v>
      </c>
      <c r="Y599">
        <v>104</v>
      </c>
      <c r="Z599">
        <v>50</v>
      </c>
      <c r="AA599">
        <v>562</v>
      </c>
      <c r="AB599">
        <v>1</v>
      </c>
      <c r="AC599">
        <v>21</v>
      </c>
      <c r="AD599">
        <v>18</v>
      </c>
      <c r="AE599">
        <v>0</v>
      </c>
      <c r="AF599">
        <v>0</v>
      </c>
      <c r="AG599">
        <v>3</v>
      </c>
      <c r="AH599">
        <v>3242</v>
      </c>
      <c r="AI599">
        <v>0</v>
      </c>
      <c r="AJ599">
        <v>0</v>
      </c>
      <c r="AK599">
        <v>1.32264</v>
      </c>
      <c r="AL599">
        <v>3</v>
      </c>
      <c r="AM599">
        <v>0</v>
      </c>
      <c r="AN599">
        <v>724</v>
      </c>
      <c r="AO599">
        <v>20</v>
      </c>
      <c r="AP599">
        <v>0</v>
      </c>
      <c r="AQ599">
        <v>0</v>
      </c>
    </row>
    <row r="600" spans="1:43" x14ac:dyDescent="0.25">
      <c r="A600">
        <v>597</v>
      </c>
      <c r="B600">
        <v>12</v>
      </c>
      <c r="C600">
        <v>12</v>
      </c>
      <c r="D600">
        <v>3</v>
      </c>
      <c r="E600">
        <v>2249</v>
      </c>
      <c r="F600">
        <v>6080</v>
      </c>
      <c r="G600">
        <v>6147</v>
      </c>
      <c r="H600">
        <v>2727</v>
      </c>
      <c r="I600">
        <v>746</v>
      </c>
      <c r="J600">
        <v>1455</v>
      </c>
      <c r="K600">
        <v>1092</v>
      </c>
      <c r="L600">
        <v>394</v>
      </c>
      <c r="M600">
        <v>174</v>
      </c>
      <c r="N600">
        <v>582</v>
      </c>
      <c r="O600">
        <v>222</v>
      </c>
      <c r="P600">
        <v>133.91834990000001</v>
      </c>
      <c r="Q600">
        <v>108</v>
      </c>
      <c r="R600">
        <v>0.21770799599999999</v>
      </c>
      <c r="S600">
        <v>942</v>
      </c>
      <c r="T600">
        <v>303</v>
      </c>
      <c r="U600">
        <v>1021</v>
      </c>
      <c r="V600">
        <v>2389</v>
      </c>
      <c r="W600">
        <v>1273</v>
      </c>
      <c r="X600">
        <v>1034</v>
      </c>
      <c r="Y600">
        <v>6</v>
      </c>
      <c r="Z600">
        <v>98</v>
      </c>
      <c r="AA600">
        <v>509</v>
      </c>
      <c r="AB600">
        <v>1</v>
      </c>
      <c r="AC600">
        <v>258</v>
      </c>
      <c r="AD600">
        <v>70</v>
      </c>
      <c r="AE600">
        <v>0</v>
      </c>
      <c r="AF600">
        <v>0</v>
      </c>
      <c r="AG600">
        <v>3</v>
      </c>
      <c r="AH600">
        <v>0</v>
      </c>
      <c r="AI600">
        <v>0</v>
      </c>
      <c r="AJ600">
        <v>0</v>
      </c>
      <c r="AK600">
        <v>1.57291</v>
      </c>
      <c r="AL600">
        <v>3</v>
      </c>
      <c r="AM600">
        <v>0</v>
      </c>
      <c r="AN600">
        <v>2249</v>
      </c>
      <c r="AO600">
        <v>67</v>
      </c>
      <c r="AP600">
        <v>0</v>
      </c>
      <c r="AQ600">
        <v>0</v>
      </c>
    </row>
    <row r="601" spans="1:43" x14ac:dyDescent="0.25">
      <c r="A601">
        <v>598</v>
      </c>
      <c r="B601">
        <v>12</v>
      </c>
      <c r="C601">
        <v>12</v>
      </c>
      <c r="D601">
        <v>3</v>
      </c>
      <c r="E601">
        <v>2164</v>
      </c>
      <c r="F601">
        <v>6460</v>
      </c>
      <c r="G601">
        <v>6516</v>
      </c>
      <c r="H601">
        <v>3276</v>
      </c>
      <c r="I601">
        <v>1775</v>
      </c>
      <c r="J601">
        <v>281</v>
      </c>
      <c r="K601">
        <v>306</v>
      </c>
      <c r="L601">
        <v>360</v>
      </c>
      <c r="M601">
        <v>421</v>
      </c>
      <c r="N601">
        <v>1063</v>
      </c>
      <c r="O601">
        <v>517</v>
      </c>
      <c r="P601">
        <v>285.35831639999998</v>
      </c>
      <c r="Q601">
        <v>155</v>
      </c>
      <c r="R601">
        <v>0.21264880999999999</v>
      </c>
      <c r="S601">
        <v>858</v>
      </c>
      <c r="T601">
        <v>336</v>
      </c>
      <c r="U601">
        <v>1080</v>
      </c>
      <c r="V601">
        <v>2599</v>
      </c>
      <c r="W601">
        <v>1448</v>
      </c>
      <c r="X601">
        <v>1086</v>
      </c>
      <c r="Y601">
        <v>96</v>
      </c>
      <c r="Z601">
        <v>207</v>
      </c>
      <c r="AA601">
        <v>444</v>
      </c>
      <c r="AB601">
        <v>2</v>
      </c>
      <c r="AC601">
        <v>48</v>
      </c>
      <c r="AD601">
        <v>61</v>
      </c>
      <c r="AE601">
        <v>0</v>
      </c>
      <c r="AF601">
        <v>0</v>
      </c>
      <c r="AG601">
        <v>4</v>
      </c>
      <c r="AH601">
        <v>0</v>
      </c>
      <c r="AI601">
        <v>0</v>
      </c>
      <c r="AJ601">
        <v>0</v>
      </c>
      <c r="AK601">
        <v>1.2856000000000001</v>
      </c>
      <c r="AL601">
        <v>3</v>
      </c>
      <c r="AM601">
        <v>0</v>
      </c>
      <c r="AN601">
        <v>2164</v>
      </c>
      <c r="AO601">
        <v>56</v>
      </c>
      <c r="AP601">
        <v>0</v>
      </c>
      <c r="AQ601">
        <v>0</v>
      </c>
    </row>
    <row r="602" spans="1:43" x14ac:dyDescent="0.25">
      <c r="A602">
        <v>599</v>
      </c>
      <c r="B602">
        <v>12</v>
      </c>
      <c r="C602">
        <v>12</v>
      </c>
      <c r="D602">
        <v>3</v>
      </c>
      <c r="E602">
        <v>1550</v>
      </c>
      <c r="F602">
        <v>5265</v>
      </c>
      <c r="G602">
        <v>5282</v>
      </c>
      <c r="H602">
        <v>2847</v>
      </c>
      <c r="I602">
        <v>1306</v>
      </c>
      <c r="J602">
        <v>192</v>
      </c>
      <c r="K602">
        <v>163</v>
      </c>
      <c r="L602">
        <v>298</v>
      </c>
      <c r="M602">
        <v>359</v>
      </c>
      <c r="N602">
        <v>719</v>
      </c>
      <c r="O602">
        <v>291</v>
      </c>
      <c r="P602">
        <v>230</v>
      </c>
      <c r="Q602">
        <v>12</v>
      </c>
      <c r="R602">
        <v>0.17966728300000001</v>
      </c>
      <c r="S602">
        <v>228</v>
      </c>
      <c r="T602">
        <v>235</v>
      </c>
      <c r="U602">
        <v>846</v>
      </c>
      <c r="V602">
        <v>1845</v>
      </c>
      <c r="W602">
        <v>1562</v>
      </c>
      <c r="X602">
        <v>770</v>
      </c>
      <c r="Y602">
        <v>2</v>
      </c>
      <c r="Z602">
        <v>32</v>
      </c>
      <c r="AA602">
        <v>156</v>
      </c>
      <c r="AB602">
        <v>0</v>
      </c>
      <c r="AC602">
        <v>18</v>
      </c>
      <c r="AD602">
        <v>20</v>
      </c>
      <c r="AE602">
        <v>0</v>
      </c>
      <c r="AF602">
        <v>0</v>
      </c>
      <c r="AG602">
        <v>4</v>
      </c>
      <c r="AH602">
        <v>0</v>
      </c>
      <c r="AI602">
        <v>0</v>
      </c>
      <c r="AJ602">
        <v>0</v>
      </c>
      <c r="AK602">
        <v>1.2849699999999999</v>
      </c>
      <c r="AL602">
        <v>3</v>
      </c>
      <c r="AM602">
        <v>0</v>
      </c>
      <c r="AN602">
        <v>1550</v>
      </c>
      <c r="AO602">
        <v>17</v>
      </c>
      <c r="AP602">
        <v>0</v>
      </c>
      <c r="AQ602">
        <v>0</v>
      </c>
    </row>
    <row r="603" spans="1:43" x14ac:dyDescent="0.25">
      <c r="A603">
        <v>600</v>
      </c>
      <c r="B603">
        <v>12</v>
      </c>
      <c r="C603">
        <v>12</v>
      </c>
      <c r="D603">
        <v>3</v>
      </c>
      <c r="E603">
        <v>1064</v>
      </c>
      <c r="F603">
        <v>3550</v>
      </c>
      <c r="G603">
        <v>3575</v>
      </c>
      <c r="H603">
        <v>1977</v>
      </c>
      <c r="I603">
        <v>1086</v>
      </c>
      <c r="J603">
        <v>18</v>
      </c>
      <c r="K603">
        <v>85</v>
      </c>
      <c r="L603">
        <v>225</v>
      </c>
      <c r="M603">
        <v>319</v>
      </c>
      <c r="N603">
        <v>428</v>
      </c>
      <c r="O603">
        <v>288</v>
      </c>
      <c r="P603">
        <v>277</v>
      </c>
      <c r="Q603">
        <v>3</v>
      </c>
      <c r="R603">
        <v>0.25724156300000001</v>
      </c>
      <c r="S603">
        <v>285</v>
      </c>
      <c r="T603">
        <v>181</v>
      </c>
      <c r="U603">
        <v>432</v>
      </c>
      <c r="V603">
        <v>1434</v>
      </c>
      <c r="W603">
        <v>837</v>
      </c>
      <c r="X603">
        <v>788</v>
      </c>
      <c r="Y603">
        <v>12</v>
      </c>
      <c r="Z603">
        <v>29</v>
      </c>
      <c r="AA603">
        <v>221</v>
      </c>
      <c r="AB603">
        <v>0</v>
      </c>
      <c r="AC603">
        <v>11</v>
      </c>
      <c r="AD603">
        <v>12</v>
      </c>
      <c r="AE603">
        <v>0</v>
      </c>
      <c r="AF603">
        <v>0</v>
      </c>
      <c r="AG603">
        <v>4</v>
      </c>
      <c r="AH603">
        <v>0</v>
      </c>
      <c r="AI603">
        <v>0</v>
      </c>
      <c r="AJ603">
        <v>0</v>
      </c>
      <c r="AK603">
        <v>1.2373400000000001</v>
      </c>
      <c r="AL603">
        <v>3</v>
      </c>
      <c r="AM603">
        <v>0</v>
      </c>
      <c r="AN603">
        <v>1064</v>
      </c>
      <c r="AO603">
        <v>25</v>
      </c>
      <c r="AP603">
        <v>0</v>
      </c>
      <c r="AQ603">
        <v>0</v>
      </c>
    </row>
    <row r="604" spans="1:43" x14ac:dyDescent="0.25">
      <c r="A604">
        <v>601</v>
      </c>
      <c r="B604">
        <v>12</v>
      </c>
      <c r="C604">
        <v>12</v>
      </c>
      <c r="D604">
        <v>3</v>
      </c>
      <c r="E604">
        <v>3075</v>
      </c>
      <c r="F604">
        <v>8224</v>
      </c>
      <c r="G604">
        <v>8350</v>
      </c>
      <c r="H604">
        <v>4513</v>
      </c>
      <c r="I604">
        <v>2123</v>
      </c>
      <c r="J604">
        <v>814</v>
      </c>
      <c r="K604">
        <v>358</v>
      </c>
      <c r="L604">
        <v>472</v>
      </c>
      <c r="M604">
        <v>828</v>
      </c>
      <c r="N604">
        <v>1413</v>
      </c>
      <c r="O604">
        <v>544</v>
      </c>
      <c r="P604">
        <v>285.36359160000001</v>
      </c>
      <c r="Q604">
        <v>121</v>
      </c>
      <c r="R604">
        <v>0.12872023799999999</v>
      </c>
      <c r="S604">
        <v>1293</v>
      </c>
      <c r="T604">
        <v>441</v>
      </c>
      <c r="U604">
        <v>1049</v>
      </c>
      <c r="V604">
        <v>3553</v>
      </c>
      <c r="W604">
        <v>1960</v>
      </c>
      <c r="X604">
        <v>859</v>
      </c>
      <c r="Y604">
        <v>48</v>
      </c>
      <c r="Z604">
        <v>594</v>
      </c>
      <c r="AA604">
        <v>519</v>
      </c>
      <c r="AB604">
        <v>1</v>
      </c>
      <c r="AC604">
        <v>53</v>
      </c>
      <c r="AD604">
        <v>78</v>
      </c>
      <c r="AE604">
        <v>0</v>
      </c>
      <c r="AF604">
        <v>0</v>
      </c>
      <c r="AG604">
        <v>4</v>
      </c>
      <c r="AH604">
        <v>0</v>
      </c>
      <c r="AI604">
        <v>0</v>
      </c>
      <c r="AJ604">
        <v>0</v>
      </c>
      <c r="AK604">
        <v>1.4128799999999999</v>
      </c>
      <c r="AL604">
        <v>3</v>
      </c>
      <c r="AM604">
        <v>0</v>
      </c>
      <c r="AN604">
        <v>3075</v>
      </c>
      <c r="AO604">
        <v>126</v>
      </c>
      <c r="AP604">
        <v>0</v>
      </c>
      <c r="AQ604">
        <v>0</v>
      </c>
    </row>
    <row r="605" spans="1:43" x14ac:dyDescent="0.25">
      <c r="A605">
        <v>602</v>
      </c>
      <c r="B605">
        <v>12</v>
      </c>
      <c r="C605">
        <v>12</v>
      </c>
      <c r="D605">
        <v>3</v>
      </c>
      <c r="E605">
        <v>752</v>
      </c>
      <c r="F605">
        <v>2387</v>
      </c>
      <c r="G605">
        <v>2517</v>
      </c>
      <c r="H605">
        <v>1075</v>
      </c>
      <c r="I605">
        <v>737</v>
      </c>
      <c r="J605">
        <v>21</v>
      </c>
      <c r="K605">
        <v>136</v>
      </c>
      <c r="L605">
        <v>299</v>
      </c>
      <c r="M605">
        <v>170</v>
      </c>
      <c r="N605">
        <v>140</v>
      </c>
      <c r="O605">
        <v>360.4</v>
      </c>
      <c r="P605">
        <v>68</v>
      </c>
      <c r="Q605">
        <v>168.03776379999999</v>
      </c>
      <c r="R605">
        <v>0.20860389600000001</v>
      </c>
      <c r="S605">
        <v>3676</v>
      </c>
      <c r="T605">
        <v>60</v>
      </c>
      <c r="U605">
        <v>499</v>
      </c>
      <c r="V605">
        <v>704</v>
      </c>
      <c r="W605">
        <v>832</v>
      </c>
      <c r="X605">
        <v>307</v>
      </c>
      <c r="Y605">
        <v>245</v>
      </c>
      <c r="Z605">
        <v>816</v>
      </c>
      <c r="AA605">
        <v>352</v>
      </c>
      <c r="AB605">
        <v>1</v>
      </c>
      <c r="AC605">
        <v>805</v>
      </c>
      <c r="AD605">
        <v>1457</v>
      </c>
      <c r="AE605">
        <v>0</v>
      </c>
      <c r="AF605">
        <v>0</v>
      </c>
      <c r="AG605">
        <v>4</v>
      </c>
      <c r="AH605">
        <v>0</v>
      </c>
      <c r="AI605">
        <v>0</v>
      </c>
      <c r="AJ605">
        <v>0</v>
      </c>
      <c r="AK605">
        <v>1.9793499999999999</v>
      </c>
      <c r="AL605">
        <v>3</v>
      </c>
      <c r="AM605">
        <v>0</v>
      </c>
      <c r="AN605">
        <v>752</v>
      </c>
      <c r="AO605">
        <v>130</v>
      </c>
      <c r="AP605">
        <v>0</v>
      </c>
      <c r="AQ605">
        <v>0</v>
      </c>
    </row>
    <row r="606" spans="1:43" x14ac:dyDescent="0.25">
      <c r="A606">
        <v>603</v>
      </c>
      <c r="B606">
        <v>12</v>
      </c>
      <c r="C606">
        <v>12</v>
      </c>
      <c r="D606">
        <v>3</v>
      </c>
      <c r="E606">
        <v>214</v>
      </c>
      <c r="F606">
        <v>549</v>
      </c>
      <c r="G606">
        <v>609</v>
      </c>
      <c r="H606">
        <v>486</v>
      </c>
      <c r="I606">
        <v>170</v>
      </c>
      <c r="J606">
        <v>44</v>
      </c>
      <c r="K606">
        <v>32</v>
      </c>
      <c r="L606">
        <v>25</v>
      </c>
      <c r="M606">
        <v>26</v>
      </c>
      <c r="N606">
        <v>126</v>
      </c>
      <c r="O606">
        <v>399.2</v>
      </c>
      <c r="P606">
        <v>28.533201259999998</v>
      </c>
      <c r="Q606">
        <v>305</v>
      </c>
      <c r="R606">
        <v>9.4285714000000007E-2</v>
      </c>
      <c r="S606">
        <v>4308</v>
      </c>
      <c r="T606">
        <v>38</v>
      </c>
      <c r="U606">
        <v>94</v>
      </c>
      <c r="V606">
        <v>283</v>
      </c>
      <c r="W606">
        <v>201</v>
      </c>
      <c r="X606">
        <v>64</v>
      </c>
      <c r="Y606">
        <v>495</v>
      </c>
      <c r="Z606">
        <v>796</v>
      </c>
      <c r="AA606">
        <v>817</v>
      </c>
      <c r="AB606">
        <v>9</v>
      </c>
      <c r="AC606">
        <v>1183</v>
      </c>
      <c r="AD606">
        <v>1008</v>
      </c>
      <c r="AE606">
        <v>0</v>
      </c>
      <c r="AF606">
        <v>0</v>
      </c>
      <c r="AG606">
        <v>3</v>
      </c>
      <c r="AH606">
        <v>158</v>
      </c>
      <c r="AI606">
        <v>0</v>
      </c>
      <c r="AJ606">
        <v>0</v>
      </c>
      <c r="AK606">
        <v>1.6100699999999999</v>
      </c>
      <c r="AL606">
        <v>3</v>
      </c>
      <c r="AM606">
        <v>0</v>
      </c>
      <c r="AN606">
        <v>214</v>
      </c>
      <c r="AO606">
        <v>60</v>
      </c>
      <c r="AP606">
        <v>0</v>
      </c>
      <c r="AQ606">
        <v>0</v>
      </c>
    </row>
    <row r="607" spans="1:43" x14ac:dyDescent="0.25">
      <c r="A607">
        <v>604</v>
      </c>
      <c r="B607">
        <v>12</v>
      </c>
      <c r="C607">
        <v>12</v>
      </c>
      <c r="D607">
        <v>3</v>
      </c>
      <c r="E607">
        <v>983</v>
      </c>
      <c r="F607">
        <v>3472</v>
      </c>
      <c r="G607">
        <v>3701</v>
      </c>
      <c r="H607">
        <v>1860</v>
      </c>
      <c r="I607">
        <v>989</v>
      </c>
      <c r="J607">
        <v>24</v>
      </c>
      <c r="K607">
        <v>253</v>
      </c>
      <c r="L607">
        <v>176</v>
      </c>
      <c r="M607">
        <v>287</v>
      </c>
      <c r="N607">
        <v>275</v>
      </c>
      <c r="O607">
        <v>317</v>
      </c>
      <c r="P607">
        <v>74</v>
      </c>
      <c r="Q607">
        <v>217</v>
      </c>
      <c r="R607">
        <v>9.7061003000000007E-2</v>
      </c>
      <c r="S607">
        <v>6196</v>
      </c>
      <c r="T607">
        <v>116</v>
      </c>
      <c r="U607">
        <v>1169</v>
      </c>
      <c r="V607">
        <v>1359</v>
      </c>
      <c r="W607">
        <v>1056</v>
      </c>
      <c r="X607">
        <v>224</v>
      </c>
      <c r="Y607">
        <v>83</v>
      </c>
      <c r="Z607">
        <v>561</v>
      </c>
      <c r="AA607">
        <v>1939</v>
      </c>
      <c r="AB607">
        <v>2</v>
      </c>
      <c r="AC607">
        <v>2465</v>
      </c>
      <c r="AD607">
        <v>1146</v>
      </c>
      <c r="AE607">
        <v>0</v>
      </c>
      <c r="AF607">
        <v>0</v>
      </c>
      <c r="AG607">
        <v>4</v>
      </c>
      <c r="AH607">
        <v>757</v>
      </c>
      <c r="AI607">
        <v>0</v>
      </c>
      <c r="AJ607">
        <v>0</v>
      </c>
      <c r="AK607">
        <v>1.6054200000000001</v>
      </c>
      <c r="AL607">
        <v>3</v>
      </c>
      <c r="AM607">
        <v>0</v>
      </c>
      <c r="AN607">
        <v>983</v>
      </c>
      <c r="AO607">
        <v>229</v>
      </c>
      <c r="AP607">
        <v>0</v>
      </c>
      <c r="AQ607">
        <v>0</v>
      </c>
    </row>
    <row r="608" spans="1:43" x14ac:dyDescent="0.25">
      <c r="A608">
        <v>605</v>
      </c>
      <c r="B608">
        <v>12</v>
      </c>
      <c r="C608">
        <v>12</v>
      </c>
      <c r="D608">
        <v>3</v>
      </c>
      <c r="E608">
        <v>4069</v>
      </c>
      <c r="F608">
        <v>11646</v>
      </c>
      <c r="G608">
        <v>11687</v>
      </c>
      <c r="H608">
        <v>6165</v>
      </c>
      <c r="I608">
        <v>2113</v>
      </c>
      <c r="J608">
        <v>1779</v>
      </c>
      <c r="K608">
        <v>498</v>
      </c>
      <c r="L608">
        <v>648</v>
      </c>
      <c r="M608">
        <v>1157</v>
      </c>
      <c r="N608">
        <v>1770</v>
      </c>
      <c r="O608">
        <v>1133</v>
      </c>
      <c r="P608">
        <v>322.83623469999998</v>
      </c>
      <c r="Q608">
        <v>480</v>
      </c>
      <c r="R608">
        <v>0.15152542399999999</v>
      </c>
      <c r="S608">
        <v>11371</v>
      </c>
      <c r="T608">
        <v>966</v>
      </c>
      <c r="U608">
        <v>1602</v>
      </c>
      <c r="V608">
        <v>5010</v>
      </c>
      <c r="W608">
        <v>2449</v>
      </c>
      <c r="X608">
        <v>1501</v>
      </c>
      <c r="Y608">
        <v>798</v>
      </c>
      <c r="Z608">
        <v>1702</v>
      </c>
      <c r="AA608">
        <v>1624</v>
      </c>
      <c r="AB608">
        <v>6</v>
      </c>
      <c r="AC608">
        <v>6275</v>
      </c>
      <c r="AD608">
        <v>966</v>
      </c>
      <c r="AE608">
        <v>0</v>
      </c>
      <c r="AF608">
        <v>0</v>
      </c>
      <c r="AG608">
        <v>3</v>
      </c>
      <c r="AH608">
        <v>0</v>
      </c>
      <c r="AI608">
        <v>0</v>
      </c>
      <c r="AJ608">
        <v>0</v>
      </c>
      <c r="AK608">
        <v>2.2414000000000001</v>
      </c>
      <c r="AL608">
        <v>3</v>
      </c>
      <c r="AM608">
        <v>0</v>
      </c>
      <c r="AN608">
        <v>4069</v>
      </c>
      <c r="AO608">
        <v>41</v>
      </c>
      <c r="AP608">
        <v>0</v>
      </c>
      <c r="AQ608">
        <v>0</v>
      </c>
    </row>
    <row r="609" spans="1:43" x14ac:dyDescent="0.25">
      <c r="A609">
        <v>606</v>
      </c>
      <c r="B609">
        <v>12</v>
      </c>
      <c r="C609">
        <v>12</v>
      </c>
      <c r="D609">
        <v>3</v>
      </c>
      <c r="E609">
        <v>4037</v>
      </c>
      <c r="F609">
        <v>10883</v>
      </c>
      <c r="G609">
        <v>10897</v>
      </c>
      <c r="H609">
        <v>6753</v>
      </c>
      <c r="I609">
        <v>1788</v>
      </c>
      <c r="J609">
        <v>2223</v>
      </c>
      <c r="K609">
        <v>327</v>
      </c>
      <c r="L609">
        <v>476</v>
      </c>
      <c r="M609">
        <v>899</v>
      </c>
      <c r="N609">
        <v>2330</v>
      </c>
      <c r="O609">
        <v>499</v>
      </c>
      <c r="P609">
        <v>272.27096549999999</v>
      </c>
      <c r="Q609">
        <v>243</v>
      </c>
      <c r="R609">
        <v>9.8712445999999995E-2</v>
      </c>
      <c r="S609">
        <v>1985</v>
      </c>
      <c r="T609">
        <v>924</v>
      </c>
      <c r="U609">
        <v>1087</v>
      </c>
      <c r="V609">
        <v>6275</v>
      </c>
      <c r="W609">
        <v>1508</v>
      </c>
      <c r="X609">
        <v>662</v>
      </c>
      <c r="Y609">
        <v>54</v>
      </c>
      <c r="Z609">
        <v>463</v>
      </c>
      <c r="AA609">
        <v>906</v>
      </c>
      <c r="AB609">
        <v>6</v>
      </c>
      <c r="AC609">
        <v>415</v>
      </c>
      <c r="AD609">
        <v>141</v>
      </c>
      <c r="AE609">
        <v>0</v>
      </c>
      <c r="AF609">
        <v>0</v>
      </c>
      <c r="AG609">
        <v>4</v>
      </c>
      <c r="AH609">
        <v>0</v>
      </c>
      <c r="AI609">
        <v>0</v>
      </c>
      <c r="AJ609">
        <v>0</v>
      </c>
      <c r="AK609">
        <v>1.4127000000000001</v>
      </c>
      <c r="AL609">
        <v>3</v>
      </c>
      <c r="AM609">
        <v>0</v>
      </c>
      <c r="AN609">
        <v>4037</v>
      </c>
      <c r="AO609">
        <v>14</v>
      </c>
      <c r="AP609">
        <v>0</v>
      </c>
      <c r="AQ609">
        <v>0</v>
      </c>
    </row>
    <row r="610" spans="1:43" x14ac:dyDescent="0.25">
      <c r="A610">
        <v>607</v>
      </c>
      <c r="B610">
        <v>12</v>
      </c>
      <c r="C610">
        <v>12</v>
      </c>
      <c r="D610">
        <v>3</v>
      </c>
      <c r="E610">
        <v>2190</v>
      </c>
      <c r="F610">
        <v>6700</v>
      </c>
      <c r="G610">
        <v>6718</v>
      </c>
      <c r="H610">
        <v>3555</v>
      </c>
      <c r="I610">
        <v>1133</v>
      </c>
      <c r="J610">
        <v>1017</v>
      </c>
      <c r="K610">
        <v>128</v>
      </c>
      <c r="L610">
        <v>369</v>
      </c>
      <c r="M610">
        <v>765</v>
      </c>
      <c r="N610">
        <v>940</v>
      </c>
      <c r="O610">
        <v>642</v>
      </c>
      <c r="P610">
        <v>138.11612170000001</v>
      </c>
      <c r="Q610">
        <v>474</v>
      </c>
      <c r="R610">
        <v>0.14837139199999999</v>
      </c>
      <c r="S610">
        <v>5027</v>
      </c>
      <c r="T610">
        <v>607</v>
      </c>
      <c r="U610">
        <v>1039</v>
      </c>
      <c r="V610">
        <v>4249</v>
      </c>
      <c r="W610">
        <v>1703</v>
      </c>
      <c r="X610">
        <v>777</v>
      </c>
      <c r="Y610">
        <v>2076</v>
      </c>
      <c r="Z610">
        <v>307</v>
      </c>
      <c r="AA610">
        <v>1726</v>
      </c>
      <c r="AB610">
        <v>2</v>
      </c>
      <c r="AC610">
        <v>133</v>
      </c>
      <c r="AD610">
        <v>783</v>
      </c>
      <c r="AE610">
        <v>0</v>
      </c>
      <c r="AF610">
        <v>0</v>
      </c>
      <c r="AG610">
        <v>4</v>
      </c>
      <c r="AH610">
        <v>0</v>
      </c>
      <c r="AI610">
        <v>0</v>
      </c>
      <c r="AJ610">
        <v>0</v>
      </c>
      <c r="AK610">
        <v>1.47109</v>
      </c>
      <c r="AL610">
        <v>3</v>
      </c>
      <c r="AM610">
        <v>0</v>
      </c>
      <c r="AN610">
        <v>2190</v>
      </c>
      <c r="AO610">
        <v>18</v>
      </c>
      <c r="AP610">
        <v>0</v>
      </c>
      <c r="AQ610">
        <v>0</v>
      </c>
    </row>
    <row r="611" spans="1:43" x14ac:dyDescent="0.25">
      <c r="A611">
        <v>608</v>
      </c>
      <c r="B611">
        <v>12</v>
      </c>
      <c r="C611">
        <v>12</v>
      </c>
      <c r="D611">
        <v>3</v>
      </c>
      <c r="E611">
        <v>1942</v>
      </c>
      <c r="F611">
        <v>5031</v>
      </c>
      <c r="G611">
        <v>5070</v>
      </c>
      <c r="H611">
        <v>2821</v>
      </c>
      <c r="I611">
        <v>760</v>
      </c>
      <c r="J611">
        <v>1245</v>
      </c>
      <c r="K611">
        <v>119</v>
      </c>
      <c r="L611">
        <v>229</v>
      </c>
      <c r="M611">
        <v>617</v>
      </c>
      <c r="N611">
        <v>972</v>
      </c>
      <c r="O611">
        <v>810.9</v>
      </c>
      <c r="P611">
        <v>83.919228739999994</v>
      </c>
      <c r="Q611">
        <v>712</v>
      </c>
      <c r="R611">
        <v>5.8438819000000003E-2</v>
      </c>
      <c r="S611">
        <v>8193</v>
      </c>
      <c r="T611">
        <v>359</v>
      </c>
      <c r="U611">
        <v>521</v>
      </c>
      <c r="V611">
        <v>2982</v>
      </c>
      <c r="W611">
        <v>594</v>
      </c>
      <c r="X611">
        <v>177</v>
      </c>
      <c r="Y611">
        <v>237</v>
      </c>
      <c r="Z611">
        <v>1523</v>
      </c>
      <c r="AA611">
        <v>1203</v>
      </c>
      <c r="AB611">
        <v>4</v>
      </c>
      <c r="AC611">
        <v>3618</v>
      </c>
      <c r="AD611">
        <v>1608</v>
      </c>
      <c r="AE611">
        <v>0</v>
      </c>
      <c r="AF611">
        <v>0</v>
      </c>
      <c r="AG611">
        <v>4</v>
      </c>
      <c r="AH611">
        <v>0</v>
      </c>
      <c r="AI611">
        <v>0</v>
      </c>
      <c r="AJ611">
        <v>0</v>
      </c>
      <c r="AK611">
        <v>1.8183499999999999</v>
      </c>
      <c r="AL611">
        <v>3</v>
      </c>
      <c r="AM611">
        <v>0</v>
      </c>
      <c r="AN611">
        <v>1942</v>
      </c>
      <c r="AO611">
        <v>39</v>
      </c>
      <c r="AP611">
        <v>0</v>
      </c>
      <c r="AQ611">
        <v>0</v>
      </c>
    </row>
    <row r="612" spans="1:43" x14ac:dyDescent="0.25">
      <c r="A612">
        <v>609</v>
      </c>
      <c r="B612">
        <v>12</v>
      </c>
      <c r="C612">
        <v>12</v>
      </c>
      <c r="D612">
        <v>3</v>
      </c>
      <c r="E612">
        <v>1731</v>
      </c>
      <c r="F612">
        <v>5425</v>
      </c>
      <c r="G612">
        <v>5425</v>
      </c>
      <c r="H612">
        <v>2579</v>
      </c>
      <c r="I612">
        <v>1661</v>
      </c>
      <c r="J612">
        <v>56</v>
      </c>
      <c r="K612">
        <v>325</v>
      </c>
      <c r="L612">
        <v>261</v>
      </c>
      <c r="M612">
        <v>364</v>
      </c>
      <c r="N612">
        <v>769</v>
      </c>
      <c r="O612">
        <v>461</v>
      </c>
      <c r="P612">
        <v>318.8170887</v>
      </c>
      <c r="Q612">
        <v>113</v>
      </c>
      <c r="R612">
        <v>0.22991278500000001</v>
      </c>
      <c r="S612">
        <v>1776</v>
      </c>
      <c r="T612">
        <v>144</v>
      </c>
      <c r="U612">
        <v>1123</v>
      </c>
      <c r="V612">
        <v>1468</v>
      </c>
      <c r="W612">
        <v>1459</v>
      </c>
      <c r="X612">
        <v>1052</v>
      </c>
      <c r="Y612">
        <v>171</v>
      </c>
      <c r="Z612">
        <v>293</v>
      </c>
      <c r="AA612">
        <v>631</v>
      </c>
      <c r="AB612">
        <v>1</v>
      </c>
      <c r="AC612">
        <v>95</v>
      </c>
      <c r="AD612">
        <v>585</v>
      </c>
      <c r="AE612">
        <v>0</v>
      </c>
      <c r="AF612">
        <v>0</v>
      </c>
      <c r="AG612">
        <v>4</v>
      </c>
      <c r="AH612">
        <v>0</v>
      </c>
      <c r="AI612">
        <v>0</v>
      </c>
      <c r="AJ612">
        <v>0</v>
      </c>
      <c r="AK612">
        <v>1.47136</v>
      </c>
      <c r="AL612">
        <v>3</v>
      </c>
      <c r="AM612">
        <v>0</v>
      </c>
      <c r="AN612">
        <v>1731</v>
      </c>
      <c r="AO612">
        <v>0</v>
      </c>
      <c r="AP612">
        <v>0</v>
      </c>
      <c r="AQ612">
        <v>0</v>
      </c>
    </row>
    <row r="613" spans="1:43" x14ac:dyDescent="0.25">
      <c r="A613">
        <v>610</v>
      </c>
      <c r="B613">
        <v>12</v>
      </c>
      <c r="C613">
        <v>12</v>
      </c>
      <c r="D613">
        <v>3</v>
      </c>
      <c r="E613">
        <v>762</v>
      </c>
      <c r="F613">
        <v>2036</v>
      </c>
      <c r="G613">
        <v>2036</v>
      </c>
      <c r="H613">
        <v>865</v>
      </c>
      <c r="I613">
        <v>494</v>
      </c>
      <c r="J613">
        <v>242</v>
      </c>
      <c r="K613">
        <v>270</v>
      </c>
      <c r="L613">
        <v>72</v>
      </c>
      <c r="M613">
        <v>107</v>
      </c>
      <c r="N613">
        <v>315</v>
      </c>
      <c r="O613">
        <v>147</v>
      </c>
      <c r="P613">
        <v>49</v>
      </c>
      <c r="Q613">
        <v>33</v>
      </c>
      <c r="R613">
        <v>0.26751918200000002</v>
      </c>
      <c r="S613">
        <v>449</v>
      </c>
      <c r="T613">
        <v>72</v>
      </c>
      <c r="U613">
        <v>351</v>
      </c>
      <c r="V613">
        <v>545</v>
      </c>
      <c r="W613">
        <v>492</v>
      </c>
      <c r="X613">
        <v>442</v>
      </c>
      <c r="Y613">
        <v>29</v>
      </c>
      <c r="Z613">
        <v>49</v>
      </c>
      <c r="AA613">
        <v>215</v>
      </c>
      <c r="AB613">
        <v>0</v>
      </c>
      <c r="AC613">
        <v>95</v>
      </c>
      <c r="AD613">
        <v>61</v>
      </c>
      <c r="AE613">
        <v>0</v>
      </c>
      <c r="AF613">
        <v>0</v>
      </c>
      <c r="AG613">
        <v>4</v>
      </c>
      <c r="AH613">
        <v>0</v>
      </c>
      <c r="AI613">
        <v>0</v>
      </c>
      <c r="AJ613">
        <v>0</v>
      </c>
      <c r="AK613">
        <v>1.44648</v>
      </c>
      <c r="AL613">
        <v>3</v>
      </c>
      <c r="AM613">
        <v>0</v>
      </c>
      <c r="AN613">
        <v>762</v>
      </c>
      <c r="AO613">
        <v>0</v>
      </c>
      <c r="AP613">
        <v>0</v>
      </c>
      <c r="AQ613">
        <v>0</v>
      </c>
    </row>
    <row r="614" spans="1:43" x14ac:dyDescent="0.25">
      <c r="A614">
        <v>611</v>
      </c>
      <c r="B614">
        <v>12</v>
      </c>
      <c r="C614">
        <v>12</v>
      </c>
      <c r="D614">
        <v>3</v>
      </c>
      <c r="E614">
        <v>1692</v>
      </c>
      <c r="F614">
        <v>5707</v>
      </c>
      <c r="G614">
        <v>5736</v>
      </c>
      <c r="H614">
        <v>2931</v>
      </c>
      <c r="I614">
        <v>1406</v>
      </c>
      <c r="J614">
        <v>272</v>
      </c>
      <c r="K614">
        <v>255</v>
      </c>
      <c r="L614">
        <v>330</v>
      </c>
      <c r="M614">
        <v>397</v>
      </c>
      <c r="N614">
        <v>715</v>
      </c>
      <c r="O614">
        <v>434</v>
      </c>
      <c r="P614">
        <v>302</v>
      </c>
      <c r="Q614">
        <v>72</v>
      </c>
      <c r="R614">
        <v>0.15774286600000001</v>
      </c>
      <c r="S614">
        <v>1309</v>
      </c>
      <c r="T614">
        <v>354</v>
      </c>
      <c r="U614">
        <v>1262</v>
      </c>
      <c r="V614">
        <v>2159</v>
      </c>
      <c r="W614">
        <v>1580</v>
      </c>
      <c r="X614">
        <v>740</v>
      </c>
      <c r="Y614">
        <v>59</v>
      </c>
      <c r="Z614">
        <v>142</v>
      </c>
      <c r="AA614">
        <v>942</v>
      </c>
      <c r="AB614">
        <v>1</v>
      </c>
      <c r="AC614">
        <v>76</v>
      </c>
      <c r="AD614">
        <v>89</v>
      </c>
      <c r="AE614">
        <v>0</v>
      </c>
      <c r="AF614">
        <v>0</v>
      </c>
      <c r="AG614">
        <v>4</v>
      </c>
      <c r="AH614">
        <v>0</v>
      </c>
      <c r="AI614">
        <v>0</v>
      </c>
      <c r="AJ614">
        <v>0</v>
      </c>
      <c r="AK614">
        <v>1.355</v>
      </c>
      <c r="AL614">
        <v>3</v>
      </c>
      <c r="AM614">
        <v>0</v>
      </c>
      <c r="AN614">
        <v>1692</v>
      </c>
      <c r="AO614">
        <v>29</v>
      </c>
      <c r="AP614">
        <v>0</v>
      </c>
      <c r="AQ614">
        <v>0</v>
      </c>
    </row>
    <row r="615" spans="1:43" x14ac:dyDescent="0.25">
      <c r="A615">
        <v>612</v>
      </c>
      <c r="B615">
        <v>12</v>
      </c>
      <c r="C615">
        <v>12</v>
      </c>
      <c r="D615">
        <v>3</v>
      </c>
      <c r="E615">
        <v>2236</v>
      </c>
      <c r="F615">
        <v>6942</v>
      </c>
      <c r="G615">
        <v>6943</v>
      </c>
      <c r="H615">
        <v>3933</v>
      </c>
      <c r="I615">
        <v>1374</v>
      </c>
      <c r="J615">
        <v>771</v>
      </c>
      <c r="K615">
        <v>407</v>
      </c>
      <c r="L615">
        <v>306</v>
      </c>
      <c r="M615">
        <v>583</v>
      </c>
      <c r="N615">
        <v>924</v>
      </c>
      <c r="O615">
        <v>442</v>
      </c>
      <c r="P615">
        <v>195.3874256</v>
      </c>
      <c r="Q615">
        <v>152</v>
      </c>
      <c r="R615">
        <v>0.120280555</v>
      </c>
      <c r="S615">
        <v>1726</v>
      </c>
      <c r="T615">
        <v>322</v>
      </c>
      <c r="U615">
        <v>1187</v>
      </c>
      <c r="V615">
        <v>2835</v>
      </c>
      <c r="W615">
        <v>1623</v>
      </c>
      <c r="X615">
        <v>573</v>
      </c>
      <c r="Y615">
        <v>74</v>
      </c>
      <c r="Z615">
        <v>326</v>
      </c>
      <c r="AA615">
        <v>663</v>
      </c>
      <c r="AB615">
        <v>1</v>
      </c>
      <c r="AC615">
        <v>614</v>
      </c>
      <c r="AD615">
        <v>48</v>
      </c>
      <c r="AE615">
        <v>0</v>
      </c>
      <c r="AF615">
        <v>0</v>
      </c>
      <c r="AG615">
        <v>4</v>
      </c>
      <c r="AH615">
        <v>7</v>
      </c>
      <c r="AI615">
        <v>15</v>
      </c>
      <c r="AJ615">
        <v>547</v>
      </c>
      <c r="AK615">
        <v>1.5826</v>
      </c>
      <c r="AL615">
        <v>3</v>
      </c>
      <c r="AM615">
        <v>0</v>
      </c>
      <c r="AN615">
        <v>2236</v>
      </c>
      <c r="AO615">
        <v>1</v>
      </c>
      <c r="AP615">
        <v>0</v>
      </c>
      <c r="AQ615">
        <v>0</v>
      </c>
    </row>
    <row r="616" spans="1:43" x14ac:dyDescent="0.25">
      <c r="A616">
        <v>613</v>
      </c>
      <c r="B616">
        <v>12</v>
      </c>
      <c r="C616">
        <v>12</v>
      </c>
      <c r="D616">
        <v>3</v>
      </c>
      <c r="E616">
        <v>956</v>
      </c>
      <c r="F616">
        <v>3046</v>
      </c>
      <c r="G616">
        <v>3046</v>
      </c>
      <c r="H616">
        <v>1584</v>
      </c>
      <c r="I616">
        <v>795</v>
      </c>
      <c r="J616">
        <v>127</v>
      </c>
      <c r="K616">
        <v>237</v>
      </c>
      <c r="L616">
        <v>213</v>
      </c>
      <c r="M616">
        <v>206</v>
      </c>
      <c r="N616">
        <v>295</v>
      </c>
      <c r="O616">
        <v>218</v>
      </c>
      <c r="P616">
        <v>164.9131634</v>
      </c>
      <c r="Q616">
        <v>35</v>
      </c>
      <c r="R616">
        <v>0.20536791300000001</v>
      </c>
      <c r="S616">
        <v>713</v>
      </c>
      <c r="T616">
        <v>151</v>
      </c>
      <c r="U616">
        <v>623</v>
      </c>
      <c r="V616">
        <v>961</v>
      </c>
      <c r="W616">
        <v>948</v>
      </c>
      <c r="X616">
        <v>567</v>
      </c>
      <c r="Y616">
        <v>91</v>
      </c>
      <c r="Z616">
        <v>100</v>
      </c>
      <c r="AA616">
        <v>430</v>
      </c>
      <c r="AB616">
        <v>1</v>
      </c>
      <c r="AC616">
        <v>69</v>
      </c>
      <c r="AD616">
        <v>22</v>
      </c>
      <c r="AE616">
        <v>0</v>
      </c>
      <c r="AF616">
        <v>0</v>
      </c>
      <c r="AG616">
        <v>4</v>
      </c>
      <c r="AH616">
        <v>0</v>
      </c>
      <c r="AI616">
        <v>0</v>
      </c>
      <c r="AJ616">
        <v>0</v>
      </c>
      <c r="AK616">
        <v>1.3403700000000001</v>
      </c>
      <c r="AL616">
        <v>2</v>
      </c>
      <c r="AM616">
        <v>0</v>
      </c>
      <c r="AN616">
        <v>956</v>
      </c>
      <c r="AO616">
        <v>0</v>
      </c>
      <c r="AP616">
        <v>0</v>
      </c>
      <c r="AQ616">
        <v>0</v>
      </c>
    </row>
    <row r="617" spans="1:43" x14ac:dyDescent="0.25">
      <c r="A617">
        <v>614</v>
      </c>
      <c r="B617">
        <v>12</v>
      </c>
      <c r="C617">
        <v>12</v>
      </c>
      <c r="D617">
        <v>3</v>
      </c>
      <c r="E617">
        <v>1590</v>
      </c>
      <c r="F617">
        <v>5231</v>
      </c>
      <c r="G617">
        <v>5235</v>
      </c>
      <c r="H617">
        <v>2732</v>
      </c>
      <c r="I617">
        <v>1370</v>
      </c>
      <c r="J617">
        <v>135</v>
      </c>
      <c r="K617">
        <v>267</v>
      </c>
      <c r="L617">
        <v>243</v>
      </c>
      <c r="M617">
        <v>249</v>
      </c>
      <c r="N617">
        <v>823</v>
      </c>
      <c r="O617">
        <v>410</v>
      </c>
      <c r="P617">
        <v>249</v>
      </c>
      <c r="Q617">
        <v>132</v>
      </c>
      <c r="R617">
        <v>0.202450719</v>
      </c>
      <c r="S617">
        <v>629</v>
      </c>
      <c r="T617">
        <v>193</v>
      </c>
      <c r="U617">
        <v>1178</v>
      </c>
      <c r="V617">
        <v>1579</v>
      </c>
      <c r="W617">
        <v>1662</v>
      </c>
      <c r="X617">
        <v>885</v>
      </c>
      <c r="Y617">
        <v>37</v>
      </c>
      <c r="Z617">
        <v>65</v>
      </c>
      <c r="AA617">
        <v>477</v>
      </c>
      <c r="AB617">
        <v>7</v>
      </c>
      <c r="AC617">
        <v>23</v>
      </c>
      <c r="AD617">
        <v>20</v>
      </c>
      <c r="AE617">
        <v>0</v>
      </c>
      <c r="AF617">
        <v>0</v>
      </c>
      <c r="AG617">
        <v>4</v>
      </c>
      <c r="AH617">
        <v>2981</v>
      </c>
      <c r="AI617">
        <v>0</v>
      </c>
      <c r="AJ617">
        <v>0</v>
      </c>
      <c r="AK617">
        <v>1.23847</v>
      </c>
      <c r="AL617">
        <v>3</v>
      </c>
      <c r="AM617">
        <v>0</v>
      </c>
      <c r="AN617">
        <v>1590</v>
      </c>
      <c r="AO617">
        <v>4</v>
      </c>
      <c r="AP617">
        <v>0</v>
      </c>
      <c r="AQ617">
        <v>0</v>
      </c>
    </row>
    <row r="618" spans="1:43" x14ac:dyDescent="0.25">
      <c r="A618">
        <v>615</v>
      </c>
      <c r="B618">
        <v>12</v>
      </c>
      <c r="C618">
        <v>12</v>
      </c>
      <c r="D618">
        <v>3</v>
      </c>
      <c r="E618">
        <v>1507</v>
      </c>
      <c r="F618">
        <v>4726</v>
      </c>
      <c r="G618">
        <v>4743</v>
      </c>
      <c r="H618">
        <v>2450</v>
      </c>
      <c r="I618">
        <v>1276</v>
      </c>
      <c r="J618">
        <v>170</v>
      </c>
      <c r="K618">
        <v>294</v>
      </c>
      <c r="L618">
        <v>306</v>
      </c>
      <c r="M618">
        <v>262</v>
      </c>
      <c r="N618">
        <v>643</v>
      </c>
      <c r="O618">
        <v>4186</v>
      </c>
      <c r="P618">
        <v>520.0922084</v>
      </c>
      <c r="Q618">
        <v>23</v>
      </c>
      <c r="R618">
        <v>0.22369988099999999</v>
      </c>
      <c r="S618">
        <v>454</v>
      </c>
      <c r="T618">
        <v>137</v>
      </c>
      <c r="U618">
        <v>814</v>
      </c>
      <c r="V618">
        <v>1511</v>
      </c>
      <c r="W618">
        <v>1612</v>
      </c>
      <c r="X618">
        <v>849</v>
      </c>
      <c r="Y618">
        <v>10</v>
      </c>
      <c r="Z618">
        <v>52</v>
      </c>
      <c r="AA618">
        <v>336</v>
      </c>
      <c r="AB618">
        <v>1</v>
      </c>
      <c r="AC618">
        <v>20</v>
      </c>
      <c r="AD618">
        <v>35</v>
      </c>
      <c r="AE618">
        <v>0</v>
      </c>
      <c r="AF618">
        <v>0</v>
      </c>
      <c r="AG618">
        <v>4</v>
      </c>
      <c r="AH618">
        <v>0</v>
      </c>
      <c r="AI618">
        <v>0</v>
      </c>
      <c r="AJ618">
        <v>0</v>
      </c>
      <c r="AK618">
        <v>1.0826100000000001</v>
      </c>
      <c r="AL618">
        <v>1</v>
      </c>
      <c r="AM618">
        <v>0</v>
      </c>
      <c r="AN618">
        <v>1507</v>
      </c>
      <c r="AO618">
        <v>17</v>
      </c>
      <c r="AP618">
        <v>0</v>
      </c>
      <c r="AQ618">
        <v>0</v>
      </c>
    </row>
    <row r="619" spans="1:43" x14ac:dyDescent="0.25">
      <c r="A619">
        <v>616</v>
      </c>
      <c r="B619">
        <v>12</v>
      </c>
      <c r="C619">
        <v>12</v>
      </c>
      <c r="D619">
        <v>3</v>
      </c>
      <c r="E619">
        <v>1458</v>
      </c>
      <c r="F619">
        <v>4782</v>
      </c>
      <c r="G619">
        <v>4782</v>
      </c>
      <c r="H619">
        <v>2885</v>
      </c>
      <c r="I619">
        <v>1001</v>
      </c>
      <c r="J619">
        <v>378</v>
      </c>
      <c r="K619">
        <v>174</v>
      </c>
      <c r="L619">
        <v>414</v>
      </c>
      <c r="M619">
        <v>429</v>
      </c>
      <c r="N619">
        <v>439</v>
      </c>
      <c r="O619">
        <v>242</v>
      </c>
      <c r="P619">
        <v>127</v>
      </c>
      <c r="Q619">
        <v>73</v>
      </c>
      <c r="R619">
        <v>0.120340999</v>
      </c>
      <c r="S619">
        <v>691</v>
      </c>
      <c r="T619">
        <v>300</v>
      </c>
      <c r="U619">
        <v>962</v>
      </c>
      <c r="V619">
        <v>1826</v>
      </c>
      <c r="W619">
        <v>1430</v>
      </c>
      <c r="X619">
        <v>410</v>
      </c>
      <c r="Y619">
        <v>13</v>
      </c>
      <c r="Z619">
        <v>37</v>
      </c>
      <c r="AA619">
        <v>615</v>
      </c>
      <c r="AB619">
        <v>1</v>
      </c>
      <c r="AC619">
        <v>11</v>
      </c>
      <c r="AD619">
        <v>14</v>
      </c>
      <c r="AE619">
        <v>0</v>
      </c>
      <c r="AF619">
        <v>0</v>
      </c>
      <c r="AG619">
        <v>4</v>
      </c>
      <c r="AH619">
        <v>105</v>
      </c>
      <c r="AI619">
        <v>0</v>
      </c>
      <c r="AJ619">
        <v>0</v>
      </c>
      <c r="AK619">
        <v>1.4237599999999999</v>
      </c>
      <c r="AL619">
        <v>2</v>
      </c>
      <c r="AM619">
        <v>0</v>
      </c>
      <c r="AN619">
        <v>1458</v>
      </c>
      <c r="AO619">
        <v>0</v>
      </c>
      <c r="AP619">
        <v>0</v>
      </c>
      <c r="AQ619">
        <v>0</v>
      </c>
    </row>
    <row r="620" spans="1:43" x14ac:dyDescent="0.25">
      <c r="A620">
        <v>617</v>
      </c>
      <c r="B620">
        <v>12</v>
      </c>
      <c r="C620">
        <v>12</v>
      </c>
      <c r="D620">
        <v>3</v>
      </c>
      <c r="E620">
        <v>1233</v>
      </c>
      <c r="F620">
        <v>3970</v>
      </c>
      <c r="G620">
        <v>3973</v>
      </c>
      <c r="H620">
        <v>2104</v>
      </c>
      <c r="I620">
        <v>664</v>
      </c>
      <c r="J620">
        <v>492</v>
      </c>
      <c r="K620">
        <v>263</v>
      </c>
      <c r="L620">
        <v>268</v>
      </c>
      <c r="M620">
        <v>377</v>
      </c>
      <c r="N620">
        <v>328</v>
      </c>
      <c r="O620">
        <v>258</v>
      </c>
      <c r="P620">
        <v>147</v>
      </c>
      <c r="Q620">
        <v>59</v>
      </c>
      <c r="R620">
        <v>0.20373967900000001</v>
      </c>
      <c r="S620">
        <v>491</v>
      </c>
      <c r="T620">
        <v>130</v>
      </c>
      <c r="U620">
        <v>719</v>
      </c>
      <c r="V620">
        <v>1441</v>
      </c>
      <c r="W620">
        <v>1103</v>
      </c>
      <c r="X620">
        <v>616</v>
      </c>
      <c r="Y620">
        <v>62</v>
      </c>
      <c r="Z620">
        <v>44</v>
      </c>
      <c r="AA620">
        <v>342</v>
      </c>
      <c r="AB620">
        <v>1</v>
      </c>
      <c r="AC620">
        <v>20</v>
      </c>
      <c r="AD620">
        <v>22</v>
      </c>
      <c r="AE620">
        <v>0</v>
      </c>
      <c r="AF620">
        <v>0</v>
      </c>
      <c r="AG620">
        <v>4</v>
      </c>
      <c r="AH620">
        <v>0</v>
      </c>
      <c r="AI620">
        <v>0</v>
      </c>
      <c r="AJ620">
        <v>0</v>
      </c>
      <c r="AK620">
        <v>1.44685</v>
      </c>
      <c r="AL620">
        <v>3</v>
      </c>
      <c r="AM620">
        <v>0</v>
      </c>
      <c r="AN620">
        <v>1233</v>
      </c>
      <c r="AO620">
        <v>3</v>
      </c>
      <c r="AP620">
        <v>0</v>
      </c>
      <c r="AQ620">
        <v>0</v>
      </c>
    </row>
    <row r="621" spans="1:43" x14ac:dyDescent="0.25">
      <c r="A621">
        <v>618</v>
      </c>
      <c r="B621">
        <v>12</v>
      </c>
      <c r="C621">
        <v>12</v>
      </c>
      <c r="D621">
        <v>3</v>
      </c>
      <c r="E621">
        <v>672</v>
      </c>
      <c r="F621">
        <v>2151</v>
      </c>
      <c r="G621">
        <v>2158</v>
      </c>
      <c r="H621">
        <v>1118</v>
      </c>
      <c r="I621">
        <v>666</v>
      </c>
      <c r="J621">
        <v>18</v>
      </c>
      <c r="K621">
        <v>82</v>
      </c>
      <c r="L621">
        <v>117</v>
      </c>
      <c r="M621">
        <v>141</v>
      </c>
      <c r="N621">
        <v>326</v>
      </c>
      <c r="O621">
        <v>2260</v>
      </c>
      <c r="P621">
        <v>385</v>
      </c>
      <c r="Q621">
        <v>8</v>
      </c>
      <c r="R621">
        <v>0.24785591800000001</v>
      </c>
      <c r="S621">
        <v>110</v>
      </c>
      <c r="T621">
        <v>70</v>
      </c>
      <c r="U621">
        <v>458</v>
      </c>
      <c r="V621">
        <v>673</v>
      </c>
      <c r="W621">
        <v>621</v>
      </c>
      <c r="X621">
        <v>453</v>
      </c>
      <c r="Y621">
        <v>1</v>
      </c>
      <c r="Z621">
        <v>17</v>
      </c>
      <c r="AA621">
        <v>64</v>
      </c>
      <c r="AB621">
        <v>0</v>
      </c>
      <c r="AC621">
        <v>16</v>
      </c>
      <c r="AD621">
        <v>12</v>
      </c>
      <c r="AE621">
        <v>0</v>
      </c>
      <c r="AF621">
        <v>0</v>
      </c>
      <c r="AG621">
        <v>4</v>
      </c>
      <c r="AH621">
        <v>926</v>
      </c>
      <c r="AI621">
        <v>0</v>
      </c>
      <c r="AJ621">
        <v>0</v>
      </c>
      <c r="AK621">
        <v>1.0439000000000001</v>
      </c>
      <c r="AL621">
        <v>1</v>
      </c>
      <c r="AM621">
        <v>0</v>
      </c>
      <c r="AN621">
        <v>672</v>
      </c>
      <c r="AO621">
        <v>7</v>
      </c>
      <c r="AP621">
        <v>0</v>
      </c>
      <c r="AQ621">
        <v>0</v>
      </c>
    </row>
    <row r="622" spans="1:43" x14ac:dyDescent="0.25">
      <c r="A622">
        <v>619</v>
      </c>
      <c r="B622">
        <v>12</v>
      </c>
      <c r="C622">
        <v>12</v>
      </c>
      <c r="D622">
        <v>3</v>
      </c>
      <c r="E622">
        <v>1519</v>
      </c>
      <c r="F622">
        <v>4515</v>
      </c>
      <c r="G622">
        <v>4530</v>
      </c>
      <c r="H622">
        <v>2351</v>
      </c>
      <c r="I622">
        <v>1432</v>
      </c>
      <c r="J622">
        <v>20</v>
      </c>
      <c r="K622">
        <v>290</v>
      </c>
      <c r="L622">
        <v>234</v>
      </c>
      <c r="M622">
        <v>246</v>
      </c>
      <c r="N622">
        <v>748</v>
      </c>
      <c r="O622">
        <v>298</v>
      </c>
      <c r="P622">
        <v>221</v>
      </c>
      <c r="Q622">
        <v>30</v>
      </c>
      <c r="R622">
        <v>0.24093816600000001</v>
      </c>
      <c r="S622">
        <v>379</v>
      </c>
      <c r="T622">
        <v>200</v>
      </c>
      <c r="U622">
        <v>835</v>
      </c>
      <c r="V622">
        <v>1339</v>
      </c>
      <c r="W622">
        <v>1328</v>
      </c>
      <c r="X622">
        <v>879</v>
      </c>
      <c r="Y622">
        <v>3</v>
      </c>
      <c r="Z622">
        <v>46</v>
      </c>
      <c r="AA622">
        <v>301</v>
      </c>
      <c r="AB622">
        <v>1</v>
      </c>
      <c r="AC622">
        <v>12</v>
      </c>
      <c r="AD622">
        <v>16</v>
      </c>
      <c r="AE622">
        <v>0</v>
      </c>
      <c r="AF622">
        <v>0</v>
      </c>
      <c r="AG622">
        <v>4</v>
      </c>
      <c r="AH622">
        <v>0</v>
      </c>
      <c r="AI622">
        <v>0</v>
      </c>
      <c r="AJ622">
        <v>0</v>
      </c>
      <c r="AK622">
        <v>1.3363799999999999</v>
      </c>
      <c r="AL622">
        <v>2</v>
      </c>
      <c r="AM622">
        <v>0</v>
      </c>
      <c r="AN622">
        <v>1519</v>
      </c>
      <c r="AO622">
        <v>15</v>
      </c>
      <c r="AP622">
        <v>0</v>
      </c>
      <c r="AQ622">
        <v>0</v>
      </c>
    </row>
    <row r="623" spans="1:43" x14ac:dyDescent="0.25">
      <c r="A623">
        <v>620</v>
      </c>
      <c r="B623">
        <v>12</v>
      </c>
      <c r="C623">
        <v>12</v>
      </c>
      <c r="D623">
        <v>3</v>
      </c>
      <c r="E623">
        <v>1151</v>
      </c>
      <c r="F623">
        <v>3905</v>
      </c>
      <c r="G623">
        <v>3915</v>
      </c>
      <c r="H623">
        <v>1899</v>
      </c>
      <c r="I623">
        <v>1120</v>
      </c>
      <c r="J623">
        <v>15</v>
      </c>
      <c r="K623">
        <v>163</v>
      </c>
      <c r="L623">
        <v>161</v>
      </c>
      <c r="M623">
        <v>232</v>
      </c>
      <c r="N623">
        <v>603</v>
      </c>
      <c r="O623">
        <v>282</v>
      </c>
      <c r="P623">
        <v>105.5778005</v>
      </c>
      <c r="Q623">
        <v>94</v>
      </c>
      <c r="R623">
        <v>0.13088871899999999</v>
      </c>
      <c r="S623">
        <v>1056</v>
      </c>
      <c r="T623">
        <v>270</v>
      </c>
      <c r="U623">
        <v>823</v>
      </c>
      <c r="V623">
        <v>1388</v>
      </c>
      <c r="W623">
        <v>962</v>
      </c>
      <c r="X623">
        <v>399</v>
      </c>
      <c r="Y623">
        <v>65</v>
      </c>
      <c r="Z623">
        <v>162</v>
      </c>
      <c r="AA623">
        <v>756</v>
      </c>
      <c r="AB623">
        <v>1</v>
      </c>
      <c r="AC623">
        <v>43</v>
      </c>
      <c r="AD623">
        <v>29</v>
      </c>
      <c r="AE623">
        <v>0</v>
      </c>
      <c r="AF623">
        <v>0</v>
      </c>
      <c r="AG623">
        <v>4</v>
      </c>
      <c r="AH623">
        <v>0</v>
      </c>
      <c r="AI623">
        <v>0</v>
      </c>
      <c r="AJ623">
        <v>0</v>
      </c>
      <c r="AK623">
        <v>1.4672099999999999</v>
      </c>
      <c r="AL623">
        <v>3</v>
      </c>
      <c r="AM623">
        <v>0</v>
      </c>
      <c r="AN623">
        <v>1151</v>
      </c>
      <c r="AO623">
        <v>10</v>
      </c>
      <c r="AP623">
        <v>0</v>
      </c>
      <c r="AQ623">
        <v>0</v>
      </c>
    </row>
    <row r="624" spans="1:43" x14ac:dyDescent="0.25">
      <c r="A624">
        <v>621</v>
      </c>
      <c r="B624">
        <v>12</v>
      </c>
      <c r="C624">
        <v>12</v>
      </c>
      <c r="D624">
        <v>3</v>
      </c>
      <c r="E624">
        <v>1209</v>
      </c>
      <c r="F624">
        <v>3667</v>
      </c>
      <c r="G624">
        <v>3692</v>
      </c>
      <c r="H624">
        <v>2107</v>
      </c>
      <c r="I624">
        <v>987</v>
      </c>
      <c r="J624">
        <v>216</v>
      </c>
      <c r="K624">
        <v>277</v>
      </c>
      <c r="L624">
        <v>137</v>
      </c>
      <c r="M624">
        <v>388</v>
      </c>
      <c r="N624">
        <v>411</v>
      </c>
      <c r="O624">
        <v>265</v>
      </c>
      <c r="P624">
        <v>158</v>
      </c>
      <c r="Q624">
        <v>61</v>
      </c>
      <c r="R624">
        <v>0.21241513100000001</v>
      </c>
      <c r="S624">
        <v>629</v>
      </c>
      <c r="T624">
        <v>126</v>
      </c>
      <c r="U624">
        <v>467</v>
      </c>
      <c r="V624">
        <v>1440</v>
      </c>
      <c r="W624">
        <v>1322</v>
      </c>
      <c r="X624">
        <v>655</v>
      </c>
      <c r="Y624">
        <v>173</v>
      </c>
      <c r="Z624">
        <v>36</v>
      </c>
      <c r="AA624">
        <v>368</v>
      </c>
      <c r="AB624">
        <v>5</v>
      </c>
      <c r="AC624">
        <v>24</v>
      </c>
      <c r="AD624">
        <v>23</v>
      </c>
      <c r="AE624">
        <v>0</v>
      </c>
      <c r="AF624">
        <v>0</v>
      </c>
      <c r="AG624">
        <v>4</v>
      </c>
      <c r="AH624">
        <v>0</v>
      </c>
      <c r="AI624">
        <v>0</v>
      </c>
      <c r="AJ624">
        <v>0</v>
      </c>
      <c r="AK624">
        <v>1.36731</v>
      </c>
      <c r="AL624">
        <v>3</v>
      </c>
      <c r="AM624">
        <v>0</v>
      </c>
      <c r="AN624">
        <v>1209</v>
      </c>
      <c r="AO624">
        <v>25</v>
      </c>
      <c r="AP624">
        <v>0</v>
      </c>
      <c r="AQ624">
        <v>0</v>
      </c>
    </row>
    <row r="625" spans="1:43" x14ac:dyDescent="0.25">
      <c r="A625">
        <v>622</v>
      </c>
      <c r="B625">
        <v>12</v>
      </c>
      <c r="C625">
        <v>12</v>
      </c>
      <c r="D625">
        <v>3</v>
      </c>
      <c r="E625">
        <v>1625</v>
      </c>
      <c r="F625">
        <v>5473</v>
      </c>
      <c r="G625">
        <v>5492</v>
      </c>
      <c r="H625">
        <v>3100</v>
      </c>
      <c r="I625">
        <v>1447</v>
      </c>
      <c r="J625">
        <v>138</v>
      </c>
      <c r="K625">
        <v>275</v>
      </c>
      <c r="L625">
        <v>226</v>
      </c>
      <c r="M625">
        <v>417</v>
      </c>
      <c r="N625">
        <v>703</v>
      </c>
      <c r="O625">
        <v>336</v>
      </c>
      <c r="P625">
        <v>286</v>
      </c>
      <c r="Q625">
        <v>49</v>
      </c>
      <c r="R625">
        <v>0.186409083</v>
      </c>
      <c r="S625">
        <v>316</v>
      </c>
      <c r="T625">
        <v>201</v>
      </c>
      <c r="U625">
        <v>787</v>
      </c>
      <c r="V625">
        <v>2240</v>
      </c>
      <c r="W625">
        <v>1727</v>
      </c>
      <c r="X625">
        <v>803</v>
      </c>
      <c r="Y625">
        <v>5</v>
      </c>
      <c r="Z625">
        <v>16</v>
      </c>
      <c r="AA625">
        <v>273</v>
      </c>
      <c r="AB625">
        <v>0</v>
      </c>
      <c r="AC625">
        <v>6</v>
      </c>
      <c r="AD625">
        <v>16</v>
      </c>
      <c r="AE625">
        <v>0</v>
      </c>
      <c r="AF625">
        <v>0</v>
      </c>
      <c r="AG625">
        <v>4</v>
      </c>
      <c r="AH625">
        <v>0</v>
      </c>
      <c r="AI625">
        <v>0</v>
      </c>
      <c r="AJ625">
        <v>0</v>
      </c>
      <c r="AK625">
        <v>1.23912</v>
      </c>
      <c r="AL625">
        <v>2</v>
      </c>
      <c r="AM625">
        <v>0</v>
      </c>
      <c r="AN625">
        <v>1625</v>
      </c>
      <c r="AO625">
        <v>19</v>
      </c>
      <c r="AP625">
        <v>0</v>
      </c>
      <c r="AQ625">
        <v>0</v>
      </c>
    </row>
    <row r="626" spans="1:43" x14ac:dyDescent="0.25">
      <c r="A626">
        <v>623</v>
      </c>
      <c r="B626">
        <v>12</v>
      </c>
      <c r="C626">
        <v>12</v>
      </c>
      <c r="D626">
        <v>3</v>
      </c>
      <c r="E626">
        <v>2034</v>
      </c>
      <c r="F626">
        <v>6781</v>
      </c>
      <c r="G626">
        <v>6793</v>
      </c>
      <c r="H626">
        <v>3718</v>
      </c>
      <c r="I626">
        <v>1889</v>
      </c>
      <c r="J626">
        <v>111</v>
      </c>
      <c r="K626">
        <v>200</v>
      </c>
      <c r="L626">
        <v>302</v>
      </c>
      <c r="M626">
        <v>602</v>
      </c>
      <c r="N626">
        <v>926</v>
      </c>
      <c r="O626">
        <v>399</v>
      </c>
      <c r="P626">
        <v>348</v>
      </c>
      <c r="Q626">
        <v>16</v>
      </c>
      <c r="R626">
        <v>0.20671503799999999</v>
      </c>
      <c r="S626">
        <v>312</v>
      </c>
      <c r="T626">
        <v>175</v>
      </c>
      <c r="U626">
        <v>1063</v>
      </c>
      <c r="V626">
        <v>2292</v>
      </c>
      <c r="W626">
        <v>2297</v>
      </c>
      <c r="X626">
        <v>1032</v>
      </c>
      <c r="Y626">
        <v>5</v>
      </c>
      <c r="Z626">
        <v>22</v>
      </c>
      <c r="AA626">
        <v>236</v>
      </c>
      <c r="AB626">
        <v>0</v>
      </c>
      <c r="AC626">
        <v>14</v>
      </c>
      <c r="AD626">
        <v>35</v>
      </c>
      <c r="AE626">
        <v>0</v>
      </c>
      <c r="AF626">
        <v>0</v>
      </c>
      <c r="AG626">
        <v>4</v>
      </c>
      <c r="AH626">
        <v>0</v>
      </c>
      <c r="AI626">
        <v>0</v>
      </c>
      <c r="AJ626">
        <v>0</v>
      </c>
      <c r="AK626">
        <v>1.22919</v>
      </c>
      <c r="AL626">
        <v>2</v>
      </c>
      <c r="AM626">
        <v>0</v>
      </c>
      <c r="AN626">
        <v>2034</v>
      </c>
      <c r="AO626">
        <v>12</v>
      </c>
      <c r="AP626">
        <v>0</v>
      </c>
      <c r="AQ626">
        <v>0</v>
      </c>
    </row>
    <row r="627" spans="1:43" x14ac:dyDescent="0.25">
      <c r="A627">
        <v>624</v>
      </c>
      <c r="B627">
        <v>12</v>
      </c>
      <c r="C627">
        <v>12</v>
      </c>
      <c r="D627">
        <v>3</v>
      </c>
      <c r="E627">
        <v>926</v>
      </c>
      <c r="F627">
        <v>2894</v>
      </c>
      <c r="G627">
        <v>2931</v>
      </c>
      <c r="H627">
        <v>1464</v>
      </c>
      <c r="I627">
        <v>885</v>
      </c>
      <c r="J627">
        <v>0</v>
      </c>
      <c r="K627">
        <v>137</v>
      </c>
      <c r="L627">
        <v>115</v>
      </c>
      <c r="M627">
        <v>252</v>
      </c>
      <c r="N627">
        <v>428</v>
      </c>
      <c r="O627">
        <v>234</v>
      </c>
      <c r="P627">
        <v>154</v>
      </c>
      <c r="Q627">
        <v>6</v>
      </c>
      <c r="R627">
        <v>0.26766666700000002</v>
      </c>
      <c r="S627">
        <v>118</v>
      </c>
      <c r="T627">
        <v>67</v>
      </c>
      <c r="U627">
        <v>456</v>
      </c>
      <c r="V627">
        <v>842</v>
      </c>
      <c r="W627">
        <v>920</v>
      </c>
      <c r="X627">
        <v>640</v>
      </c>
      <c r="Y627">
        <v>1</v>
      </c>
      <c r="Z627">
        <v>23</v>
      </c>
      <c r="AA627">
        <v>87</v>
      </c>
      <c r="AB627">
        <v>0</v>
      </c>
      <c r="AC627">
        <v>3</v>
      </c>
      <c r="AD627">
        <v>4</v>
      </c>
      <c r="AE627">
        <v>0</v>
      </c>
      <c r="AF627">
        <v>0</v>
      </c>
      <c r="AG627">
        <v>4</v>
      </c>
      <c r="AH627">
        <v>0</v>
      </c>
      <c r="AI627">
        <v>0</v>
      </c>
      <c r="AJ627">
        <v>0</v>
      </c>
      <c r="AK627">
        <v>1.2424500000000001</v>
      </c>
      <c r="AL627">
        <v>3</v>
      </c>
      <c r="AM627">
        <v>0</v>
      </c>
      <c r="AN627">
        <v>926</v>
      </c>
      <c r="AO627">
        <v>37</v>
      </c>
      <c r="AP627">
        <v>0</v>
      </c>
      <c r="AQ627">
        <v>0</v>
      </c>
    </row>
    <row r="628" spans="1:43" x14ac:dyDescent="0.25">
      <c r="A628">
        <v>625</v>
      </c>
      <c r="B628">
        <v>12</v>
      </c>
      <c r="C628">
        <v>12</v>
      </c>
      <c r="D628">
        <v>3</v>
      </c>
      <c r="E628">
        <v>1685</v>
      </c>
      <c r="F628">
        <v>5271</v>
      </c>
      <c r="G628">
        <v>5298</v>
      </c>
      <c r="H628">
        <v>2827</v>
      </c>
      <c r="I628">
        <v>1333</v>
      </c>
      <c r="J628">
        <v>355</v>
      </c>
      <c r="K628">
        <v>248</v>
      </c>
      <c r="L628">
        <v>334</v>
      </c>
      <c r="M628">
        <v>352</v>
      </c>
      <c r="N628">
        <v>739</v>
      </c>
      <c r="O628">
        <v>328</v>
      </c>
      <c r="P628">
        <v>220</v>
      </c>
      <c r="Q628">
        <v>25</v>
      </c>
      <c r="R628">
        <v>0.18311160400000001</v>
      </c>
      <c r="S628">
        <v>842</v>
      </c>
      <c r="T628">
        <v>393</v>
      </c>
      <c r="U628">
        <v>670</v>
      </c>
      <c r="V628">
        <v>2053</v>
      </c>
      <c r="W628">
        <v>1302</v>
      </c>
      <c r="X628">
        <v>873</v>
      </c>
      <c r="Y628">
        <v>93</v>
      </c>
      <c r="Z628">
        <v>86</v>
      </c>
      <c r="AA628">
        <v>602</v>
      </c>
      <c r="AB628">
        <v>1</v>
      </c>
      <c r="AC628">
        <v>25</v>
      </c>
      <c r="AD628">
        <v>35</v>
      </c>
      <c r="AE628">
        <v>0</v>
      </c>
      <c r="AF628">
        <v>0</v>
      </c>
      <c r="AG628">
        <v>4</v>
      </c>
      <c r="AH628">
        <v>0</v>
      </c>
      <c r="AI628">
        <v>0</v>
      </c>
      <c r="AJ628">
        <v>0</v>
      </c>
      <c r="AK628">
        <v>1.4326300000000001</v>
      </c>
      <c r="AL628">
        <v>3</v>
      </c>
      <c r="AM628">
        <v>0</v>
      </c>
      <c r="AN628">
        <v>1685</v>
      </c>
      <c r="AO628">
        <v>27</v>
      </c>
      <c r="AP628">
        <v>0</v>
      </c>
      <c r="AQ628">
        <v>0</v>
      </c>
    </row>
    <row r="629" spans="1:43" x14ac:dyDescent="0.25">
      <c r="A629">
        <v>626</v>
      </c>
      <c r="B629">
        <v>12</v>
      </c>
      <c r="C629">
        <v>12</v>
      </c>
      <c r="D629">
        <v>3</v>
      </c>
      <c r="E629">
        <v>1272</v>
      </c>
      <c r="F629">
        <v>4330</v>
      </c>
      <c r="G629">
        <v>4337</v>
      </c>
      <c r="H629">
        <v>2181</v>
      </c>
      <c r="I629">
        <v>1234</v>
      </c>
      <c r="J629">
        <v>0</v>
      </c>
      <c r="K629">
        <v>159</v>
      </c>
      <c r="L629">
        <v>223</v>
      </c>
      <c r="M629">
        <v>274</v>
      </c>
      <c r="N629">
        <v>616</v>
      </c>
      <c r="O629">
        <v>355</v>
      </c>
      <c r="P629">
        <v>292.10426519999999</v>
      </c>
      <c r="Q629">
        <v>62</v>
      </c>
      <c r="R629">
        <v>0.217361894</v>
      </c>
      <c r="S629">
        <v>472</v>
      </c>
      <c r="T629">
        <v>165</v>
      </c>
      <c r="U629">
        <v>746</v>
      </c>
      <c r="V629">
        <v>1305</v>
      </c>
      <c r="W629">
        <v>1424</v>
      </c>
      <c r="X629">
        <v>689</v>
      </c>
      <c r="Y629">
        <v>12</v>
      </c>
      <c r="Z629">
        <v>63</v>
      </c>
      <c r="AA629">
        <v>351</v>
      </c>
      <c r="AB629">
        <v>1</v>
      </c>
      <c r="AC629">
        <v>22</v>
      </c>
      <c r="AD629">
        <v>23</v>
      </c>
      <c r="AE629">
        <v>0</v>
      </c>
      <c r="AF629">
        <v>0</v>
      </c>
      <c r="AG629">
        <v>4</v>
      </c>
      <c r="AH629">
        <v>1922</v>
      </c>
      <c r="AI629">
        <v>0</v>
      </c>
      <c r="AJ629">
        <v>0</v>
      </c>
      <c r="AK629">
        <v>1.2316</v>
      </c>
      <c r="AL629">
        <v>2</v>
      </c>
      <c r="AM629">
        <v>0</v>
      </c>
      <c r="AN629">
        <v>1272</v>
      </c>
      <c r="AO629">
        <v>7</v>
      </c>
      <c r="AP629">
        <v>0</v>
      </c>
      <c r="AQ629">
        <v>0</v>
      </c>
    </row>
    <row r="630" spans="1:43" x14ac:dyDescent="0.25">
      <c r="A630">
        <v>627</v>
      </c>
      <c r="B630">
        <v>12</v>
      </c>
      <c r="C630">
        <v>12</v>
      </c>
      <c r="D630">
        <v>3</v>
      </c>
      <c r="E630">
        <v>1900</v>
      </c>
      <c r="F630">
        <v>5641</v>
      </c>
      <c r="G630">
        <v>5695</v>
      </c>
      <c r="H630">
        <v>2750</v>
      </c>
      <c r="I630">
        <v>1526</v>
      </c>
      <c r="J630">
        <v>275</v>
      </c>
      <c r="K630">
        <v>232</v>
      </c>
      <c r="L630">
        <v>332</v>
      </c>
      <c r="M630">
        <v>564</v>
      </c>
      <c r="N630">
        <v>753</v>
      </c>
      <c r="O630">
        <v>421</v>
      </c>
      <c r="P630">
        <v>300.15856150000002</v>
      </c>
      <c r="Q630">
        <v>42</v>
      </c>
      <c r="R630">
        <v>0.16916376299999999</v>
      </c>
      <c r="S630">
        <v>882</v>
      </c>
      <c r="T630">
        <v>369</v>
      </c>
      <c r="U630">
        <v>858</v>
      </c>
      <c r="V630">
        <v>1864</v>
      </c>
      <c r="W630">
        <v>1645</v>
      </c>
      <c r="X630">
        <v>870</v>
      </c>
      <c r="Y630">
        <v>166</v>
      </c>
      <c r="Z630">
        <v>113</v>
      </c>
      <c r="AA630">
        <v>479</v>
      </c>
      <c r="AB630">
        <v>1</v>
      </c>
      <c r="AC630">
        <v>24</v>
      </c>
      <c r="AD630">
        <v>99</v>
      </c>
      <c r="AE630">
        <v>0</v>
      </c>
      <c r="AF630">
        <v>0</v>
      </c>
      <c r="AG630">
        <v>4</v>
      </c>
      <c r="AH630">
        <v>0</v>
      </c>
      <c r="AI630">
        <v>0</v>
      </c>
      <c r="AJ630">
        <v>0</v>
      </c>
      <c r="AK630">
        <v>1.2646900000000001</v>
      </c>
      <c r="AL630">
        <v>3</v>
      </c>
      <c r="AM630">
        <v>0</v>
      </c>
      <c r="AN630">
        <v>1900</v>
      </c>
      <c r="AO630">
        <v>54</v>
      </c>
      <c r="AP630">
        <v>0</v>
      </c>
      <c r="AQ630">
        <v>0</v>
      </c>
    </row>
    <row r="631" spans="1:43" x14ac:dyDescent="0.25">
      <c r="A631">
        <v>628</v>
      </c>
      <c r="B631">
        <v>12</v>
      </c>
      <c r="C631">
        <v>12</v>
      </c>
      <c r="D631">
        <v>3</v>
      </c>
      <c r="E631">
        <v>1568</v>
      </c>
      <c r="F631">
        <v>4698</v>
      </c>
      <c r="G631">
        <v>4713</v>
      </c>
      <c r="H631">
        <v>2145</v>
      </c>
      <c r="I631">
        <v>1383</v>
      </c>
      <c r="J631">
        <v>104</v>
      </c>
      <c r="K631">
        <v>299</v>
      </c>
      <c r="L631">
        <v>178</v>
      </c>
      <c r="M631">
        <v>302</v>
      </c>
      <c r="N631">
        <v>784</v>
      </c>
      <c r="O631">
        <v>4328</v>
      </c>
      <c r="P631">
        <v>826.01502170000003</v>
      </c>
      <c r="Q631">
        <v>103</v>
      </c>
      <c r="R631">
        <v>0.24262899299999999</v>
      </c>
      <c r="S631">
        <v>533</v>
      </c>
      <c r="T631">
        <v>316</v>
      </c>
      <c r="U631">
        <v>672</v>
      </c>
      <c r="V631">
        <v>1195</v>
      </c>
      <c r="W631">
        <v>1702</v>
      </c>
      <c r="X631">
        <v>885</v>
      </c>
      <c r="Y631">
        <v>10</v>
      </c>
      <c r="Z631">
        <v>57</v>
      </c>
      <c r="AA631">
        <v>352</v>
      </c>
      <c r="AB631">
        <v>53</v>
      </c>
      <c r="AC631">
        <v>25</v>
      </c>
      <c r="AD631">
        <v>36</v>
      </c>
      <c r="AE631">
        <v>0</v>
      </c>
      <c r="AF631">
        <v>0</v>
      </c>
      <c r="AG631">
        <v>4</v>
      </c>
      <c r="AH631">
        <v>0</v>
      </c>
      <c r="AI631">
        <v>0</v>
      </c>
      <c r="AJ631">
        <v>0</v>
      </c>
      <c r="AK631">
        <v>1.002</v>
      </c>
      <c r="AL631">
        <v>1</v>
      </c>
      <c r="AM631">
        <v>0</v>
      </c>
      <c r="AN631">
        <v>1568</v>
      </c>
      <c r="AO631">
        <v>15</v>
      </c>
      <c r="AP631">
        <v>0</v>
      </c>
      <c r="AQ631">
        <v>0</v>
      </c>
    </row>
    <row r="632" spans="1:43" x14ac:dyDescent="0.25">
      <c r="A632">
        <v>629</v>
      </c>
      <c r="B632">
        <v>12</v>
      </c>
      <c r="C632">
        <v>12</v>
      </c>
      <c r="D632">
        <v>3</v>
      </c>
      <c r="E632">
        <v>1810</v>
      </c>
      <c r="F632">
        <v>5674</v>
      </c>
      <c r="G632">
        <v>5741</v>
      </c>
      <c r="H632">
        <v>3302</v>
      </c>
      <c r="I632">
        <v>1702</v>
      </c>
      <c r="J632">
        <v>178</v>
      </c>
      <c r="K632">
        <v>163</v>
      </c>
      <c r="L632">
        <v>304</v>
      </c>
      <c r="M632">
        <v>450</v>
      </c>
      <c r="N632">
        <v>900</v>
      </c>
      <c r="O632">
        <v>739</v>
      </c>
      <c r="P632">
        <v>569.63041269999997</v>
      </c>
      <c r="Q632">
        <v>52</v>
      </c>
      <c r="R632">
        <v>0.18360711800000001</v>
      </c>
      <c r="S632">
        <v>517</v>
      </c>
      <c r="T632">
        <v>238</v>
      </c>
      <c r="U632">
        <v>964</v>
      </c>
      <c r="V632">
        <v>1817</v>
      </c>
      <c r="W632">
        <v>1756</v>
      </c>
      <c r="X632">
        <v>935</v>
      </c>
      <c r="Y632">
        <v>11</v>
      </c>
      <c r="Z632">
        <v>54</v>
      </c>
      <c r="AA632">
        <v>348</v>
      </c>
      <c r="AB632">
        <v>1</v>
      </c>
      <c r="AC632">
        <v>17</v>
      </c>
      <c r="AD632">
        <v>86</v>
      </c>
      <c r="AE632">
        <v>0</v>
      </c>
      <c r="AF632">
        <v>0</v>
      </c>
      <c r="AG632">
        <v>4</v>
      </c>
      <c r="AH632">
        <v>0</v>
      </c>
      <c r="AI632">
        <v>0</v>
      </c>
      <c r="AJ632">
        <v>0</v>
      </c>
      <c r="AK632">
        <v>1.1021000000000001</v>
      </c>
      <c r="AL632">
        <v>1</v>
      </c>
      <c r="AM632">
        <v>0</v>
      </c>
      <c r="AN632">
        <v>1810</v>
      </c>
      <c r="AO632">
        <v>67</v>
      </c>
      <c r="AP632">
        <v>0</v>
      </c>
      <c r="AQ632">
        <v>0</v>
      </c>
    </row>
    <row r="633" spans="1:43" x14ac:dyDescent="0.25">
      <c r="A633">
        <v>630</v>
      </c>
      <c r="B633">
        <v>12</v>
      </c>
      <c r="C633">
        <v>12</v>
      </c>
      <c r="D633">
        <v>3</v>
      </c>
      <c r="E633">
        <v>2085</v>
      </c>
      <c r="F633">
        <v>6643</v>
      </c>
      <c r="G633">
        <v>6679</v>
      </c>
      <c r="H633">
        <v>3516</v>
      </c>
      <c r="I633">
        <v>1676</v>
      </c>
      <c r="J633">
        <v>359</v>
      </c>
      <c r="K633">
        <v>374</v>
      </c>
      <c r="L633">
        <v>531</v>
      </c>
      <c r="M633">
        <v>605</v>
      </c>
      <c r="N633">
        <v>582</v>
      </c>
      <c r="O633">
        <v>407</v>
      </c>
      <c r="P633">
        <v>370.2578307</v>
      </c>
      <c r="Q633">
        <v>31</v>
      </c>
      <c r="R633">
        <v>0.19654781399999999</v>
      </c>
      <c r="S633">
        <v>1001</v>
      </c>
      <c r="T633">
        <v>251</v>
      </c>
      <c r="U633">
        <v>1618</v>
      </c>
      <c r="V633">
        <v>2537</v>
      </c>
      <c r="W633">
        <v>2052</v>
      </c>
      <c r="X633">
        <v>1276</v>
      </c>
      <c r="Y633">
        <v>101</v>
      </c>
      <c r="Z633">
        <v>111</v>
      </c>
      <c r="AA633">
        <v>727</v>
      </c>
      <c r="AB633">
        <v>1</v>
      </c>
      <c r="AC633">
        <v>27</v>
      </c>
      <c r="AD633">
        <v>34</v>
      </c>
      <c r="AE633">
        <v>0</v>
      </c>
      <c r="AF633">
        <v>0</v>
      </c>
      <c r="AG633">
        <v>3</v>
      </c>
      <c r="AH633">
        <v>0</v>
      </c>
      <c r="AI633">
        <v>0</v>
      </c>
      <c r="AJ633">
        <v>0</v>
      </c>
      <c r="AK633">
        <v>1.32064</v>
      </c>
      <c r="AL633">
        <v>3</v>
      </c>
      <c r="AM633">
        <v>0</v>
      </c>
      <c r="AN633">
        <v>2085</v>
      </c>
      <c r="AO633">
        <v>36</v>
      </c>
      <c r="AP633">
        <v>0</v>
      </c>
      <c r="AQ633">
        <v>0</v>
      </c>
    </row>
    <row r="634" spans="1:43" x14ac:dyDescent="0.25">
      <c r="A634">
        <v>631</v>
      </c>
      <c r="B634">
        <v>12</v>
      </c>
      <c r="C634">
        <v>12</v>
      </c>
      <c r="D634">
        <v>3</v>
      </c>
      <c r="E634">
        <v>1270</v>
      </c>
      <c r="F634">
        <v>4220</v>
      </c>
      <c r="G634">
        <v>4225</v>
      </c>
      <c r="H634">
        <v>2225</v>
      </c>
      <c r="I634">
        <v>1003</v>
      </c>
      <c r="J634">
        <v>245</v>
      </c>
      <c r="K634">
        <v>169</v>
      </c>
      <c r="L634">
        <v>227</v>
      </c>
      <c r="M634">
        <v>335</v>
      </c>
      <c r="N634">
        <v>534</v>
      </c>
      <c r="O634">
        <v>252</v>
      </c>
      <c r="P634">
        <v>171</v>
      </c>
      <c r="Q634">
        <v>24</v>
      </c>
      <c r="R634">
        <v>0.19306335199999999</v>
      </c>
      <c r="S634">
        <v>883</v>
      </c>
      <c r="T634">
        <v>329</v>
      </c>
      <c r="U634">
        <v>1038</v>
      </c>
      <c r="V634">
        <v>1349</v>
      </c>
      <c r="W634">
        <v>1317</v>
      </c>
      <c r="X634">
        <v>829</v>
      </c>
      <c r="Y634">
        <v>10</v>
      </c>
      <c r="Z634">
        <v>26</v>
      </c>
      <c r="AA634">
        <v>800</v>
      </c>
      <c r="AB634">
        <v>1</v>
      </c>
      <c r="AC634">
        <v>17</v>
      </c>
      <c r="AD634">
        <v>29</v>
      </c>
      <c r="AE634">
        <v>0</v>
      </c>
      <c r="AF634">
        <v>0</v>
      </c>
      <c r="AG634">
        <v>4</v>
      </c>
      <c r="AH634">
        <v>0</v>
      </c>
      <c r="AI634">
        <v>0</v>
      </c>
      <c r="AJ634">
        <v>0</v>
      </c>
      <c r="AK634">
        <v>1.48485</v>
      </c>
      <c r="AL634">
        <v>3</v>
      </c>
      <c r="AM634">
        <v>0</v>
      </c>
      <c r="AN634">
        <v>1270</v>
      </c>
      <c r="AO634">
        <v>5</v>
      </c>
      <c r="AP634">
        <v>0</v>
      </c>
      <c r="AQ634">
        <v>0</v>
      </c>
    </row>
    <row r="635" spans="1:43" x14ac:dyDescent="0.25">
      <c r="A635">
        <v>632</v>
      </c>
      <c r="B635">
        <v>12</v>
      </c>
      <c r="C635">
        <v>12</v>
      </c>
      <c r="D635">
        <v>3</v>
      </c>
      <c r="E635">
        <v>1741</v>
      </c>
      <c r="F635">
        <v>5183</v>
      </c>
      <c r="G635">
        <v>5226</v>
      </c>
      <c r="H635">
        <v>2685</v>
      </c>
      <c r="I635">
        <v>1337</v>
      </c>
      <c r="J635">
        <v>330</v>
      </c>
      <c r="K635">
        <v>492</v>
      </c>
      <c r="L635">
        <v>373</v>
      </c>
      <c r="M635">
        <v>431</v>
      </c>
      <c r="N635">
        <v>456</v>
      </c>
      <c r="O635">
        <v>379</v>
      </c>
      <c r="P635">
        <v>256.52974399999999</v>
      </c>
      <c r="Q635">
        <v>96</v>
      </c>
      <c r="R635">
        <v>0.24162323199999999</v>
      </c>
      <c r="S635">
        <v>1365</v>
      </c>
      <c r="T635">
        <v>154</v>
      </c>
      <c r="U635">
        <v>984</v>
      </c>
      <c r="V635">
        <v>1797</v>
      </c>
      <c r="W635">
        <v>1302</v>
      </c>
      <c r="X635">
        <v>999</v>
      </c>
      <c r="Y635">
        <v>591</v>
      </c>
      <c r="Z635">
        <v>63</v>
      </c>
      <c r="AA635">
        <v>623</v>
      </c>
      <c r="AB635">
        <v>0</v>
      </c>
      <c r="AC635">
        <v>37</v>
      </c>
      <c r="AD635">
        <v>51</v>
      </c>
      <c r="AE635">
        <v>0</v>
      </c>
      <c r="AF635">
        <v>0</v>
      </c>
      <c r="AG635">
        <v>4</v>
      </c>
      <c r="AH635">
        <v>5</v>
      </c>
      <c r="AI635">
        <v>0</v>
      </c>
      <c r="AJ635">
        <v>0</v>
      </c>
      <c r="AK635">
        <v>1.3896200000000001</v>
      </c>
      <c r="AL635">
        <v>3</v>
      </c>
      <c r="AM635">
        <v>0</v>
      </c>
      <c r="AN635">
        <v>1741</v>
      </c>
      <c r="AO635">
        <v>43</v>
      </c>
      <c r="AP635">
        <v>0</v>
      </c>
      <c r="AQ635">
        <v>0</v>
      </c>
    </row>
    <row r="636" spans="1:43" x14ac:dyDescent="0.25">
      <c r="A636">
        <v>633</v>
      </c>
      <c r="B636">
        <v>12</v>
      </c>
      <c r="C636">
        <v>12</v>
      </c>
      <c r="D636">
        <v>3</v>
      </c>
      <c r="E636">
        <v>2428</v>
      </c>
      <c r="F636">
        <v>8063</v>
      </c>
      <c r="G636">
        <v>8108</v>
      </c>
      <c r="H636">
        <v>4518</v>
      </c>
      <c r="I636">
        <v>2014</v>
      </c>
      <c r="J636">
        <v>401</v>
      </c>
      <c r="K636">
        <v>533</v>
      </c>
      <c r="L636">
        <v>717</v>
      </c>
      <c r="M636">
        <v>622</v>
      </c>
      <c r="N636">
        <v>556</v>
      </c>
      <c r="O636">
        <v>478</v>
      </c>
      <c r="P636">
        <v>376.30962019999998</v>
      </c>
      <c r="Q636">
        <v>101</v>
      </c>
      <c r="R636">
        <v>0.15913887700000001</v>
      </c>
      <c r="S636">
        <v>1297</v>
      </c>
      <c r="T636">
        <v>565</v>
      </c>
      <c r="U636">
        <v>2116</v>
      </c>
      <c r="V636">
        <v>3251</v>
      </c>
      <c r="W636">
        <v>2082</v>
      </c>
      <c r="X636">
        <v>1231</v>
      </c>
      <c r="Y636">
        <v>41</v>
      </c>
      <c r="Z636">
        <v>133</v>
      </c>
      <c r="AA636">
        <v>948</v>
      </c>
      <c r="AB636">
        <v>1</v>
      </c>
      <c r="AC636">
        <v>69</v>
      </c>
      <c r="AD636">
        <v>105</v>
      </c>
      <c r="AE636">
        <v>0</v>
      </c>
      <c r="AF636">
        <v>0</v>
      </c>
      <c r="AG636">
        <v>4</v>
      </c>
      <c r="AH636">
        <v>1898</v>
      </c>
      <c r="AI636">
        <v>0</v>
      </c>
      <c r="AJ636">
        <v>0</v>
      </c>
      <c r="AK636">
        <v>1.34189</v>
      </c>
      <c r="AL636">
        <v>3</v>
      </c>
      <c r="AM636">
        <v>0</v>
      </c>
      <c r="AN636">
        <v>2428</v>
      </c>
      <c r="AO636">
        <v>45</v>
      </c>
      <c r="AP636">
        <v>0</v>
      </c>
      <c r="AQ636">
        <v>0</v>
      </c>
    </row>
    <row r="637" spans="1:43" x14ac:dyDescent="0.25">
      <c r="A637">
        <v>634</v>
      </c>
      <c r="B637">
        <v>12</v>
      </c>
      <c r="C637">
        <v>12</v>
      </c>
      <c r="D637">
        <v>3</v>
      </c>
      <c r="E637">
        <v>1533</v>
      </c>
      <c r="F637">
        <v>4854</v>
      </c>
      <c r="G637">
        <v>4886</v>
      </c>
      <c r="H637">
        <v>2549</v>
      </c>
      <c r="I637">
        <v>1006</v>
      </c>
      <c r="J637">
        <v>521</v>
      </c>
      <c r="K637">
        <v>540</v>
      </c>
      <c r="L637">
        <v>441</v>
      </c>
      <c r="M637">
        <v>289</v>
      </c>
      <c r="N637">
        <v>259</v>
      </c>
      <c r="O637">
        <v>282</v>
      </c>
      <c r="P637">
        <v>207.61805870000001</v>
      </c>
      <c r="Q637">
        <v>70</v>
      </c>
      <c r="R637">
        <v>0.19508357900000001</v>
      </c>
      <c r="S637">
        <v>1504</v>
      </c>
      <c r="T637">
        <v>114</v>
      </c>
      <c r="U637">
        <v>771</v>
      </c>
      <c r="V637">
        <v>1812</v>
      </c>
      <c r="W637">
        <v>1538</v>
      </c>
      <c r="X637">
        <v>706</v>
      </c>
      <c r="Y637">
        <v>303</v>
      </c>
      <c r="Z637">
        <v>88</v>
      </c>
      <c r="AA637">
        <v>421</v>
      </c>
      <c r="AB637">
        <v>1</v>
      </c>
      <c r="AC637">
        <v>50</v>
      </c>
      <c r="AD637">
        <v>641</v>
      </c>
      <c r="AE637">
        <v>0</v>
      </c>
      <c r="AF637">
        <v>0</v>
      </c>
      <c r="AG637">
        <v>4</v>
      </c>
      <c r="AH637">
        <v>0</v>
      </c>
      <c r="AI637">
        <v>0</v>
      </c>
      <c r="AJ637">
        <v>0</v>
      </c>
      <c r="AK637">
        <v>1.47302</v>
      </c>
      <c r="AL637">
        <v>3</v>
      </c>
      <c r="AM637">
        <v>0</v>
      </c>
      <c r="AN637">
        <v>1533</v>
      </c>
      <c r="AO637">
        <v>32</v>
      </c>
      <c r="AP637">
        <v>0</v>
      </c>
      <c r="AQ637">
        <v>0</v>
      </c>
    </row>
    <row r="638" spans="1:43" x14ac:dyDescent="0.25">
      <c r="A638">
        <v>635</v>
      </c>
      <c r="B638">
        <v>12</v>
      </c>
      <c r="C638">
        <v>12</v>
      </c>
      <c r="D638">
        <v>3</v>
      </c>
      <c r="E638">
        <v>1091</v>
      </c>
      <c r="F638">
        <v>3705</v>
      </c>
      <c r="G638">
        <v>3714</v>
      </c>
      <c r="H638">
        <v>2105</v>
      </c>
      <c r="I638">
        <v>1120</v>
      </c>
      <c r="J638">
        <v>0</v>
      </c>
      <c r="K638">
        <v>267</v>
      </c>
      <c r="L638">
        <v>261</v>
      </c>
      <c r="M638">
        <v>301</v>
      </c>
      <c r="N638">
        <v>266</v>
      </c>
      <c r="O638">
        <v>246</v>
      </c>
      <c r="P638">
        <v>189</v>
      </c>
      <c r="Q638">
        <v>54</v>
      </c>
      <c r="R638">
        <v>0.212039533</v>
      </c>
      <c r="S638">
        <v>534</v>
      </c>
      <c r="T638">
        <v>212</v>
      </c>
      <c r="U638">
        <v>647</v>
      </c>
      <c r="V638">
        <v>1728</v>
      </c>
      <c r="W638">
        <v>1017</v>
      </c>
      <c r="X638">
        <v>740</v>
      </c>
      <c r="Y638">
        <v>10</v>
      </c>
      <c r="Z638">
        <v>85</v>
      </c>
      <c r="AA638">
        <v>291</v>
      </c>
      <c r="AB638">
        <v>1</v>
      </c>
      <c r="AC638">
        <v>58</v>
      </c>
      <c r="AD638">
        <v>89</v>
      </c>
      <c r="AE638">
        <v>0</v>
      </c>
      <c r="AF638">
        <v>0</v>
      </c>
      <c r="AG638">
        <v>4</v>
      </c>
      <c r="AH638">
        <v>0</v>
      </c>
      <c r="AI638">
        <v>0</v>
      </c>
      <c r="AJ638">
        <v>0</v>
      </c>
      <c r="AK638">
        <v>1.3455299999999999</v>
      </c>
      <c r="AL638">
        <v>2</v>
      </c>
      <c r="AM638">
        <v>0</v>
      </c>
      <c r="AN638">
        <v>1091</v>
      </c>
      <c r="AO638">
        <v>9</v>
      </c>
      <c r="AP638">
        <v>0</v>
      </c>
      <c r="AQ638">
        <v>0</v>
      </c>
    </row>
    <row r="639" spans="1:43" x14ac:dyDescent="0.25">
      <c r="A639">
        <v>636</v>
      </c>
      <c r="B639">
        <v>12</v>
      </c>
      <c r="C639">
        <v>12</v>
      </c>
      <c r="D639">
        <v>3</v>
      </c>
      <c r="E639">
        <v>1341</v>
      </c>
      <c r="F639">
        <v>4751</v>
      </c>
      <c r="G639">
        <v>4774</v>
      </c>
      <c r="H639">
        <v>2419</v>
      </c>
      <c r="I639">
        <v>1343</v>
      </c>
      <c r="J639">
        <v>0</v>
      </c>
      <c r="K639">
        <v>351</v>
      </c>
      <c r="L639">
        <v>333</v>
      </c>
      <c r="M639">
        <v>330</v>
      </c>
      <c r="N639">
        <v>338</v>
      </c>
      <c r="O639">
        <v>338</v>
      </c>
      <c r="P639">
        <v>286</v>
      </c>
      <c r="Q639">
        <v>52</v>
      </c>
      <c r="R639">
        <v>0.178571429</v>
      </c>
      <c r="S639">
        <v>828</v>
      </c>
      <c r="T639">
        <v>470</v>
      </c>
      <c r="U639">
        <v>982</v>
      </c>
      <c r="V639">
        <v>1942</v>
      </c>
      <c r="W639">
        <v>1350</v>
      </c>
      <c r="X639">
        <v>877</v>
      </c>
      <c r="Y639">
        <v>220</v>
      </c>
      <c r="Z639">
        <v>99</v>
      </c>
      <c r="AA639">
        <v>419</v>
      </c>
      <c r="AB639">
        <v>1</v>
      </c>
      <c r="AC639">
        <v>21</v>
      </c>
      <c r="AD639">
        <v>68</v>
      </c>
      <c r="AE639">
        <v>0</v>
      </c>
      <c r="AF639">
        <v>0</v>
      </c>
      <c r="AG639">
        <v>4</v>
      </c>
      <c r="AH639">
        <v>682</v>
      </c>
      <c r="AI639">
        <v>0</v>
      </c>
      <c r="AJ639">
        <v>0</v>
      </c>
      <c r="AK639">
        <v>1.3084100000000001</v>
      </c>
      <c r="AL639">
        <v>2</v>
      </c>
      <c r="AM639">
        <v>0</v>
      </c>
      <c r="AN639">
        <v>1341</v>
      </c>
      <c r="AO639">
        <v>23</v>
      </c>
      <c r="AP639">
        <v>0</v>
      </c>
      <c r="AQ639">
        <v>0</v>
      </c>
    </row>
    <row r="640" spans="1:43" x14ac:dyDescent="0.25">
      <c r="A640">
        <v>637</v>
      </c>
      <c r="B640">
        <v>12</v>
      </c>
      <c r="C640">
        <v>12</v>
      </c>
      <c r="D640">
        <v>3</v>
      </c>
      <c r="E640">
        <v>1358</v>
      </c>
      <c r="F640">
        <v>4108</v>
      </c>
      <c r="G640">
        <v>4128</v>
      </c>
      <c r="H640">
        <v>2371</v>
      </c>
      <c r="I640">
        <v>1387</v>
      </c>
      <c r="J640">
        <v>31</v>
      </c>
      <c r="K640">
        <v>66</v>
      </c>
      <c r="L640">
        <v>265</v>
      </c>
      <c r="M640">
        <v>358</v>
      </c>
      <c r="N640">
        <v>667</v>
      </c>
      <c r="O640">
        <v>3895</v>
      </c>
      <c r="P640">
        <v>1327.6037040000001</v>
      </c>
      <c r="Q640">
        <v>22</v>
      </c>
      <c r="R640">
        <v>0.25439598099999999</v>
      </c>
      <c r="S640">
        <v>492</v>
      </c>
      <c r="T640">
        <v>171</v>
      </c>
      <c r="U640">
        <v>556</v>
      </c>
      <c r="V640">
        <v>1159</v>
      </c>
      <c r="W640">
        <v>1556</v>
      </c>
      <c r="X640">
        <v>833</v>
      </c>
      <c r="Y640">
        <v>9</v>
      </c>
      <c r="Z640">
        <v>160</v>
      </c>
      <c r="AA640">
        <v>152</v>
      </c>
      <c r="AB640">
        <v>3</v>
      </c>
      <c r="AC640">
        <v>40</v>
      </c>
      <c r="AD640">
        <v>128</v>
      </c>
      <c r="AE640">
        <v>0</v>
      </c>
      <c r="AF640">
        <v>0</v>
      </c>
      <c r="AG640">
        <v>4</v>
      </c>
      <c r="AH640">
        <v>0</v>
      </c>
      <c r="AI640">
        <v>0</v>
      </c>
      <c r="AJ640">
        <v>0</v>
      </c>
      <c r="AK640">
        <v>0.97235000000000005</v>
      </c>
      <c r="AL640">
        <v>1</v>
      </c>
      <c r="AM640">
        <v>0</v>
      </c>
      <c r="AN640">
        <v>1358</v>
      </c>
      <c r="AO640">
        <v>20</v>
      </c>
      <c r="AP640">
        <v>0</v>
      </c>
      <c r="AQ640">
        <v>0</v>
      </c>
    </row>
    <row r="641" spans="1:43" x14ac:dyDescent="0.25">
      <c r="A641">
        <v>638</v>
      </c>
      <c r="B641">
        <v>12</v>
      </c>
      <c r="C641">
        <v>12</v>
      </c>
      <c r="D641">
        <v>3</v>
      </c>
      <c r="E641">
        <v>1249</v>
      </c>
      <c r="F641">
        <v>4665</v>
      </c>
      <c r="G641">
        <v>4689</v>
      </c>
      <c r="H641">
        <v>2544</v>
      </c>
      <c r="I641">
        <v>1171</v>
      </c>
      <c r="J641">
        <v>34</v>
      </c>
      <c r="K641">
        <v>285</v>
      </c>
      <c r="L641">
        <v>250</v>
      </c>
      <c r="M641">
        <v>431</v>
      </c>
      <c r="N641">
        <v>288</v>
      </c>
      <c r="O641">
        <v>246</v>
      </c>
      <c r="P641">
        <v>206</v>
      </c>
      <c r="Q641">
        <v>30</v>
      </c>
      <c r="R641">
        <v>0.16800401200000001</v>
      </c>
      <c r="S641">
        <v>421</v>
      </c>
      <c r="T641">
        <v>355</v>
      </c>
      <c r="U641">
        <v>1206</v>
      </c>
      <c r="V641">
        <v>1957</v>
      </c>
      <c r="W641">
        <v>1514</v>
      </c>
      <c r="X641">
        <v>823</v>
      </c>
      <c r="Y641">
        <v>23</v>
      </c>
      <c r="Z641">
        <v>83</v>
      </c>
      <c r="AA641">
        <v>246</v>
      </c>
      <c r="AB641">
        <v>1</v>
      </c>
      <c r="AC641">
        <v>16</v>
      </c>
      <c r="AD641">
        <v>52</v>
      </c>
      <c r="AE641">
        <v>0</v>
      </c>
      <c r="AF641">
        <v>0</v>
      </c>
      <c r="AG641">
        <v>4</v>
      </c>
      <c r="AH641">
        <v>0</v>
      </c>
      <c r="AI641">
        <v>0</v>
      </c>
      <c r="AJ641">
        <v>0</v>
      </c>
      <c r="AK641">
        <v>1.4655199999999999</v>
      </c>
      <c r="AL641">
        <v>2</v>
      </c>
      <c r="AM641">
        <v>0</v>
      </c>
      <c r="AN641">
        <v>1249</v>
      </c>
      <c r="AO641">
        <v>24</v>
      </c>
      <c r="AP641">
        <v>0</v>
      </c>
      <c r="AQ641">
        <v>0</v>
      </c>
    </row>
    <row r="642" spans="1:43" x14ac:dyDescent="0.25">
      <c r="A642">
        <v>639</v>
      </c>
      <c r="B642">
        <v>12</v>
      </c>
      <c r="C642">
        <v>12</v>
      </c>
      <c r="D642">
        <v>3</v>
      </c>
      <c r="E642">
        <v>1188</v>
      </c>
      <c r="F642">
        <v>3948</v>
      </c>
      <c r="G642">
        <v>3970</v>
      </c>
      <c r="H642">
        <v>2235</v>
      </c>
      <c r="I642">
        <v>935</v>
      </c>
      <c r="J642">
        <v>360</v>
      </c>
      <c r="K642">
        <v>252</v>
      </c>
      <c r="L642">
        <v>387</v>
      </c>
      <c r="M642">
        <v>301</v>
      </c>
      <c r="N642">
        <v>245</v>
      </c>
      <c r="O642">
        <v>245</v>
      </c>
      <c r="P642">
        <v>182</v>
      </c>
      <c r="Q642">
        <v>63</v>
      </c>
      <c r="R642">
        <v>9.1463415000000006E-2</v>
      </c>
      <c r="S642">
        <v>470</v>
      </c>
      <c r="T642">
        <v>149</v>
      </c>
      <c r="U642">
        <v>1100</v>
      </c>
      <c r="V642">
        <v>1782</v>
      </c>
      <c r="W642">
        <v>1136</v>
      </c>
      <c r="X642">
        <v>326</v>
      </c>
      <c r="Y642">
        <v>141</v>
      </c>
      <c r="Z642">
        <v>26</v>
      </c>
      <c r="AA642">
        <v>217</v>
      </c>
      <c r="AB642">
        <v>0</v>
      </c>
      <c r="AC642">
        <v>8</v>
      </c>
      <c r="AD642">
        <v>78</v>
      </c>
      <c r="AE642">
        <v>0</v>
      </c>
      <c r="AF642">
        <v>0</v>
      </c>
      <c r="AG642">
        <v>4</v>
      </c>
      <c r="AH642">
        <v>100</v>
      </c>
      <c r="AI642">
        <v>0</v>
      </c>
      <c r="AJ642">
        <v>0</v>
      </c>
      <c r="AK642">
        <v>1.4377800000000001</v>
      </c>
      <c r="AL642">
        <v>3</v>
      </c>
      <c r="AM642">
        <v>0</v>
      </c>
      <c r="AN642">
        <v>1188</v>
      </c>
      <c r="AO642">
        <v>22</v>
      </c>
      <c r="AP642">
        <v>0</v>
      </c>
      <c r="AQ642">
        <v>0</v>
      </c>
    </row>
    <row r="643" spans="1:43" x14ac:dyDescent="0.25">
      <c r="A643">
        <v>640</v>
      </c>
      <c r="B643">
        <v>12</v>
      </c>
      <c r="C643">
        <v>12</v>
      </c>
      <c r="D643">
        <v>3</v>
      </c>
      <c r="E643">
        <v>839</v>
      </c>
      <c r="F643">
        <v>2972</v>
      </c>
      <c r="G643">
        <v>2972</v>
      </c>
      <c r="H643">
        <v>1522</v>
      </c>
      <c r="I643">
        <v>776</v>
      </c>
      <c r="J643">
        <v>26</v>
      </c>
      <c r="K643">
        <v>125</v>
      </c>
      <c r="L643">
        <v>270</v>
      </c>
      <c r="M643">
        <v>189</v>
      </c>
      <c r="N643">
        <v>246</v>
      </c>
      <c r="O643">
        <v>202</v>
      </c>
      <c r="P643">
        <v>154</v>
      </c>
      <c r="Q643">
        <v>39</v>
      </c>
      <c r="R643">
        <v>0.20034295499999999</v>
      </c>
      <c r="S643">
        <v>374</v>
      </c>
      <c r="T643">
        <v>147</v>
      </c>
      <c r="U643">
        <v>583</v>
      </c>
      <c r="V643">
        <v>1187</v>
      </c>
      <c r="W643">
        <v>949</v>
      </c>
      <c r="X643">
        <v>546</v>
      </c>
      <c r="Y643">
        <v>10</v>
      </c>
      <c r="Z643">
        <v>22</v>
      </c>
      <c r="AA643">
        <v>295</v>
      </c>
      <c r="AB643">
        <v>0</v>
      </c>
      <c r="AC643">
        <v>6</v>
      </c>
      <c r="AD643">
        <v>41</v>
      </c>
      <c r="AE643">
        <v>0</v>
      </c>
      <c r="AF643">
        <v>0</v>
      </c>
      <c r="AG643">
        <v>4</v>
      </c>
      <c r="AH643">
        <v>0</v>
      </c>
      <c r="AI643">
        <v>0</v>
      </c>
      <c r="AJ643">
        <v>0</v>
      </c>
      <c r="AK643">
        <v>1.33622</v>
      </c>
      <c r="AL643">
        <v>3</v>
      </c>
      <c r="AM643">
        <v>0</v>
      </c>
      <c r="AN643">
        <v>839</v>
      </c>
      <c r="AO643">
        <v>0</v>
      </c>
      <c r="AP643">
        <v>0</v>
      </c>
      <c r="AQ643">
        <v>0</v>
      </c>
    </row>
    <row r="644" spans="1:43" x14ac:dyDescent="0.25">
      <c r="A644">
        <v>641</v>
      </c>
      <c r="B644">
        <v>12</v>
      </c>
      <c r="C644">
        <v>12</v>
      </c>
      <c r="D644">
        <v>3</v>
      </c>
      <c r="E644">
        <v>854</v>
      </c>
      <c r="F644">
        <v>3128</v>
      </c>
      <c r="G644">
        <v>3128</v>
      </c>
      <c r="H644">
        <v>1754</v>
      </c>
      <c r="I644">
        <v>821</v>
      </c>
      <c r="J644">
        <v>0</v>
      </c>
      <c r="K644">
        <v>147</v>
      </c>
      <c r="L644">
        <v>209</v>
      </c>
      <c r="M644">
        <v>234</v>
      </c>
      <c r="N644">
        <v>268</v>
      </c>
      <c r="O644">
        <v>263</v>
      </c>
      <c r="P644">
        <v>165</v>
      </c>
      <c r="Q644">
        <v>87</v>
      </c>
      <c r="R644">
        <v>0.162647862</v>
      </c>
      <c r="S644">
        <v>379</v>
      </c>
      <c r="T644">
        <v>239</v>
      </c>
      <c r="U644">
        <v>1065</v>
      </c>
      <c r="V644">
        <v>1515</v>
      </c>
      <c r="W644">
        <v>862</v>
      </c>
      <c r="X644">
        <v>604</v>
      </c>
      <c r="Y644">
        <v>10</v>
      </c>
      <c r="Z644">
        <v>39</v>
      </c>
      <c r="AA644">
        <v>264</v>
      </c>
      <c r="AB644">
        <v>1</v>
      </c>
      <c r="AC644">
        <v>17</v>
      </c>
      <c r="AD644">
        <v>48</v>
      </c>
      <c r="AE644">
        <v>0</v>
      </c>
      <c r="AF644">
        <v>0</v>
      </c>
      <c r="AG644">
        <v>4</v>
      </c>
      <c r="AH644">
        <v>1295</v>
      </c>
      <c r="AI644">
        <v>0</v>
      </c>
      <c r="AJ644">
        <v>0</v>
      </c>
      <c r="AK644">
        <v>1.2593099999999999</v>
      </c>
      <c r="AL644">
        <v>2</v>
      </c>
      <c r="AM644">
        <v>0</v>
      </c>
      <c r="AN644">
        <v>854</v>
      </c>
      <c r="AO644">
        <v>0</v>
      </c>
      <c r="AP644">
        <v>0</v>
      </c>
      <c r="AQ644">
        <v>0</v>
      </c>
    </row>
    <row r="645" spans="1:43" x14ac:dyDescent="0.25">
      <c r="A645">
        <v>642</v>
      </c>
      <c r="B645">
        <v>12</v>
      </c>
      <c r="C645">
        <v>12</v>
      </c>
      <c r="D645">
        <v>3</v>
      </c>
      <c r="E645">
        <v>1066</v>
      </c>
      <c r="F645">
        <v>2880</v>
      </c>
      <c r="G645">
        <v>2880</v>
      </c>
      <c r="H645">
        <v>1505</v>
      </c>
      <c r="I645">
        <v>1113</v>
      </c>
      <c r="J645">
        <v>30</v>
      </c>
      <c r="K645">
        <v>96</v>
      </c>
      <c r="L645">
        <v>191</v>
      </c>
      <c r="M645">
        <v>273</v>
      </c>
      <c r="N645">
        <v>504</v>
      </c>
      <c r="O645">
        <v>3730</v>
      </c>
      <c r="P645">
        <v>866.96051639999996</v>
      </c>
      <c r="Q645">
        <v>9</v>
      </c>
      <c r="R645">
        <v>0.213167053</v>
      </c>
      <c r="S645">
        <v>297</v>
      </c>
      <c r="T645">
        <v>297</v>
      </c>
      <c r="U645">
        <v>485</v>
      </c>
      <c r="V645">
        <v>1070</v>
      </c>
      <c r="W645">
        <v>874</v>
      </c>
      <c r="X645">
        <v>638</v>
      </c>
      <c r="Y645">
        <v>3</v>
      </c>
      <c r="Z645">
        <v>60</v>
      </c>
      <c r="AA645">
        <v>165</v>
      </c>
      <c r="AB645">
        <v>1</v>
      </c>
      <c r="AC645">
        <v>14</v>
      </c>
      <c r="AD645">
        <v>54</v>
      </c>
      <c r="AE645">
        <v>0</v>
      </c>
      <c r="AF645">
        <v>0</v>
      </c>
      <c r="AG645">
        <v>4</v>
      </c>
      <c r="AH645">
        <v>0</v>
      </c>
      <c r="AI645">
        <v>0</v>
      </c>
      <c r="AJ645">
        <v>0</v>
      </c>
      <c r="AK645">
        <v>0.98487999999999998</v>
      </c>
      <c r="AL645">
        <v>1</v>
      </c>
      <c r="AM645">
        <v>0</v>
      </c>
      <c r="AN645">
        <v>1066</v>
      </c>
      <c r="AO645">
        <v>0</v>
      </c>
      <c r="AP645">
        <v>0</v>
      </c>
      <c r="AQ645">
        <v>0</v>
      </c>
    </row>
    <row r="646" spans="1:43" x14ac:dyDescent="0.25">
      <c r="A646">
        <v>643</v>
      </c>
      <c r="B646">
        <v>12</v>
      </c>
      <c r="C646">
        <v>12</v>
      </c>
      <c r="D646">
        <v>3</v>
      </c>
      <c r="E646">
        <v>1162</v>
      </c>
      <c r="F646">
        <v>3923</v>
      </c>
      <c r="G646">
        <v>3970</v>
      </c>
      <c r="H646">
        <v>2120</v>
      </c>
      <c r="I646">
        <v>1102</v>
      </c>
      <c r="J646">
        <v>0</v>
      </c>
      <c r="K646">
        <v>204</v>
      </c>
      <c r="L646">
        <v>341</v>
      </c>
      <c r="M646">
        <v>327</v>
      </c>
      <c r="N646">
        <v>299</v>
      </c>
      <c r="O646">
        <v>348</v>
      </c>
      <c r="P646">
        <v>179.14766890000001</v>
      </c>
      <c r="Q646">
        <v>23</v>
      </c>
      <c r="R646">
        <v>0.242286947</v>
      </c>
      <c r="S646">
        <v>343</v>
      </c>
      <c r="T646">
        <v>81</v>
      </c>
      <c r="U646">
        <v>799</v>
      </c>
      <c r="V646">
        <v>1454</v>
      </c>
      <c r="W646">
        <v>1325</v>
      </c>
      <c r="X646">
        <v>861</v>
      </c>
      <c r="Y646">
        <v>7</v>
      </c>
      <c r="Z646">
        <v>29</v>
      </c>
      <c r="AA646">
        <v>256</v>
      </c>
      <c r="AB646">
        <v>0</v>
      </c>
      <c r="AC646">
        <v>10</v>
      </c>
      <c r="AD646">
        <v>41</v>
      </c>
      <c r="AE646">
        <v>0</v>
      </c>
      <c r="AF646">
        <v>0</v>
      </c>
      <c r="AG646">
        <v>4</v>
      </c>
      <c r="AH646">
        <v>30</v>
      </c>
      <c r="AI646">
        <v>0</v>
      </c>
      <c r="AJ646">
        <v>0</v>
      </c>
      <c r="AK646">
        <v>1.3045599999999999</v>
      </c>
      <c r="AL646">
        <v>2</v>
      </c>
      <c r="AM646">
        <v>0</v>
      </c>
      <c r="AN646">
        <v>1162</v>
      </c>
      <c r="AO646">
        <v>47</v>
      </c>
      <c r="AP646">
        <v>0</v>
      </c>
      <c r="AQ646">
        <v>0</v>
      </c>
    </row>
    <row r="647" spans="1:43" x14ac:dyDescent="0.25">
      <c r="A647">
        <v>644</v>
      </c>
      <c r="B647">
        <v>12</v>
      </c>
      <c r="C647">
        <v>12</v>
      </c>
      <c r="D647">
        <v>3</v>
      </c>
      <c r="E647">
        <v>1124</v>
      </c>
      <c r="F647">
        <v>3749</v>
      </c>
      <c r="G647">
        <v>3786</v>
      </c>
      <c r="H647">
        <v>1967</v>
      </c>
      <c r="I647">
        <v>1069</v>
      </c>
      <c r="J647">
        <v>0</v>
      </c>
      <c r="K647">
        <v>100</v>
      </c>
      <c r="L647">
        <v>217</v>
      </c>
      <c r="M647">
        <v>328</v>
      </c>
      <c r="N647">
        <v>483</v>
      </c>
      <c r="O647">
        <v>469</v>
      </c>
      <c r="P647">
        <v>180</v>
      </c>
      <c r="Q647">
        <v>58</v>
      </c>
      <c r="R647">
        <v>0.26877470399999998</v>
      </c>
      <c r="S647">
        <v>718</v>
      </c>
      <c r="T647">
        <v>210</v>
      </c>
      <c r="U647">
        <v>428</v>
      </c>
      <c r="V647">
        <v>1595</v>
      </c>
      <c r="W647">
        <v>1010</v>
      </c>
      <c r="X647">
        <v>959</v>
      </c>
      <c r="Y647">
        <v>186</v>
      </c>
      <c r="Z647">
        <v>45</v>
      </c>
      <c r="AA647">
        <v>436</v>
      </c>
      <c r="AB647">
        <v>0</v>
      </c>
      <c r="AC647">
        <v>30</v>
      </c>
      <c r="AD647">
        <v>21</v>
      </c>
      <c r="AE647">
        <v>0</v>
      </c>
      <c r="AF647">
        <v>0</v>
      </c>
      <c r="AG647">
        <v>4</v>
      </c>
      <c r="AH647">
        <v>1</v>
      </c>
      <c r="AI647">
        <v>0</v>
      </c>
      <c r="AJ647">
        <v>0</v>
      </c>
      <c r="AK647">
        <v>1.37792</v>
      </c>
      <c r="AL647">
        <v>3</v>
      </c>
      <c r="AM647">
        <v>0</v>
      </c>
      <c r="AN647">
        <v>1124</v>
      </c>
      <c r="AO647">
        <v>37</v>
      </c>
      <c r="AP647">
        <v>0</v>
      </c>
      <c r="AQ647">
        <v>0</v>
      </c>
    </row>
    <row r="648" spans="1:43" x14ac:dyDescent="0.25">
      <c r="A648">
        <v>645</v>
      </c>
      <c r="B648">
        <v>12</v>
      </c>
      <c r="C648">
        <v>12</v>
      </c>
      <c r="D648">
        <v>3</v>
      </c>
      <c r="E648">
        <v>1032</v>
      </c>
      <c r="F648">
        <v>3349</v>
      </c>
      <c r="G648">
        <v>3385</v>
      </c>
      <c r="H648">
        <v>1809</v>
      </c>
      <c r="I648">
        <v>991</v>
      </c>
      <c r="J648">
        <v>42</v>
      </c>
      <c r="K648">
        <v>153</v>
      </c>
      <c r="L648">
        <v>220</v>
      </c>
      <c r="M648">
        <v>244</v>
      </c>
      <c r="N648">
        <v>418</v>
      </c>
      <c r="O648">
        <v>291</v>
      </c>
      <c r="P648">
        <v>270</v>
      </c>
      <c r="Q648">
        <v>18</v>
      </c>
      <c r="R648">
        <v>0.224266667</v>
      </c>
      <c r="S648">
        <v>865</v>
      </c>
      <c r="T648">
        <v>158</v>
      </c>
      <c r="U648">
        <v>640</v>
      </c>
      <c r="V648">
        <v>1117</v>
      </c>
      <c r="W648">
        <v>1141</v>
      </c>
      <c r="X648">
        <v>594</v>
      </c>
      <c r="Y648">
        <v>8</v>
      </c>
      <c r="Z648">
        <v>113</v>
      </c>
      <c r="AA648">
        <v>691</v>
      </c>
      <c r="AB648">
        <v>1</v>
      </c>
      <c r="AC648">
        <v>20</v>
      </c>
      <c r="AD648">
        <v>32</v>
      </c>
      <c r="AE648">
        <v>0</v>
      </c>
      <c r="AF648">
        <v>0</v>
      </c>
      <c r="AG648">
        <v>4</v>
      </c>
      <c r="AH648">
        <v>0</v>
      </c>
      <c r="AI648">
        <v>0</v>
      </c>
      <c r="AJ648">
        <v>0</v>
      </c>
      <c r="AK648">
        <v>1.2621500000000001</v>
      </c>
      <c r="AL648">
        <v>2</v>
      </c>
      <c r="AM648">
        <v>0</v>
      </c>
      <c r="AN648">
        <v>1032</v>
      </c>
      <c r="AO648">
        <v>36</v>
      </c>
      <c r="AP648">
        <v>0</v>
      </c>
      <c r="AQ648">
        <v>0</v>
      </c>
    </row>
    <row r="649" spans="1:43" x14ac:dyDescent="0.25">
      <c r="A649">
        <v>646</v>
      </c>
      <c r="B649">
        <v>12</v>
      </c>
      <c r="C649">
        <v>12</v>
      </c>
      <c r="D649">
        <v>3</v>
      </c>
      <c r="E649">
        <v>921</v>
      </c>
      <c r="F649">
        <v>3282</v>
      </c>
      <c r="G649">
        <v>3293</v>
      </c>
      <c r="H649">
        <v>1578</v>
      </c>
      <c r="I649">
        <v>891</v>
      </c>
      <c r="J649">
        <v>0</v>
      </c>
      <c r="K649">
        <v>118</v>
      </c>
      <c r="L649">
        <v>194</v>
      </c>
      <c r="M649">
        <v>211</v>
      </c>
      <c r="N649">
        <v>403</v>
      </c>
      <c r="O649">
        <v>201</v>
      </c>
      <c r="P649">
        <v>165</v>
      </c>
      <c r="Q649">
        <v>33</v>
      </c>
      <c r="R649">
        <v>0.25233918100000002</v>
      </c>
      <c r="S649">
        <v>240</v>
      </c>
      <c r="T649">
        <v>84</v>
      </c>
      <c r="U649">
        <v>717</v>
      </c>
      <c r="V649">
        <v>1112</v>
      </c>
      <c r="W649">
        <v>651</v>
      </c>
      <c r="X649">
        <v>754</v>
      </c>
      <c r="Y649">
        <v>3</v>
      </c>
      <c r="Z649">
        <v>12</v>
      </c>
      <c r="AA649">
        <v>220</v>
      </c>
      <c r="AB649">
        <v>0</v>
      </c>
      <c r="AC649">
        <v>2</v>
      </c>
      <c r="AD649">
        <v>3</v>
      </c>
      <c r="AE649">
        <v>0</v>
      </c>
      <c r="AF649">
        <v>0</v>
      </c>
      <c r="AG649">
        <v>4</v>
      </c>
      <c r="AH649">
        <v>0</v>
      </c>
      <c r="AI649">
        <v>0</v>
      </c>
      <c r="AJ649">
        <v>0</v>
      </c>
      <c r="AK649">
        <v>1.2999000000000001</v>
      </c>
      <c r="AL649">
        <v>2</v>
      </c>
      <c r="AM649">
        <v>0</v>
      </c>
      <c r="AN649">
        <v>921</v>
      </c>
      <c r="AO649">
        <v>11</v>
      </c>
      <c r="AP649">
        <v>0</v>
      </c>
      <c r="AQ649">
        <v>0</v>
      </c>
    </row>
    <row r="650" spans="1:43" x14ac:dyDescent="0.25">
      <c r="A650">
        <v>647</v>
      </c>
      <c r="B650">
        <v>12</v>
      </c>
      <c r="C650">
        <v>12</v>
      </c>
      <c r="D650">
        <v>3</v>
      </c>
      <c r="E650">
        <v>1290</v>
      </c>
      <c r="F650">
        <v>4531</v>
      </c>
      <c r="G650">
        <v>4531</v>
      </c>
      <c r="H650">
        <v>2252</v>
      </c>
      <c r="I650">
        <v>1187</v>
      </c>
      <c r="J650">
        <v>25</v>
      </c>
      <c r="K650">
        <v>176</v>
      </c>
      <c r="L650">
        <v>129</v>
      </c>
      <c r="M650">
        <v>258</v>
      </c>
      <c r="N650">
        <v>724</v>
      </c>
      <c r="O650">
        <v>406</v>
      </c>
      <c r="P650">
        <v>322</v>
      </c>
      <c r="Q650">
        <v>1</v>
      </c>
      <c r="R650">
        <v>0.19348699499999999</v>
      </c>
      <c r="S650">
        <v>191</v>
      </c>
      <c r="T650">
        <v>266</v>
      </c>
      <c r="U650">
        <v>1020</v>
      </c>
      <c r="V650">
        <v>1356</v>
      </c>
      <c r="W650">
        <v>1162</v>
      </c>
      <c r="X650">
        <v>818</v>
      </c>
      <c r="Y650">
        <v>3</v>
      </c>
      <c r="Z650">
        <v>59</v>
      </c>
      <c r="AA650">
        <v>103</v>
      </c>
      <c r="AB650">
        <v>4</v>
      </c>
      <c r="AC650">
        <v>7</v>
      </c>
      <c r="AD650">
        <v>15</v>
      </c>
      <c r="AE650">
        <v>0</v>
      </c>
      <c r="AF650">
        <v>0</v>
      </c>
      <c r="AG650">
        <v>4</v>
      </c>
      <c r="AH650">
        <v>0</v>
      </c>
      <c r="AI650">
        <v>0</v>
      </c>
      <c r="AJ650">
        <v>0</v>
      </c>
      <c r="AK650">
        <v>1.16368</v>
      </c>
      <c r="AL650">
        <v>1</v>
      </c>
      <c r="AM650">
        <v>0</v>
      </c>
      <c r="AN650">
        <v>1290</v>
      </c>
      <c r="AO650">
        <v>0</v>
      </c>
      <c r="AP650">
        <v>0</v>
      </c>
      <c r="AQ650">
        <v>0</v>
      </c>
    </row>
    <row r="651" spans="1:43" x14ac:dyDescent="0.25">
      <c r="A651">
        <v>648</v>
      </c>
      <c r="B651">
        <v>12</v>
      </c>
      <c r="C651">
        <v>12</v>
      </c>
      <c r="D651">
        <v>3</v>
      </c>
      <c r="E651">
        <v>1963</v>
      </c>
      <c r="F651">
        <v>7104</v>
      </c>
      <c r="G651">
        <v>7104</v>
      </c>
      <c r="H651">
        <v>3192</v>
      </c>
      <c r="I651">
        <v>1884</v>
      </c>
      <c r="J651">
        <v>37</v>
      </c>
      <c r="K651">
        <v>207</v>
      </c>
      <c r="L651">
        <v>250</v>
      </c>
      <c r="M651">
        <v>486</v>
      </c>
      <c r="N651">
        <v>1021</v>
      </c>
      <c r="O651">
        <v>1063</v>
      </c>
      <c r="P651">
        <v>389.8027386</v>
      </c>
      <c r="Q651">
        <v>6</v>
      </c>
      <c r="R651">
        <v>0.179168991</v>
      </c>
      <c r="S651">
        <v>326</v>
      </c>
      <c r="T651">
        <v>224</v>
      </c>
      <c r="U651">
        <v>1646</v>
      </c>
      <c r="V651">
        <v>1942</v>
      </c>
      <c r="W651">
        <v>2084</v>
      </c>
      <c r="X651">
        <v>1104</v>
      </c>
      <c r="Y651">
        <v>14</v>
      </c>
      <c r="Z651">
        <v>64</v>
      </c>
      <c r="AA651">
        <v>225</v>
      </c>
      <c r="AB651">
        <v>0</v>
      </c>
      <c r="AC651">
        <v>10</v>
      </c>
      <c r="AD651">
        <v>13</v>
      </c>
      <c r="AE651">
        <v>0</v>
      </c>
      <c r="AF651">
        <v>0</v>
      </c>
      <c r="AG651">
        <v>4</v>
      </c>
      <c r="AH651">
        <v>2703</v>
      </c>
      <c r="AI651">
        <v>0</v>
      </c>
      <c r="AJ651">
        <v>0</v>
      </c>
      <c r="AK651">
        <v>1.2644</v>
      </c>
      <c r="AL651">
        <v>1</v>
      </c>
      <c r="AM651">
        <v>0</v>
      </c>
      <c r="AN651">
        <v>1963</v>
      </c>
      <c r="AO651">
        <v>0</v>
      </c>
      <c r="AP651">
        <v>0</v>
      </c>
      <c r="AQ651">
        <v>0</v>
      </c>
    </row>
    <row r="652" spans="1:43" x14ac:dyDescent="0.25">
      <c r="A652">
        <v>649</v>
      </c>
      <c r="B652">
        <v>12</v>
      </c>
      <c r="C652">
        <v>12</v>
      </c>
      <c r="D652">
        <v>3</v>
      </c>
      <c r="E652">
        <v>1162</v>
      </c>
      <c r="F652">
        <v>4128</v>
      </c>
      <c r="G652">
        <v>4164</v>
      </c>
      <c r="H652">
        <v>2136</v>
      </c>
      <c r="I652">
        <v>1123</v>
      </c>
      <c r="J652">
        <v>0</v>
      </c>
      <c r="K652">
        <v>134</v>
      </c>
      <c r="L652">
        <v>188</v>
      </c>
      <c r="M652">
        <v>314</v>
      </c>
      <c r="N652">
        <v>524</v>
      </c>
      <c r="O652">
        <v>269</v>
      </c>
      <c r="P652">
        <v>194</v>
      </c>
      <c r="Q652">
        <v>57</v>
      </c>
      <c r="R652">
        <v>0.18036893600000001</v>
      </c>
      <c r="S652">
        <v>728</v>
      </c>
      <c r="T652">
        <v>154</v>
      </c>
      <c r="U652">
        <v>750</v>
      </c>
      <c r="V652">
        <v>1160</v>
      </c>
      <c r="W652">
        <v>1548</v>
      </c>
      <c r="X652">
        <v>671</v>
      </c>
      <c r="Y652">
        <v>150</v>
      </c>
      <c r="Z652">
        <v>54</v>
      </c>
      <c r="AA652">
        <v>440</v>
      </c>
      <c r="AB652">
        <v>1</v>
      </c>
      <c r="AC652">
        <v>31</v>
      </c>
      <c r="AD652">
        <v>52</v>
      </c>
      <c r="AE652">
        <v>0</v>
      </c>
      <c r="AF652">
        <v>0</v>
      </c>
      <c r="AG652">
        <v>4</v>
      </c>
      <c r="AH652">
        <v>0</v>
      </c>
      <c r="AI652">
        <v>0</v>
      </c>
      <c r="AJ652">
        <v>0</v>
      </c>
      <c r="AK652">
        <v>1.39411</v>
      </c>
      <c r="AL652">
        <v>2</v>
      </c>
      <c r="AM652">
        <v>0</v>
      </c>
      <c r="AN652">
        <v>1162</v>
      </c>
      <c r="AO652">
        <v>36</v>
      </c>
      <c r="AP652">
        <v>0</v>
      </c>
      <c r="AQ652">
        <v>0</v>
      </c>
    </row>
    <row r="653" spans="1:43" x14ac:dyDescent="0.25">
      <c r="A653">
        <v>650</v>
      </c>
      <c r="B653">
        <v>12</v>
      </c>
      <c r="C653">
        <v>12</v>
      </c>
      <c r="D653">
        <v>3</v>
      </c>
      <c r="E653">
        <v>2197</v>
      </c>
      <c r="F653">
        <v>7565</v>
      </c>
      <c r="G653">
        <v>7581</v>
      </c>
      <c r="H653">
        <v>4310</v>
      </c>
      <c r="I653">
        <v>1658</v>
      </c>
      <c r="J653">
        <v>428</v>
      </c>
      <c r="K653">
        <v>297</v>
      </c>
      <c r="L653">
        <v>393</v>
      </c>
      <c r="M653">
        <v>706</v>
      </c>
      <c r="N653">
        <v>801</v>
      </c>
      <c r="O653">
        <v>386</v>
      </c>
      <c r="P653">
        <v>347</v>
      </c>
      <c r="Q653">
        <v>29</v>
      </c>
      <c r="R653">
        <v>0.163460404</v>
      </c>
      <c r="S653">
        <v>782</v>
      </c>
      <c r="T653">
        <v>502</v>
      </c>
      <c r="U653">
        <v>1422</v>
      </c>
      <c r="V653">
        <v>2923</v>
      </c>
      <c r="W653">
        <v>2383</v>
      </c>
      <c r="X653">
        <v>1050</v>
      </c>
      <c r="Y653">
        <v>71</v>
      </c>
      <c r="Z653">
        <v>110</v>
      </c>
      <c r="AA653">
        <v>555</v>
      </c>
      <c r="AB653">
        <v>1</v>
      </c>
      <c r="AC653">
        <v>21</v>
      </c>
      <c r="AD653">
        <v>24</v>
      </c>
      <c r="AE653">
        <v>0</v>
      </c>
      <c r="AF653">
        <v>0</v>
      </c>
      <c r="AG653">
        <v>4</v>
      </c>
      <c r="AH653">
        <v>0</v>
      </c>
      <c r="AI653">
        <v>0</v>
      </c>
      <c r="AJ653">
        <v>0</v>
      </c>
      <c r="AK653">
        <v>1.36239</v>
      </c>
      <c r="AL653">
        <v>3</v>
      </c>
      <c r="AM653">
        <v>0</v>
      </c>
      <c r="AN653">
        <v>2197</v>
      </c>
      <c r="AO653">
        <v>16</v>
      </c>
      <c r="AP653">
        <v>0</v>
      </c>
      <c r="AQ653">
        <v>0</v>
      </c>
    </row>
    <row r="654" spans="1:43" x14ac:dyDescent="0.25">
      <c r="A654">
        <v>651</v>
      </c>
      <c r="B654">
        <v>12</v>
      </c>
      <c r="C654">
        <v>12</v>
      </c>
      <c r="D654">
        <v>3</v>
      </c>
      <c r="E654">
        <v>1898</v>
      </c>
      <c r="F654">
        <v>6600</v>
      </c>
      <c r="G654">
        <v>6661</v>
      </c>
      <c r="H654">
        <v>3641</v>
      </c>
      <c r="I654">
        <v>1735</v>
      </c>
      <c r="J654">
        <v>61</v>
      </c>
      <c r="K654">
        <v>375</v>
      </c>
      <c r="L654">
        <v>384</v>
      </c>
      <c r="M654">
        <v>574</v>
      </c>
      <c r="N654">
        <v>565</v>
      </c>
      <c r="O654">
        <v>410</v>
      </c>
      <c r="P654">
        <v>307</v>
      </c>
      <c r="Q654">
        <v>62</v>
      </c>
      <c r="R654">
        <v>0.162353582</v>
      </c>
      <c r="S654">
        <v>972</v>
      </c>
      <c r="T654">
        <v>305</v>
      </c>
      <c r="U654">
        <v>1170</v>
      </c>
      <c r="V654">
        <v>2615</v>
      </c>
      <c r="W654">
        <v>2124</v>
      </c>
      <c r="X654">
        <v>945</v>
      </c>
      <c r="Y654">
        <v>55</v>
      </c>
      <c r="Z654">
        <v>20</v>
      </c>
      <c r="AA654">
        <v>834</v>
      </c>
      <c r="AB654">
        <v>0</v>
      </c>
      <c r="AC654">
        <v>26</v>
      </c>
      <c r="AD654">
        <v>37</v>
      </c>
      <c r="AE654">
        <v>0</v>
      </c>
      <c r="AF654">
        <v>0</v>
      </c>
      <c r="AG654">
        <v>4</v>
      </c>
      <c r="AH654">
        <v>2139</v>
      </c>
      <c r="AI654">
        <v>0</v>
      </c>
      <c r="AJ654">
        <v>0</v>
      </c>
      <c r="AK654">
        <v>1.39975</v>
      </c>
      <c r="AL654">
        <v>3</v>
      </c>
      <c r="AM654">
        <v>0</v>
      </c>
      <c r="AN654">
        <v>1898</v>
      </c>
      <c r="AO654">
        <v>61</v>
      </c>
      <c r="AP654">
        <v>0</v>
      </c>
      <c r="AQ654">
        <v>0</v>
      </c>
    </row>
    <row r="655" spans="1:43" x14ac:dyDescent="0.25">
      <c r="A655">
        <v>652</v>
      </c>
      <c r="B655">
        <v>12</v>
      </c>
      <c r="C655">
        <v>12</v>
      </c>
      <c r="D655">
        <v>3</v>
      </c>
      <c r="E655">
        <v>1485</v>
      </c>
      <c r="F655">
        <v>4457</v>
      </c>
      <c r="G655">
        <v>4480</v>
      </c>
      <c r="H655">
        <v>2066</v>
      </c>
      <c r="I655">
        <v>1243</v>
      </c>
      <c r="J655">
        <v>270</v>
      </c>
      <c r="K655">
        <v>256</v>
      </c>
      <c r="L655">
        <v>303</v>
      </c>
      <c r="M655">
        <v>269</v>
      </c>
      <c r="N655">
        <v>653</v>
      </c>
      <c r="O655">
        <v>368</v>
      </c>
      <c r="P655">
        <v>345</v>
      </c>
      <c r="Q655">
        <v>23.468030809999998</v>
      </c>
      <c r="R655">
        <v>0.23150510199999999</v>
      </c>
      <c r="S655">
        <v>714</v>
      </c>
      <c r="T655">
        <v>133</v>
      </c>
      <c r="U655">
        <v>1033</v>
      </c>
      <c r="V655">
        <v>1317</v>
      </c>
      <c r="W655">
        <v>1133</v>
      </c>
      <c r="X655">
        <v>958</v>
      </c>
      <c r="Y655">
        <v>66</v>
      </c>
      <c r="Z655">
        <v>100</v>
      </c>
      <c r="AA655">
        <v>397</v>
      </c>
      <c r="AB655">
        <v>1</v>
      </c>
      <c r="AC655">
        <v>29</v>
      </c>
      <c r="AD655">
        <v>121</v>
      </c>
      <c r="AE655">
        <v>0</v>
      </c>
      <c r="AF655">
        <v>0</v>
      </c>
      <c r="AG655">
        <v>4</v>
      </c>
      <c r="AH655">
        <v>0</v>
      </c>
      <c r="AI655">
        <v>0</v>
      </c>
      <c r="AJ655">
        <v>0</v>
      </c>
      <c r="AK655">
        <v>1.19357</v>
      </c>
      <c r="AL655">
        <v>2</v>
      </c>
      <c r="AM655">
        <v>0</v>
      </c>
      <c r="AN655">
        <v>1485</v>
      </c>
      <c r="AO655">
        <v>23</v>
      </c>
      <c r="AP655">
        <v>0</v>
      </c>
      <c r="AQ655">
        <v>0</v>
      </c>
    </row>
    <row r="656" spans="1:43" x14ac:dyDescent="0.25">
      <c r="A656">
        <v>653</v>
      </c>
      <c r="B656">
        <v>12</v>
      </c>
      <c r="C656">
        <v>12</v>
      </c>
      <c r="D656">
        <v>3</v>
      </c>
      <c r="E656">
        <v>3067</v>
      </c>
      <c r="F656">
        <v>10747</v>
      </c>
      <c r="G656">
        <v>10767</v>
      </c>
      <c r="H656">
        <v>5181</v>
      </c>
      <c r="I656">
        <v>2854</v>
      </c>
      <c r="J656">
        <v>60</v>
      </c>
      <c r="K656">
        <v>83</v>
      </c>
      <c r="L656">
        <v>249</v>
      </c>
      <c r="M656">
        <v>352</v>
      </c>
      <c r="N656">
        <v>2398</v>
      </c>
      <c r="O656">
        <v>4659</v>
      </c>
      <c r="P656">
        <v>665.67217240000002</v>
      </c>
      <c r="Q656">
        <v>67</v>
      </c>
      <c r="R656">
        <v>0.169166279</v>
      </c>
      <c r="S656">
        <v>1816</v>
      </c>
      <c r="T656">
        <v>392</v>
      </c>
      <c r="U656">
        <v>2910</v>
      </c>
      <c r="V656">
        <v>2321</v>
      </c>
      <c r="W656">
        <v>3469</v>
      </c>
      <c r="X656">
        <v>1399</v>
      </c>
      <c r="Y656">
        <v>139</v>
      </c>
      <c r="Z656">
        <v>193</v>
      </c>
      <c r="AA656">
        <v>1326</v>
      </c>
      <c r="AB656">
        <v>3</v>
      </c>
      <c r="AC656">
        <v>79</v>
      </c>
      <c r="AD656">
        <v>76</v>
      </c>
      <c r="AE656">
        <v>0</v>
      </c>
      <c r="AF656">
        <v>0</v>
      </c>
      <c r="AG656">
        <v>4</v>
      </c>
      <c r="AH656">
        <v>0</v>
      </c>
      <c r="AI656">
        <v>5132</v>
      </c>
      <c r="AJ656">
        <v>10080</v>
      </c>
      <c r="AK656">
        <v>1.28128</v>
      </c>
      <c r="AL656">
        <v>2</v>
      </c>
      <c r="AM656">
        <v>0</v>
      </c>
      <c r="AN656">
        <v>3067</v>
      </c>
      <c r="AO656">
        <v>20</v>
      </c>
      <c r="AP656">
        <v>0</v>
      </c>
      <c r="AQ656">
        <v>0</v>
      </c>
    </row>
    <row r="657" spans="1:43" x14ac:dyDescent="0.25">
      <c r="A657">
        <v>654</v>
      </c>
      <c r="B657">
        <v>12</v>
      </c>
      <c r="C657">
        <v>12</v>
      </c>
      <c r="D657">
        <v>3</v>
      </c>
      <c r="E657">
        <v>4304</v>
      </c>
      <c r="F657">
        <v>9673</v>
      </c>
      <c r="G657">
        <v>9681</v>
      </c>
      <c r="H657">
        <v>3926</v>
      </c>
      <c r="I657">
        <v>3764</v>
      </c>
      <c r="J657">
        <v>432</v>
      </c>
      <c r="K657">
        <v>1070</v>
      </c>
      <c r="L657">
        <v>824</v>
      </c>
      <c r="M657">
        <v>903</v>
      </c>
      <c r="N657">
        <v>1527</v>
      </c>
      <c r="O657">
        <v>2260</v>
      </c>
      <c r="P657">
        <v>879.55955340000003</v>
      </c>
      <c r="Q657">
        <v>2</v>
      </c>
      <c r="R657">
        <v>0.50946696899999999</v>
      </c>
      <c r="S657">
        <v>665</v>
      </c>
      <c r="T657">
        <v>187</v>
      </c>
      <c r="U657">
        <v>986</v>
      </c>
      <c r="V657">
        <v>1688</v>
      </c>
      <c r="W657">
        <v>2112</v>
      </c>
      <c r="X657">
        <v>4523</v>
      </c>
      <c r="Y657">
        <v>13</v>
      </c>
      <c r="Z657">
        <v>148</v>
      </c>
      <c r="AA657">
        <v>387</v>
      </c>
      <c r="AB657">
        <v>1</v>
      </c>
      <c r="AC657">
        <v>34</v>
      </c>
      <c r="AD657">
        <v>82</v>
      </c>
      <c r="AE657">
        <v>0</v>
      </c>
      <c r="AF657">
        <v>0</v>
      </c>
      <c r="AG657">
        <v>4</v>
      </c>
      <c r="AH657">
        <v>0</v>
      </c>
      <c r="AI657">
        <v>0</v>
      </c>
      <c r="AJ657">
        <v>0</v>
      </c>
      <c r="AK657">
        <v>1.1048899999999999</v>
      </c>
      <c r="AL657">
        <v>1</v>
      </c>
      <c r="AM657">
        <v>0</v>
      </c>
      <c r="AN657">
        <v>4304</v>
      </c>
      <c r="AO657">
        <v>8</v>
      </c>
      <c r="AP657">
        <v>0</v>
      </c>
      <c r="AQ657">
        <v>0</v>
      </c>
    </row>
    <row r="658" spans="1:43" x14ac:dyDescent="0.25">
      <c r="A658">
        <v>655</v>
      </c>
      <c r="B658">
        <v>12</v>
      </c>
      <c r="C658">
        <v>12</v>
      </c>
      <c r="D658">
        <v>3</v>
      </c>
      <c r="E658">
        <v>3855</v>
      </c>
      <c r="F658">
        <v>12670</v>
      </c>
      <c r="G658">
        <v>12700</v>
      </c>
      <c r="H658">
        <v>6396</v>
      </c>
      <c r="I658">
        <v>3564</v>
      </c>
      <c r="J658">
        <v>212</v>
      </c>
      <c r="K658">
        <v>242</v>
      </c>
      <c r="L658">
        <v>358</v>
      </c>
      <c r="M658">
        <v>698</v>
      </c>
      <c r="N658">
        <v>2547</v>
      </c>
      <c r="O658">
        <v>3746</v>
      </c>
      <c r="P658">
        <v>565.31851800000004</v>
      </c>
      <c r="Q658">
        <v>5</v>
      </c>
      <c r="R658">
        <v>0.156554842</v>
      </c>
      <c r="S658">
        <v>1135</v>
      </c>
      <c r="T658">
        <v>383</v>
      </c>
      <c r="U658">
        <v>2762</v>
      </c>
      <c r="V658">
        <v>3530</v>
      </c>
      <c r="W658">
        <v>4132</v>
      </c>
      <c r="X658">
        <v>1499</v>
      </c>
      <c r="Y658">
        <v>9</v>
      </c>
      <c r="Z658">
        <v>343</v>
      </c>
      <c r="AA658">
        <v>569</v>
      </c>
      <c r="AB658">
        <v>2</v>
      </c>
      <c r="AC658">
        <v>66</v>
      </c>
      <c r="AD658">
        <v>146</v>
      </c>
      <c r="AE658">
        <v>0</v>
      </c>
      <c r="AF658">
        <v>0</v>
      </c>
      <c r="AG658">
        <v>4</v>
      </c>
      <c r="AH658">
        <v>0</v>
      </c>
      <c r="AI658">
        <v>0</v>
      </c>
      <c r="AJ658">
        <v>0</v>
      </c>
      <c r="AK658">
        <v>1.4224399999999999</v>
      </c>
      <c r="AL658">
        <v>1</v>
      </c>
      <c r="AM658">
        <v>0</v>
      </c>
      <c r="AN658">
        <v>3855</v>
      </c>
      <c r="AO658">
        <v>30</v>
      </c>
      <c r="AP658">
        <v>0</v>
      </c>
      <c r="AQ658">
        <v>0</v>
      </c>
    </row>
    <row r="659" spans="1:43" x14ac:dyDescent="0.25">
      <c r="A659">
        <v>656</v>
      </c>
      <c r="B659">
        <v>13</v>
      </c>
      <c r="C659">
        <v>13</v>
      </c>
      <c r="D659">
        <v>3</v>
      </c>
      <c r="E659">
        <v>1842</v>
      </c>
      <c r="F659">
        <v>5923</v>
      </c>
      <c r="G659">
        <v>5953</v>
      </c>
      <c r="H659">
        <v>3346</v>
      </c>
      <c r="I659">
        <v>1715</v>
      </c>
      <c r="J659">
        <v>40</v>
      </c>
      <c r="K659">
        <v>172</v>
      </c>
      <c r="L659">
        <v>246</v>
      </c>
      <c r="M659">
        <v>468</v>
      </c>
      <c r="N659">
        <v>971</v>
      </c>
      <c r="O659">
        <v>4899</v>
      </c>
      <c r="P659">
        <v>284.14669759999998</v>
      </c>
      <c r="Q659">
        <v>606.5724424</v>
      </c>
      <c r="R659">
        <v>0.120393901</v>
      </c>
      <c r="S659">
        <v>5515</v>
      </c>
      <c r="T659">
        <v>478</v>
      </c>
      <c r="U659">
        <v>1308</v>
      </c>
      <c r="V659">
        <v>1750</v>
      </c>
      <c r="W659">
        <v>1900</v>
      </c>
      <c r="X659">
        <v>696</v>
      </c>
      <c r="Y659">
        <v>96</v>
      </c>
      <c r="Z659">
        <v>1184</v>
      </c>
      <c r="AA659">
        <v>1070</v>
      </c>
      <c r="AB659">
        <v>2</v>
      </c>
      <c r="AC659">
        <v>2399</v>
      </c>
      <c r="AD659">
        <v>764</v>
      </c>
      <c r="AE659">
        <v>0</v>
      </c>
      <c r="AF659">
        <v>0</v>
      </c>
      <c r="AG659">
        <v>4</v>
      </c>
      <c r="AH659">
        <v>0</v>
      </c>
      <c r="AI659">
        <v>1055</v>
      </c>
      <c r="AJ659">
        <v>0</v>
      </c>
      <c r="AK659">
        <v>1.38106</v>
      </c>
      <c r="AL659">
        <v>1</v>
      </c>
      <c r="AM659">
        <v>0</v>
      </c>
      <c r="AN659">
        <v>1842</v>
      </c>
      <c r="AO659">
        <v>30</v>
      </c>
      <c r="AP659">
        <v>0</v>
      </c>
      <c r="AQ659">
        <v>0</v>
      </c>
    </row>
    <row r="660" spans="1:43" x14ac:dyDescent="0.25">
      <c r="A660">
        <v>657</v>
      </c>
      <c r="B660">
        <v>13</v>
      </c>
      <c r="C660">
        <v>13</v>
      </c>
      <c r="D660">
        <v>3</v>
      </c>
      <c r="E660">
        <v>2541</v>
      </c>
      <c r="F660">
        <v>8128</v>
      </c>
      <c r="G660">
        <v>8185</v>
      </c>
      <c r="H660">
        <v>4493</v>
      </c>
      <c r="I660">
        <v>2006</v>
      </c>
      <c r="J660">
        <v>401</v>
      </c>
      <c r="K660">
        <v>586</v>
      </c>
      <c r="L660">
        <v>528</v>
      </c>
      <c r="M660">
        <v>747</v>
      </c>
      <c r="N660">
        <v>676</v>
      </c>
      <c r="O660">
        <v>684</v>
      </c>
      <c r="P660">
        <v>289.11025069999999</v>
      </c>
      <c r="Q660">
        <v>108</v>
      </c>
      <c r="R660">
        <v>0.12263339099999999</v>
      </c>
      <c r="S660">
        <v>646</v>
      </c>
      <c r="T660">
        <v>623</v>
      </c>
      <c r="U660">
        <v>2086</v>
      </c>
      <c r="V660">
        <v>3385</v>
      </c>
      <c r="W660">
        <v>2239</v>
      </c>
      <c r="X660">
        <v>726</v>
      </c>
      <c r="Y660">
        <v>68</v>
      </c>
      <c r="Z660">
        <v>138</v>
      </c>
      <c r="AA660">
        <v>367</v>
      </c>
      <c r="AB660">
        <v>1</v>
      </c>
      <c r="AC660">
        <v>37</v>
      </c>
      <c r="AD660">
        <v>35</v>
      </c>
      <c r="AE660">
        <v>0</v>
      </c>
      <c r="AF660">
        <v>0</v>
      </c>
      <c r="AG660">
        <v>4</v>
      </c>
      <c r="AH660">
        <v>0</v>
      </c>
      <c r="AI660">
        <v>0</v>
      </c>
      <c r="AJ660">
        <v>0</v>
      </c>
      <c r="AK660">
        <v>1.27789</v>
      </c>
      <c r="AL660">
        <v>3</v>
      </c>
      <c r="AM660">
        <v>0</v>
      </c>
      <c r="AN660">
        <v>2541</v>
      </c>
      <c r="AO660">
        <v>57</v>
      </c>
      <c r="AP660">
        <v>0</v>
      </c>
      <c r="AQ660">
        <v>0</v>
      </c>
    </row>
    <row r="661" spans="1:43" x14ac:dyDescent="0.25">
      <c r="A661">
        <v>658</v>
      </c>
      <c r="B661">
        <v>13</v>
      </c>
      <c r="C661">
        <v>13</v>
      </c>
      <c r="D661">
        <v>3</v>
      </c>
      <c r="E661">
        <v>1329</v>
      </c>
      <c r="F661">
        <v>4381</v>
      </c>
      <c r="G661">
        <v>4381</v>
      </c>
      <c r="H661">
        <v>2115</v>
      </c>
      <c r="I661">
        <v>1245</v>
      </c>
      <c r="J661">
        <v>40</v>
      </c>
      <c r="K661">
        <v>233</v>
      </c>
      <c r="L661">
        <v>139</v>
      </c>
      <c r="M661">
        <v>297</v>
      </c>
      <c r="N661">
        <v>672</v>
      </c>
      <c r="O661">
        <v>540</v>
      </c>
      <c r="P661">
        <v>267.23218550000001</v>
      </c>
      <c r="Q661">
        <v>6</v>
      </c>
      <c r="R661">
        <v>0.21375769999999999</v>
      </c>
      <c r="S661">
        <v>224</v>
      </c>
      <c r="T661">
        <v>336</v>
      </c>
      <c r="U661">
        <v>1092</v>
      </c>
      <c r="V661">
        <v>1601</v>
      </c>
      <c r="W661">
        <v>933</v>
      </c>
      <c r="X661">
        <v>791</v>
      </c>
      <c r="Y661">
        <v>3</v>
      </c>
      <c r="Z661">
        <v>58</v>
      </c>
      <c r="AA661">
        <v>115</v>
      </c>
      <c r="AB661">
        <v>1</v>
      </c>
      <c r="AC661">
        <v>19</v>
      </c>
      <c r="AD661">
        <v>28</v>
      </c>
      <c r="AE661">
        <v>0</v>
      </c>
      <c r="AF661">
        <v>0</v>
      </c>
      <c r="AG661">
        <v>4</v>
      </c>
      <c r="AH661">
        <v>0</v>
      </c>
      <c r="AI661">
        <v>0</v>
      </c>
      <c r="AJ661">
        <v>0</v>
      </c>
      <c r="AK661">
        <v>1.2158100000000001</v>
      </c>
      <c r="AL661">
        <v>3</v>
      </c>
      <c r="AM661">
        <v>0</v>
      </c>
      <c r="AN661">
        <v>1329</v>
      </c>
      <c r="AO661">
        <v>0</v>
      </c>
      <c r="AP661">
        <v>0</v>
      </c>
      <c r="AQ661">
        <v>0</v>
      </c>
    </row>
    <row r="662" spans="1:43" x14ac:dyDescent="0.25">
      <c r="A662">
        <v>659</v>
      </c>
      <c r="B662">
        <v>13</v>
      </c>
      <c r="C662">
        <v>13</v>
      </c>
      <c r="D662">
        <v>3</v>
      </c>
      <c r="E662">
        <v>1013</v>
      </c>
      <c r="F662">
        <v>2929</v>
      </c>
      <c r="G662">
        <v>2944</v>
      </c>
      <c r="H662">
        <v>1532</v>
      </c>
      <c r="I662">
        <v>916</v>
      </c>
      <c r="J662">
        <v>42</v>
      </c>
      <c r="K662">
        <v>161</v>
      </c>
      <c r="L662">
        <v>160</v>
      </c>
      <c r="M662">
        <v>206</v>
      </c>
      <c r="N662">
        <v>479</v>
      </c>
      <c r="O662">
        <v>261</v>
      </c>
      <c r="P662">
        <v>134</v>
      </c>
      <c r="Q662">
        <v>76</v>
      </c>
      <c r="R662">
        <v>0.143587995</v>
      </c>
      <c r="S662">
        <v>638</v>
      </c>
      <c r="T662">
        <v>198</v>
      </c>
      <c r="U662">
        <v>506</v>
      </c>
      <c r="V662">
        <v>847</v>
      </c>
      <c r="W662">
        <v>940</v>
      </c>
      <c r="X662">
        <v>353</v>
      </c>
      <c r="Y662">
        <v>40</v>
      </c>
      <c r="Z662">
        <v>205</v>
      </c>
      <c r="AA662">
        <v>344</v>
      </c>
      <c r="AB662">
        <v>0</v>
      </c>
      <c r="AC662">
        <v>36</v>
      </c>
      <c r="AD662">
        <v>13</v>
      </c>
      <c r="AE662">
        <v>0</v>
      </c>
      <c r="AF662">
        <v>0</v>
      </c>
      <c r="AG662">
        <v>4</v>
      </c>
      <c r="AH662">
        <v>0</v>
      </c>
      <c r="AI662">
        <v>0</v>
      </c>
      <c r="AJ662">
        <v>0</v>
      </c>
      <c r="AK662">
        <v>1.25789</v>
      </c>
      <c r="AL662">
        <v>3</v>
      </c>
      <c r="AM662">
        <v>0</v>
      </c>
      <c r="AN662">
        <v>1013</v>
      </c>
      <c r="AO662">
        <v>15</v>
      </c>
      <c r="AP662">
        <v>0</v>
      </c>
      <c r="AQ662">
        <v>0</v>
      </c>
    </row>
    <row r="663" spans="1:43" x14ac:dyDescent="0.25">
      <c r="A663">
        <v>660</v>
      </c>
      <c r="B663">
        <v>13</v>
      </c>
      <c r="C663">
        <v>13</v>
      </c>
      <c r="D663">
        <v>3</v>
      </c>
      <c r="E663">
        <v>1172</v>
      </c>
      <c r="F663">
        <v>3466</v>
      </c>
      <c r="G663">
        <v>3482</v>
      </c>
      <c r="H663">
        <v>1599</v>
      </c>
      <c r="I663">
        <v>1120</v>
      </c>
      <c r="J663">
        <v>18</v>
      </c>
      <c r="K663">
        <v>249</v>
      </c>
      <c r="L663">
        <v>129</v>
      </c>
      <c r="M663">
        <v>342</v>
      </c>
      <c r="N663">
        <v>464</v>
      </c>
      <c r="O663">
        <v>722</v>
      </c>
      <c r="P663">
        <v>324.98447199999998</v>
      </c>
      <c r="Q663">
        <v>287.09031099999999</v>
      </c>
      <c r="R663">
        <v>0.190404345</v>
      </c>
      <c r="S663">
        <v>5360</v>
      </c>
      <c r="T663">
        <v>280</v>
      </c>
      <c r="U663">
        <v>618</v>
      </c>
      <c r="V663">
        <v>928</v>
      </c>
      <c r="W663">
        <v>868</v>
      </c>
      <c r="X663">
        <v>539</v>
      </c>
      <c r="Y663">
        <v>378</v>
      </c>
      <c r="Z663">
        <v>1225</v>
      </c>
      <c r="AA663">
        <v>1434</v>
      </c>
      <c r="AB663">
        <v>15</v>
      </c>
      <c r="AC663">
        <v>1761</v>
      </c>
      <c r="AD663">
        <v>547</v>
      </c>
      <c r="AE663">
        <v>0</v>
      </c>
      <c r="AF663">
        <v>0</v>
      </c>
      <c r="AG663">
        <v>4</v>
      </c>
      <c r="AH663">
        <v>0</v>
      </c>
      <c r="AI663">
        <v>0</v>
      </c>
      <c r="AJ663">
        <v>0</v>
      </c>
      <c r="AK663">
        <v>1.4467699999999999</v>
      </c>
      <c r="AL663">
        <v>3</v>
      </c>
      <c r="AM663">
        <v>0</v>
      </c>
      <c r="AN663">
        <v>1172</v>
      </c>
      <c r="AO663">
        <v>16</v>
      </c>
      <c r="AP663">
        <v>0</v>
      </c>
      <c r="AQ663">
        <v>0</v>
      </c>
    </row>
    <row r="664" spans="1:43" x14ac:dyDescent="0.25">
      <c r="A664">
        <v>661</v>
      </c>
      <c r="B664">
        <v>13</v>
      </c>
      <c r="C664">
        <v>13</v>
      </c>
      <c r="D664">
        <v>3</v>
      </c>
      <c r="E664">
        <v>4629</v>
      </c>
      <c r="F664">
        <v>12308</v>
      </c>
      <c r="G664">
        <v>12364</v>
      </c>
      <c r="H664">
        <v>6611</v>
      </c>
      <c r="I664">
        <v>2192</v>
      </c>
      <c r="J664">
        <v>2353</v>
      </c>
      <c r="K664">
        <v>789</v>
      </c>
      <c r="L664">
        <v>1091</v>
      </c>
      <c r="M664">
        <v>1227</v>
      </c>
      <c r="N664">
        <v>1521</v>
      </c>
      <c r="O664">
        <v>993</v>
      </c>
      <c r="P664">
        <v>516.60331299999996</v>
      </c>
      <c r="Q664">
        <v>397.5644173</v>
      </c>
      <c r="R664">
        <v>0.11471321700000001</v>
      </c>
      <c r="S664">
        <v>8020</v>
      </c>
      <c r="T664">
        <v>884</v>
      </c>
      <c r="U664">
        <v>2284</v>
      </c>
      <c r="V664">
        <v>5457</v>
      </c>
      <c r="W664">
        <v>2540</v>
      </c>
      <c r="X664">
        <v>945</v>
      </c>
      <c r="Y664">
        <v>611</v>
      </c>
      <c r="Z664">
        <v>593</v>
      </c>
      <c r="AA664">
        <v>5022</v>
      </c>
      <c r="AB664">
        <v>2</v>
      </c>
      <c r="AC664">
        <v>1698</v>
      </c>
      <c r="AD664">
        <v>94</v>
      </c>
      <c r="AE664">
        <v>0</v>
      </c>
      <c r="AF664">
        <v>0</v>
      </c>
      <c r="AG664">
        <v>2</v>
      </c>
      <c r="AH664">
        <v>0</v>
      </c>
      <c r="AI664">
        <v>0</v>
      </c>
      <c r="AJ664">
        <v>0</v>
      </c>
      <c r="AK664">
        <v>1.5378099999999999</v>
      </c>
      <c r="AL664">
        <v>3</v>
      </c>
      <c r="AM664">
        <v>0</v>
      </c>
      <c r="AN664">
        <v>4629</v>
      </c>
      <c r="AO664">
        <v>56</v>
      </c>
      <c r="AP664">
        <v>0</v>
      </c>
      <c r="AQ664">
        <v>0</v>
      </c>
    </row>
    <row r="665" spans="1:43" x14ac:dyDescent="0.25">
      <c r="A665">
        <v>662</v>
      </c>
      <c r="B665">
        <v>13</v>
      </c>
      <c r="C665">
        <v>13</v>
      </c>
      <c r="D665">
        <v>3</v>
      </c>
      <c r="E665">
        <v>1418</v>
      </c>
      <c r="F665">
        <v>4419</v>
      </c>
      <c r="G665">
        <v>4441</v>
      </c>
      <c r="H665">
        <v>2126</v>
      </c>
      <c r="I665">
        <v>1310</v>
      </c>
      <c r="J665">
        <v>0</v>
      </c>
      <c r="K665">
        <v>73</v>
      </c>
      <c r="L665">
        <v>315</v>
      </c>
      <c r="M665">
        <v>298</v>
      </c>
      <c r="N665">
        <v>717</v>
      </c>
      <c r="O665">
        <v>371</v>
      </c>
      <c r="P665">
        <v>328</v>
      </c>
      <c r="Q665">
        <v>16</v>
      </c>
      <c r="R665">
        <v>0.18341708500000001</v>
      </c>
      <c r="S665">
        <v>262</v>
      </c>
      <c r="T665">
        <v>186</v>
      </c>
      <c r="U665">
        <v>860</v>
      </c>
      <c r="V665">
        <v>1327</v>
      </c>
      <c r="W665">
        <v>1260</v>
      </c>
      <c r="X665">
        <v>631</v>
      </c>
      <c r="Y665">
        <v>5</v>
      </c>
      <c r="Z665">
        <v>55</v>
      </c>
      <c r="AA665">
        <v>149</v>
      </c>
      <c r="AB665">
        <v>1</v>
      </c>
      <c r="AC665">
        <v>10</v>
      </c>
      <c r="AD665">
        <v>42</v>
      </c>
      <c r="AE665">
        <v>0</v>
      </c>
      <c r="AF665">
        <v>0</v>
      </c>
      <c r="AG665">
        <v>4</v>
      </c>
      <c r="AH665">
        <v>0</v>
      </c>
      <c r="AI665">
        <v>0</v>
      </c>
      <c r="AJ665">
        <v>0</v>
      </c>
      <c r="AK665">
        <v>1.15825</v>
      </c>
      <c r="AL665">
        <v>2</v>
      </c>
      <c r="AM665">
        <v>0</v>
      </c>
      <c r="AN665">
        <v>1418</v>
      </c>
      <c r="AO665">
        <v>22</v>
      </c>
      <c r="AP665">
        <v>0</v>
      </c>
      <c r="AQ665">
        <v>0</v>
      </c>
    </row>
    <row r="666" spans="1:43" x14ac:dyDescent="0.25">
      <c r="A666">
        <v>663</v>
      </c>
      <c r="B666">
        <v>13</v>
      </c>
      <c r="C666">
        <v>13</v>
      </c>
      <c r="D666">
        <v>3</v>
      </c>
      <c r="E666">
        <v>931</v>
      </c>
      <c r="F666">
        <v>2893</v>
      </c>
      <c r="G666">
        <v>2893</v>
      </c>
      <c r="H666">
        <v>1350</v>
      </c>
      <c r="I666">
        <v>923</v>
      </c>
      <c r="J666">
        <v>0</v>
      </c>
      <c r="K666">
        <v>93</v>
      </c>
      <c r="L666">
        <v>154</v>
      </c>
      <c r="M666">
        <v>213</v>
      </c>
      <c r="N666">
        <v>466</v>
      </c>
      <c r="O666">
        <v>317</v>
      </c>
      <c r="P666">
        <v>265</v>
      </c>
      <c r="Q666">
        <v>52</v>
      </c>
      <c r="R666">
        <v>0.19472963700000001</v>
      </c>
      <c r="S666">
        <v>252</v>
      </c>
      <c r="T666">
        <v>218</v>
      </c>
      <c r="U666">
        <v>531</v>
      </c>
      <c r="V666">
        <v>817</v>
      </c>
      <c r="W666">
        <v>801</v>
      </c>
      <c r="X666">
        <v>473</v>
      </c>
      <c r="Y666">
        <v>8</v>
      </c>
      <c r="Z666">
        <v>26</v>
      </c>
      <c r="AA666">
        <v>181</v>
      </c>
      <c r="AB666">
        <v>0</v>
      </c>
      <c r="AC666">
        <v>9</v>
      </c>
      <c r="AD666">
        <v>28</v>
      </c>
      <c r="AE666">
        <v>0</v>
      </c>
      <c r="AF666">
        <v>0</v>
      </c>
      <c r="AG666">
        <v>4</v>
      </c>
      <c r="AH666">
        <v>2204</v>
      </c>
      <c r="AI666">
        <v>0</v>
      </c>
      <c r="AJ666">
        <v>0</v>
      </c>
      <c r="AK666">
        <v>1.1066100000000001</v>
      </c>
      <c r="AL666">
        <v>3</v>
      </c>
      <c r="AM666">
        <v>0</v>
      </c>
      <c r="AN666">
        <v>931</v>
      </c>
      <c r="AO666">
        <v>0</v>
      </c>
      <c r="AP666">
        <v>0</v>
      </c>
      <c r="AQ666">
        <v>0</v>
      </c>
    </row>
    <row r="667" spans="1:43" x14ac:dyDescent="0.25">
      <c r="A667">
        <v>664</v>
      </c>
      <c r="B667">
        <v>13</v>
      </c>
      <c r="C667">
        <v>13</v>
      </c>
      <c r="D667">
        <v>3</v>
      </c>
      <c r="E667">
        <v>2637</v>
      </c>
      <c r="F667">
        <v>7299</v>
      </c>
      <c r="G667">
        <v>7334</v>
      </c>
      <c r="H667">
        <v>4146</v>
      </c>
      <c r="I667">
        <v>1562</v>
      </c>
      <c r="J667">
        <v>949</v>
      </c>
      <c r="K667">
        <v>290</v>
      </c>
      <c r="L667">
        <v>507</v>
      </c>
      <c r="M667">
        <v>813</v>
      </c>
      <c r="N667">
        <v>1020</v>
      </c>
      <c r="O667">
        <v>411</v>
      </c>
      <c r="P667">
        <v>350</v>
      </c>
      <c r="Q667">
        <v>40</v>
      </c>
      <c r="R667">
        <v>0.13092672399999999</v>
      </c>
      <c r="S667">
        <v>490</v>
      </c>
      <c r="T667">
        <v>415</v>
      </c>
      <c r="U667">
        <v>1276</v>
      </c>
      <c r="V667">
        <v>2804</v>
      </c>
      <c r="W667">
        <v>1971</v>
      </c>
      <c r="X667">
        <v>770</v>
      </c>
      <c r="Y667">
        <v>11</v>
      </c>
      <c r="Z667">
        <v>77</v>
      </c>
      <c r="AA667">
        <v>318</v>
      </c>
      <c r="AB667">
        <v>1</v>
      </c>
      <c r="AC667">
        <v>33</v>
      </c>
      <c r="AD667">
        <v>50</v>
      </c>
      <c r="AE667">
        <v>0</v>
      </c>
      <c r="AF667">
        <v>0</v>
      </c>
      <c r="AG667">
        <v>4</v>
      </c>
      <c r="AH667">
        <v>173</v>
      </c>
      <c r="AI667">
        <v>0</v>
      </c>
      <c r="AJ667">
        <v>0</v>
      </c>
      <c r="AK667">
        <v>1.3103800000000001</v>
      </c>
      <c r="AL667">
        <v>3</v>
      </c>
      <c r="AM667">
        <v>0</v>
      </c>
      <c r="AN667">
        <v>2637</v>
      </c>
      <c r="AO667">
        <v>35</v>
      </c>
      <c r="AP667">
        <v>0</v>
      </c>
      <c r="AQ667">
        <v>0</v>
      </c>
    </row>
    <row r="668" spans="1:43" x14ac:dyDescent="0.25">
      <c r="A668">
        <v>665</v>
      </c>
      <c r="B668">
        <v>13</v>
      </c>
      <c r="C668">
        <v>13</v>
      </c>
      <c r="D668">
        <v>3</v>
      </c>
      <c r="E668">
        <v>2745</v>
      </c>
      <c r="F668">
        <v>7890</v>
      </c>
      <c r="G668">
        <v>7941</v>
      </c>
      <c r="H668">
        <v>4470</v>
      </c>
      <c r="I668">
        <v>2177</v>
      </c>
      <c r="J668">
        <v>422</v>
      </c>
      <c r="K668">
        <v>338</v>
      </c>
      <c r="L668">
        <v>424</v>
      </c>
      <c r="M668">
        <v>752</v>
      </c>
      <c r="N668">
        <v>1228</v>
      </c>
      <c r="O668">
        <v>520</v>
      </c>
      <c r="P668">
        <v>406.14645660000002</v>
      </c>
      <c r="Q668">
        <v>40</v>
      </c>
      <c r="R668">
        <v>0.127552848</v>
      </c>
      <c r="S668">
        <v>927</v>
      </c>
      <c r="T668">
        <v>387</v>
      </c>
      <c r="U668">
        <v>1593</v>
      </c>
      <c r="V668">
        <v>2998</v>
      </c>
      <c r="W668">
        <v>2353</v>
      </c>
      <c r="X668">
        <v>836</v>
      </c>
      <c r="Y668">
        <v>65</v>
      </c>
      <c r="Z668">
        <v>216</v>
      </c>
      <c r="AA668">
        <v>563</v>
      </c>
      <c r="AB668">
        <v>1</v>
      </c>
      <c r="AC668">
        <v>39</v>
      </c>
      <c r="AD668">
        <v>43</v>
      </c>
      <c r="AE668">
        <v>0</v>
      </c>
      <c r="AF668">
        <v>0</v>
      </c>
      <c r="AG668">
        <v>4</v>
      </c>
      <c r="AH668">
        <v>64</v>
      </c>
      <c r="AI668">
        <v>0</v>
      </c>
      <c r="AJ668">
        <v>0</v>
      </c>
      <c r="AK668">
        <v>1.27688</v>
      </c>
      <c r="AL668">
        <v>3</v>
      </c>
      <c r="AM668">
        <v>0</v>
      </c>
      <c r="AN668">
        <v>2745</v>
      </c>
      <c r="AO668">
        <v>51</v>
      </c>
      <c r="AP668">
        <v>0</v>
      </c>
      <c r="AQ668">
        <v>0</v>
      </c>
    </row>
    <row r="669" spans="1:43" x14ac:dyDescent="0.25">
      <c r="A669">
        <v>666</v>
      </c>
      <c r="B669">
        <v>13</v>
      </c>
      <c r="C669">
        <v>13</v>
      </c>
      <c r="D669">
        <v>3</v>
      </c>
      <c r="E669">
        <v>1897</v>
      </c>
      <c r="F669">
        <v>5543</v>
      </c>
      <c r="G669">
        <v>5583</v>
      </c>
      <c r="H669">
        <v>2838</v>
      </c>
      <c r="I669">
        <v>1321</v>
      </c>
      <c r="J669">
        <v>527</v>
      </c>
      <c r="K669">
        <v>531</v>
      </c>
      <c r="L669">
        <v>576</v>
      </c>
      <c r="M669">
        <v>513</v>
      </c>
      <c r="N669">
        <v>267</v>
      </c>
      <c r="O669">
        <v>248</v>
      </c>
      <c r="P669">
        <v>213</v>
      </c>
      <c r="Q669">
        <v>32</v>
      </c>
      <c r="R669">
        <v>0.23000161</v>
      </c>
      <c r="S669">
        <v>392</v>
      </c>
      <c r="T669">
        <v>437</v>
      </c>
      <c r="U669">
        <v>1047</v>
      </c>
      <c r="V669">
        <v>1928</v>
      </c>
      <c r="W669">
        <v>1616</v>
      </c>
      <c r="X669">
        <v>1047</v>
      </c>
      <c r="Y669">
        <v>3</v>
      </c>
      <c r="Z669">
        <v>110</v>
      </c>
      <c r="AA669">
        <v>188</v>
      </c>
      <c r="AB669">
        <v>1</v>
      </c>
      <c r="AC669">
        <v>19</v>
      </c>
      <c r="AD669">
        <v>71</v>
      </c>
      <c r="AE669">
        <v>0</v>
      </c>
      <c r="AF669">
        <v>0</v>
      </c>
      <c r="AG669">
        <v>4</v>
      </c>
      <c r="AH669">
        <v>0</v>
      </c>
      <c r="AI669">
        <v>0</v>
      </c>
      <c r="AJ669">
        <v>0</v>
      </c>
      <c r="AK669">
        <v>1.39591</v>
      </c>
      <c r="AL669">
        <v>3</v>
      </c>
      <c r="AM669">
        <v>0</v>
      </c>
      <c r="AN669">
        <v>1897</v>
      </c>
      <c r="AO669">
        <v>40</v>
      </c>
      <c r="AP669">
        <v>0</v>
      </c>
      <c r="AQ669">
        <v>0</v>
      </c>
    </row>
    <row r="670" spans="1:43" x14ac:dyDescent="0.25">
      <c r="A670">
        <v>667</v>
      </c>
      <c r="B670">
        <v>13</v>
      </c>
      <c r="C670">
        <v>13</v>
      </c>
      <c r="D670">
        <v>3</v>
      </c>
      <c r="E670">
        <v>1972</v>
      </c>
      <c r="F670">
        <v>5393</v>
      </c>
      <c r="G670">
        <v>5399</v>
      </c>
      <c r="H670">
        <v>2965</v>
      </c>
      <c r="I670">
        <v>1022</v>
      </c>
      <c r="J670">
        <v>932</v>
      </c>
      <c r="K670">
        <v>306</v>
      </c>
      <c r="L670">
        <v>744</v>
      </c>
      <c r="M670">
        <v>591</v>
      </c>
      <c r="N670">
        <v>341</v>
      </c>
      <c r="O670">
        <v>236</v>
      </c>
      <c r="P670">
        <v>156.8267529</v>
      </c>
      <c r="Q670">
        <v>75</v>
      </c>
      <c r="R670">
        <v>0.110859334</v>
      </c>
      <c r="S670">
        <v>509</v>
      </c>
      <c r="T670">
        <v>420</v>
      </c>
      <c r="U670">
        <v>1128</v>
      </c>
      <c r="V670">
        <v>2383</v>
      </c>
      <c r="W670">
        <v>1124</v>
      </c>
      <c r="X670">
        <v>550</v>
      </c>
      <c r="Y670">
        <v>67</v>
      </c>
      <c r="Z670">
        <v>52</v>
      </c>
      <c r="AA670">
        <v>349</v>
      </c>
      <c r="AB670">
        <v>0</v>
      </c>
      <c r="AC670">
        <v>9</v>
      </c>
      <c r="AD670">
        <v>32</v>
      </c>
      <c r="AE670">
        <v>0</v>
      </c>
      <c r="AF670">
        <v>0</v>
      </c>
      <c r="AG670">
        <v>4</v>
      </c>
      <c r="AH670">
        <v>1757</v>
      </c>
      <c r="AI670">
        <v>0</v>
      </c>
      <c r="AJ670">
        <v>0</v>
      </c>
      <c r="AK670">
        <v>1.47254</v>
      </c>
      <c r="AL670">
        <v>3</v>
      </c>
      <c r="AM670">
        <v>0</v>
      </c>
      <c r="AN670">
        <v>1972</v>
      </c>
      <c r="AO670">
        <v>6</v>
      </c>
      <c r="AP670">
        <v>0</v>
      </c>
      <c r="AQ670">
        <v>0</v>
      </c>
    </row>
    <row r="671" spans="1:43" x14ac:dyDescent="0.25">
      <c r="A671">
        <v>668</v>
      </c>
      <c r="B671">
        <v>13</v>
      </c>
      <c r="C671">
        <v>13</v>
      </c>
      <c r="D671">
        <v>3</v>
      </c>
      <c r="E671">
        <v>2092</v>
      </c>
      <c r="F671">
        <v>5952</v>
      </c>
      <c r="G671">
        <v>5979</v>
      </c>
      <c r="H671">
        <v>3449</v>
      </c>
      <c r="I671">
        <v>1948</v>
      </c>
      <c r="J671">
        <v>101</v>
      </c>
      <c r="K671">
        <v>224</v>
      </c>
      <c r="L671">
        <v>378</v>
      </c>
      <c r="M671">
        <v>663</v>
      </c>
      <c r="N671">
        <v>822</v>
      </c>
      <c r="O671">
        <v>400</v>
      </c>
      <c r="P671">
        <v>334.63992200000001</v>
      </c>
      <c r="Q671">
        <v>38</v>
      </c>
      <c r="R671">
        <v>0.18575851400000001</v>
      </c>
      <c r="S671">
        <v>414</v>
      </c>
      <c r="T671">
        <v>456</v>
      </c>
      <c r="U671">
        <v>851</v>
      </c>
      <c r="V671">
        <v>2113</v>
      </c>
      <c r="W671">
        <v>1684</v>
      </c>
      <c r="X671">
        <v>880</v>
      </c>
      <c r="Y671">
        <v>4</v>
      </c>
      <c r="Z671">
        <v>33</v>
      </c>
      <c r="AA671">
        <v>214</v>
      </c>
      <c r="AB671">
        <v>0</v>
      </c>
      <c r="AC671">
        <v>138</v>
      </c>
      <c r="AD671">
        <v>25</v>
      </c>
      <c r="AE671">
        <v>0</v>
      </c>
      <c r="AF671">
        <v>0</v>
      </c>
      <c r="AG671">
        <v>4</v>
      </c>
      <c r="AH671">
        <v>0</v>
      </c>
      <c r="AI671">
        <v>0</v>
      </c>
      <c r="AJ671">
        <v>0</v>
      </c>
      <c r="AK671">
        <v>1.2352000000000001</v>
      </c>
      <c r="AL671">
        <v>3</v>
      </c>
      <c r="AM671">
        <v>0</v>
      </c>
      <c r="AN671">
        <v>2092</v>
      </c>
      <c r="AO671">
        <v>27</v>
      </c>
      <c r="AP671">
        <v>0</v>
      </c>
      <c r="AQ671">
        <v>0</v>
      </c>
    </row>
    <row r="672" spans="1:43" x14ac:dyDescent="0.25">
      <c r="A672">
        <v>669</v>
      </c>
      <c r="B672">
        <v>13</v>
      </c>
      <c r="C672">
        <v>13</v>
      </c>
      <c r="D672">
        <v>3</v>
      </c>
      <c r="E672">
        <v>2525</v>
      </c>
      <c r="F672">
        <v>8328</v>
      </c>
      <c r="G672">
        <v>8368</v>
      </c>
      <c r="H672">
        <v>4038</v>
      </c>
      <c r="I672">
        <v>1416</v>
      </c>
      <c r="J672">
        <v>974</v>
      </c>
      <c r="K672">
        <v>907</v>
      </c>
      <c r="L672">
        <v>764</v>
      </c>
      <c r="M672">
        <v>415</v>
      </c>
      <c r="N672">
        <v>429</v>
      </c>
      <c r="O672">
        <v>406</v>
      </c>
      <c r="P672">
        <v>297</v>
      </c>
      <c r="Q672">
        <v>68</v>
      </c>
      <c r="R672">
        <v>0.15342312</v>
      </c>
      <c r="S672">
        <v>735</v>
      </c>
      <c r="T672">
        <v>512</v>
      </c>
      <c r="U672">
        <v>1963</v>
      </c>
      <c r="V672">
        <v>2912</v>
      </c>
      <c r="W672">
        <v>2180</v>
      </c>
      <c r="X672">
        <v>1129</v>
      </c>
      <c r="Y672">
        <v>45</v>
      </c>
      <c r="Z672">
        <v>72</v>
      </c>
      <c r="AA672">
        <v>468</v>
      </c>
      <c r="AB672">
        <v>2</v>
      </c>
      <c r="AC672">
        <v>69</v>
      </c>
      <c r="AD672">
        <v>79</v>
      </c>
      <c r="AE672">
        <v>0</v>
      </c>
      <c r="AF672">
        <v>0</v>
      </c>
      <c r="AG672">
        <v>4</v>
      </c>
      <c r="AH672">
        <v>0</v>
      </c>
      <c r="AI672">
        <v>0</v>
      </c>
      <c r="AJ672">
        <v>0</v>
      </c>
      <c r="AK672">
        <v>1.5112000000000001</v>
      </c>
      <c r="AL672">
        <v>3</v>
      </c>
      <c r="AM672">
        <v>0</v>
      </c>
      <c r="AN672">
        <v>2525</v>
      </c>
      <c r="AO672">
        <v>40</v>
      </c>
      <c r="AP672">
        <v>0</v>
      </c>
      <c r="AQ672">
        <v>0</v>
      </c>
    </row>
    <row r="673" spans="1:43" x14ac:dyDescent="0.25">
      <c r="A673">
        <v>670</v>
      </c>
      <c r="B673">
        <v>13</v>
      </c>
      <c r="C673">
        <v>13</v>
      </c>
      <c r="D673">
        <v>3</v>
      </c>
      <c r="E673">
        <v>2014</v>
      </c>
      <c r="F673">
        <v>6187</v>
      </c>
      <c r="G673">
        <v>6213</v>
      </c>
      <c r="H673">
        <v>3681</v>
      </c>
      <c r="I673">
        <v>1845</v>
      </c>
      <c r="J673">
        <v>178</v>
      </c>
      <c r="K673">
        <v>500</v>
      </c>
      <c r="L673">
        <v>364</v>
      </c>
      <c r="M673">
        <v>535</v>
      </c>
      <c r="N673">
        <v>627</v>
      </c>
      <c r="O673">
        <v>577</v>
      </c>
      <c r="P673">
        <v>500</v>
      </c>
      <c r="Q673">
        <v>28.335988400000002</v>
      </c>
      <c r="R673">
        <v>0.172630696</v>
      </c>
      <c r="S673">
        <v>795</v>
      </c>
      <c r="T673">
        <v>268</v>
      </c>
      <c r="U673">
        <v>1055</v>
      </c>
      <c r="V673">
        <v>2693</v>
      </c>
      <c r="W673">
        <v>1938</v>
      </c>
      <c r="X673">
        <v>1027</v>
      </c>
      <c r="Y673">
        <v>19</v>
      </c>
      <c r="Z673">
        <v>69</v>
      </c>
      <c r="AA673">
        <v>584</v>
      </c>
      <c r="AB673">
        <v>1</v>
      </c>
      <c r="AC673">
        <v>29</v>
      </c>
      <c r="AD673">
        <v>93</v>
      </c>
      <c r="AE673">
        <v>0</v>
      </c>
      <c r="AF673">
        <v>0</v>
      </c>
      <c r="AG673">
        <v>4</v>
      </c>
      <c r="AH673">
        <v>1646</v>
      </c>
      <c r="AI673">
        <v>0</v>
      </c>
      <c r="AJ673">
        <v>0</v>
      </c>
      <c r="AK673">
        <v>1.2626299999999999</v>
      </c>
      <c r="AL673">
        <v>1</v>
      </c>
      <c r="AM673">
        <v>0</v>
      </c>
      <c r="AN673">
        <v>2014</v>
      </c>
      <c r="AO673">
        <v>26</v>
      </c>
      <c r="AP673">
        <v>0</v>
      </c>
      <c r="AQ673">
        <v>0</v>
      </c>
    </row>
    <row r="674" spans="1:43" x14ac:dyDescent="0.25">
      <c r="A674">
        <v>671</v>
      </c>
      <c r="B674">
        <v>13</v>
      </c>
      <c r="C674">
        <v>13</v>
      </c>
      <c r="D674">
        <v>3</v>
      </c>
      <c r="E674">
        <v>2675</v>
      </c>
      <c r="F674">
        <v>7218</v>
      </c>
      <c r="G674">
        <v>7267</v>
      </c>
      <c r="H674">
        <v>4492</v>
      </c>
      <c r="I674">
        <v>766</v>
      </c>
      <c r="J674">
        <v>1871</v>
      </c>
      <c r="K674">
        <v>374</v>
      </c>
      <c r="L674">
        <v>949</v>
      </c>
      <c r="M674">
        <v>682</v>
      </c>
      <c r="N674">
        <v>696</v>
      </c>
      <c r="O674">
        <v>250</v>
      </c>
      <c r="P674">
        <v>221</v>
      </c>
      <c r="Q674">
        <v>4</v>
      </c>
      <c r="R674">
        <v>0.13170731699999999</v>
      </c>
      <c r="S674">
        <v>834</v>
      </c>
      <c r="T674">
        <v>396</v>
      </c>
      <c r="U674">
        <v>1222</v>
      </c>
      <c r="V674">
        <v>3801</v>
      </c>
      <c r="W674">
        <v>1318</v>
      </c>
      <c r="X674">
        <v>875</v>
      </c>
      <c r="Y674">
        <v>150</v>
      </c>
      <c r="Z674">
        <v>284</v>
      </c>
      <c r="AA674">
        <v>352</v>
      </c>
      <c r="AB674">
        <v>1</v>
      </c>
      <c r="AC674">
        <v>11</v>
      </c>
      <c r="AD674">
        <v>36</v>
      </c>
      <c r="AE674">
        <v>0</v>
      </c>
      <c r="AF674">
        <v>0</v>
      </c>
      <c r="AG674">
        <v>4</v>
      </c>
      <c r="AH674">
        <v>0</v>
      </c>
      <c r="AI674">
        <v>0</v>
      </c>
      <c r="AJ674">
        <v>0</v>
      </c>
      <c r="AK674">
        <v>1.59487</v>
      </c>
      <c r="AL674">
        <v>3</v>
      </c>
      <c r="AM674">
        <v>0</v>
      </c>
      <c r="AN674">
        <v>2675</v>
      </c>
      <c r="AO674">
        <v>49</v>
      </c>
      <c r="AP674">
        <v>0</v>
      </c>
      <c r="AQ674">
        <v>0</v>
      </c>
    </row>
    <row r="675" spans="1:43" x14ac:dyDescent="0.25">
      <c r="A675">
        <v>672</v>
      </c>
      <c r="B675">
        <v>13</v>
      </c>
      <c r="C675">
        <v>13</v>
      </c>
      <c r="D675">
        <v>3</v>
      </c>
      <c r="E675">
        <v>1481</v>
      </c>
      <c r="F675">
        <v>4053</v>
      </c>
      <c r="G675">
        <v>4098</v>
      </c>
      <c r="H675">
        <v>2010</v>
      </c>
      <c r="I675">
        <v>1029</v>
      </c>
      <c r="J675">
        <v>448</v>
      </c>
      <c r="K675">
        <v>243</v>
      </c>
      <c r="L675">
        <v>349</v>
      </c>
      <c r="M675">
        <v>433</v>
      </c>
      <c r="N675">
        <v>460</v>
      </c>
      <c r="O675">
        <v>255</v>
      </c>
      <c r="P675">
        <v>241</v>
      </c>
      <c r="Q675">
        <v>7</v>
      </c>
      <c r="R675">
        <v>0.21601489800000001</v>
      </c>
      <c r="S675">
        <v>438</v>
      </c>
      <c r="T675">
        <v>141</v>
      </c>
      <c r="U675">
        <v>691</v>
      </c>
      <c r="V675">
        <v>1601</v>
      </c>
      <c r="W675">
        <v>940</v>
      </c>
      <c r="X675">
        <v>814</v>
      </c>
      <c r="Y675">
        <v>35</v>
      </c>
      <c r="Z675">
        <v>95</v>
      </c>
      <c r="AA675">
        <v>233</v>
      </c>
      <c r="AB675">
        <v>1</v>
      </c>
      <c r="AC675">
        <v>44</v>
      </c>
      <c r="AD675">
        <v>30</v>
      </c>
      <c r="AE675">
        <v>0</v>
      </c>
      <c r="AF675">
        <v>0</v>
      </c>
      <c r="AG675">
        <v>4</v>
      </c>
      <c r="AH675">
        <v>0</v>
      </c>
      <c r="AI675">
        <v>0</v>
      </c>
      <c r="AJ675">
        <v>0</v>
      </c>
      <c r="AK675">
        <v>1.3022199999999999</v>
      </c>
      <c r="AL675">
        <v>3</v>
      </c>
      <c r="AM675">
        <v>0</v>
      </c>
      <c r="AN675">
        <v>1481</v>
      </c>
      <c r="AO675">
        <v>45</v>
      </c>
      <c r="AP675">
        <v>0</v>
      </c>
      <c r="AQ675">
        <v>0</v>
      </c>
    </row>
    <row r="676" spans="1:43" x14ac:dyDescent="0.25">
      <c r="A676">
        <v>673</v>
      </c>
      <c r="B676">
        <v>13</v>
      </c>
      <c r="C676">
        <v>13</v>
      </c>
      <c r="D676">
        <v>3</v>
      </c>
      <c r="E676">
        <v>1400</v>
      </c>
      <c r="F676">
        <v>3914</v>
      </c>
      <c r="G676">
        <v>3917</v>
      </c>
      <c r="H676">
        <v>2257</v>
      </c>
      <c r="I676">
        <v>1087</v>
      </c>
      <c r="J676">
        <v>240</v>
      </c>
      <c r="K676">
        <v>240</v>
      </c>
      <c r="L676">
        <v>316</v>
      </c>
      <c r="M676">
        <v>356</v>
      </c>
      <c r="N676">
        <v>478</v>
      </c>
      <c r="O676">
        <v>488</v>
      </c>
      <c r="P676">
        <v>207</v>
      </c>
      <c r="Q676">
        <v>24</v>
      </c>
      <c r="R676">
        <v>0.14452037500000001</v>
      </c>
      <c r="S676">
        <v>721</v>
      </c>
      <c r="T676">
        <v>100</v>
      </c>
      <c r="U676">
        <v>673</v>
      </c>
      <c r="V676">
        <v>1418</v>
      </c>
      <c r="W676">
        <v>1200</v>
      </c>
      <c r="X676">
        <v>465</v>
      </c>
      <c r="Y676">
        <v>49</v>
      </c>
      <c r="Z676">
        <v>154</v>
      </c>
      <c r="AA676">
        <v>451</v>
      </c>
      <c r="AB676">
        <v>1</v>
      </c>
      <c r="AC676">
        <v>20</v>
      </c>
      <c r="AD676">
        <v>46</v>
      </c>
      <c r="AE676">
        <v>0</v>
      </c>
      <c r="AF676">
        <v>0</v>
      </c>
      <c r="AG676">
        <v>4</v>
      </c>
      <c r="AH676">
        <v>0</v>
      </c>
      <c r="AI676">
        <v>0</v>
      </c>
      <c r="AJ676">
        <v>0</v>
      </c>
      <c r="AK676">
        <v>1.3148</v>
      </c>
      <c r="AL676">
        <v>3</v>
      </c>
      <c r="AM676">
        <v>0</v>
      </c>
      <c r="AN676">
        <v>1400</v>
      </c>
      <c r="AO676">
        <v>3</v>
      </c>
      <c r="AP676">
        <v>0</v>
      </c>
      <c r="AQ676">
        <v>0</v>
      </c>
    </row>
    <row r="677" spans="1:43" x14ac:dyDescent="0.25">
      <c r="A677">
        <v>674</v>
      </c>
      <c r="B677">
        <v>13</v>
      </c>
      <c r="C677">
        <v>13</v>
      </c>
      <c r="D677">
        <v>3</v>
      </c>
      <c r="E677">
        <v>1720</v>
      </c>
      <c r="F677">
        <v>5128</v>
      </c>
      <c r="G677">
        <v>5162</v>
      </c>
      <c r="H677">
        <v>2643</v>
      </c>
      <c r="I677">
        <v>1626</v>
      </c>
      <c r="J677">
        <v>1</v>
      </c>
      <c r="K677">
        <v>209</v>
      </c>
      <c r="L677">
        <v>339</v>
      </c>
      <c r="M677">
        <v>379</v>
      </c>
      <c r="N677">
        <v>793</v>
      </c>
      <c r="O677">
        <v>513</v>
      </c>
      <c r="P677">
        <v>431</v>
      </c>
      <c r="Q677">
        <v>53</v>
      </c>
      <c r="R677">
        <v>0.163415105</v>
      </c>
      <c r="S677">
        <v>1188</v>
      </c>
      <c r="T677">
        <v>472</v>
      </c>
      <c r="U677">
        <v>799</v>
      </c>
      <c r="V677">
        <v>1581</v>
      </c>
      <c r="W677">
        <v>1521</v>
      </c>
      <c r="X677">
        <v>665</v>
      </c>
      <c r="Y677">
        <v>157</v>
      </c>
      <c r="Z677">
        <v>164</v>
      </c>
      <c r="AA677">
        <v>751</v>
      </c>
      <c r="AB677">
        <v>1</v>
      </c>
      <c r="AC677">
        <v>43</v>
      </c>
      <c r="AD677">
        <v>72</v>
      </c>
      <c r="AE677">
        <v>0</v>
      </c>
      <c r="AF677">
        <v>0</v>
      </c>
      <c r="AG677">
        <v>4</v>
      </c>
      <c r="AH677">
        <v>0</v>
      </c>
      <c r="AI677">
        <v>0</v>
      </c>
      <c r="AJ677">
        <v>0</v>
      </c>
      <c r="AK677">
        <v>1.2228000000000001</v>
      </c>
      <c r="AL677">
        <v>3</v>
      </c>
      <c r="AM677">
        <v>0</v>
      </c>
      <c r="AN677">
        <v>1720</v>
      </c>
      <c r="AO677">
        <v>34</v>
      </c>
      <c r="AP677">
        <v>0</v>
      </c>
      <c r="AQ677">
        <v>0</v>
      </c>
    </row>
    <row r="678" spans="1:43" x14ac:dyDescent="0.25">
      <c r="A678">
        <v>675</v>
      </c>
      <c r="B678">
        <v>13</v>
      </c>
      <c r="C678">
        <v>13</v>
      </c>
      <c r="D678">
        <v>3</v>
      </c>
      <c r="E678">
        <v>1653</v>
      </c>
      <c r="F678">
        <v>5148</v>
      </c>
      <c r="G678">
        <v>5190</v>
      </c>
      <c r="H678">
        <v>2862</v>
      </c>
      <c r="I678">
        <v>1499</v>
      </c>
      <c r="J678">
        <v>70</v>
      </c>
      <c r="K678">
        <v>176</v>
      </c>
      <c r="L678">
        <v>274</v>
      </c>
      <c r="M678">
        <v>419</v>
      </c>
      <c r="N678">
        <v>788</v>
      </c>
      <c r="O678">
        <v>385</v>
      </c>
      <c r="P678">
        <v>358.45320989999999</v>
      </c>
      <c r="Q678">
        <v>35</v>
      </c>
      <c r="R678">
        <v>0.176042591</v>
      </c>
      <c r="S678">
        <v>878</v>
      </c>
      <c r="T678">
        <v>366</v>
      </c>
      <c r="U678">
        <v>860</v>
      </c>
      <c r="V678">
        <v>1943</v>
      </c>
      <c r="W678">
        <v>1551</v>
      </c>
      <c r="X678">
        <v>768</v>
      </c>
      <c r="Y678">
        <v>125</v>
      </c>
      <c r="Z678">
        <v>201</v>
      </c>
      <c r="AA678">
        <v>395</v>
      </c>
      <c r="AB678">
        <v>1</v>
      </c>
      <c r="AC678">
        <v>92</v>
      </c>
      <c r="AD678">
        <v>64</v>
      </c>
      <c r="AE678">
        <v>0</v>
      </c>
      <c r="AF678">
        <v>0</v>
      </c>
      <c r="AG678">
        <v>4</v>
      </c>
      <c r="AH678">
        <v>61</v>
      </c>
      <c r="AI678">
        <v>0</v>
      </c>
      <c r="AJ678">
        <v>0</v>
      </c>
      <c r="AK678">
        <v>1.2910299999999999</v>
      </c>
      <c r="AL678">
        <v>3</v>
      </c>
      <c r="AM678">
        <v>0</v>
      </c>
      <c r="AN678">
        <v>1653</v>
      </c>
      <c r="AO678">
        <v>42</v>
      </c>
      <c r="AP678">
        <v>0</v>
      </c>
      <c r="AQ678">
        <v>0</v>
      </c>
    </row>
    <row r="679" spans="1:43" x14ac:dyDescent="0.25">
      <c r="A679">
        <v>676</v>
      </c>
      <c r="B679">
        <v>13</v>
      </c>
      <c r="C679">
        <v>13</v>
      </c>
      <c r="D679">
        <v>3</v>
      </c>
      <c r="E679">
        <v>3181</v>
      </c>
      <c r="F679">
        <v>8876</v>
      </c>
      <c r="G679">
        <v>8934</v>
      </c>
      <c r="H679">
        <v>5029</v>
      </c>
      <c r="I679">
        <v>1979</v>
      </c>
      <c r="J679">
        <v>1168</v>
      </c>
      <c r="K679">
        <v>416</v>
      </c>
      <c r="L679">
        <v>812</v>
      </c>
      <c r="M679">
        <v>906</v>
      </c>
      <c r="N679">
        <v>1054</v>
      </c>
      <c r="O679">
        <v>605</v>
      </c>
      <c r="P679">
        <v>403</v>
      </c>
      <c r="Q679">
        <v>114</v>
      </c>
      <c r="R679">
        <v>0.15659188900000001</v>
      </c>
      <c r="S679">
        <v>3177</v>
      </c>
      <c r="T679">
        <v>455</v>
      </c>
      <c r="U679">
        <v>1613</v>
      </c>
      <c r="V679">
        <v>3030</v>
      </c>
      <c r="W679">
        <v>2594</v>
      </c>
      <c r="X679">
        <v>1109</v>
      </c>
      <c r="Y679">
        <v>301</v>
      </c>
      <c r="Z679">
        <v>286</v>
      </c>
      <c r="AA679">
        <v>1165</v>
      </c>
      <c r="AB679">
        <v>1</v>
      </c>
      <c r="AC679">
        <v>1169</v>
      </c>
      <c r="AD679">
        <v>255</v>
      </c>
      <c r="AE679">
        <v>0</v>
      </c>
      <c r="AF679">
        <v>0</v>
      </c>
      <c r="AG679">
        <v>4</v>
      </c>
      <c r="AH679">
        <v>0</v>
      </c>
      <c r="AI679">
        <v>0</v>
      </c>
      <c r="AJ679">
        <v>0</v>
      </c>
      <c r="AK679">
        <v>1.4040299999999999</v>
      </c>
      <c r="AL679">
        <v>3</v>
      </c>
      <c r="AM679">
        <v>0</v>
      </c>
      <c r="AN679">
        <v>3181</v>
      </c>
      <c r="AO679">
        <v>58</v>
      </c>
      <c r="AP679">
        <v>0</v>
      </c>
      <c r="AQ679">
        <v>0</v>
      </c>
    </row>
    <row r="680" spans="1:43" x14ac:dyDescent="0.25">
      <c r="A680">
        <v>677</v>
      </c>
      <c r="B680">
        <v>13</v>
      </c>
      <c r="C680">
        <v>13</v>
      </c>
      <c r="D680">
        <v>3</v>
      </c>
      <c r="E680">
        <v>1498</v>
      </c>
      <c r="F680">
        <v>4046</v>
      </c>
      <c r="G680">
        <v>4059</v>
      </c>
      <c r="H680">
        <v>2163</v>
      </c>
      <c r="I680">
        <v>818</v>
      </c>
      <c r="J680">
        <v>792</v>
      </c>
      <c r="K680">
        <v>311</v>
      </c>
      <c r="L680">
        <v>398</v>
      </c>
      <c r="M680">
        <v>325</v>
      </c>
      <c r="N680">
        <v>481</v>
      </c>
      <c r="O680">
        <v>438</v>
      </c>
      <c r="P680">
        <v>161.7829389</v>
      </c>
      <c r="Q680">
        <v>174.15403839999999</v>
      </c>
      <c r="R680">
        <v>0.244040595</v>
      </c>
      <c r="S680">
        <v>2784</v>
      </c>
      <c r="T680">
        <v>241</v>
      </c>
      <c r="U680">
        <v>574</v>
      </c>
      <c r="V680">
        <v>1398</v>
      </c>
      <c r="W680">
        <v>1082</v>
      </c>
      <c r="X680">
        <v>841</v>
      </c>
      <c r="Y680">
        <v>931</v>
      </c>
      <c r="Z680">
        <v>284</v>
      </c>
      <c r="AA680">
        <v>1359</v>
      </c>
      <c r="AB680">
        <v>2</v>
      </c>
      <c r="AC680">
        <v>66</v>
      </c>
      <c r="AD680">
        <v>142</v>
      </c>
      <c r="AE680">
        <v>0</v>
      </c>
      <c r="AF680">
        <v>0</v>
      </c>
      <c r="AG680">
        <v>3</v>
      </c>
      <c r="AH680">
        <v>0</v>
      </c>
      <c r="AI680">
        <v>0</v>
      </c>
      <c r="AJ680">
        <v>0</v>
      </c>
      <c r="AK680">
        <v>1.88205</v>
      </c>
      <c r="AL680">
        <v>3</v>
      </c>
      <c r="AM680">
        <v>0</v>
      </c>
      <c r="AN680">
        <v>1498</v>
      </c>
      <c r="AO680">
        <v>13</v>
      </c>
      <c r="AP680">
        <v>0</v>
      </c>
      <c r="AQ680">
        <v>0</v>
      </c>
    </row>
    <row r="681" spans="1:43" x14ac:dyDescent="0.25">
      <c r="A681">
        <v>678</v>
      </c>
      <c r="B681">
        <v>13</v>
      </c>
      <c r="C681">
        <v>13</v>
      </c>
      <c r="D681">
        <v>3</v>
      </c>
      <c r="E681">
        <v>893</v>
      </c>
      <c r="F681">
        <v>2572</v>
      </c>
      <c r="G681">
        <v>2602</v>
      </c>
      <c r="H681">
        <v>1318</v>
      </c>
      <c r="I681">
        <v>801</v>
      </c>
      <c r="J681">
        <v>101</v>
      </c>
      <c r="K681">
        <v>118</v>
      </c>
      <c r="L681">
        <v>129</v>
      </c>
      <c r="M681">
        <v>136</v>
      </c>
      <c r="N681">
        <v>507</v>
      </c>
      <c r="O681">
        <v>353</v>
      </c>
      <c r="P681">
        <v>210</v>
      </c>
      <c r="Q681">
        <v>53</v>
      </c>
      <c r="R681">
        <v>0.26077265999999999</v>
      </c>
      <c r="S681">
        <v>307</v>
      </c>
      <c r="T681">
        <v>146</v>
      </c>
      <c r="U681">
        <v>395</v>
      </c>
      <c r="V681">
        <v>870</v>
      </c>
      <c r="W681">
        <v>631</v>
      </c>
      <c r="X681">
        <v>580</v>
      </c>
      <c r="Y681">
        <v>4</v>
      </c>
      <c r="Z681">
        <v>22</v>
      </c>
      <c r="AA681">
        <v>215</v>
      </c>
      <c r="AB681">
        <v>0</v>
      </c>
      <c r="AC681">
        <v>60</v>
      </c>
      <c r="AD681">
        <v>6</v>
      </c>
      <c r="AE681">
        <v>0</v>
      </c>
      <c r="AF681">
        <v>0</v>
      </c>
      <c r="AG681">
        <v>4</v>
      </c>
      <c r="AH681">
        <v>744</v>
      </c>
      <c r="AI681">
        <v>0</v>
      </c>
      <c r="AJ681">
        <v>0</v>
      </c>
      <c r="AK681">
        <v>1.1383000000000001</v>
      </c>
      <c r="AL681">
        <v>3</v>
      </c>
      <c r="AM681">
        <v>0</v>
      </c>
      <c r="AN681">
        <v>893</v>
      </c>
      <c r="AO681">
        <v>30</v>
      </c>
      <c r="AP681">
        <v>0</v>
      </c>
      <c r="AQ681">
        <v>0</v>
      </c>
    </row>
    <row r="682" spans="1:43" x14ac:dyDescent="0.25">
      <c r="A682">
        <v>679</v>
      </c>
      <c r="B682">
        <v>13</v>
      </c>
      <c r="C682">
        <v>13</v>
      </c>
      <c r="D682">
        <v>3</v>
      </c>
      <c r="E682">
        <v>1775</v>
      </c>
      <c r="F682">
        <v>4725</v>
      </c>
      <c r="G682">
        <v>4768</v>
      </c>
      <c r="H682">
        <v>2496</v>
      </c>
      <c r="I682">
        <v>1013</v>
      </c>
      <c r="J682">
        <v>691</v>
      </c>
      <c r="K682">
        <v>344</v>
      </c>
      <c r="L682">
        <v>357</v>
      </c>
      <c r="M682">
        <v>444</v>
      </c>
      <c r="N682">
        <v>631</v>
      </c>
      <c r="O682">
        <v>380</v>
      </c>
      <c r="P682">
        <v>224</v>
      </c>
      <c r="Q682">
        <v>94.330130120000007</v>
      </c>
      <c r="R682">
        <v>0.200924252</v>
      </c>
      <c r="S682">
        <v>1183</v>
      </c>
      <c r="T682">
        <v>183</v>
      </c>
      <c r="U682">
        <v>1062</v>
      </c>
      <c r="V682">
        <v>1425</v>
      </c>
      <c r="W682">
        <v>1419</v>
      </c>
      <c r="X682">
        <v>769</v>
      </c>
      <c r="Y682">
        <v>424</v>
      </c>
      <c r="Z682">
        <v>51</v>
      </c>
      <c r="AA682">
        <v>612</v>
      </c>
      <c r="AB682">
        <v>2</v>
      </c>
      <c r="AC682">
        <v>61</v>
      </c>
      <c r="AD682">
        <v>33</v>
      </c>
      <c r="AE682">
        <v>0</v>
      </c>
      <c r="AF682">
        <v>0</v>
      </c>
      <c r="AG682">
        <v>3</v>
      </c>
      <c r="AH682">
        <v>265</v>
      </c>
      <c r="AI682">
        <v>0</v>
      </c>
      <c r="AJ682">
        <v>0</v>
      </c>
      <c r="AK682">
        <v>1.2792300000000001</v>
      </c>
      <c r="AL682">
        <v>3</v>
      </c>
      <c r="AM682">
        <v>0</v>
      </c>
      <c r="AN682">
        <v>1775</v>
      </c>
      <c r="AO682">
        <v>43</v>
      </c>
      <c r="AP682">
        <v>0</v>
      </c>
      <c r="AQ682">
        <v>0</v>
      </c>
    </row>
    <row r="683" spans="1:43" x14ac:dyDescent="0.25">
      <c r="A683">
        <v>680</v>
      </c>
      <c r="B683">
        <v>13</v>
      </c>
      <c r="C683">
        <v>13</v>
      </c>
      <c r="D683">
        <v>3</v>
      </c>
      <c r="E683">
        <v>2152</v>
      </c>
      <c r="F683">
        <v>6354</v>
      </c>
      <c r="G683">
        <v>6378</v>
      </c>
      <c r="H683">
        <v>3218</v>
      </c>
      <c r="I683">
        <v>2001</v>
      </c>
      <c r="J683">
        <v>107</v>
      </c>
      <c r="K683">
        <v>290</v>
      </c>
      <c r="L683">
        <v>328</v>
      </c>
      <c r="M683">
        <v>463</v>
      </c>
      <c r="N683">
        <v>1077</v>
      </c>
      <c r="O683">
        <v>593</v>
      </c>
      <c r="P683">
        <v>469</v>
      </c>
      <c r="Q683">
        <v>61</v>
      </c>
      <c r="R683">
        <v>0.18784863600000001</v>
      </c>
      <c r="S683">
        <v>1482</v>
      </c>
      <c r="T683">
        <v>438</v>
      </c>
      <c r="U683">
        <v>1249</v>
      </c>
      <c r="V683">
        <v>2077</v>
      </c>
      <c r="W683">
        <v>1674</v>
      </c>
      <c r="X683">
        <v>1031</v>
      </c>
      <c r="Y683">
        <v>771</v>
      </c>
      <c r="Z683">
        <v>129</v>
      </c>
      <c r="AA683">
        <v>441</v>
      </c>
      <c r="AB683">
        <v>1</v>
      </c>
      <c r="AC683">
        <v>28</v>
      </c>
      <c r="AD683">
        <v>112</v>
      </c>
      <c r="AE683">
        <v>0</v>
      </c>
      <c r="AF683">
        <v>0</v>
      </c>
      <c r="AG683">
        <v>4</v>
      </c>
      <c r="AH683">
        <v>0</v>
      </c>
      <c r="AI683">
        <v>0</v>
      </c>
      <c r="AJ683">
        <v>0</v>
      </c>
      <c r="AK683">
        <v>1.21638</v>
      </c>
      <c r="AL683">
        <v>3</v>
      </c>
      <c r="AM683">
        <v>0</v>
      </c>
      <c r="AN683">
        <v>2152</v>
      </c>
      <c r="AO683">
        <v>24</v>
      </c>
      <c r="AP683">
        <v>0</v>
      </c>
      <c r="AQ683">
        <v>0</v>
      </c>
    </row>
    <row r="684" spans="1:43" x14ac:dyDescent="0.25">
      <c r="A684">
        <v>681</v>
      </c>
      <c r="B684">
        <v>13</v>
      </c>
      <c r="C684">
        <v>13</v>
      </c>
      <c r="D684">
        <v>3</v>
      </c>
      <c r="E684">
        <v>1365</v>
      </c>
      <c r="F684">
        <v>3643</v>
      </c>
      <c r="G684">
        <v>3684</v>
      </c>
      <c r="H684">
        <v>1952</v>
      </c>
      <c r="I684">
        <v>1017</v>
      </c>
      <c r="J684">
        <v>328</v>
      </c>
      <c r="K684">
        <v>137</v>
      </c>
      <c r="L684">
        <v>388</v>
      </c>
      <c r="M684">
        <v>332</v>
      </c>
      <c r="N684">
        <v>511</v>
      </c>
      <c r="O684">
        <v>328</v>
      </c>
      <c r="P684">
        <v>274</v>
      </c>
      <c r="Q684">
        <v>54</v>
      </c>
      <c r="R684">
        <v>0.26196738600000002</v>
      </c>
      <c r="S684">
        <v>1039</v>
      </c>
      <c r="T684">
        <v>298</v>
      </c>
      <c r="U684">
        <v>489</v>
      </c>
      <c r="V684">
        <v>1161</v>
      </c>
      <c r="W684">
        <v>859</v>
      </c>
      <c r="X684">
        <v>879</v>
      </c>
      <c r="Y684">
        <v>171</v>
      </c>
      <c r="Z684">
        <v>169</v>
      </c>
      <c r="AA684">
        <v>581</v>
      </c>
      <c r="AB684">
        <v>1</v>
      </c>
      <c r="AC684">
        <v>49</v>
      </c>
      <c r="AD684">
        <v>68</v>
      </c>
      <c r="AE684">
        <v>0</v>
      </c>
      <c r="AF684">
        <v>0</v>
      </c>
      <c r="AG684">
        <v>4</v>
      </c>
      <c r="AH684">
        <v>71</v>
      </c>
      <c r="AI684">
        <v>0</v>
      </c>
      <c r="AJ684">
        <v>0</v>
      </c>
      <c r="AK684">
        <v>1.2335400000000001</v>
      </c>
      <c r="AL684">
        <v>3</v>
      </c>
      <c r="AM684">
        <v>0</v>
      </c>
      <c r="AN684">
        <v>1365</v>
      </c>
      <c r="AO684">
        <v>41</v>
      </c>
      <c r="AP684">
        <v>0</v>
      </c>
      <c r="AQ684">
        <v>0</v>
      </c>
    </row>
    <row r="685" spans="1:43" x14ac:dyDescent="0.25">
      <c r="A685">
        <v>682</v>
      </c>
      <c r="B685">
        <v>13</v>
      </c>
      <c r="C685">
        <v>13</v>
      </c>
      <c r="D685">
        <v>3</v>
      </c>
      <c r="E685">
        <v>1824</v>
      </c>
      <c r="F685">
        <v>5160</v>
      </c>
      <c r="G685">
        <v>5180</v>
      </c>
      <c r="H685">
        <v>2465</v>
      </c>
      <c r="I685">
        <v>1729</v>
      </c>
      <c r="J685">
        <v>99</v>
      </c>
      <c r="K685">
        <v>229</v>
      </c>
      <c r="L685">
        <v>244</v>
      </c>
      <c r="M685">
        <v>498</v>
      </c>
      <c r="N685">
        <v>862</v>
      </c>
      <c r="O685">
        <v>484</v>
      </c>
      <c r="P685">
        <v>423</v>
      </c>
      <c r="Q685">
        <v>51</v>
      </c>
      <c r="R685">
        <v>0.174059406</v>
      </c>
      <c r="S685">
        <v>1159</v>
      </c>
      <c r="T685">
        <v>373</v>
      </c>
      <c r="U685">
        <v>810</v>
      </c>
      <c r="V685">
        <v>1475</v>
      </c>
      <c r="W685">
        <v>1626</v>
      </c>
      <c r="X685">
        <v>651</v>
      </c>
      <c r="Y685">
        <v>81</v>
      </c>
      <c r="Z685">
        <v>199</v>
      </c>
      <c r="AA685">
        <v>752</v>
      </c>
      <c r="AB685">
        <v>2</v>
      </c>
      <c r="AC685">
        <v>45</v>
      </c>
      <c r="AD685">
        <v>80</v>
      </c>
      <c r="AE685">
        <v>0</v>
      </c>
      <c r="AF685">
        <v>0</v>
      </c>
      <c r="AG685">
        <v>4</v>
      </c>
      <c r="AH685">
        <v>0</v>
      </c>
      <c r="AI685">
        <v>0</v>
      </c>
      <c r="AJ685">
        <v>0</v>
      </c>
      <c r="AK685">
        <v>1.15995</v>
      </c>
      <c r="AL685">
        <v>3</v>
      </c>
      <c r="AM685">
        <v>0</v>
      </c>
      <c r="AN685">
        <v>1824</v>
      </c>
      <c r="AO685">
        <v>20</v>
      </c>
      <c r="AP685">
        <v>0</v>
      </c>
      <c r="AQ685">
        <v>0</v>
      </c>
    </row>
    <row r="686" spans="1:43" x14ac:dyDescent="0.25">
      <c r="A686">
        <v>683</v>
      </c>
      <c r="B686">
        <v>13</v>
      </c>
      <c r="C686">
        <v>13</v>
      </c>
      <c r="D686">
        <v>3</v>
      </c>
      <c r="E686">
        <v>1364</v>
      </c>
      <c r="F686">
        <v>3657</v>
      </c>
      <c r="G686">
        <v>3708</v>
      </c>
      <c r="H686">
        <v>1771</v>
      </c>
      <c r="I686">
        <v>1296</v>
      </c>
      <c r="J686">
        <v>20</v>
      </c>
      <c r="K686">
        <v>215</v>
      </c>
      <c r="L686">
        <v>259</v>
      </c>
      <c r="M686">
        <v>250</v>
      </c>
      <c r="N686">
        <v>648</v>
      </c>
      <c r="O686">
        <v>309</v>
      </c>
      <c r="P686">
        <v>287</v>
      </c>
      <c r="Q686">
        <v>21</v>
      </c>
      <c r="R686">
        <v>0.23824130900000001</v>
      </c>
      <c r="S686">
        <v>366</v>
      </c>
      <c r="T686">
        <v>172</v>
      </c>
      <c r="U686">
        <v>642</v>
      </c>
      <c r="V686">
        <v>1182</v>
      </c>
      <c r="W686">
        <v>1023</v>
      </c>
      <c r="X686">
        <v>780</v>
      </c>
      <c r="Y686">
        <v>121</v>
      </c>
      <c r="Z686">
        <v>63</v>
      </c>
      <c r="AA686">
        <v>146</v>
      </c>
      <c r="AB686">
        <v>1</v>
      </c>
      <c r="AC686">
        <v>14</v>
      </c>
      <c r="AD686">
        <v>21</v>
      </c>
      <c r="AE686">
        <v>0</v>
      </c>
      <c r="AF686">
        <v>0</v>
      </c>
      <c r="AG686">
        <v>4</v>
      </c>
      <c r="AH686">
        <v>0</v>
      </c>
      <c r="AI686">
        <v>0</v>
      </c>
      <c r="AJ686">
        <v>0</v>
      </c>
      <c r="AK686">
        <v>1.18252</v>
      </c>
      <c r="AL686">
        <v>3</v>
      </c>
      <c r="AM686">
        <v>0</v>
      </c>
      <c r="AN686">
        <v>1364</v>
      </c>
      <c r="AO686">
        <v>51</v>
      </c>
      <c r="AP686">
        <v>0</v>
      </c>
      <c r="AQ686">
        <v>0</v>
      </c>
    </row>
    <row r="687" spans="1:43" x14ac:dyDescent="0.25">
      <c r="A687">
        <v>684</v>
      </c>
      <c r="B687">
        <v>13</v>
      </c>
      <c r="C687">
        <v>13</v>
      </c>
      <c r="D687">
        <v>3</v>
      </c>
      <c r="E687">
        <v>2231</v>
      </c>
      <c r="F687">
        <v>6485</v>
      </c>
      <c r="G687">
        <v>6496</v>
      </c>
      <c r="H687">
        <v>3282</v>
      </c>
      <c r="I687">
        <v>1695</v>
      </c>
      <c r="J687">
        <v>478</v>
      </c>
      <c r="K687">
        <v>542</v>
      </c>
      <c r="L687">
        <v>380</v>
      </c>
      <c r="M687">
        <v>444</v>
      </c>
      <c r="N687">
        <v>888</v>
      </c>
      <c r="O687">
        <v>518</v>
      </c>
      <c r="P687">
        <v>434</v>
      </c>
      <c r="Q687">
        <v>61.568256230000003</v>
      </c>
      <c r="R687">
        <v>0.15717821800000001</v>
      </c>
      <c r="S687">
        <v>1037</v>
      </c>
      <c r="T687">
        <v>509</v>
      </c>
      <c r="U687">
        <v>1179</v>
      </c>
      <c r="V687">
        <v>2052</v>
      </c>
      <c r="W687">
        <v>1796</v>
      </c>
      <c r="X687">
        <v>764</v>
      </c>
      <c r="Y687">
        <v>187</v>
      </c>
      <c r="Z687">
        <v>127</v>
      </c>
      <c r="AA687">
        <v>598</v>
      </c>
      <c r="AB687">
        <v>2</v>
      </c>
      <c r="AC687">
        <v>56</v>
      </c>
      <c r="AD687">
        <v>67</v>
      </c>
      <c r="AE687">
        <v>0</v>
      </c>
      <c r="AF687">
        <v>0</v>
      </c>
      <c r="AG687">
        <v>4</v>
      </c>
      <c r="AH687">
        <v>0</v>
      </c>
      <c r="AI687">
        <v>0</v>
      </c>
      <c r="AJ687">
        <v>0</v>
      </c>
      <c r="AK687">
        <v>1.25118</v>
      </c>
      <c r="AL687">
        <v>3</v>
      </c>
      <c r="AM687">
        <v>0</v>
      </c>
      <c r="AN687">
        <v>2231</v>
      </c>
      <c r="AO687">
        <v>11</v>
      </c>
      <c r="AP687">
        <v>0</v>
      </c>
      <c r="AQ687">
        <v>0</v>
      </c>
    </row>
    <row r="688" spans="1:43" x14ac:dyDescent="0.25">
      <c r="A688">
        <v>685</v>
      </c>
      <c r="B688">
        <v>13</v>
      </c>
      <c r="C688">
        <v>13</v>
      </c>
      <c r="D688">
        <v>3</v>
      </c>
      <c r="E688">
        <v>1660</v>
      </c>
      <c r="F688">
        <v>5035</v>
      </c>
      <c r="G688">
        <v>5044</v>
      </c>
      <c r="H688">
        <v>2594</v>
      </c>
      <c r="I688">
        <v>1183</v>
      </c>
      <c r="J688">
        <v>445</v>
      </c>
      <c r="K688">
        <v>293</v>
      </c>
      <c r="L688">
        <v>413</v>
      </c>
      <c r="M688">
        <v>361</v>
      </c>
      <c r="N688">
        <v>608</v>
      </c>
      <c r="O688">
        <v>389</v>
      </c>
      <c r="P688">
        <v>290</v>
      </c>
      <c r="Q688">
        <v>73</v>
      </c>
      <c r="R688">
        <v>0.135735736</v>
      </c>
      <c r="S688">
        <v>592</v>
      </c>
      <c r="T688">
        <v>318</v>
      </c>
      <c r="U688">
        <v>970</v>
      </c>
      <c r="V688">
        <v>1754</v>
      </c>
      <c r="W688">
        <v>1316</v>
      </c>
      <c r="X688">
        <v>482</v>
      </c>
      <c r="Y688">
        <v>27</v>
      </c>
      <c r="Z688">
        <v>108</v>
      </c>
      <c r="AA688">
        <v>344</v>
      </c>
      <c r="AB688">
        <v>1</v>
      </c>
      <c r="AC688">
        <v>45</v>
      </c>
      <c r="AD688">
        <v>67</v>
      </c>
      <c r="AE688">
        <v>0</v>
      </c>
      <c r="AF688">
        <v>0</v>
      </c>
      <c r="AG688">
        <v>4</v>
      </c>
      <c r="AH688">
        <v>1820</v>
      </c>
      <c r="AI688">
        <v>0</v>
      </c>
      <c r="AJ688">
        <v>0</v>
      </c>
      <c r="AK688">
        <v>1.20028</v>
      </c>
      <c r="AL688">
        <v>3</v>
      </c>
      <c r="AM688">
        <v>0</v>
      </c>
      <c r="AN688">
        <v>1660</v>
      </c>
      <c r="AO688">
        <v>9</v>
      </c>
      <c r="AP688">
        <v>0</v>
      </c>
      <c r="AQ688">
        <v>0</v>
      </c>
    </row>
    <row r="689" spans="1:43" x14ac:dyDescent="0.25">
      <c r="A689">
        <v>686</v>
      </c>
      <c r="B689">
        <v>13</v>
      </c>
      <c r="C689">
        <v>13</v>
      </c>
      <c r="D689">
        <v>3</v>
      </c>
      <c r="E689">
        <v>2052</v>
      </c>
      <c r="F689">
        <v>5052</v>
      </c>
      <c r="G689">
        <v>5052</v>
      </c>
      <c r="H689">
        <v>2740</v>
      </c>
      <c r="I689">
        <v>1084</v>
      </c>
      <c r="J689">
        <v>991</v>
      </c>
      <c r="K689">
        <v>466</v>
      </c>
      <c r="L689">
        <v>485</v>
      </c>
      <c r="M689">
        <v>589</v>
      </c>
      <c r="N689">
        <v>531</v>
      </c>
      <c r="O689">
        <v>333</v>
      </c>
      <c r="P689">
        <v>238</v>
      </c>
      <c r="Q689">
        <v>69</v>
      </c>
      <c r="R689">
        <v>0.17120780799999999</v>
      </c>
      <c r="S689">
        <v>913</v>
      </c>
      <c r="T689">
        <v>359</v>
      </c>
      <c r="U689">
        <v>859</v>
      </c>
      <c r="V689">
        <v>1680</v>
      </c>
      <c r="W689">
        <v>1289</v>
      </c>
      <c r="X689">
        <v>609</v>
      </c>
      <c r="Y689">
        <v>153</v>
      </c>
      <c r="Z689">
        <v>314</v>
      </c>
      <c r="AA689">
        <v>391</v>
      </c>
      <c r="AB689">
        <v>1</v>
      </c>
      <c r="AC689">
        <v>16</v>
      </c>
      <c r="AD689">
        <v>38</v>
      </c>
      <c r="AE689">
        <v>0</v>
      </c>
      <c r="AF689">
        <v>0</v>
      </c>
      <c r="AG689">
        <v>4</v>
      </c>
      <c r="AH689">
        <v>203</v>
      </c>
      <c r="AI689">
        <v>0</v>
      </c>
      <c r="AJ689">
        <v>0</v>
      </c>
      <c r="AK689">
        <v>1.34829</v>
      </c>
      <c r="AL689">
        <v>3</v>
      </c>
      <c r="AM689">
        <v>0</v>
      </c>
      <c r="AN689">
        <v>2052</v>
      </c>
      <c r="AO689">
        <v>0</v>
      </c>
      <c r="AP689">
        <v>0</v>
      </c>
      <c r="AQ689">
        <v>0</v>
      </c>
    </row>
    <row r="690" spans="1:43" x14ac:dyDescent="0.25">
      <c r="A690">
        <v>687</v>
      </c>
      <c r="B690">
        <v>13</v>
      </c>
      <c r="C690">
        <v>13</v>
      </c>
      <c r="D690">
        <v>3</v>
      </c>
      <c r="E690">
        <v>1459</v>
      </c>
      <c r="F690">
        <v>3744</v>
      </c>
      <c r="G690">
        <v>3745</v>
      </c>
      <c r="H690">
        <v>2139</v>
      </c>
      <c r="I690">
        <v>912</v>
      </c>
      <c r="J690">
        <v>565</v>
      </c>
      <c r="K690">
        <v>246</v>
      </c>
      <c r="L690">
        <v>354</v>
      </c>
      <c r="M690">
        <v>299</v>
      </c>
      <c r="N690">
        <v>554</v>
      </c>
      <c r="O690">
        <v>309</v>
      </c>
      <c r="P690">
        <v>223</v>
      </c>
      <c r="Q690">
        <v>52</v>
      </c>
      <c r="R690">
        <v>0.150252525</v>
      </c>
      <c r="S690">
        <v>2716</v>
      </c>
      <c r="T690">
        <v>238</v>
      </c>
      <c r="U690">
        <v>682</v>
      </c>
      <c r="V690">
        <v>1383</v>
      </c>
      <c r="W690">
        <v>1041</v>
      </c>
      <c r="X690">
        <v>518</v>
      </c>
      <c r="Y690">
        <v>1750</v>
      </c>
      <c r="Z690">
        <v>142</v>
      </c>
      <c r="AA690">
        <v>746</v>
      </c>
      <c r="AB690">
        <v>1</v>
      </c>
      <c r="AC690">
        <v>45</v>
      </c>
      <c r="AD690">
        <v>32</v>
      </c>
      <c r="AE690">
        <v>0</v>
      </c>
      <c r="AF690">
        <v>0</v>
      </c>
      <c r="AG690">
        <v>4</v>
      </c>
      <c r="AH690">
        <v>0</v>
      </c>
      <c r="AI690">
        <v>0</v>
      </c>
      <c r="AJ690">
        <v>0</v>
      </c>
      <c r="AK690">
        <v>1.8022800000000001</v>
      </c>
      <c r="AL690">
        <v>3</v>
      </c>
      <c r="AM690">
        <v>0</v>
      </c>
      <c r="AN690">
        <v>1459</v>
      </c>
      <c r="AO690">
        <v>1</v>
      </c>
      <c r="AP690">
        <v>0</v>
      </c>
      <c r="AQ690">
        <v>0</v>
      </c>
    </row>
    <row r="691" spans="1:43" x14ac:dyDescent="0.25">
      <c r="A691">
        <v>688</v>
      </c>
      <c r="B691">
        <v>13</v>
      </c>
      <c r="C691">
        <v>13</v>
      </c>
      <c r="D691">
        <v>3</v>
      </c>
      <c r="E691">
        <v>2909</v>
      </c>
      <c r="F691">
        <v>8251</v>
      </c>
      <c r="G691">
        <v>8294</v>
      </c>
      <c r="H691">
        <v>3920</v>
      </c>
      <c r="I691">
        <v>1760</v>
      </c>
      <c r="J691">
        <v>1159</v>
      </c>
      <c r="K691">
        <v>642</v>
      </c>
      <c r="L691">
        <v>532</v>
      </c>
      <c r="M691">
        <v>562</v>
      </c>
      <c r="N691">
        <v>1179</v>
      </c>
      <c r="O691">
        <v>705</v>
      </c>
      <c r="P691">
        <v>466</v>
      </c>
      <c r="Q691">
        <v>156</v>
      </c>
      <c r="R691">
        <v>0.15390173400000001</v>
      </c>
      <c r="S691">
        <v>2255</v>
      </c>
      <c r="T691">
        <v>680</v>
      </c>
      <c r="U691">
        <v>1945</v>
      </c>
      <c r="V691">
        <v>2676</v>
      </c>
      <c r="W691">
        <v>1834</v>
      </c>
      <c r="X691">
        <v>952</v>
      </c>
      <c r="Y691">
        <v>135</v>
      </c>
      <c r="Z691">
        <v>113</v>
      </c>
      <c r="AA691">
        <v>1894</v>
      </c>
      <c r="AB691">
        <v>2</v>
      </c>
      <c r="AC691">
        <v>54</v>
      </c>
      <c r="AD691">
        <v>57</v>
      </c>
      <c r="AE691">
        <v>0</v>
      </c>
      <c r="AF691">
        <v>0</v>
      </c>
      <c r="AG691">
        <v>4</v>
      </c>
      <c r="AH691">
        <v>1417</v>
      </c>
      <c r="AI691">
        <v>0</v>
      </c>
      <c r="AJ691">
        <v>0</v>
      </c>
      <c r="AK691">
        <v>1.2120500000000001</v>
      </c>
      <c r="AL691">
        <v>3</v>
      </c>
      <c r="AM691">
        <v>0</v>
      </c>
      <c r="AN691">
        <v>2909</v>
      </c>
      <c r="AO691">
        <v>43</v>
      </c>
      <c r="AP691">
        <v>0</v>
      </c>
      <c r="AQ691">
        <v>0</v>
      </c>
    </row>
    <row r="692" spans="1:43" x14ac:dyDescent="0.25">
      <c r="A692">
        <v>689</v>
      </c>
      <c r="B692">
        <v>13</v>
      </c>
      <c r="C692">
        <v>13</v>
      </c>
      <c r="D692">
        <v>3</v>
      </c>
      <c r="E692">
        <v>1458</v>
      </c>
      <c r="F692">
        <v>4708</v>
      </c>
      <c r="G692">
        <v>4708</v>
      </c>
      <c r="H692">
        <v>2373</v>
      </c>
      <c r="I692">
        <v>1363</v>
      </c>
      <c r="J692">
        <v>0</v>
      </c>
      <c r="K692">
        <v>102</v>
      </c>
      <c r="L692">
        <v>178</v>
      </c>
      <c r="M692">
        <v>158</v>
      </c>
      <c r="N692">
        <v>1006</v>
      </c>
      <c r="O692">
        <v>466</v>
      </c>
      <c r="P692">
        <v>424.45305480000002</v>
      </c>
      <c r="Q692">
        <v>16</v>
      </c>
      <c r="R692">
        <v>0.211618257</v>
      </c>
      <c r="S692">
        <v>372</v>
      </c>
      <c r="T692">
        <v>154</v>
      </c>
      <c r="U692">
        <v>1142</v>
      </c>
      <c r="V692">
        <v>1049</v>
      </c>
      <c r="W692">
        <v>1260</v>
      </c>
      <c r="X692">
        <v>851</v>
      </c>
      <c r="Y692">
        <v>58</v>
      </c>
      <c r="Z692">
        <v>75</v>
      </c>
      <c r="AA692">
        <v>185</v>
      </c>
      <c r="AB692">
        <v>1</v>
      </c>
      <c r="AC692">
        <v>16</v>
      </c>
      <c r="AD692">
        <v>37</v>
      </c>
      <c r="AE692">
        <v>0</v>
      </c>
      <c r="AF692">
        <v>0</v>
      </c>
      <c r="AG692">
        <v>4</v>
      </c>
      <c r="AH692">
        <v>0</v>
      </c>
      <c r="AI692">
        <v>0</v>
      </c>
      <c r="AJ692">
        <v>0</v>
      </c>
      <c r="AK692">
        <v>1.1004799999999999</v>
      </c>
      <c r="AL692">
        <v>1</v>
      </c>
      <c r="AM692">
        <v>0</v>
      </c>
      <c r="AN692">
        <v>1458</v>
      </c>
      <c r="AO692">
        <v>0</v>
      </c>
      <c r="AP692">
        <v>0</v>
      </c>
      <c r="AQ692">
        <v>0</v>
      </c>
    </row>
    <row r="693" spans="1:43" x14ac:dyDescent="0.25">
      <c r="A693">
        <v>690</v>
      </c>
      <c r="B693">
        <v>13</v>
      </c>
      <c r="C693">
        <v>13</v>
      </c>
      <c r="D693">
        <v>3</v>
      </c>
      <c r="E693">
        <v>2098</v>
      </c>
      <c r="F693">
        <v>6450</v>
      </c>
      <c r="G693">
        <v>6471</v>
      </c>
      <c r="H693">
        <v>2961</v>
      </c>
      <c r="I693">
        <v>1963</v>
      </c>
      <c r="J693">
        <v>114</v>
      </c>
      <c r="K693">
        <v>233</v>
      </c>
      <c r="L693">
        <v>183</v>
      </c>
      <c r="M693">
        <v>327</v>
      </c>
      <c r="N693">
        <v>1352</v>
      </c>
      <c r="O693">
        <v>690</v>
      </c>
      <c r="P693">
        <v>564</v>
      </c>
      <c r="Q693">
        <v>43.189276560000003</v>
      </c>
      <c r="R693">
        <v>0.24522244300000001</v>
      </c>
      <c r="S693">
        <v>1213</v>
      </c>
      <c r="T693">
        <v>361</v>
      </c>
      <c r="U693">
        <v>1525</v>
      </c>
      <c r="V693">
        <v>1428</v>
      </c>
      <c r="W693">
        <v>1671</v>
      </c>
      <c r="X693">
        <v>1409</v>
      </c>
      <c r="Y693">
        <v>172</v>
      </c>
      <c r="Z693">
        <v>247</v>
      </c>
      <c r="AA693">
        <v>577</v>
      </c>
      <c r="AB693">
        <v>3</v>
      </c>
      <c r="AC693">
        <v>53</v>
      </c>
      <c r="AD693">
        <v>161</v>
      </c>
      <c r="AE693">
        <v>0</v>
      </c>
      <c r="AF693">
        <v>0</v>
      </c>
      <c r="AG693">
        <v>4</v>
      </c>
      <c r="AH693">
        <v>0</v>
      </c>
      <c r="AI693">
        <v>0</v>
      </c>
      <c r="AJ693">
        <v>0</v>
      </c>
      <c r="AK693">
        <v>1.1301600000000001</v>
      </c>
      <c r="AL693">
        <v>2</v>
      </c>
      <c r="AM693">
        <v>0</v>
      </c>
      <c r="AN693">
        <v>2098</v>
      </c>
      <c r="AO693">
        <v>21</v>
      </c>
      <c r="AP693">
        <v>0</v>
      </c>
      <c r="AQ693">
        <v>0</v>
      </c>
    </row>
    <row r="694" spans="1:43" x14ac:dyDescent="0.25">
      <c r="A694">
        <v>691</v>
      </c>
      <c r="B694">
        <v>13</v>
      </c>
      <c r="C694">
        <v>13</v>
      </c>
      <c r="D694">
        <v>3</v>
      </c>
      <c r="E694">
        <v>1127</v>
      </c>
      <c r="F694">
        <v>3039</v>
      </c>
      <c r="G694">
        <v>3039</v>
      </c>
      <c r="H694">
        <v>1561</v>
      </c>
      <c r="I694">
        <v>1054</v>
      </c>
      <c r="J694">
        <v>22</v>
      </c>
      <c r="K694">
        <v>117</v>
      </c>
      <c r="L694">
        <v>93</v>
      </c>
      <c r="M694">
        <v>151</v>
      </c>
      <c r="N694">
        <v>769</v>
      </c>
      <c r="O694">
        <v>547</v>
      </c>
      <c r="P694">
        <v>438.31162219999999</v>
      </c>
      <c r="Q694">
        <v>28</v>
      </c>
      <c r="R694">
        <v>0.30501930500000002</v>
      </c>
      <c r="S694">
        <v>390</v>
      </c>
      <c r="T694">
        <v>55</v>
      </c>
      <c r="U694">
        <v>578</v>
      </c>
      <c r="V694">
        <v>409</v>
      </c>
      <c r="W694">
        <v>1270</v>
      </c>
      <c r="X694">
        <v>719</v>
      </c>
      <c r="Y694">
        <v>77</v>
      </c>
      <c r="Z694">
        <v>39</v>
      </c>
      <c r="AA694">
        <v>221</v>
      </c>
      <c r="AB694">
        <v>1</v>
      </c>
      <c r="AC694">
        <v>19</v>
      </c>
      <c r="AD694">
        <v>33</v>
      </c>
      <c r="AE694">
        <v>0</v>
      </c>
      <c r="AF694">
        <v>0</v>
      </c>
      <c r="AG694">
        <v>4</v>
      </c>
      <c r="AH694">
        <v>0</v>
      </c>
      <c r="AI694">
        <v>0</v>
      </c>
      <c r="AJ694">
        <v>0</v>
      </c>
      <c r="AK694">
        <v>1.0424500000000001</v>
      </c>
      <c r="AL694">
        <v>1</v>
      </c>
      <c r="AM694">
        <v>0</v>
      </c>
      <c r="AN694">
        <v>1127</v>
      </c>
      <c r="AO694">
        <v>0</v>
      </c>
      <c r="AP694">
        <v>0</v>
      </c>
      <c r="AQ694">
        <v>0</v>
      </c>
    </row>
    <row r="695" spans="1:43" x14ac:dyDescent="0.25">
      <c r="A695">
        <v>692</v>
      </c>
      <c r="B695">
        <v>13</v>
      </c>
      <c r="C695">
        <v>13</v>
      </c>
      <c r="D695">
        <v>3</v>
      </c>
      <c r="E695">
        <v>1087</v>
      </c>
      <c r="F695">
        <v>3194</v>
      </c>
      <c r="G695">
        <v>3194</v>
      </c>
      <c r="H695">
        <v>1509</v>
      </c>
      <c r="I695">
        <v>1090</v>
      </c>
      <c r="J695">
        <v>3</v>
      </c>
      <c r="K695">
        <v>101</v>
      </c>
      <c r="L695">
        <v>148</v>
      </c>
      <c r="M695">
        <v>121</v>
      </c>
      <c r="N695">
        <v>712</v>
      </c>
      <c r="O695">
        <v>340</v>
      </c>
      <c r="P695">
        <v>314</v>
      </c>
      <c r="Q695">
        <v>13</v>
      </c>
      <c r="R695">
        <v>0.206698565</v>
      </c>
      <c r="S695">
        <v>1215</v>
      </c>
      <c r="T695">
        <v>67</v>
      </c>
      <c r="U695">
        <v>798</v>
      </c>
      <c r="V695">
        <v>613</v>
      </c>
      <c r="W695">
        <v>1039</v>
      </c>
      <c r="X695">
        <v>546</v>
      </c>
      <c r="Y695">
        <v>213</v>
      </c>
      <c r="Z695">
        <v>333</v>
      </c>
      <c r="AA695">
        <v>482</v>
      </c>
      <c r="AB695">
        <v>2</v>
      </c>
      <c r="AC695">
        <v>48</v>
      </c>
      <c r="AD695">
        <v>137</v>
      </c>
      <c r="AE695">
        <v>0</v>
      </c>
      <c r="AF695">
        <v>0</v>
      </c>
      <c r="AG695">
        <v>4</v>
      </c>
      <c r="AH695">
        <v>0</v>
      </c>
      <c r="AI695">
        <v>0</v>
      </c>
      <c r="AJ695">
        <v>0</v>
      </c>
      <c r="AK695">
        <v>1.2614000000000001</v>
      </c>
      <c r="AL695">
        <v>2</v>
      </c>
      <c r="AM695">
        <v>0</v>
      </c>
      <c r="AN695">
        <v>1087</v>
      </c>
      <c r="AO695">
        <v>0</v>
      </c>
      <c r="AP695">
        <v>0</v>
      </c>
      <c r="AQ695">
        <v>0</v>
      </c>
    </row>
    <row r="696" spans="1:43" x14ac:dyDescent="0.25">
      <c r="A696">
        <v>693</v>
      </c>
      <c r="B696">
        <v>13</v>
      </c>
      <c r="C696">
        <v>13</v>
      </c>
      <c r="D696">
        <v>3</v>
      </c>
      <c r="E696">
        <v>1372</v>
      </c>
      <c r="F696">
        <v>4410</v>
      </c>
      <c r="G696">
        <v>4412</v>
      </c>
      <c r="H696">
        <v>2069</v>
      </c>
      <c r="I696">
        <v>1364</v>
      </c>
      <c r="J696">
        <v>17</v>
      </c>
      <c r="K696">
        <v>108</v>
      </c>
      <c r="L696">
        <v>160</v>
      </c>
      <c r="M696">
        <v>176</v>
      </c>
      <c r="N696">
        <v>922</v>
      </c>
      <c r="O696">
        <v>439</v>
      </c>
      <c r="P696">
        <v>359</v>
      </c>
      <c r="Q696">
        <v>73</v>
      </c>
      <c r="R696">
        <v>0.17659044600000001</v>
      </c>
      <c r="S696">
        <v>493</v>
      </c>
      <c r="T696">
        <v>154</v>
      </c>
      <c r="U696">
        <v>1147</v>
      </c>
      <c r="V696">
        <v>1073</v>
      </c>
      <c r="W696">
        <v>1336</v>
      </c>
      <c r="X696">
        <v>615</v>
      </c>
      <c r="Y696">
        <v>28</v>
      </c>
      <c r="Z696">
        <v>69</v>
      </c>
      <c r="AA696">
        <v>352</v>
      </c>
      <c r="AB696">
        <v>1</v>
      </c>
      <c r="AC696">
        <v>22</v>
      </c>
      <c r="AD696">
        <v>21</v>
      </c>
      <c r="AE696">
        <v>0</v>
      </c>
      <c r="AF696">
        <v>0</v>
      </c>
      <c r="AG696">
        <v>4</v>
      </c>
      <c r="AH696">
        <v>1471</v>
      </c>
      <c r="AI696">
        <v>0</v>
      </c>
      <c r="AJ696">
        <v>0</v>
      </c>
      <c r="AK696">
        <v>1.1174999999999999</v>
      </c>
      <c r="AL696">
        <v>3</v>
      </c>
      <c r="AM696">
        <v>0</v>
      </c>
      <c r="AN696">
        <v>1372</v>
      </c>
      <c r="AO696">
        <v>2</v>
      </c>
      <c r="AP696">
        <v>0</v>
      </c>
      <c r="AQ696">
        <v>0</v>
      </c>
    </row>
    <row r="697" spans="1:43" x14ac:dyDescent="0.25">
      <c r="A697">
        <v>694</v>
      </c>
      <c r="B697">
        <v>13</v>
      </c>
      <c r="C697">
        <v>13</v>
      </c>
      <c r="D697">
        <v>3</v>
      </c>
      <c r="E697">
        <v>1756</v>
      </c>
      <c r="F697">
        <v>5943</v>
      </c>
      <c r="G697">
        <v>5956</v>
      </c>
      <c r="H697">
        <v>2644</v>
      </c>
      <c r="I697">
        <v>1657</v>
      </c>
      <c r="J697">
        <v>0</v>
      </c>
      <c r="K697">
        <v>190</v>
      </c>
      <c r="L697">
        <v>122</v>
      </c>
      <c r="M697">
        <v>250</v>
      </c>
      <c r="N697">
        <v>1198</v>
      </c>
      <c r="O697">
        <v>595</v>
      </c>
      <c r="P697">
        <v>543.4570946</v>
      </c>
      <c r="Q697">
        <v>29</v>
      </c>
      <c r="R697">
        <v>0.19772129699999999</v>
      </c>
      <c r="S697">
        <v>279</v>
      </c>
      <c r="T697">
        <v>150</v>
      </c>
      <c r="U697">
        <v>1493</v>
      </c>
      <c r="V697">
        <v>1196</v>
      </c>
      <c r="W697">
        <v>1868</v>
      </c>
      <c r="X697">
        <v>859</v>
      </c>
      <c r="Y697">
        <v>8</v>
      </c>
      <c r="Z697">
        <v>82</v>
      </c>
      <c r="AA697">
        <v>158</v>
      </c>
      <c r="AB697">
        <v>1</v>
      </c>
      <c r="AC697">
        <v>14</v>
      </c>
      <c r="AD697">
        <v>16</v>
      </c>
      <c r="AE697">
        <v>0</v>
      </c>
      <c r="AF697">
        <v>0</v>
      </c>
      <c r="AG697">
        <v>4</v>
      </c>
      <c r="AH697">
        <v>0</v>
      </c>
      <c r="AI697">
        <v>0</v>
      </c>
      <c r="AJ697">
        <v>0</v>
      </c>
      <c r="AK697">
        <v>1.0748</v>
      </c>
      <c r="AL697">
        <v>1</v>
      </c>
      <c r="AM697">
        <v>0</v>
      </c>
      <c r="AN697">
        <v>1756</v>
      </c>
      <c r="AO697">
        <v>13</v>
      </c>
      <c r="AP697">
        <v>0</v>
      </c>
      <c r="AQ697">
        <v>0</v>
      </c>
    </row>
    <row r="698" spans="1:43" x14ac:dyDescent="0.25">
      <c r="A698">
        <v>695</v>
      </c>
      <c r="B698">
        <v>13</v>
      </c>
      <c r="C698">
        <v>13</v>
      </c>
      <c r="D698">
        <v>3</v>
      </c>
      <c r="E698">
        <v>2543</v>
      </c>
      <c r="F698">
        <v>7394</v>
      </c>
      <c r="G698">
        <v>7394</v>
      </c>
      <c r="H698">
        <v>3215</v>
      </c>
      <c r="I698">
        <v>2504</v>
      </c>
      <c r="J698">
        <v>18</v>
      </c>
      <c r="K698">
        <v>255</v>
      </c>
      <c r="L698">
        <v>216</v>
      </c>
      <c r="M698">
        <v>452</v>
      </c>
      <c r="N698">
        <v>1606</v>
      </c>
      <c r="O698">
        <v>5916</v>
      </c>
      <c r="P698">
        <v>2077.7086850000001</v>
      </c>
      <c r="Q698">
        <v>29</v>
      </c>
      <c r="R698">
        <v>0.240898312</v>
      </c>
      <c r="S698">
        <v>585</v>
      </c>
      <c r="T698">
        <v>173</v>
      </c>
      <c r="U698">
        <v>1593</v>
      </c>
      <c r="V698">
        <v>1279</v>
      </c>
      <c r="W698">
        <v>2505</v>
      </c>
      <c r="X698">
        <v>1420</v>
      </c>
      <c r="Y698">
        <v>7</v>
      </c>
      <c r="Z698">
        <v>183</v>
      </c>
      <c r="AA698">
        <v>265</v>
      </c>
      <c r="AB698">
        <v>1</v>
      </c>
      <c r="AC698">
        <v>26</v>
      </c>
      <c r="AD698">
        <v>103</v>
      </c>
      <c r="AE698">
        <v>0</v>
      </c>
      <c r="AF698">
        <v>0</v>
      </c>
      <c r="AG698">
        <v>4</v>
      </c>
      <c r="AH698">
        <v>0</v>
      </c>
      <c r="AI698">
        <v>0</v>
      </c>
      <c r="AJ698">
        <v>0</v>
      </c>
      <c r="AK698">
        <v>1.0775699999999999</v>
      </c>
      <c r="AL698">
        <v>1</v>
      </c>
      <c r="AM698">
        <v>0</v>
      </c>
      <c r="AN698">
        <v>2543</v>
      </c>
      <c r="AO698">
        <v>0</v>
      </c>
      <c r="AP698">
        <v>0</v>
      </c>
      <c r="AQ698">
        <v>0</v>
      </c>
    </row>
    <row r="699" spans="1:43" x14ac:dyDescent="0.25">
      <c r="A699">
        <v>696</v>
      </c>
      <c r="B699">
        <v>13</v>
      </c>
      <c r="C699">
        <v>13</v>
      </c>
      <c r="D699">
        <v>3</v>
      </c>
      <c r="E699">
        <v>2248</v>
      </c>
      <c r="F699">
        <v>5504</v>
      </c>
      <c r="G699">
        <v>5534</v>
      </c>
      <c r="H699">
        <v>2926</v>
      </c>
      <c r="I699">
        <v>1569</v>
      </c>
      <c r="J699">
        <v>620</v>
      </c>
      <c r="K699">
        <v>353</v>
      </c>
      <c r="L699">
        <v>398</v>
      </c>
      <c r="M699">
        <v>551</v>
      </c>
      <c r="N699">
        <v>942</v>
      </c>
      <c r="O699">
        <v>9407</v>
      </c>
      <c r="P699">
        <v>1773.8796170000001</v>
      </c>
      <c r="Q699">
        <v>85</v>
      </c>
      <c r="R699">
        <v>0.25468233600000001</v>
      </c>
      <c r="S699">
        <v>1390</v>
      </c>
      <c r="T699">
        <v>135</v>
      </c>
      <c r="U699">
        <v>893</v>
      </c>
      <c r="V699">
        <v>1303</v>
      </c>
      <c r="W699">
        <v>1958</v>
      </c>
      <c r="X699">
        <v>1030</v>
      </c>
      <c r="Y699">
        <v>16</v>
      </c>
      <c r="Z699">
        <v>166</v>
      </c>
      <c r="AA699">
        <v>400</v>
      </c>
      <c r="AB699">
        <v>58</v>
      </c>
      <c r="AC699">
        <v>655</v>
      </c>
      <c r="AD699">
        <v>95</v>
      </c>
      <c r="AE699">
        <v>0</v>
      </c>
      <c r="AF699">
        <v>0</v>
      </c>
      <c r="AG699">
        <v>4</v>
      </c>
      <c r="AH699">
        <v>0</v>
      </c>
      <c r="AI699">
        <v>0</v>
      </c>
      <c r="AJ699">
        <v>0</v>
      </c>
      <c r="AK699">
        <v>0.98738999999999999</v>
      </c>
      <c r="AL699">
        <v>1</v>
      </c>
      <c r="AM699">
        <v>0</v>
      </c>
      <c r="AN699">
        <v>2248</v>
      </c>
      <c r="AO699">
        <v>30</v>
      </c>
      <c r="AP699">
        <v>0</v>
      </c>
      <c r="AQ699">
        <v>0</v>
      </c>
    </row>
    <row r="700" spans="1:43" x14ac:dyDescent="0.25">
      <c r="A700">
        <v>697</v>
      </c>
      <c r="B700">
        <v>14</v>
      </c>
      <c r="C700">
        <v>14</v>
      </c>
      <c r="D700">
        <v>3</v>
      </c>
      <c r="E700">
        <v>499</v>
      </c>
      <c r="F700">
        <v>1482</v>
      </c>
      <c r="G700">
        <v>1509</v>
      </c>
      <c r="H700">
        <v>664</v>
      </c>
      <c r="I700">
        <v>493</v>
      </c>
      <c r="J700">
        <v>1</v>
      </c>
      <c r="K700">
        <v>109</v>
      </c>
      <c r="L700">
        <v>177</v>
      </c>
      <c r="M700">
        <v>70</v>
      </c>
      <c r="N700">
        <v>151</v>
      </c>
      <c r="O700">
        <v>19547</v>
      </c>
      <c r="P700">
        <v>309.70847670000001</v>
      </c>
      <c r="Q700">
        <v>112</v>
      </c>
      <c r="R700">
        <v>0.22038892199999999</v>
      </c>
      <c r="S700">
        <v>2036</v>
      </c>
      <c r="T700">
        <v>46</v>
      </c>
      <c r="U700">
        <v>347</v>
      </c>
      <c r="V700">
        <v>536</v>
      </c>
      <c r="W700">
        <v>381</v>
      </c>
      <c r="X700">
        <v>349</v>
      </c>
      <c r="Y700">
        <v>32</v>
      </c>
      <c r="Z700">
        <v>1250</v>
      </c>
      <c r="AA700">
        <v>217</v>
      </c>
      <c r="AB700">
        <v>248</v>
      </c>
      <c r="AC700">
        <v>158</v>
      </c>
      <c r="AD700">
        <v>131</v>
      </c>
      <c r="AE700">
        <v>0</v>
      </c>
      <c r="AF700">
        <v>0</v>
      </c>
      <c r="AG700">
        <v>4</v>
      </c>
      <c r="AH700">
        <v>0</v>
      </c>
      <c r="AI700">
        <v>0</v>
      </c>
      <c r="AJ700">
        <v>0</v>
      </c>
      <c r="AK700">
        <v>1.28762</v>
      </c>
      <c r="AL700">
        <v>1</v>
      </c>
      <c r="AM700">
        <v>0</v>
      </c>
      <c r="AN700">
        <v>499</v>
      </c>
      <c r="AO700">
        <v>27</v>
      </c>
      <c r="AP700">
        <v>0</v>
      </c>
      <c r="AQ700">
        <v>0</v>
      </c>
    </row>
    <row r="701" spans="1:43" x14ac:dyDescent="0.25">
      <c r="A701">
        <v>698</v>
      </c>
      <c r="B701">
        <v>14</v>
      </c>
      <c r="C701">
        <v>14</v>
      </c>
      <c r="D701">
        <v>3</v>
      </c>
      <c r="E701">
        <v>2693</v>
      </c>
      <c r="F701">
        <v>8191</v>
      </c>
      <c r="G701">
        <v>8201</v>
      </c>
      <c r="H701">
        <v>3995</v>
      </c>
      <c r="I701">
        <v>2662</v>
      </c>
      <c r="J701">
        <v>25</v>
      </c>
      <c r="K701">
        <v>167</v>
      </c>
      <c r="L701">
        <v>448</v>
      </c>
      <c r="M701">
        <v>485</v>
      </c>
      <c r="N701">
        <v>1613</v>
      </c>
      <c r="O701">
        <v>3698</v>
      </c>
      <c r="P701">
        <v>1566.30628</v>
      </c>
      <c r="Q701">
        <v>90</v>
      </c>
      <c r="R701">
        <v>0.19290780099999999</v>
      </c>
      <c r="S701">
        <v>1711</v>
      </c>
      <c r="T701">
        <v>554</v>
      </c>
      <c r="U701">
        <v>1753</v>
      </c>
      <c r="V701">
        <v>2341</v>
      </c>
      <c r="W701">
        <v>2193</v>
      </c>
      <c r="X701">
        <v>1410</v>
      </c>
      <c r="Y701">
        <v>416</v>
      </c>
      <c r="Z701">
        <v>167</v>
      </c>
      <c r="AA701">
        <v>859</v>
      </c>
      <c r="AB701">
        <v>48</v>
      </c>
      <c r="AC701">
        <v>88</v>
      </c>
      <c r="AD701">
        <v>133</v>
      </c>
      <c r="AE701">
        <v>0</v>
      </c>
      <c r="AF701">
        <v>0</v>
      </c>
      <c r="AG701">
        <v>4</v>
      </c>
      <c r="AH701">
        <v>1101</v>
      </c>
      <c r="AI701">
        <v>0</v>
      </c>
      <c r="AJ701">
        <v>0</v>
      </c>
      <c r="AK701">
        <v>1.04033</v>
      </c>
      <c r="AL701">
        <v>1</v>
      </c>
      <c r="AM701">
        <v>0</v>
      </c>
      <c r="AN701">
        <v>2693</v>
      </c>
      <c r="AO701">
        <v>10</v>
      </c>
      <c r="AP701">
        <v>0</v>
      </c>
      <c r="AQ701">
        <v>0</v>
      </c>
    </row>
    <row r="702" spans="1:43" x14ac:dyDescent="0.25">
      <c r="A702">
        <v>699</v>
      </c>
      <c r="B702">
        <v>14</v>
      </c>
      <c r="C702">
        <v>14</v>
      </c>
      <c r="D702">
        <v>3</v>
      </c>
      <c r="E702">
        <v>1740</v>
      </c>
      <c r="F702">
        <v>5208</v>
      </c>
      <c r="G702">
        <v>5208</v>
      </c>
      <c r="H702">
        <v>2744</v>
      </c>
      <c r="I702">
        <v>1534</v>
      </c>
      <c r="J702">
        <v>120</v>
      </c>
      <c r="K702">
        <v>143</v>
      </c>
      <c r="L702">
        <v>241</v>
      </c>
      <c r="M702">
        <v>466</v>
      </c>
      <c r="N702">
        <v>883</v>
      </c>
      <c r="O702">
        <v>2213</v>
      </c>
      <c r="P702">
        <v>772.8883098</v>
      </c>
      <c r="Q702">
        <v>18</v>
      </c>
      <c r="R702">
        <v>0.200566572</v>
      </c>
      <c r="S702">
        <v>789</v>
      </c>
      <c r="T702">
        <v>147</v>
      </c>
      <c r="U702">
        <v>1011</v>
      </c>
      <c r="V702">
        <v>1378</v>
      </c>
      <c r="W702">
        <v>1693</v>
      </c>
      <c r="X702">
        <v>932</v>
      </c>
      <c r="Y702">
        <v>76</v>
      </c>
      <c r="Z702">
        <v>181</v>
      </c>
      <c r="AA702">
        <v>157</v>
      </c>
      <c r="AB702">
        <v>254</v>
      </c>
      <c r="AC702">
        <v>57</v>
      </c>
      <c r="AD702">
        <v>64</v>
      </c>
      <c r="AE702">
        <v>0</v>
      </c>
      <c r="AF702">
        <v>0</v>
      </c>
      <c r="AG702">
        <v>4</v>
      </c>
      <c r="AH702">
        <v>0</v>
      </c>
      <c r="AI702">
        <v>0</v>
      </c>
      <c r="AJ702">
        <v>0</v>
      </c>
      <c r="AK702">
        <v>1.0431900000000001</v>
      </c>
      <c r="AL702">
        <v>1</v>
      </c>
      <c r="AM702">
        <v>0</v>
      </c>
      <c r="AN702">
        <v>1740</v>
      </c>
      <c r="AO702">
        <v>0</v>
      </c>
      <c r="AP702">
        <v>0</v>
      </c>
      <c r="AQ702">
        <v>0</v>
      </c>
    </row>
    <row r="703" spans="1:43" x14ac:dyDescent="0.25">
      <c r="A703">
        <v>700</v>
      </c>
      <c r="B703">
        <v>14</v>
      </c>
      <c r="C703">
        <v>14</v>
      </c>
      <c r="D703">
        <v>3</v>
      </c>
      <c r="E703">
        <v>4318</v>
      </c>
      <c r="F703">
        <v>12556</v>
      </c>
      <c r="G703">
        <v>12578</v>
      </c>
      <c r="H703">
        <v>6172</v>
      </c>
      <c r="I703">
        <v>3560</v>
      </c>
      <c r="J703">
        <v>675</v>
      </c>
      <c r="K703">
        <v>803</v>
      </c>
      <c r="L703">
        <v>1001</v>
      </c>
      <c r="M703">
        <v>960</v>
      </c>
      <c r="N703">
        <v>1561</v>
      </c>
      <c r="O703">
        <v>2701</v>
      </c>
      <c r="P703">
        <v>820.25963290000004</v>
      </c>
      <c r="Q703">
        <v>476.04241619999999</v>
      </c>
      <c r="R703">
        <v>0.13867157499999999</v>
      </c>
      <c r="S703">
        <v>11347</v>
      </c>
      <c r="T703">
        <v>1159</v>
      </c>
      <c r="U703">
        <v>2830</v>
      </c>
      <c r="V703">
        <v>3995</v>
      </c>
      <c r="W703">
        <v>3435</v>
      </c>
      <c r="X703">
        <v>1291</v>
      </c>
      <c r="Y703">
        <v>923</v>
      </c>
      <c r="Z703">
        <v>1346</v>
      </c>
      <c r="AA703">
        <v>2216</v>
      </c>
      <c r="AB703">
        <v>131</v>
      </c>
      <c r="AC703">
        <v>5545</v>
      </c>
      <c r="AD703">
        <v>1186</v>
      </c>
      <c r="AE703">
        <v>0</v>
      </c>
      <c r="AF703">
        <v>0</v>
      </c>
      <c r="AG703">
        <v>4</v>
      </c>
      <c r="AH703">
        <v>1511</v>
      </c>
      <c r="AI703">
        <v>0</v>
      </c>
      <c r="AJ703">
        <v>0</v>
      </c>
      <c r="AK703">
        <v>1.48261</v>
      </c>
      <c r="AL703">
        <v>3</v>
      </c>
      <c r="AM703">
        <v>0</v>
      </c>
      <c r="AN703">
        <v>4318</v>
      </c>
      <c r="AO703">
        <v>22</v>
      </c>
      <c r="AP703">
        <v>0</v>
      </c>
      <c r="AQ703">
        <v>0</v>
      </c>
    </row>
    <row r="704" spans="1:43" x14ac:dyDescent="0.25">
      <c r="A704">
        <v>701</v>
      </c>
      <c r="B704">
        <v>14</v>
      </c>
      <c r="C704">
        <v>14</v>
      </c>
      <c r="D704">
        <v>3</v>
      </c>
      <c r="E704">
        <v>2378</v>
      </c>
      <c r="F704">
        <v>6785</v>
      </c>
      <c r="G704">
        <v>6802</v>
      </c>
      <c r="H704">
        <v>2734</v>
      </c>
      <c r="I704">
        <v>1826</v>
      </c>
      <c r="J704">
        <v>498</v>
      </c>
      <c r="K704">
        <v>366</v>
      </c>
      <c r="L704">
        <v>582</v>
      </c>
      <c r="M704">
        <v>527</v>
      </c>
      <c r="N704">
        <v>903</v>
      </c>
      <c r="O704">
        <v>1319</v>
      </c>
      <c r="P704">
        <v>854.49028290000001</v>
      </c>
      <c r="Q704">
        <v>59.35439899</v>
      </c>
      <c r="R704">
        <v>0.259468054</v>
      </c>
      <c r="S704">
        <v>1531</v>
      </c>
      <c r="T704">
        <v>565</v>
      </c>
      <c r="U704">
        <v>1386</v>
      </c>
      <c r="V704">
        <v>1794</v>
      </c>
      <c r="W704">
        <v>1405</v>
      </c>
      <c r="X704">
        <v>1605</v>
      </c>
      <c r="Y704">
        <v>179</v>
      </c>
      <c r="Z704">
        <v>214</v>
      </c>
      <c r="AA704">
        <v>605</v>
      </c>
      <c r="AB704">
        <v>2</v>
      </c>
      <c r="AC704">
        <v>206</v>
      </c>
      <c r="AD704">
        <v>325</v>
      </c>
      <c r="AE704">
        <v>0</v>
      </c>
      <c r="AF704">
        <v>0</v>
      </c>
      <c r="AG704">
        <v>4</v>
      </c>
      <c r="AH704">
        <v>155</v>
      </c>
      <c r="AI704">
        <v>0</v>
      </c>
      <c r="AJ704">
        <v>0</v>
      </c>
      <c r="AK704">
        <v>1.08908</v>
      </c>
      <c r="AL704">
        <v>3</v>
      </c>
      <c r="AM704">
        <v>0</v>
      </c>
      <c r="AN704">
        <v>2378</v>
      </c>
      <c r="AO704">
        <v>17</v>
      </c>
      <c r="AP704">
        <v>0</v>
      </c>
      <c r="AQ704">
        <v>0</v>
      </c>
    </row>
    <row r="705" spans="1:43" x14ac:dyDescent="0.25">
      <c r="A705">
        <v>702</v>
      </c>
      <c r="B705">
        <v>14</v>
      </c>
      <c r="C705">
        <v>14</v>
      </c>
      <c r="D705">
        <v>3</v>
      </c>
      <c r="E705">
        <v>3495</v>
      </c>
      <c r="F705">
        <v>10338</v>
      </c>
      <c r="G705">
        <v>10661</v>
      </c>
      <c r="H705">
        <v>5187</v>
      </c>
      <c r="I705">
        <v>2288</v>
      </c>
      <c r="J705">
        <v>1150</v>
      </c>
      <c r="K705">
        <v>662</v>
      </c>
      <c r="L705">
        <v>1081</v>
      </c>
      <c r="M705">
        <v>732</v>
      </c>
      <c r="N705">
        <v>1042</v>
      </c>
      <c r="O705">
        <v>1564</v>
      </c>
      <c r="P705">
        <v>950.74473539999997</v>
      </c>
      <c r="Q705">
        <v>138</v>
      </c>
      <c r="R705">
        <v>0.172960587</v>
      </c>
      <c r="S705">
        <v>3571</v>
      </c>
      <c r="T705">
        <v>886</v>
      </c>
      <c r="U705">
        <v>1998</v>
      </c>
      <c r="V705">
        <v>4006</v>
      </c>
      <c r="W705">
        <v>2406</v>
      </c>
      <c r="X705">
        <v>1367</v>
      </c>
      <c r="Y705">
        <v>263</v>
      </c>
      <c r="Z705">
        <v>620</v>
      </c>
      <c r="AA705">
        <v>1931</v>
      </c>
      <c r="AB705">
        <v>9</v>
      </c>
      <c r="AC705">
        <v>209</v>
      </c>
      <c r="AD705">
        <v>539</v>
      </c>
      <c r="AE705">
        <v>0</v>
      </c>
      <c r="AF705">
        <v>0</v>
      </c>
      <c r="AG705">
        <v>4</v>
      </c>
      <c r="AH705">
        <v>0</v>
      </c>
      <c r="AI705">
        <v>0</v>
      </c>
      <c r="AJ705">
        <v>0</v>
      </c>
      <c r="AK705">
        <v>1.2054</v>
      </c>
      <c r="AL705">
        <v>1</v>
      </c>
      <c r="AM705">
        <v>0</v>
      </c>
      <c r="AN705">
        <v>3495</v>
      </c>
      <c r="AO705">
        <v>323</v>
      </c>
      <c r="AP705">
        <v>0</v>
      </c>
      <c r="AQ705">
        <v>0</v>
      </c>
    </row>
    <row r="706" spans="1:43" x14ac:dyDescent="0.25">
      <c r="A706">
        <v>703</v>
      </c>
      <c r="B706">
        <v>14</v>
      </c>
      <c r="C706">
        <v>14</v>
      </c>
      <c r="D706">
        <v>3</v>
      </c>
      <c r="E706">
        <v>1444</v>
      </c>
      <c r="F706">
        <v>4474</v>
      </c>
      <c r="G706">
        <v>4489</v>
      </c>
      <c r="H706">
        <v>2265</v>
      </c>
      <c r="I706">
        <v>1358</v>
      </c>
      <c r="J706">
        <v>1</v>
      </c>
      <c r="K706">
        <v>105</v>
      </c>
      <c r="L706">
        <v>170</v>
      </c>
      <c r="M706">
        <v>333</v>
      </c>
      <c r="N706">
        <v>829</v>
      </c>
      <c r="O706">
        <v>4088</v>
      </c>
      <c r="P706">
        <v>1338.5179459999999</v>
      </c>
      <c r="Q706">
        <v>15</v>
      </c>
      <c r="R706">
        <v>0.216499252</v>
      </c>
      <c r="S706">
        <v>459</v>
      </c>
      <c r="T706">
        <v>247</v>
      </c>
      <c r="U706">
        <v>848</v>
      </c>
      <c r="V706">
        <v>1291</v>
      </c>
      <c r="W706">
        <v>1406</v>
      </c>
      <c r="X706">
        <v>768</v>
      </c>
      <c r="Y706">
        <v>13</v>
      </c>
      <c r="Z706">
        <v>134</v>
      </c>
      <c r="AA706">
        <v>187</v>
      </c>
      <c r="AB706">
        <v>15</v>
      </c>
      <c r="AC706">
        <v>27</v>
      </c>
      <c r="AD706">
        <v>83</v>
      </c>
      <c r="AE706">
        <v>0</v>
      </c>
      <c r="AF706">
        <v>0</v>
      </c>
      <c r="AG706">
        <v>4</v>
      </c>
      <c r="AH706">
        <v>83</v>
      </c>
      <c r="AI706">
        <v>0</v>
      </c>
      <c r="AJ706">
        <v>0</v>
      </c>
      <c r="AK706">
        <v>0.96897999999999995</v>
      </c>
      <c r="AL706">
        <v>1</v>
      </c>
      <c r="AM706">
        <v>0</v>
      </c>
      <c r="AN706">
        <v>1444</v>
      </c>
      <c r="AO706">
        <v>15</v>
      </c>
      <c r="AP706">
        <v>0</v>
      </c>
      <c r="AQ706">
        <v>0</v>
      </c>
    </row>
    <row r="707" spans="1:43" x14ac:dyDescent="0.25">
      <c r="A707">
        <v>704</v>
      </c>
      <c r="B707">
        <v>14</v>
      </c>
      <c r="C707">
        <v>14</v>
      </c>
      <c r="D707">
        <v>3</v>
      </c>
      <c r="E707">
        <v>1747</v>
      </c>
      <c r="F707">
        <v>4937</v>
      </c>
      <c r="G707">
        <v>4937</v>
      </c>
      <c r="H707">
        <v>2509</v>
      </c>
      <c r="I707">
        <v>1679</v>
      </c>
      <c r="J707">
        <v>9</v>
      </c>
      <c r="K707">
        <v>87</v>
      </c>
      <c r="L707">
        <v>297</v>
      </c>
      <c r="M707">
        <v>326</v>
      </c>
      <c r="N707">
        <v>1025</v>
      </c>
      <c r="O707">
        <v>64673</v>
      </c>
      <c r="P707">
        <v>1708.4177810000001</v>
      </c>
      <c r="Q707">
        <v>19.862567779999999</v>
      </c>
      <c r="R707">
        <v>0.24648318</v>
      </c>
      <c r="S707">
        <v>844</v>
      </c>
      <c r="T707">
        <v>244</v>
      </c>
      <c r="U707">
        <v>948</v>
      </c>
      <c r="V707">
        <v>1195</v>
      </c>
      <c r="W707">
        <v>1452</v>
      </c>
      <c r="X707">
        <v>945</v>
      </c>
      <c r="Y707">
        <v>16</v>
      </c>
      <c r="Z707">
        <v>166</v>
      </c>
      <c r="AA707">
        <v>341</v>
      </c>
      <c r="AB707">
        <v>30</v>
      </c>
      <c r="AC707">
        <v>149</v>
      </c>
      <c r="AD707">
        <v>142</v>
      </c>
      <c r="AE707">
        <v>0</v>
      </c>
      <c r="AF707">
        <v>0</v>
      </c>
      <c r="AG707">
        <v>5</v>
      </c>
      <c r="AH707">
        <v>0</v>
      </c>
      <c r="AI707">
        <v>0</v>
      </c>
      <c r="AJ707">
        <v>0</v>
      </c>
      <c r="AK707">
        <v>0.96318000000000004</v>
      </c>
      <c r="AL707">
        <v>1</v>
      </c>
      <c r="AM707">
        <v>0</v>
      </c>
      <c r="AN707">
        <v>1747</v>
      </c>
      <c r="AO707">
        <v>0</v>
      </c>
      <c r="AP707">
        <v>0</v>
      </c>
      <c r="AQ707">
        <v>0</v>
      </c>
    </row>
    <row r="708" spans="1:43" x14ac:dyDescent="0.25">
      <c r="A708">
        <v>705</v>
      </c>
      <c r="B708">
        <v>14</v>
      </c>
      <c r="C708">
        <v>14</v>
      </c>
      <c r="D708">
        <v>3</v>
      </c>
      <c r="E708">
        <v>4554</v>
      </c>
      <c r="F708">
        <v>13610</v>
      </c>
      <c r="G708">
        <v>13664</v>
      </c>
      <c r="H708">
        <v>6725</v>
      </c>
      <c r="I708">
        <v>3744</v>
      </c>
      <c r="J708">
        <v>685</v>
      </c>
      <c r="K708">
        <v>878</v>
      </c>
      <c r="L708">
        <v>978</v>
      </c>
      <c r="M708">
        <v>1077</v>
      </c>
      <c r="N708">
        <v>1617</v>
      </c>
      <c r="O708">
        <v>6523</v>
      </c>
      <c r="P708">
        <v>999.68167640000001</v>
      </c>
      <c r="Q708">
        <v>122</v>
      </c>
      <c r="R708">
        <v>0.166979866</v>
      </c>
      <c r="S708">
        <v>1802</v>
      </c>
      <c r="T708">
        <v>966</v>
      </c>
      <c r="U708">
        <v>3570</v>
      </c>
      <c r="V708">
        <v>4378</v>
      </c>
      <c r="W708">
        <v>3504</v>
      </c>
      <c r="X708">
        <v>2132</v>
      </c>
      <c r="Y708">
        <v>55</v>
      </c>
      <c r="Z708">
        <v>173</v>
      </c>
      <c r="AA708">
        <v>1133</v>
      </c>
      <c r="AB708">
        <v>88</v>
      </c>
      <c r="AC708">
        <v>178</v>
      </c>
      <c r="AD708">
        <v>175</v>
      </c>
      <c r="AE708">
        <v>0</v>
      </c>
      <c r="AF708">
        <v>0</v>
      </c>
      <c r="AG708">
        <v>4</v>
      </c>
      <c r="AH708">
        <v>1922</v>
      </c>
      <c r="AI708">
        <v>2126</v>
      </c>
      <c r="AJ708">
        <v>7078</v>
      </c>
      <c r="AK708">
        <v>1.18665</v>
      </c>
      <c r="AL708">
        <v>2</v>
      </c>
      <c r="AM708">
        <v>0</v>
      </c>
      <c r="AN708">
        <v>4554</v>
      </c>
      <c r="AO708">
        <v>54</v>
      </c>
      <c r="AP708">
        <v>0</v>
      </c>
      <c r="AQ708">
        <v>0</v>
      </c>
    </row>
    <row r="709" spans="1:43" x14ac:dyDescent="0.25">
      <c r="A709">
        <v>706</v>
      </c>
      <c r="B709">
        <v>14</v>
      </c>
      <c r="C709">
        <v>14</v>
      </c>
      <c r="D709">
        <v>3</v>
      </c>
      <c r="E709">
        <v>762</v>
      </c>
      <c r="F709">
        <v>2219</v>
      </c>
      <c r="G709">
        <v>2268</v>
      </c>
      <c r="H709">
        <v>1079</v>
      </c>
      <c r="I709">
        <v>814</v>
      </c>
      <c r="J709">
        <v>24</v>
      </c>
      <c r="K709">
        <v>160</v>
      </c>
      <c r="L709">
        <v>175</v>
      </c>
      <c r="M709">
        <v>178</v>
      </c>
      <c r="N709">
        <v>259</v>
      </c>
      <c r="O709">
        <v>23979</v>
      </c>
      <c r="P709">
        <v>862.81540329999996</v>
      </c>
      <c r="Q709">
        <v>1060.567413</v>
      </c>
      <c r="R709">
        <v>0.225863284</v>
      </c>
      <c r="S709">
        <v>7510</v>
      </c>
      <c r="T709">
        <v>147</v>
      </c>
      <c r="U709">
        <v>489</v>
      </c>
      <c r="V709">
        <v>744</v>
      </c>
      <c r="W709">
        <v>880</v>
      </c>
      <c r="X709">
        <v>499</v>
      </c>
      <c r="Y709">
        <v>2105</v>
      </c>
      <c r="Z709">
        <v>391</v>
      </c>
      <c r="AA709">
        <v>1717</v>
      </c>
      <c r="AB709">
        <v>821</v>
      </c>
      <c r="AC709">
        <v>1849</v>
      </c>
      <c r="AD709">
        <v>627</v>
      </c>
      <c r="AE709">
        <v>0</v>
      </c>
      <c r="AF709">
        <v>0</v>
      </c>
      <c r="AG709">
        <v>4</v>
      </c>
      <c r="AH709">
        <v>0</v>
      </c>
      <c r="AI709">
        <v>0</v>
      </c>
      <c r="AJ709">
        <v>0</v>
      </c>
      <c r="AK709">
        <v>1.2447299999999999</v>
      </c>
      <c r="AL709">
        <v>3</v>
      </c>
      <c r="AM709">
        <v>0</v>
      </c>
      <c r="AN709">
        <v>762</v>
      </c>
      <c r="AO709">
        <v>49</v>
      </c>
      <c r="AP709">
        <v>0</v>
      </c>
      <c r="AQ709">
        <v>0</v>
      </c>
    </row>
    <row r="710" spans="1:43" x14ac:dyDescent="0.25">
      <c r="A710">
        <v>707</v>
      </c>
      <c r="B710">
        <v>14</v>
      </c>
      <c r="C710">
        <v>14</v>
      </c>
      <c r="D710">
        <v>3</v>
      </c>
      <c r="E710">
        <v>2304</v>
      </c>
      <c r="F710">
        <v>7828</v>
      </c>
      <c r="G710">
        <v>8042</v>
      </c>
      <c r="H710">
        <v>4093</v>
      </c>
      <c r="I710">
        <v>1419</v>
      </c>
      <c r="J710">
        <v>906</v>
      </c>
      <c r="K710">
        <v>640</v>
      </c>
      <c r="L710">
        <v>772</v>
      </c>
      <c r="M710">
        <v>526</v>
      </c>
      <c r="N710">
        <v>352</v>
      </c>
      <c r="O710">
        <v>1020</v>
      </c>
      <c r="P710">
        <v>450.56710880000003</v>
      </c>
      <c r="Q710">
        <v>433</v>
      </c>
      <c r="R710">
        <v>0.112075596</v>
      </c>
      <c r="S710">
        <v>4496</v>
      </c>
      <c r="T710">
        <v>737</v>
      </c>
      <c r="U710">
        <v>2123</v>
      </c>
      <c r="V710">
        <v>3400</v>
      </c>
      <c r="W710">
        <v>1740</v>
      </c>
      <c r="X710">
        <v>848</v>
      </c>
      <c r="Y710">
        <v>697</v>
      </c>
      <c r="Z710">
        <v>492</v>
      </c>
      <c r="AA710">
        <v>2065</v>
      </c>
      <c r="AB710">
        <v>38</v>
      </c>
      <c r="AC710">
        <v>627</v>
      </c>
      <c r="AD710">
        <v>577</v>
      </c>
      <c r="AE710">
        <v>0</v>
      </c>
      <c r="AF710">
        <v>0</v>
      </c>
      <c r="AG710">
        <v>4</v>
      </c>
      <c r="AH710">
        <v>0</v>
      </c>
      <c r="AI710">
        <v>0</v>
      </c>
      <c r="AJ710">
        <v>0</v>
      </c>
      <c r="AK710">
        <v>1.3597600000000001</v>
      </c>
      <c r="AL710">
        <v>3</v>
      </c>
      <c r="AM710">
        <v>0</v>
      </c>
      <c r="AN710">
        <v>2304</v>
      </c>
      <c r="AO710">
        <v>214</v>
      </c>
      <c r="AP710">
        <v>0</v>
      </c>
      <c r="AQ710">
        <v>0</v>
      </c>
    </row>
    <row r="711" spans="1:43" x14ac:dyDescent="0.25">
      <c r="A711">
        <v>708</v>
      </c>
      <c r="B711">
        <v>14</v>
      </c>
      <c r="C711">
        <v>14</v>
      </c>
      <c r="D711">
        <v>3</v>
      </c>
      <c r="E711">
        <v>2718</v>
      </c>
      <c r="F711">
        <v>8304</v>
      </c>
      <c r="G711">
        <v>8307</v>
      </c>
      <c r="H711">
        <v>3795</v>
      </c>
      <c r="I711">
        <v>2082</v>
      </c>
      <c r="J711">
        <v>632</v>
      </c>
      <c r="K711">
        <v>766</v>
      </c>
      <c r="L711">
        <v>655</v>
      </c>
      <c r="M711">
        <v>688</v>
      </c>
      <c r="N711">
        <v>606</v>
      </c>
      <c r="O711">
        <v>600</v>
      </c>
      <c r="P711">
        <v>525</v>
      </c>
      <c r="Q711">
        <v>59.330946070000003</v>
      </c>
      <c r="R711">
        <v>0.18018825599999999</v>
      </c>
      <c r="S711">
        <v>1113</v>
      </c>
      <c r="T711">
        <v>755</v>
      </c>
      <c r="U711">
        <v>2130</v>
      </c>
      <c r="V711">
        <v>2899</v>
      </c>
      <c r="W711">
        <v>1716</v>
      </c>
      <c r="X711">
        <v>1204</v>
      </c>
      <c r="Y711">
        <v>55</v>
      </c>
      <c r="Z711">
        <v>135</v>
      </c>
      <c r="AA711">
        <v>655</v>
      </c>
      <c r="AB711">
        <v>2</v>
      </c>
      <c r="AC711">
        <v>35</v>
      </c>
      <c r="AD711">
        <v>231</v>
      </c>
      <c r="AE711">
        <v>0</v>
      </c>
      <c r="AF711">
        <v>0</v>
      </c>
      <c r="AG711">
        <v>4</v>
      </c>
      <c r="AH711">
        <v>0</v>
      </c>
      <c r="AI711">
        <v>0</v>
      </c>
      <c r="AJ711">
        <v>0</v>
      </c>
      <c r="AK711">
        <v>1.21401</v>
      </c>
      <c r="AL711">
        <v>3</v>
      </c>
      <c r="AM711">
        <v>0</v>
      </c>
      <c r="AN711">
        <v>2718</v>
      </c>
      <c r="AO711">
        <v>3</v>
      </c>
      <c r="AP711">
        <v>0</v>
      </c>
      <c r="AQ711">
        <v>0</v>
      </c>
    </row>
    <row r="712" spans="1:43" x14ac:dyDescent="0.25">
      <c r="A712">
        <v>709</v>
      </c>
      <c r="B712">
        <v>14</v>
      </c>
      <c r="C712">
        <v>14</v>
      </c>
      <c r="D712">
        <v>3</v>
      </c>
      <c r="E712">
        <v>1954</v>
      </c>
      <c r="F712">
        <v>6217</v>
      </c>
      <c r="G712">
        <v>6243</v>
      </c>
      <c r="H712">
        <v>2983</v>
      </c>
      <c r="I712">
        <v>1446</v>
      </c>
      <c r="J712">
        <v>520</v>
      </c>
      <c r="K712">
        <v>578</v>
      </c>
      <c r="L712">
        <v>423</v>
      </c>
      <c r="M712">
        <v>543</v>
      </c>
      <c r="N712">
        <v>406</v>
      </c>
      <c r="O712">
        <v>518</v>
      </c>
      <c r="P712">
        <v>292.09102050000001</v>
      </c>
      <c r="Q712">
        <v>82</v>
      </c>
      <c r="R712">
        <v>0.12505609600000001</v>
      </c>
      <c r="S712">
        <v>1538</v>
      </c>
      <c r="T712">
        <v>377</v>
      </c>
      <c r="U712">
        <v>1674</v>
      </c>
      <c r="V712">
        <v>2366</v>
      </c>
      <c r="W712">
        <v>1400</v>
      </c>
      <c r="X712">
        <v>693</v>
      </c>
      <c r="Y712">
        <v>261</v>
      </c>
      <c r="Z712">
        <v>207</v>
      </c>
      <c r="AA712">
        <v>818</v>
      </c>
      <c r="AB712">
        <v>3</v>
      </c>
      <c r="AC712">
        <v>64</v>
      </c>
      <c r="AD712">
        <v>185</v>
      </c>
      <c r="AE712">
        <v>0</v>
      </c>
      <c r="AF712">
        <v>0</v>
      </c>
      <c r="AG712">
        <v>4</v>
      </c>
      <c r="AH712">
        <v>0</v>
      </c>
      <c r="AI712">
        <v>0</v>
      </c>
      <c r="AJ712">
        <v>0</v>
      </c>
      <c r="AK712">
        <v>1.55402</v>
      </c>
      <c r="AL712">
        <v>3</v>
      </c>
      <c r="AM712">
        <v>0</v>
      </c>
      <c r="AN712">
        <v>1954</v>
      </c>
      <c r="AO712">
        <v>26</v>
      </c>
      <c r="AP712">
        <v>0</v>
      </c>
      <c r="AQ712">
        <v>0</v>
      </c>
    </row>
    <row r="713" spans="1:43" x14ac:dyDescent="0.25">
      <c r="A713">
        <v>710</v>
      </c>
      <c r="B713">
        <v>14</v>
      </c>
      <c r="C713">
        <v>14</v>
      </c>
      <c r="D713">
        <v>3</v>
      </c>
      <c r="E713">
        <v>2342</v>
      </c>
      <c r="F713">
        <v>7897</v>
      </c>
      <c r="G713">
        <v>7919</v>
      </c>
      <c r="H713">
        <v>3844</v>
      </c>
      <c r="I713">
        <v>1595</v>
      </c>
      <c r="J713">
        <v>671</v>
      </c>
      <c r="K713">
        <v>368</v>
      </c>
      <c r="L713">
        <v>716</v>
      </c>
      <c r="M713">
        <v>682</v>
      </c>
      <c r="N713">
        <v>577</v>
      </c>
      <c r="O713">
        <v>652</v>
      </c>
      <c r="P713">
        <v>575.46613019999995</v>
      </c>
      <c r="Q713">
        <v>33.79264397</v>
      </c>
      <c r="R713">
        <v>0.123694476</v>
      </c>
      <c r="S713">
        <v>1247</v>
      </c>
      <c r="T713">
        <v>477</v>
      </c>
      <c r="U713">
        <v>2018</v>
      </c>
      <c r="V713">
        <v>2767</v>
      </c>
      <c r="W713">
        <v>1677</v>
      </c>
      <c r="X713">
        <v>802</v>
      </c>
      <c r="Y713">
        <v>130</v>
      </c>
      <c r="Z713">
        <v>504</v>
      </c>
      <c r="AA713">
        <v>533</v>
      </c>
      <c r="AB713">
        <v>18</v>
      </c>
      <c r="AC713">
        <v>14</v>
      </c>
      <c r="AD713">
        <v>48</v>
      </c>
      <c r="AE713">
        <v>0</v>
      </c>
      <c r="AF713">
        <v>0</v>
      </c>
      <c r="AG713">
        <v>4</v>
      </c>
      <c r="AH713">
        <v>150</v>
      </c>
      <c r="AI713">
        <v>0</v>
      </c>
      <c r="AJ713">
        <v>0</v>
      </c>
      <c r="AK713">
        <v>1.2064999999999999</v>
      </c>
      <c r="AL713">
        <v>3</v>
      </c>
      <c r="AM713">
        <v>0</v>
      </c>
      <c r="AN713">
        <v>2342</v>
      </c>
      <c r="AO713">
        <v>22</v>
      </c>
      <c r="AP713">
        <v>0</v>
      </c>
      <c r="AQ713">
        <v>0</v>
      </c>
    </row>
    <row r="714" spans="1:43" x14ac:dyDescent="0.25">
      <c r="A714">
        <v>711</v>
      </c>
      <c r="B714">
        <v>14</v>
      </c>
      <c r="C714">
        <v>14</v>
      </c>
      <c r="D714">
        <v>3</v>
      </c>
      <c r="E714">
        <v>2975</v>
      </c>
      <c r="F714">
        <v>9262</v>
      </c>
      <c r="G714">
        <v>9263</v>
      </c>
      <c r="H714">
        <v>4314</v>
      </c>
      <c r="I714">
        <v>2778</v>
      </c>
      <c r="J714">
        <v>69</v>
      </c>
      <c r="K714">
        <v>244</v>
      </c>
      <c r="L714">
        <v>417</v>
      </c>
      <c r="M714">
        <v>1186</v>
      </c>
      <c r="N714">
        <v>1151</v>
      </c>
      <c r="O714">
        <v>3330</v>
      </c>
      <c r="P714">
        <v>858.76399919999994</v>
      </c>
      <c r="Q714">
        <v>7</v>
      </c>
      <c r="R714">
        <v>0.15482047500000001</v>
      </c>
      <c r="S714">
        <v>602</v>
      </c>
      <c r="T714">
        <v>334</v>
      </c>
      <c r="U714">
        <v>2327</v>
      </c>
      <c r="V714">
        <v>2646</v>
      </c>
      <c r="W714">
        <v>2852</v>
      </c>
      <c r="X714">
        <v>1162</v>
      </c>
      <c r="Y714">
        <v>16</v>
      </c>
      <c r="Z714">
        <v>129</v>
      </c>
      <c r="AA714">
        <v>250</v>
      </c>
      <c r="AB714">
        <v>15</v>
      </c>
      <c r="AC714">
        <v>32</v>
      </c>
      <c r="AD714">
        <v>160</v>
      </c>
      <c r="AE714">
        <v>0</v>
      </c>
      <c r="AF714">
        <v>0</v>
      </c>
      <c r="AG714">
        <v>4</v>
      </c>
      <c r="AH714">
        <v>1671</v>
      </c>
      <c r="AI714">
        <v>0</v>
      </c>
      <c r="AJ714">
        <v>0</v>
      </c>
      <c r="AK714">
        <v>1.1409499999999999</v>
      </c>
      <c r="AL714">
        <v>1</v>
      </c>
      <c r="AM714">
        <v>0</v>
      </c>
      <c r="AN714">
        <v>2975</v>
      </c>
      <c r="AO714">
        <v>1</v>
      </c>
      <c r="AP714">
        <v>0</v>
      </c>
      <c r="AQ714">
        <v>0</v>
      </c>
    </row>
    <row r="715" spans="1:43" x14ac:dyDescent="0.25">
      <c r="A715">
        <v>712</v>
      </c>
      <c r="B715">
        <v>14</v>
      </c>
      <c r="C715">
        <v>14</v>
      </c>
      <c r="D715">
        <v>3</v>
      </c>
      <c r="E715">
        <v>1531</v>
      </c>
      <c r="F715">
        <v>4149</v>
      </c>
      <c r="G715">
        <v>4313</v>
      </c>
      <c r="H715">
        <v>2031</v>
      </c>
      <c r="I715">
        <v>1528</v>
      </c>
      <c r="J715">
        <v>16</v>
      </c>
      <c r="K715">
        <v>246</v>
      </c>
      <c r="L715">
        <v>292</v>
      </c>
      <c r="M715">
        <v>331</v>
      </c>
      <c r="N715">
        <v>657</v>
      </c>
      <c r="O715">
        <v>10176</v>
      </c>
      <c r="P715">
        <v>1276.446412</v>
      </c>
      <c r="Q715">
        <v>33.131134439999997</v>
      </c>
      <c r="R715">
        <v>0.26500000000000001</v>
      </c>
      <c r="S715">
        <v>1357</v>
      </c>
      <c r="T715">
        <v>86</v>
      </c>
      <c r="U715">
        <v>824</v>
      </c>
      <c r="V715">
        <v>1004</v>
      </c>
      <c r="W715">
        <v>1507</v>
      </c>
      <c r="X715">
        <v>1057</v>
      </c>
      <c r="Y715">
        <v>63</v>
      </c>
      <c r="Z715">
        <v>127</v>
      </c>
      <c r="AA715">
        <v>521</v>
      </c>
      <c r="AB715">
        <v>153</v>
      </c>
      <c r="AC715">
        <v>183</v>
      </c>
      <c r="AD715">
        <v>310</v>
      </c>
      <c r="AE715">
        <v>0</v>
      </c>
      <c r="AF715">
        <v>0</v>
      </c>
      <c r="AG715">
        <v>4</v>
      </c>
      <c r="AH715">
        <v>0</v>
      </c>
      <c r="AI715">
        <v>0</v>
      </c>
      <c r="AJ715">
        <v>0</v>
      </c>
      <c r="AK715">
        <v>1.0157700000000001</v>
      </c>
      <c r="AL715">
        <v>2</v>
      </c>
      <c r="AM715">
        <v>0</v>
      </c>
      <c r="AN715">
        <v>1531</v>
      </c>
      <c r="AO715">
        <v>164</v>
      </c>
      <c r="AP715">
        <v>0</v>
      </c>
      <c r="AQ715">
        <v>0</v>
      </c>
    </row>
    <row r="716" spans="1:43" x14ac:dyDescent="0.25">
      <c r="A716">
        <v>713</v>
      </c>
      <c r="B716">
        <v>14</v>
      </c>
      <c r="C716">
        <v>14</v>
      </c>
      <c r="D716">
        <v>3</v>
      </c>
      <c r="E716">
        <v>1648</v>
      </c>
      <c r="F716">
        <v>4982</v>
      </c>
      <c r="G716">
        <v>5023</v>
      </c>
      <c r="H716">
        <v>2283</v>
      </c>
      <c r="I716">
        <v>1576</v>
      </c>
      <c r="J716">
        <v>46</v>
      </c>
      <c r="K716">
        <v>287</v>
      </c>
      <c r="L716">
        <v>376</v>
      </c>
      <c r="M716">
        <v>418</v>
      </c>
      <c r="N716">
        <v>573</v>
      </c>
      <c r="O716">
        <v>12611</v>
      </c>
      <c r="P716">
        <v>1828.617538</v>
      </c>
      <c r="Q716">
        <v>115</v>
      </c>
      <c r="R716">
        <v>0.26953869600000002</v>
      </c>
      <c r="S716">
        <v>1191</v>
      </c>
      <c r="T716">
        <v>118</v>
      </c>
      <c r="U716">
        <v>767</v>
      </c>
      <c r="V716">
        <v>1654</v>
      </c>
      <c r="W716">
        <v>1426</v>
      </c>
      <c r="X716">
        <v>1129</v>
      </c>
      <c r="Y716">
        <v>61</v>
      </c>
      <c r="Z716">
        <v>263</v>
      </c>
      <c r="AA716">
        <v>305</v>
      </c>
      <c r="AB716">
        <v>74</v>
      </c>
      <c r="AC716">
        <v>224</v>
      </c>
      <c r="AD716">
        <v>264</v>
      </c>
      <c r="AE716">
        <v>0</v>
      </c>
      <c r="AF716">
        <v>0</v>
      </c>
      <c r="AG716">
        <v>4</v>
      </c>
      <c r="AH716">
        <v>0</v>
      </c>
      <c r="AI716">
        <v>0</v>
      </c>
      <c r="AJ716">
        <v>0</v>
      </c>
      <c r="AK716">
        <v>0.96406999999999998</v>
      </c>
      <c r="AL716">
        <v>2</v>
      </c>
      <c r="AM716">
        <v>0</v>
      </c>
      <c r="AN716">
        <v>1648</v>
      </c>
      <c r="AO716">
        <v>41</v>
      </c>
      <c r="AP716">
        <v>0</v>
      </c>
      <c r="AQ716">
        <v>0</v>
      </c>
    </row>
    <row r="717" spans="1:43" x14ac:dyDescent="0.25">
      <c r="A717">
        <v>714</v>
      </c>
      <c r="B717">
        <v>14</v>
      </c>
      <c r="C717">
        <v>14</v>
      </c>
      <c r="D717">
        <v>3</v>
      </c>
      <c r="E717">
        <v>336</v>
      </c>
      <c r="F717">
        <v>1031</v>
      </c>
      <c r="G717">
        <v>1068</v>
      </c>
      <c r="H717">
        <v>551</v>
      </c>
      <c r="I717">
        <v>384</v>
      </c>
      <c r="J717">
        <v>7</v>
      </c>
      <c r="K717">
        <v>31</v>
      </c>
      <c r="L717">
        <v>122</v>
      </c>
      <c r="M717">
        <v>76</v>
      </c>
      <c r="N717">
        <v>111</v>
      </c>
      <c r="O717">
        <v>372520</v>
      </c>
      <c r="P717">
        <v>1855.7942089999999</v>
      </c>
      <c r="Q717">
        <v>276</v>
      </c>
      <c r="R717">
        <v>0.311926606</v>
      </c>
      <c r="S717">
        <v>293</v>
      </c>
      <c r="T717">
        <v>54</v>
      </c>
      <c r="U717">
        <v>295</v>
      </c>
      <c r="V717">
        <v>290</v>
      </c>
      <c r="W717">
        <v>292</v>
      </c>
      <c r="X717">
        <v>345</v>
      </c>
      <c r="Y717">
        <v>120</v>
      </c>
      <c r="Z717">
        <v>15</v>
      </c>
      <c r="AA717">
        <v>113</v>
      </c>
      <c r="AB717">
        <v>16</v>
      </c>
      <c r="AC717">
        <v>18</v>
      </c>
      <c r="AD717">
        <v>11</v>
      </c>
      <c r="AE717">
        <v>0</v>
      </c>
      <c r="AF717">
        <v>0</v>
      </c>
      <c r="AG717">
        <v>4</v>
      </c>
      <c r="AH717">
        <v>834</v>
      </c>
      <c r="AI717">
        <v>0</v>
      </c>
      <c r="AJ717">
        <v>0</v>
      </c>
      <c r="AK717">
        <v>0.91563000000000005</v>
      </c>
      <c r="AL717">
        <v>1</v>
      </c>
      <c r="AM717">
        <v>0</v>
      </c>
      <c r="AN717">
        <v>336</v>
      </c>
      <c r="AO717">
        <v>37</v>
      </c>
      <c r="AP717">
        <v>0</v>
      </c>
      <c r="AQ717">
        <v>0</v>
      </c>
    </row>
    <row r="718" spans="1:43" x14ac:dyDescent="0.25">
      <c r="A718">
        <v>715</v>
      </c>
      <c r="B718">
        <v>15</v>
      </c>
      <c r="C718">
        <v>15</v>
      </c>
      <c r="D718">
        <v>4</v>
      </c>
      <c r="E718">
        <v>2643</v>
      </c>
      <c r="F718">
        <v>8401</v>
      </c>
      <c r="G718">
        <v>8402</v>
      </c>
      <c r="H718">
        <v>4038</v>
      </c>
      <c r="I718">
        <v>2490</v>
      </c>
      <c r="J718">
        <v>174</v>
      </c>
      <c r="K718">
        <v>272</v>
      </c>
      <c r="L718">
        <v>394</v>
      </c>
      <c r="M718">
        <v>573</v>
      </c>
      <c r="N718">
        <v>1414</v>
      </c>
      <c r="O718">
        <v>137540</v>
      </c>
      <c r="P718">
        <v>5193.6737110000004</v>
      </c>
      <c r="Q718">
        <v>3524.177103</v>
      </c>
      <c r="R718">
        <v>0.12734521600000001</v>
      </c>
      <c r="S718">
        <v>17808</v>
      </c>
      <c r="T718">
        <v>685</v>
      </c>
      <c r="U718">
        <v>1813</v>
      </c>
      <c r="V718">
        <v>2440</v>
      </c>
      <c r="W718">
        <v>2428</v>
      </c>
      <c r="X718">
        <v>888</v>
      </c>
      <c r="Y718">
        <v>934</v>
      </c>
      <c r="Z718">
        <v>7293</v>
      </c>
      <c r="AA718">
        <v>1299</v>
      </c>
      <c r="AB718">
        <v>35</v>
      </c>
      <c r="AC718">
        <v>5616</v>
      </c>
      <c r="AD718">
        <v>2631</v>
      </c>
      <c r="AE718">
        <v>0</v>
      </c>
      <c r="AF718">
        <v>0</v>
      </c>
      <c r="AG718">
        <v>4</v>
      </c>
      <c r="AH718">
        <v>0</v>
      </c>
      <c r="AI718">
        <v>0</v>
      </c>
      <c r="AJ718">
        <v>0</v>
      </c>
      <c r="AK718">
        <v>1.0275000000000001</v>
      </c>
      <c r="AL718">
        <v>1</v>
      </c>
      <c r="AM718">
        <v>0</v>
      </c>
      <c r="AN718">
        <v>2643</v>
      </c>
      <c r="AO718">
        <v>1</v>
      </c>
      <c r="AP718">
        <v>0</v>
      </c>
      <c r="AQ718">
        <v>0</v>
      </c>
    </row>
    <row r="719" spans="1:43" x14ac:dyDescent="0.25">
      <c r="A719">
        <v>716</v>
      </c>
      <c r="B719">
        <v>15</v>
      </c>
      <c r="C719">
        <v>15</v>
      </c>
      <c r="D719">
        <v>4</v>
      </c>
      <c r="E719">
        <v>1818</v>
      </c>
      <c r="F719">
        <v>4518</v>
      </c>
      <c r="G719">
        <v>4533</v>
      </c>
      <c r="H719">
        <v>2449</v>
      </c>
      <c r="I719">
        <v>1303</v>
      </c>
      <c r="J719">
        <v>520</v>
      </c>
      <c r="K719">
        <v>409</v>
      </c>
      <c r="L719">
        <v>262</v>
      </c>
      <c r="M719">
        <v>373</v>
      </c>
      <c r="N719">
        <v>800</v>
      </c>
      <c r="O719">
        <v>1182</v>
      </c>
      <c r="P719">
        <v>970</v>
      </c>
      <c r="Q719">
        <v>128.8943817</v>
      </c>
      <c r="R719">
        <v>0.21086474499999999</v>
      </c>
      <c r="S719">
        <v>2023</v>
      </c>
      <c r="T719">
        <v>274</v>
      </c>
      <c r="U719">
        <v>686</v>
      </c>
      <c r="V719">
        <v>1312</v>
      </c>
      <c r="W719">
        <v>1302</v>
      </c>
      <c r="X719">
        <v>775</v>
      </c>
      <c r="Y719">
        <v>22</v>
      </c>
      <c r="Z719">
        <v>428</v>
      </c>
      <c r="AA719">
        <v>405</v>
      </c>
      <c r="AB719">
        <v>1</v>
      </c>
      <c r="AC719">
        <v>421</v>
      </c>
      <c r="AD719">
        <v>746</v>
      </c>
      <c r="AE719">
        <v>0</v>
      </c>
      <c r="AF719">
        <v>0</v>
      </c>
      <c r="AG719">
        <v>4</v>
      </c>
      <c r="AH719">
        <v>0</v>
      </c>
      <c r="AI719">
        <v>0</v>
      </c>
      <c r="AJ719">
        <v>0</v>
      </c>
      <c r="AK719">
        <v>1.0773299999999999</v>
      </c>
      <c r="AL719">
        <v>3</v>
      </c>
      <c r="AM719">
        <v>0</v>
      </c>
      <c r="AN719">
        <v>1818</v>
      </c>
      <c r="AO719">
        <v>15</v>
      </c>
      <c r="AP719">
        <v>0</v>
      </c>
      <c r="AQ719">
        <v>0</v>
      </c>
    </row>
    <row r="720" spans="1:43" x14ac:dyDescent="0.25">
      <c r="A720">
        <v>717</v>
      </c>
      <c r="B720">
        <v>15</v>
      </c>
      <c r="C720">
        <v>15</v>
      </c>
      <c r="D720">
        <v>4</v>
      </c>
      <c r="E720">
        <v>2311</v>
      </c>
      <c r="F720">
        <v>6085</v>
      </c>
      <c r="G720">
        <v>6147</v>
      </c>
      <c r="H720">
        <v>3368</v>
      </c>
      <c r="I720">
        <v>1959</v>
      </c>
      <c r="J720">
        <v>384</v>
      </c>
      <c r="K720">
        <v>434</v>
      </c>
      <c r="L720">
        <v>319</v>
      </c>
      <c r="M720">
        <v>568</v>
      </c>
      <c r="N720">
        <v>970</v>
      </c>
      <c r="O720">
        <v>677</v>
      </c>
      <c r="P720">
        <v>499.05868220000002</v>
      </c>
      <c r="Q720">
        <v>151</v>
      </c>
      <c r="R720">
        <v>0.190176119</v>
      </c>
      <c r="S720">
        <v>1346</v>
      </c>
      <c r="T720">
        <v>452</v>
      </c>
      <c r="U720">
        <v>1004</v>
      </c>
      <c r="V720">
        <v>1635</v>
      </c>
      <c r="W720">
        <v>1946</v>
      </c>
      <c r="X720">
        <v>972</v>
      </c>
      <c r="Y720">
        <v>36</v>
      </c>
      <c r="Z720">
        <v>79</v>
      </c>
      <c r="AA720">
        <v>992</v>
      </c>
      <c r="AB720">
        <v>1</v>
      </c>
      <c r="AC720">
        <v>118</v>
      </c>
      <c r="AD720">
        <v>120</v>
      </c>
      <c r="AE720">
        <v>0</v>
      </c>
      <c r="AF720">
        <v>0</v>
      </c>
      <c r="AG720">
        <v>4</v>
      </c>
      <c r="AH720">
        <v>1827</v>
      </c>
      <c r="AI720">
        <v>0</v>
      </c>
      <c r="AJ720">
        <v>0</v>
      </c>
      <c r="AK720">
        <v>1.18682</v>
      </c>
      <c r="AL720">
        <v>3</v>
      </c>
      <c r="AM720">
        <v>0</v>
      </c>
      <c r="AN720">
        <v>2311</v>
      </c>
      <c r="AO720">
        <v>62</v>
      </c>
      <c r="AP720">
        <v>0</v>
      </c>
      <c r="AQ720">
        <v>0</v>
      </c>
    </row>
    <row r="721" spans="1:43" x14ac:dyDescent="0.25">
      <c r="A721">
        <v>718</v>
      </c>
      <c r="B721">
        <v>15</v>
      </c>
      <c r="C721">
        <v>15</v>
      </c>
      <c r="D721">
        <v>4</v>
      </c>
      <c r="E721">
        <v>2783</v>
      </c>
      <c r="F721">
        <v>7884</v>
      </c>
      <c r="G721">
        <v>7937</v>
      </c>
      <c r="H721">
        <v>4521</v>
      </c>
      <c r="I721">
        <v>2131</v>
      </c>
      <c r="J721">
        <v>536</v>
      </c>
      <c r="K721">
        <v>213</v>
      </c>
      <c r="L721">
        <v>536</v>
      </c>
      <c r="M721">
        <v>781</v>
      </c>
      <c r="N721">
        <v>1242</v>
      </c>
      <c r="O721">
        <v>1344</v>
      </c>
      <c r="P721">
        <v>817</v>
      </c>
      <c r="Q721">
        <v>268</v>
      </c>
      <c r="R721">
        <v>0.173998285</v>
      </c>
      <c r="S721">
        <v>4041</v>
      </c>
      <c r="T721">
        <v>454</v>
      </c>
      <c r="U721">
        <v>1667</v>
      </c>
      <c r="V721">
        <v>2378</v>
      </c>
      <c r="W721">
        <v>2393</v>
      </c>
      <c r="X721">
        <v>1020</v>
      </c>
      <c r="Y721">
        <v>382</v>
      </c>
      <c r="Z721">
        <v>672</v>
      </c>
      <c r="AA721">
        <v>677</v>
      </c>
      <c r="AB721">
        <v>110</v>
      </c>
      <c r="AC721">
        <v>814</v>
      </c>
      <c r="AD721">
        <v>1386</v>
      </c>
      <c r="AE721">
        <v>0</v>
      </c>
      <c r="AF721">
        <v>0</v>
      </c>
      <c r="AG721">
        <v>4</v>
      </c>
      <c r="AH721">
        <v>0</v>
      </c>
      <c r="AI721">
        <v>0</v>
      </c>
      <c r="AJ721">
        <v>0</v>
      </c>
      <c r="AK721">
        <v>1.24512</v>
      </c>
      <c r="AL721">
        <v>3</v>
      </c>
      <c r="AM721">
        <v>0</v>
      </c>
      <c r="AN721">
        <v>2783</v>
      </c>
      <c r="AO721">
        <v>53</v>
      </c>
      <c r="AP721">
        <v>0</v>
      </c>
      <c r="AQ721">
        <v>0</v>
      </c>
    </row>
    <row r="722" spans="1:43" x14ac:dyDescent="0.25">
      <c r="A722">
        <v>719</v>
      </c>
      <c r="B722">
        <v>15</v>
      </c>
      <c r="C722">
        <v>15</v>
      </c>
      <c r="D722">
        <v>4</v>
      </c>
      <c r="E722">
        <v>2840</v>
      </c>
      <c r="F722">
        <v>7776</v>
      </c>
      <c r="G722">
        <v>7784</v>
      </c>
      <c r="H722">
        <v>3769</v>
      </c>
      <c r="I722">
        <v>2103</v>
      </c>
      <c r="J722">
        <v>612</v>
      </c>
      <c r="K722">
        <v>631</v>
      </c>
      <c r="L722">
        <v>743</v>
      </c>
      <c r="M722">
        <v>818</v>
      </c>
      <c r="N722">
        <v>643</v>
      </c>
      <c r="O722">
        <v>911</v>
      </c>
      <c r="P722">
        <v>517.23105980000003</v>
      </c>
      <c r="Q722">
        <v>37</v>
      </c>
      <c r="R722">
        <v>0.17214955700000001</v>
      </c>
      <c r="S722">
        <v>562</v>
      </c>
      <c r="T722">
        <v>558</v>
      </c>
      <c r="U722">
        <v>1260</v>
      </c>
      <c r="V722">
        <v>2467</v>
      </c>
      <c r="W722">
        <v>2118</v>
      </c>
      <c r="X722">
        <v>936</v>
      </c>
      <c r="Y722">
        <v>32</v>
      </c>
      <c r="Z722">
        <v>113</v>
      </c>
      <c r="AA722">
        <v>262</v>
      </c>
      <c r="AB722">
        <v>13</v>
      </c>
      <c r="AC722">
        <v>73</v>
      </c>
      <c r="AD722">
        <v>69</v>
      </c>
      <c r="AE722">
        <v>0</v>
      </c>
      <c r="AF722">
        <v>0</v>
      </c>
      <c r="AG722">
        <v>4</v>
      </c>
      <c r="AH722">
        <v>0</v>
      </c>
      <c r="AI722">
        <v>0</v>
      </c>
      <c r="AJ722">
        <v>0</v>
      </c>
      <c r="AK722">
        <v>1.1727000000000001</v>
      </c>
      <c r="AL722">
        <v>3</v>
      </c>
      <c r="AM722">
        <v>0</v>
      </c>
      <c r="AN722">
        <v>2840</v>
      </c>
      <c r="AO722">
        <v>8</v>
      </c>
      <c r="AP722">
        <v>0</v>
      </c>
      <c r="AQ722">
        <v>0</v>
      </c>
    </row>
    <row r="723" spans="1:43" x14ac:dyDescent="0.25">
      <c r="A723">
        <v>720</v>
      </c>
      <c r="B723">
        <v>15</v>
      </c>
      <c r="C723">
        <v>15</v>
      </c>
      <c r="D723">
        <v>4</v>
      </c>
      <c r="E723">
        <v>2201</v>
      </c>
      <c r="F723">
        <v>5639</v>
      </c>
      <c r="G723">
        <v>5642</v>
      </c>
      <c r="H723">
        <v>3226</v>
      </c>
      <c r="I723">
        <v>1993</v>
      </c>
      <c r="J723">
        <v>98</v>
      </c>
      <c r="K723">
        <v>261</v>
      </c>
      <c r="L723">
        <v>277</v>
      </c>
      <c r="M723">
        <v>665</v>
      </c>
      <c r="N723">
        <v>1003</v>
      </c>
      <c r="O723">
        <v>11418</v>
      </c>
      <c r="P723">
        <v>1623.969184</v>
      </c>
      <c r="Q723">
        <v>208.74005410000001</v>
      </c>
      <c r="R723">
        <v>0.181026664</v>
      </c>
      <c r="S723">
        <v>1477</v>
      </c>
      <c r="T723">
        <v>389</v>
      </c>
      <c r="U723">
        <v>797</v>
      </c>
      <c r="V723">
        <v>2115</v>
      </c>
      <c r="W723">
        <v>1393</v>
      </c>
      <c r="X723">
        <v>686</v>
      </c>
      <c r="Y723">
        <v>107</v>
      </c>
      <c r="Z723">
        <v>326</v>
      </c>
      <c r="AA723">
        <v>293</v>
      </c>
      <c r="AB723">
        <v>5</v>
      </c>
      <c r="AC723">
        <v>655</v>
      </c>
      <c r="AD723">
        <v>91</v>
      </c>
      <c r="AE723">
        <v>0</v>
      </c>
      <c r="AF723">
        <v>0</v>
      </c>
      <c r="AG723">
        <v>4</v>
      </c>
      <c r="AH723">
        <v>15</v>
      </c>
      <c r="AI723">
        <v>2896</v>
      </c>
      <c r="AJ723">
        <v>8274</v>
      </c>
      <c r="AK723">
        <v>0.98550000000000004</v>
      </c>
      <c r="AL723">
        <v>3</v>
      </c>
      <c r="AM723">
        <v>0</v>
      </c>
      <c r="AN723">
        <v>2201</v>
      </c>
      <c r="AO723">
        <v>3</v>
      </c>
      <c r="AP723">
        <v>0</v>
      </c>
      <c r="AQ723">
        <v>0</v>
      </c>
    </row>
    <row r="724" spans="1:43" x14ac:dyDescent="0.25">
      <c r="A724">
        <v>721</v>
      </c>
      <c r="B724">
        <v>15</v>
      </c>
      <c r="C724">
        <v>15</v>
      </c>
      <c r="D724">
        <v>4</v>
      </c>
      <c r="E724">
        <v>2340</v>
      </c>
      <c r="F724">
        <v>6049</v>
      </c>
      <c r="G724">
        <v>6075</v>
      </c>
      <c r="H724">
        <v>3249</v>
      </c>
      <c r="I724">
        <v>1437</v>
      </c>
      <c r="J724">
        <v>808</v>
      </c>
      <c r="K724">
        <v>499</v>
      </c>
      <c r="L724">
        <v>645</v>
      </c>
      <c r="M724">
        <v>494</v>
      </c>
      <c r="N724">
        <v>705</v>
      </c>
      <c r="O724">
        <v>1129</v>
      </c>
      <c r="P724">
        <v>509.67161659999999</v>
      </c>
      <c r="Q724">
        <v>145.28553779999999</v>
      </c>
      <c r="R724">
        <v>0.198994486</v>
      </c>
      <c r="S724">
        <v>2935</v>
      </c>
      <c r="T724">
        <v>518</v>
      </c>
      <c r="U724">
        <v>890</v>
      </c>
      <c r="V724">
        <v>1784</v>
      </c>
      <c r="W724">
        <v>1804</v>
      </c>
      <c r="X724">
        <v>999</v>
      </c>
      <c r="Y724">
        <v>1091</v>
      </c>
      <c r="Z724">
        <v>253</v>
      </c>
      <c r="AA724">
        <v>1217</v>
      </c>
      <c r="AB724">
        <v>1</v>
      </c>
      <c r="AC724">
        <v>63</v>
      </c>
      <c r="AD724">
        <v>310</v>
      </c>
      <c r="AE724">
        <v>0</v>
      </c>
      <c r="AF724">
        <v>0</v>
      </c>
      <c r="AG724">
        <v>4</v>
      </c>
      <c r="AH724">
        <v>0</v>
      </c>
      <c r="AI724">
        <v>0</v>
      </c>
      <c r="AJ724">
        <v>0</v>
      </c>
      <c r="AK724">
        <v>1.2875399999999999</v>
      </c>
      <c r="AL724">
        <v>1</v>
      </c>
      <c r="AM724">
        <v>0</v>
      </c>
      <c r="AN724">
        <v>2340</v>
      </c>
      <c r="AO724">
        <v>26</v>
      </c>
      <c r="AP724">
        <v>0</v>
      </c>
      <c r="AQ724">
        <v>0</v>
      </c>
    </row>
    <row r="725" spans="1:43" x14ac:dyDescent="0.25">
      <c r="A725">
        <v>722</v>
      </c>
      <c r="B725">
        <v>15</v>
      </c>
      <c r="C725">
        <v>15</v>
      </c>
      <c r="D725">
        <v>4</v>
      </c>
      <c r="E725">
        <v>2893</v>
      </c>
      <c r="F725">
        <v>8037</v>
      </c>
      <c r="G725">
        <v>8053</v>
      </c>
      <c r="H725">
        <v>4674</v>
      </c>
      <c r="I725">
        <v>2479</v>
      </c>
      <c r="J725">
        <v>290</v>
      </c>
      <c r="K725">
        <v>586</v>
      </c>
      <c r="L725">
        <v>826</v>
      </c>
      <c r="M725">
        <v>738</v>
      </c>
      <c r="N725">
        <v>751</v>
      </c>
      <c r="O725">
        <v>538</v>
      </c>
      <c r="P725">
        <v>445.08395460000003</v>
      </c>
      <c r="Q725">
        <v>79</v>
      </c>
      <c r="R725">
        <v>0.138882283</v>
      </c>
      <c r="S725">
        <v>663</v>
      </c>
      <c r="T725">
        <v>667</v>
      </c>
      <c r="U725">
        <v>1572</v>
      </c>
      <c r="V725">
        <v>3164</v>
      </c>
      <c r="W725">
        <v>1980</v>
      </c>
      <c r="X725">
        <v>788</v>
      </c>
      <c r="Y725">
        <v>50</v>
      </c>
      <c r="Z725">
        <v>117</v>
      </c>
      <c r="AA725">
        <v>353</v>
      </c>
      <c r="AB725">
        <v>1</v>
      </c>
      <c r="AC725">
        <v>54</v>
      </c>
      <c r="AD725">
        <v>88</v>
      </c>
      <c r="AE725">
        <v>0</v>
      </c>
      <c r="AF725">
        <v>0</v>
      </c>
      <c r="AG725">
        <v>4</v>
      </c>
      <c r="AH725">
        <v>1</v>
      </c>
      <c r="AI725">
        <v>0</v>
      </c>
      <c r="AJ725">
        <v>0</v>
      </c>
      <c r="AK725">
        <v>1.21349</v>
      </c>
      <c r="AL725">
        <v>3</v>
      </c>
      <c r="AM725">
        <v>0</v>
      </c>
      <c r="AN725">
        <v>2893</v>
      </c>
      <c r="AO725">
        <v>16</v>
      </c>
      <c r="AP725">
        <v>0</v>
      </c>
      <c r="AQ725">
        <v>0</v>
      </c>
    </row>
    <row r="726" spans="1:43" x14ac:dyDescent="0.25">
      <c r="A726">
        <v>723</v>
      </c>
      <c r="B726">
        <v>15</v>
      </c>
      <c r="C726">
        <v>15</v>
      </c>
      <c r="D726">
        <v>4</v>
      </c>
      <c r="E726">
        <v>1858</v>
      </c>
      <c r="F726">
        <v>5333</v>
      </c>
      <c r="G726">
        <v>5361</v>
      </c>
      <c r="H726">
        <v>2780</v>
      </c>
      <c r="I726">
        <v>1534</v>
      </c>
      <c r="J726">
        <v>329</v>
      </c>
      <c r="K726">
        <v>135</v>
      </c>
      <c r="L726">
        <v>355</v>
      </c>
      <c r="M726">
        <v>367</v>
      </c>
      <c r="N726">
        <v>989</v>
      </c>
      <c r="O726">
        <v>981</v>
      </c>
      <c r="P726">
        <v>667.48936149999997</v>
      </c>
      <c r="Q726">
        <v>75</v>
      </c>
      <c r="R726">
        <v>0.18688280199999999</v>
      </c>
      <c r="S726">
        <v>2155</v>
      </c>
      <c r="T726">
        <v>277</v>
      </c>
      <c r="U726">
        <v>1028</v>
      </c>
      <c r="V726">
        <v>1296</v>
      </c>
      <c r="W726">
        <v>1752</v>
      </c>
      <c r="X726">
        <v>807</v>
      </c>
      <c r="Y726">
        <v>159</v>
      </c>
      <c r="Z726">
        <v>357</v>
      </c>
      <c r="AA726">
        <v>1235</v>
      </c>
      <c r="AB726">
        <v>3</v>
      </c>
      <c r="AC726">
        <v>170</v>
      </c>
      <c r="AD726">
        <v>231</v>
      </c>
      <c r="AE726">
        <v>0</v>
      </c>
      <c r="AF726">
        <v>0</v>
      </c>
      <c r="AG726">
        <v>4</v>
      </c>
      <c r="AH726">
        <v>165</v>
      </c>
      <c r="AI726">
        <v>0</v>
      </c>
      <c r="AJ726">
        <v>0</v>
      </c>
      <c r="AK726">
        <v>1.1928099999999999</v>
      </c>
      <c r="AL726">
        <v>3</v>
      </c>
      <c r="AM726">
        <v>0</v>
      </c>
      <c r="AN726">
        <v>1858</v>
      </c>
      <c r="AO726">
        <v>28</v>
      </c>
      <c r="AP726">
        <v>0</v>
      </c>
      <c r="AQ726">
        <v>0</v>
      </c>
    </row>
    <row r="727" spans="1:43" x14ac:dyDescent="0.25">
      <c r="A727">
        <v>724</v>
      </c>
      <c r="B727">
        <v>15</v>
      </c>
      <c r="C727">
        <v>15</v>
      </c>
      <c r="D727">
        <v>4</v>
      </c>
      <c r="E727">
        <v>2770</v>
      </c>
      <c r="F727">
        <v>6681</v>
      </c>
      <c r="G727">
        <v>6746</v>
      </c>
      <c r="H727">
        <v>3743</v>
      </c>
      <c r="I727">
        <v>1783</v>
      </c>
      <c r="J727">
        <v>963</v>
      </c>
      <c r="K727">
        <v>388</v>
      </c>
      <c r="L727">
        <v>590</v>
      </c>
      <c r="M727">
        <v>661</v>
      </c>
      <c r="N727">
        <v>1117</v>
      </c>
      <c r="O727">
        <v>738</v>
      </c>
      <c r="P727">
        <v>518</v>
      </c>
      <c r="Q727">
        <v>146</v>
      </c>
      <c r="R727">
        <v>0.23650311199999999</v>
      </c>
      <c r="S727">
        <v>2683</v>
      </c>
      <c r="T727">
        <v>393</v>
      </c>
      <c r="U727">
        <v>1027</v>
      </c>
      <c r="V727">
        <v>2149</v>
      </c>
      <c r="W727">
        <v>1679</v>
      </c>
      <c r="X727">
        <v>1466</v>
      </c>
      <c r="Y727">
        <v>434</v>
      </c>
      <c r="Z727">
        <v>256</v>
      </c>
      <c r="AA727">
        <v>1774</v>
      </c>
      <c r="AB727">
        <v>7</v>
      </c>
      <c r="AC727">
        <v>78</v>
      </c>
      <c r="AD727">
        <v>134</v>
      </c>
      <c r="AE727">
        <v>0</v>
      </c>
      <c r="AF727">
        <v>0</v>
      </c>
      <c r="AG727">
        <v>4</v>
      </c>
      <c r="AH727">
        <v>0</v>
      </c>
      <c r="AI727">
        <v>0</v>
      </c>
      <c r="AJ727">
        <v>0</v>
      </c>
      <c r="AK727">
        <v>1.54034</v>
      </c>
      <c r="AL727">
        <v>3</v>
      </c>
      <c r="AM727">
        <v>0</v>
      </c>
      <c r="AN727">
        <v>2770</v>
      </c>
      <c r="AO727">
        <v>65</v>
      </c>
      <c r="AP727">
        <v>0</v>
      </c>
      <c r="AQ727">
        <v>0</v>
      </c>
    </row>
    <row r="728" spans="1:43" x14ac:dyDescent="0.25">
      <c r="A728">
        <v>725</v>
      </c>
      <c r="B728">
        <v>15</v>
      </c>
      <c r="C728">
        <v>15</v>
      </c>
      <c r="D728">
        <v>4</v>
      </c>
      <c r="E728">
        <v>1307</v>
      </c>
      <c r="F728">
        <v>3919</v>
      </c>
      <c r="G728">
        <v>3930</v>
      </c>
      <c r="H728">
        <v>2012</v>
      </c>
      <c r="I728">
        <v>1264</v>
      </c>
      <c r="J728">
        <v>0</v>
      </c>
      <c r="K728">
        <v>84</v>
      </c>
      <c r="L728">
        <v>100</v>
      </c>
      <c r="M728">
        <v>251</v>
      </c>
      <c r="N728">
        <v>878</v>
      </c>
      <c r="O728">
        <v>1193</v>
      </c>
      <c r="P728">
        <v>813</v>
      </c>
      <c r="Q728">
        <v>14.12018554</v>
      </c>
      <c r="R728">
        <v>0.23721518999999999</v>
      </c>
      <c r="S728">
        <v>700</v>
      </c>
      <c r="T728">
        <v>117</v>
      </c>
      <c r="U728">
        <v>799</v>
      </c>
      <c r="V728">
        <v>774</v>
      </c>
      <c r="W728">
        <v>1442</v>
      </c>
      <c r="X728">
        <v>699</v>
      </c>
      <c r="Y728">
        <v>63</v>
      </c>
      <c r="Z728">
        <v>95</v>
      </c>
      <c r="AA728">
        <v>282</v>
      </c>
      <c r="AB728">
        <v>1</v>
      </c>
      <c r="AC728">
        <v>156</v>
      </c>
      <c r="AD728">
        <v>103</v>
      </c>
      <c r="AE728">
        <v>0</v>
      </c>
      <c r="AF728">
        <v>0</v>
      </c>
      <c r="AG728">
        <v>4</v>
      </c>
      <c r="AH728">
        <v>0</v>
      </c>
      <c r="AI728">
        <v>0</v>
      </c>
      <c r="AJ728">
        <v>0</v>
      </c>
      <c r="AK728">
        <v>1.00217</v>
      </c>
      <c r="AL728">
        <v>2</v>
      </c>
      <c r="AM728">
        <v>0</v>
      </c>
      <c r="AN728">
        <v>1307</v>
      </c>
      <c r="AO728">
        <v>11</v>
      </c>
      <c r="AP728">
        <v>0</v>
      </c>
      <c r="AQ728">
        <v>0</v>
      </c>
    </row>
    <row r="729" spans="1:43" x14ac:dyDescent="0.25">
      <c r="A729">
        <v>726</v>
      </c>
      <c r="B729">
        <v>15</v>
      </c>
      <c r="C729">
        <v>15</v>
      </c>
      <c r="D729">
        <v>4</v>
      </c>
      <c r="E729">
        <v>3012</v>
      </c>
      <c r="F729">
        <v>8207</v>
      </c>
      <c r="G729">
        <v>8210</v>
      </c>
      <c r="H729">
        <v>4409</v>
      </c>
      <c r="I729">
        <v>2616</v>
      </c>
      <c r="J729">
        <v>301</v>
      </c>
      <c r="K729">
        <v>447</v>
      </c>
      <c r="L729">
        <v>519</v>
      </c>
      <c r="M729">
        <v>734</v>
      </c>
      <c r="N729">
        <v>1301</v>
      </c>
      <c r="O729">
        <v>940</v>
      </c>
      <c r="P729">
        <v>648.31607150000002</v>
      </c>
      <c r="Q729">
        <v>58</v>
      </c>
      <c r="R729">
        <v>0.21541671800000001</v>
      </c>
      <c r="S729">
        <v>927</v>
      </c>
      <c r="T729">
        <v>411</v>
      </c>
      <c r="U729">
        <v>1325</v>
      </c>
      <c r="V729">
        <v>2344</v>
      </c>
      <c r="W729">
        <v>2407</v>
      </c>
      <c r="X729">
        <v>1414</v>
      </c>
      <c r="Y729">
        <v>199</v>
      </c>
      <c r="Z729">
        <v>189</v>
      </c>
      <c r="AA729">
        <v>265</v>
      </c>
      <c r="AB729">
        <v>2</v>
      </c>
      <c r="AC729">
        <v>61</v>
      </c>
      <c r="AD729">
        <v>211</v>
      </c>
      <c r="AE729">
        <v>0</v>
      </c>
      <c r="AF729">
        <v>0</v>
      </c>
      <c r="AG729">
        <v>4</v>
      </c>
      <c r="AH729">
        <v>13</v>
      </c>
      <c r="AI729">
        <v>0</v>
      </c>
      <c r="AJ729">
        <v>0</v>
      </c>
      <c r="AK729">
        <v>1.16852</v>
      </c>
      <c r="AL729">
        <v>3</v>
      </c>
      <c r="AM729">
        <v>0</v>
      </c>
      <c r="AN729">
        <v>3012</v>
      </c>
      <c r="AO729">
        <v>3</v>
      </c>
      <c r="AP729">
        <v>0</v>
      </c>
      <c r="AQ729">
        <v>0</v>
      </c>
    </row>
    <row r="730" spans="1:43" x14ac:dyDescent="0.25">
      <c r="A730">
        <v>727</v>
      </c>
      <c r="B730">
        <v>15</v>
      </c>
      <c r="C730">
        <v>15</v>
      </c>
      <c r="D730">
        <v>4</v>
      </c>
      <c r="E730">
        <v>1071</v>
      </c>
      <c r="F730">
        <v>2890</v>
      </c>
      <c r="G730">
        <v>2901</v>
      </c>
      <c r="H730">
        <v>1624</v>
      </c>
      <c r="I730">
        <v>1028</v>
      </c>
      <c r="J730">
        <v>13</v>
      </c>
      <c r="K730">
        <v>109</v>
      </c>
      <c r="L730">
        <v>146</v>
      </c>
      <c r="M730">
        <v>311</v>
      </c>
      <c r="N730">
        <v>508</v>
      </c>
      <c r="O730">
        <v>296</v>
      </c>
      <c r="P730">
        <v>244.97844470000001</v>
      </c>
      <c r="Q730">
        <v>55</v>
      </c>
      <c r="R730">
        <v>0.145095368</v>
      </c>
      <c r="S730">
        <v>247</v>
      </c>
      <c r="T730">
        <v>222</v>
      </c>
      <c r="U730">
        <v>497</v>
      </c>
      <c r="V730">
        <v>1065</v>
      </c>
      <c r="W730">
        <v>672</v>
      </c>
      <c r="X730">
        <v>396</v>
      </c>
      <c r="Y730">
        <v>1</v>
      </c>
      <c r="Z730">
        <v>19</v>
      </c>
      <c r="AA730">
        <v>201</v>
      </c>
      <c r="AB730">
        <v>8</v>
      </c>
      <c r="AC730">
        <v>2</v>
      </c>
      <c r="AD730">
        <v>16</v>
      </c>
      <c r="AE730">
        <v>0</v>
      </c>
      <c r="AF730">
        <v>0</v>
      </c>
      <c r="AG730">
        <v>4</v>
      </c>
      <c r="AH730">
        <v>2156</v>
      </c>
      <c r="AI730">
        <v>0</v>
      </c>
      <c r="AJ730">
        <v>0</v>
      </c>
      <c r="AK730">
        <v>1.1326799999999999</v>
      </c>
      <c r="AL730">
        <v>3</v>
      </c>
      <c r="AM730">
        <v>0</v>
      </c>
      <c r="AN730">
        <v>1071</v>
      </c>
      <c r="AO730">
        <v>11</v>
      </c>
      <c r="AP730">
        <v>0</v>
      </c>
      <c r="AQ730">
        <v>0</v>
      </c>
    </row>
    <row r="731" spans="1:43" x14ac:dyDescent="0.25">
      <c r="A731">
        <v>728</v>
      </c>
      <c r="B731">
        <v>15</v>
      </c>
      <c r="C731">
        <v>15</v>
      </c>
      <c r="D731">
        <v>4</v>
      </c>
      <c r="E731">
        <v>2578</v>
      </c>
      <c r="F731">
        <v>6953</v>
      </c>
      <c r="G731">
        <v>6967</v>
      </c>
      <c r="H731">
        <v>3843</v>
      </c>
      <c r="I731">
        <v>2179</v>
      </c>
      <c r="J731">
        <v>251</v>
      </c>
      <c r="K731">
        <v>352</v>
      </c>
      <c r="L731">
        <v>731</v>
      </c>
      <c r="M731">
        <v>593</v>
      </c>
      <c r="N731">
        <v>927</v>
      </c>
      <c r="O731">
        <v>3167</v>
      </c>
      <c r="P731">
        <v>808.24284769999997</v>
      </c>
      <c r="Q731">
        <v>743.60704220000002</v>
      </c>
      <c r="R731">
        <v>0.17169030699999999</v>
      </c>
      <c r="S731">
        <v>7922</v>
      </c>
      <c r="T731">
        <v>333</v>
      </c>
      <c r="U731">
        <v>1291</v>
      </c>
      <c r="V731">
        <v>2355</v>
      </c>
      <c r="W731">
        <v>1558</v>
      </c>
      <c r="X731">
        <v>1024</v>
      </c>
      <c r="Y731">
        <v>1670</v>
      </c>
      <c r="Z731">
        <v>1318</v>
      </c>
      <c r="AA731">
        <v>1699</v>
      </c>
      <c r="AB731">
        <v>4</v>
      </c>
      <c r="AC731">
        <v>1966</v>
      </c>
      <c r="AD731">
        <v>1265</v>
      </c>
      <c r="AE731">
        <v>0</v>
      </c>
      <c r="AF731">
        <v>0</v>
      </c>
      <c r="AG731">
        <v>4</v>
      </c>
      <c r="AH731">
        <v>2</v>
      </c>
      <c r="AI731">
        <v>0</v>
      </c>
      <c r="AJ731">
        <v>0</v>
      </c>
      <c r="AK731">
        <v>1.1845300000000001</v>
      </c>
      <c r="AL731">
        <v>3</v>
      </c>
      <c r="AM731">
        <v>0</v>
      </c>
      <c r="AN731">
        <v>2578</v>
      </c>
      <c r="AO731">
        <v>14</v>
      </c>
      <c r="AP731">
        <v>0</v>
      </c>
      <c r="AQ731">
        <v>0</v>
      </c>
    </row>
    <row r="732" spans="1:43" x14ac:dyDescent="0.25">
      <c r="A732">
        <v>729</v>
      </c>
      <c r="B732">
        <v>15</v>
      </c>
      <c r="C732">
        <v>15</v>
      </c>
      <c r="D732">
        <v>4</v>
      </c>
      <c r="E732">
        <v>9393</v>
      </c>
      <c r="F732">
        <v>30929</v>
      </c>
      <c r="G732">
        <v>30929</v>
      </c>
      <c r="H732">
        <v>15462</v>
      </c>
      <c r="I732">
        <v>7359</v>
      </c>
      <c r="J732">
        <v>1701</v>
      </c>
      <c r="K732">
        <v>650</v>
      </c>
      <c r="L732">
        <v>703</v>
      </c>
      <c r="M732">
        <v>1615</v>
      </c>
      <c r="N732">
        <v>6446</v>
      </c>
      <c r="O732">
        <v>7251</v>
      </c>
      <c r="P732">
        <v>2890.5195659999999</v>
      </c>
      <c r="Q732">
        <v>101</v>
      </c>
      <c r="R732">
        <v>8.4216664999999996E-2</v>
      </c>
      <c r="S732">
        <v>5242</v>
      </c>
      <c r="T732">
        <v>1968</v>
      </c>
      <c r="U732">
        <v>7294</v>
      </c>
      <c r="V732">
        <v>10604</v>
      </c>
      <c r="W732">
        <v>6553</v>
      </c>
      <c r="X732">
        <v>1846</v>
      </c>
      <c r="Y732">
        <v>885</v>
      </c>
      <c r="Z732">
        <v>767</v>
      </c>
      <c r="AA732">
        <v>2521</v>
      </c>
      <c r="AB732">
        <v>11</v>
      </c>
      <c r="AC732">
        <v>471</v>
      </c>
      <c r="AD732">
        <v>587</v>
      </c>
      <c r="AE732">
        <v>0</v>
      </c>
      <c r="AF732">
        <v>0</v>
      </c>
      <c r="AG732">
        <v>4</v>
      </c>
      <c r="AH732">
        <v>1219</v>
      </c>
      <c r="AI732">
        <v>0</v>
      </c>
      <c r="AJ732">
        <v>0</v>
      </c>
      <c r="AK732">
        <v>1.12283</v>
      </c>
      <c r="AL732">
        <v>1</v>
      </c>
      <c r="AM732">
        <v>0</v>
      </c>
      <c r="AN732">
        <v>9393</v>
      </c>
      <c r="AO732">
        <v>0</v>
      </c>
      <c r="AP732">
        <v>0</v>
      </c>
      <c r="AQ732">
        <v>0</v>
      </c>
    </row>
    <row r="733" spans="1:43" x14ac:dyDescent="0.25">
      <c r="A733">
        <v>730</v>
      </c>
      <c r="B733">
        <v>15</v>
      </c>
      <c r="C733">
        <v>15</v>
      </c>
      <c r="D733">
        <v>4</v>
      </c>
      <c r="E733">
        <v>4601</v>
      </c>
      <c r="F733">
        <v>13133</v>
      </c>
      <c r="G733">
        <v>14197</v>
      </c>
      <c r="H733">
        <v>7133</v>
      </c>
      <c r="I733">
        <v>2218</v>
      </c>
      <c r="J733">
        <v>2344</v>
      </c>
      <c r="K733">
        <v>573</v>
      </c>
      <c r="L733">
        <v>718</v>
      </c>
      <c r="M733">
        <v>1149</v>
      </c>
      <c r="N733">
        <v>2176</v>
      </c>
      <c r="O733">
        <v>2814</v>
      </c>
      <c r="P733">
        <v>1727.0713499999999</v>
      </c>
      <c r="Q733">
        <v>1299</v>
      </c>
      <c r="R733">
        <v>6.1364752000000002E-2</v>
      </c>
      <c r="S733">
        <v>6826</v>
      </c>
      <c r="T733">
        <v>1133</v>
      </c>
      <c r="U733">
        <v>2132</v>
      </c>
      <c r="V733">
        <v>7100</v>
      </c>
      <c r="W733">
        <v>2817</v>
      </c>
      <c r="X733">
        <v>672</v>
      </c>
      <c r="Y733">
        <v>1146</v>
      </c>
      <c r="Z733">
        <v>1662</v>
      </c>
      <c r="AA733">
        <v>2152</v>
      </c>
      <c r="AB733">
        <v>5</v>
      </c>
      <c r="AC733">
        <v>1087</v>
      </c>
      <c r="AD733">
        <v>774</v>
      </c>
      <c r="AE733">
        <v>0</v>
      </c>
      <c r="AF733">
        <v>0</v>
      </c>
      <c r="AG733">
        <v>5</v>
      </c>
      <c r="AH733">
        <v>0</v>
      </c>
      <c r="AI733">
        <v>0</v>
      </c>
      <c r="AJ733">
        <v>0</v>
      </c>
      <c r="AK733">
        <v>1.17059</v>
      </c>
      <c r="AL733">
        <v>2</v>
      </c>
      <c r="AM733">
        <v>0</v>
      </c>
      <c r="AN733">
        <v>4601</v>
      </c>
      <c r="AO733">
        <v>1064</v>
      </c>
      <c r="AP733">
        <v>0</v>
      </c>
      <c r="AQ733">
        <v>0</v>
      </c>
    </row>
    <row r="734" spans="1:43" x14ac:dyDescent="0.25">
      <c r="A734">
        <v>731</v>
      </c>
      <c r="B734">
        <v>15</v>
      </c>
      <c r="C734">
        <v>15</v>
      </c>
      <c r="D734">
        <v>4</v>
      </c>
      <c r="E734">
        <v>2538</v>
      </c>
      <c r="F734">
        <v>5539</v>
      </c>
      <c r="G734">
        <v>5539</v>
      </c>
      <c r="H734">
        <v>3091</v>
      </c>
      <c r="I734">
        <v>722</v>
      </c>
      <c r="J734">
        <v>1765</v>
      </c>
      <c r="K734">
        <v>460</v>
      </c>
      <c r="L734">
        <v>778</v>
      </c>
      <c r="M734">
        <v>680</v>
      </c>
      <c r="N734">
        <v>603</v>
      </c>
      <c r="O734">
        <v>399</v>
      </c>
      <c r="P734">
        <v>253.49593820000001</v>
      </c>
      <c r="Q734">
        <v>21</v>
      </c>
      <c r="R734">
        <v>0.14662367200000001</v>
      </c>
      <c r="S734">
        <v>226</v>
      </c>
      <c r="T734">
        <v>436</v>
      </c>
      <c r="U734">
        <v>723</v>
      </c>
      <c r="V734">
        <v>2174</v>
      </c>
      <c r="W734">
        <v>1124</v>
      </c>
      <c r="X734">
        <v>675</v>
      </c>
      <c r="Y734">
        <v>9</v>
      </c>
      <c r="Z734">
        <v>77</v>
      </c>
      <c r="AA734">
        <v>93</v>
      </c>
      <c r="AB734">
        <v>1</v>
      </c>
      <c r="AC734">
        <v>26</v>
      </c>
      <c r="AD734">
        <v>20</v>
      </c>
      <c r="AE734">
        <v>0</v>
      </c>
      <c r="AF734">
        <v>0</v>
      </c>
      <c r="AG734">
        <v>4</v>
      </c>
      <c r="AH734">
        <v>0</v>
      </c>
      <c r="AI734">
        <v>0</v>
      </c>
      <c r="AJ734">
        <v>0</v>
      </c>
      <c r="AK734">
        <v>1.3192900000000001</v>
      </c>
      <c r="AL734">
        <v>1</v>
      </c>
      <c r="AM734">
        <v>0</v>
      </c>
      <c r="AN734">
        <v>2538</v>
      </c>
      <c r="AO734">
        <v>0</v>
      </c>
      <c r="AP734">
        <v>0</v>
      </c>
      <c r="AQ734">
        <v>0</v>
      </c>
    </row>
    <row r="735" spans="1:43" x14ac:dyDescent="0.25">
      <c r="A735">
        <v>732</v>
      </c>
      <c r="B735">
        <v>15</v>
      </c>
      <c r="C735">
        <v>15</v>
      </c>
      <c r="D735">
        <v>4</v>
      </c>
      <c r="E735">
        <v>1970</v>
      </c>
      <c r="F735">
        <v>5264</v>
      </c>
      <c r="G735">
        <v>5281</v>
      </c>
      <c r="H735">
        <v>2805</v>
      </c>
      <c r="I735">
        <v>1491</v>
      </c>
      <c r="J735">
        <v>489</v>
      </c>
      <c r="K735">
        <v>171</v>
      </c>
      <c r="L735">
        <v>565</v>
      </c>
      <c r="M735">
        <v>596</v>
      </c>
      <c r="N735">
        <v>639</v>
      </c>
      <c r="O735">
        <v>786</v>
      </c>
      <c r="P735">
        <v>375.53494769999998</v>
      </c>
      <c r="Q735">
        <v>351</v>
      </c>
      <c r="R735">
        <v>0.17239478</v>
      </c>
      <c r="S735">
        <v>5162</v>
      </c>
      <c r="T735">
        <v>378</v>
      </c>
      <c r="U735">
        <v>973</v>
      </c>
      <c r="V735">
        <v>2091</v>
      </c>
      <c r="W735">
        <v>1098</v>
      </c>
      <c r="X735">
        <v>748</v>
      </c>
      <c r="Y735">
        <v>810</v>
      </c>
      <c r="Z735">
        <v>653</v>
      </c>
      <c r="AA735">
        <v>2187</v>
      </c>
      <c r="AB735">
        <v>4</v>
      </c>
      <c r="AC735">
        <v>835</v>
      </c>
      <c r="AD735">
        <v>673</v>
      </c>
      <c r="AE735">
        <v>0</v>
      </c>
      <c r="AF735">
        <v>0</v>
      </c>
      <c r="AG735">
        <v>4</v>
      </c>
      <c r="AH735">
        <v>2834</v>
      </c>
      <c r="AI735">
        <v>0</v>
      </c>
      <c r="AJ735">
        <v>0</v>
      </c>
      <c r="AK735">
        <v>1.3509199999999999</v>
      </c>
      <c r="AL735">
        <v>3</v>
      </c>
      <c r="AM735">
        <v>0</v>
      </c>
      <c r="AN735">
        <v>1970</v>
      </c>
      <c r="AO735">
        <v>17</v>
      </c>
      <c r="AP735">
        <v>0</v>
      </c>
      <c r="AQ735">
        <v>0</v>
      </c>
    </row>
    <row r="736" spans="1:43" x14ac:dyDescent="0.25">
      <c r="A736">
        <v>733</v>
      </c>
      <c r="B736">
        <v>15</v>
      </c>
      <c r="C736">
        <v>15</v>
      </c>
      <c r="D736">
        <v>4</v>
      </c>
      <c r="E736">
        <v>2799</v>
      </c>
      <c r="F736">
        <v>7440</v>
      </c>
      <c r="G736">
        <v>7459</v>
      </c>
      <c r="H736">
        <v>3883</v>
      </c>
      <c r="I736">
        <v>2151</v>
      </c>
      <c r="J736">
        <v>691</v>
      </c>
      <c r="K736">
        <v>394</v>
      </c>
      <c r="L736">
        <v>628</v>
      </c>
      <c r="M736">
        <v>567</v>
      </c>
      <c r="N736">
        <v>1190</v>
      </c>
      <c r="O736">
        <v>785</v>
      </c>
      <c r="P736">
        <v>483.05341900000002</v>
      </c>
      <c r="Q736">
        <v>291</v>
      </c>
      <c r="R736">
        <v>0.15878076799999999</v>
      </c>
      <c r="S736">
        <v>4519</v>
      </c>
      <c r="T736">
        <v>396</v>
      </c>
      <c r="U736">
        <v>1347</v>
      </c>
      <c r="V736">
        <v>2869</v>
      </c>
      <c r="W736">
        <v>1917</v>
      </c>
      <c r="X736">
        <v>1047</v>
      </c>
      <c r="Y736">
        <v>1112</v>
      </c>
      <c r="Z736">
        <v>369</v>
      </c>
      <c r="AA736">
        <v>2692</v>
      </c>
      <c r="AB736">
        <v>2</v>
      </c>
      <c r="AC736">
        <v>222</v>
      </c>
      <c r="AD736">
        <v>122</v>
      </c>
      <c r="AE736">
        <v>0</v>
      </c>
      <c r="AF736">
        <v>0</v>
      </c>
      <c r="AG736">
        <v>4</v>
      </c>
      <c r="AH736">
        <v>0</v>
      </c>
      <c r="AI736">
        <v>0</v>
      </c>
      <c r="AJ736">
        <v>0</v>
      </c>
      <c r="AK736">
        <v>1.3118000000000001</v>
      </c>
      <c r="AL736">
        <v>2</v>
      </c>
      <c r="AM736">
        <v>0</v>
      </c>
      <c r="AN736">
        <v>2799</v>
      </c>
      <c r="AO736">
        <v>19</v>
      </c>
      <c r="AP736">
        <v>0</v>
      </c>
      <c r="AQ736">
        <v>0</v>
      </c>
    </row>
    <row r="737" spans="1:43" x14ac:dyDescent="0.25">
      <c r="A737">
        <v>734</v>
      </c>
      <c r="B737">
        <v>15</v>
      </c>
      <c r="C737">
        <v>15</v>
      </c>
      <c r="D737">
        <v>4</v>
      </c>
      <c r="E737">
        <v>3431</v>
      </c>
      <c r="F737">
        <v>9753</v>
      </c>
      <c r="G737">
        <v>9761</v>
      </c>
      <c r="H737">
        <v>5162</v>
      </c>
      <c r="I737">
        <v>3079</v>
      </c>
      <c r="J737">
        <v>261</v>
      </c>
      <c r="K737">
        <v>233</v>
      </c>
      <c r="L737">
        <v>547</v>
      </c>
      <c r="M737">
        <v>738</v>
      </c>
      <c r="N737">
        <v>1919</v>
      </c>
      <c r="O737">
        <v>2976</v>
      </c>
      <c r="P737">
        <v>782.14669949999995</v>
      </c>
      <c r="Q737">
        <v>79</v>
      </c>
      <c r="R737">
        <v>0.21236001700000001</v>
      </c>
      <c r="S737">
        <v>2561</v>
      </c>
      <c r="T737">
        <v>537</v>
      </c>
      <c r="U737">
        <v>1729</v>
      </c>
      <c r="V737">
        <v>2626</v>
      </c>
      <c r="W737">
        <v>2804</v>
      </c>
      <c r="X737">
        <v>1621</v>
      </c>
      <c r="Y737">
        <v>98</v>
      </c>
      <c r="Z737">
        <v>447</v>
      </c>
      <c r="AA737">
        <v>662</v>
      </c>
      <c r="AB737">
        <v>3</v>
      </c>
      <c r="AC737">
        <v>442</v>
      </c>
      <c r="AD737">
        <v>909</v>
      </c>
      <c r="AE737">
        <v>0</v>
      </c>
      <c r="AF737">
        <v>0</v>
      </c>
      <c r="AG737">
        <v>4</v>
      </c>
      <c r="AH737">
        <v>109</v>
      </c>
      <c r="AI737">
        <v>0</v>
      </c>
      <c r="AJ737">
        <v>0</v>
      </c>
      <c r="AK737">
        <v>1.1867700000000001</v>
      </c>
      <c r="AL737">
        <v>1</v>
      </c>
      <c r="AM737">
        <v>0</v>
      </c>
      <c r="AN737">
        <v>3431</v>
      </c>
      <c r="AO737">
        <v>8</v>
      </c>
      <c r="AP737">
        <v>0</v>
      </c>
      <c r="AQ737">
        <v>0</v>
      </c>
    </row>
    <row r="738" spans="1:43" x14ac:dyDescent="0.25">
      <c r="A738">
        <v>735</v>
      </c>
      <c r="B738">
        <v>15</v>
      </c>
      <c r="C738">
        <v>15</v>
      </c>
      <c r="D738">
        <v>4</v>
      </c>
      <c r="E738">
        <v>1417</v>
      </c>
      <c r="F738">
        <v>3685</v>
      </c>
      <c r="G738">
        <v>3685</v>
      </c>
      <c r="H738">
        <v>1739</v>
      </c>
      <c r="I738">
        <v>1242</v>
      </c>
      <c r="J738">
        <v>145</v>
      </c>
      <c r="K738">
        <v>130</v>
      </c>
      <c r="L738">
        <v>176</v>
      </c>
      <c r="M738">
        <v>227</v>
      </c>
      <c r="N738">
        <v>863</v>
      </c>
      <c r="O738">
        <v>12420</v>
      </c>
      <c r="P738">
        <v>1081.2048179999999</v>
      </c>
      <c r="Q738">
        <v>13</v>
      </c>
      <c r="R738">
        <v>0.27477599800000002</v>
      </c>
      <c r="S738">
        <v>752</v>
      </c>
      <c r="T738">
        <v>131</v>
      </c>
      <c r="U738">
        <v>622</v>
      </c>
      <c r="V738">
        <v>785</v>
      </c>
      <c r="W738">
        <v>1262</v>
      </c>
      <c r="X738">
        <v>798</v>
      </c>
      <c r="Y738">
        <v>13</v>
      </c>
      <c r="Z738">
        <v>65</v>
      </c>
      <c r="AA738">
        <v>432</v>
      </c>
      <c r="AB738">
        <v>1</v>
      </c>
      <c r="AC738">
        <v>124</v>
      </c>
      <c r="AD738">
        <v>117</v>
      </c>
      <c r="AE738">
        <v>0</v>
      </c>
      <c r="AF738">
        <v>0</v>
      </c>
      <c r="AG738">
        <v>5</v>
      </c>
      <c r="AH738">
        <v>0</v>
      </c>
      <c r="AI738">
        <v>0</v>
      </c>
      <c r="AJ738">
        <v>0</v>
      </c>
      <c r="AK738">
        <v>0.98667000000000005</v>
      </c>
      <c r="AL738">
        <v>1</v>
      </c>
      <c r="AM738">
        <v>0</v>
      </c>
      <c r="AN738">
        <v>1417</v>
      </c>
      <c r="AO738">
        <v>0</v>
      </c>
      <c r="AP738">
        <v>0</v>
      </c>
      <c r="AQ738">
        <v>0</v>
      </c>
    </row>
    <row r="739" spans="1:43" x14ac:dyDescent="0.25">
      <c r="A739">
        <v>736</v>
      </c>
      <c r="B739">
        <v>15</v>
      </c>
      <c r="C739">
        <v>15</v>
      </c>
      <c r="D739">
        <v>4</v>
      </c>
      <c r="E739">
        <v>3461</v>
      </c>
      <c r="F739">
        <v>9606</v>
      </c>
      <c r="G739">
        <v>9654</v>
      </c>
      <c r="H739">
        <v>5017</v>
      </c>
      <c r="I739">
        <v>2527</v>
      </c>
      <c r="J739">
        <v>734</v>
      </c>
      <c r="K739">
        <v>297</v>
      </c>
      <c r="L739">
        <v>609</v>
      </c>
      <c r="M739">
        <v>867</v>
      </c>
      <c r="N739">
        <v>1681</v>
      </c>
      <c r="O739">
        <v>1531</v>
      </c>
      <c r="P739">
        <v>746.50506429999996</v>
      </c>
      <c r="Q739">
        <v>291.50546359999998</v>
      </c>
      <c r="R739">
        <v>0.20266472399999999</v>
      </c>
      <c r="S739">
        <v>10605</v>
      </c>
      <c r="T739">
        <v>494</v>
      </c>
      <c r="U739">
        <v>1770</v>
      </c>
      <c r="V739">
        <v>2934</v>
      </c>
      <c r="W739">
        <v>2692</v>
      </c>
      <c r="X739">
        <v>1432</v>
      </c>
      <c r="Y739">
        <v>1073</v>
      </c>
      <c r="Z739">
        <v>2658</v>
      </c>
      <c r="AA739">
        <v>1643</v>
      </c>
      <c r="AB739">
        <v>6</v>
      </c>
      <c r="AC739">
        <v>318</v>
      </c>
      <c r="AD739">
        <v>4907</v>
      </c>
      <c r="AE739">
        <v>0</v>
      </c>
      <c r="AF739">
        <v>0</v>
      </c>
      <c r="AG739">
        <v>3</v>
      </c>
      <c r="AH739">
        <v>2169</v>
      </c>
      <c r="AI739">
        <v>0</v>
      </c>
      <c r="AJ739">
        <v>0</v>
      </c>
      <c r="AK739">
        <v>1.54037</v>
      </c>
      <c r="AL739">
        <v>2</v>
      </c>
      <c r="AM739">
        <v>0</v>
      </c>
      <c r="AN739">
        <v>3461</v>
      </c>
      <c r="AO739">
        <v>48</v>
      </c>
      <c r="AP739">
        <v>0</v>
      </c>
      <c r="AQ739">
        <v>0</v>
      </c>
    </row>
    <row r="740" spans="1:43" x14ac:dyDescent="0.25">
      <c r="A740">
        <v>737</v>
      </c>
      <c r="B740">
        <v>15</v>
      </c>
      <c r="C740">
        <v>15</v>
      </c>
      <c r="D740">
        <v>4</v>
      </c>
      <c r="E740">
        <v>1522</v>
      </c>
      <c r="F740">
        <v>4855</v>
      </c>
      <c r="G740">
        <v>4868</v>
      </c>
      <c r="H740">
        <v>2473</v>
      </c>
      <c r="I740">
        <v>1482</v>
      </c>
      <c r="J740">
        <v>0</v>
      </c>
      <c r="K740">
        <v>189</v>
      </c>
      <c r="L740">
        <v>228</v>
      </c>
      <c r="M740">
        <v>245</v>
      </c>
      <c r="N740">
        <v>867</v>
      </c>
      <c r="O740">
        <v>953</v>
      </c>
      <c r="P740">
        <v>538.08643170000005</v>
      </c>
      <c r="Q740">
        <v>272</v>
      </c>
      <c r="R740">
        <v>0.158464366</v>
      </c>
      <c r="S740">
        <v>4591</v>
      </c>
      <c r="T740">
        <v>394</v>
      </c>
      <c r="U740">
        <v>1057</v>
      </c>
      <c r="V740">
        <v>1458</v>
      </c>
      <c r="W740">
        <v>1166</v>
      </c>
      <c r="X740">
        <v>655</v>
      </c>
      <c r="Y740">
        <v>379</v>
      </c>
      <c r="Z740">
        <v>847</v>
      </c>
      <c r="AA740">
        <v>857</v>
      </c>
      <c r="AB740">
        <v>3</v>
      </c>
      <c r="AC740">
        <v>1935</v>
      </c>
      <c r="AD740">
        <v>570</v>
      </c>
      <c r="AE740">
        <v>0</v>
      </c>
      <c r="AF740">
        <v>0</v>
      </c>
      <c r="AG740">
        <v>4</v>
      </c>
      <c r="AH740">
        <v>0</v>
      </c>
      <c r="AI740">
        <v>0</v>
      </c>
      <c r="AJ740">
        <v>0</v>
      </c>
      <c r="AK740">
        <v>1.3265</v>
      </c>
      <c r="AL740">
        <v>3</v>
      </c>
      <c r="AM740">
        <v>0</v>
      </c>
      <c r="AN740">
        <v>1522</v>
      </c>
      <c r="AO740">
        <v>13</v>
      </c>
      <c r="AP740">
        <v>0</v>
      </c>
      <c r="AQ740">
        <v>0</v>
      </c>
    </row>
    <row r="741" spans="1:43" x14ac:dyDescent="0.25">
      <c r="A741">
        <v>738</v>
      </c>
      <c r="B741">
        <v>15</v>
      </c>
      <c r="C741">
        <v>15</v>
      </c>
      <c r="D741">
        <v>4</v>
      </c>
      <c r="E741">
        <v>2126</v>
      </c>
      <c r="F741">
        <v>6362</v>
      </c>
      <c r="G741">
        <v>6367</v>
      </c>
      <c r="H741">
        <v>3095</v>
      </c>
      <c r="I741">
        <v>1953</v>
      </c>
      <c r="J741">
        <v>58</v>
      </c>
      <c r="K741">
        <v>196</v>
      </c>
      <c r="L741">
        <v>274</v>
      </c>
      <c r="M741">
        <v>382</v>
      </c>
      <c r="N741">
        <v>1288</v>
      </c>
      <c r="O741">
        <v>514</v>
      </c>
      <c r="P741">
        <v>437</v>
      </c>
      <c r="Q741">
        <v>14</v>
      </c>
      <c r="R741">
        <v>0.198739217</v>
      </c>
      <c r="S741">
        <v>641</v>
      </c>
      <c r="T741">
        <v>119</v>
      </c>
      <c r="U741">
        <v>1326</v>
      </c>
      <c r="V741">
        <v>1617</v>
      </c>
      <c r="W741">
        <v>1809</v>
      </c>
      <c r="X741">
        <v>988</v>
      </c>
      <c r="Y741">
        <v>13</v>
      </c>
      <c r="Z741">
        <v>87</v>
      </c>
      <c r="AA741">
        <v>459</v>
      </c>
      <c r="AB741">
        <v>1</v>
      </c>
      <c r="AC741">
        <v>40</v>
      </c>
      <c r="AD741">
        <v>41</v>
      </c>
      <c r="AE741">
        <v>0</v>
      </c>
      <c r="AF741">
        <v>0</v>
      </c>
      <c r="AG741">
        <v>4</v>
      </c>
      <c r="AH741">
        <v>0</v>
      </c>
      <c r="AI741">
        <v>0</v>
      </c>
      <c r="AJ741">
        <v>0</v>
      </c>
      <c r="AK741">
        <v>1.1726300000000001</v>
      </c>
      <c r="AL741">
        <v>3</v>
      </c>
      <c r="AM741">
        <v>0</v>
      </c>
      <c r="AN741">
        <v>2126</v>
      </c>
      <c r="AO741">
        <v>5</v>
      </c>
      <c r="AP741">
        <v>0</v>
      </c>
      <c r="AQ741">
        <v>0</v>
      </c>
    </row>
    <row r="742" spans="1:43" x14ac:dyDescent="0.25">
      <c r="A742">
        <v>739</v>
      </c>
      <c r="B742">
        <v>15</v>
      </c>
      <c r="C742">
        <v>15</v>
      </c>
      <c r="D742">
        <v>4</v>
      </c>
      <c r="E742">
        <v>2478</v>
      </c>
      <c r="F742">
        <v>5596</v>
      </c>
      <c r="G742">
        <v>5731</v>
      </c>
      <c r="H742">
        <v>3308</v>
      </c>
      <c r="I742">
        <v>1142</v>
      </c>
      <c r="J742">
        <v>1493</v>
      </c>
      <c r="K742">
        <v>757</v>
      </c>
      <c r="L742">
        <v>534</v>
      </c>
      <c r="M742">
        <v>354</v>
      </c>
      <c r="N742">
        <v>848</v>
      </c>
      <c r="O742">
        <v>1205</v>
      </c>
      <c r="P742">
        <v>191.2489812</v>
      </c>
      <c r="Q742">
        <v>279.1165962</v>
      </c>
      <c r="R742">
        <v>0.17557816800000001</v>
      </c>
      <c r="S742">
        <v>7013</v>
      </c>
      <c r="T742">
        <v>386</v>
      </c>
      <c r="U742">
        <v>717</v>
      </c>
      <c r="V742">
        <v>1868</v>
      </c>
      <c r="W742">
        <v>1476</v>
      </c>
      <c r="X742">
        <v>797</v>
      </c>
      <c r="Y742">
        <v>451</v>
      </c>
      <c r="Z742">
        <v>1803</v>
      </c>
      <c r="AA742">
        <v>2525</v>
      </c>
      <c r="AB742">
        <v>5</v>
      </c>
      <c r="AC742">
        <v>873</v>
      </c>
      <c r="AD742">
        <v>1356</v>
      </c>
      <c r="AE742">
        <v>0</v>
      </c>
      <c r="AF742">
        <v>0</v>
      </c>
      <c r="AG742">
        <v>4</v>
      </c>
      <c r="AH742">
        <v>3</v>
      </c>
      <c r="AI742">
        <v>0</v>
      </c>
      <c r="AJ742">
        <v>0</v>
      </c>
      <c r="AK742">
        <v>1.9616899999999999</v>
      </c>
      <c r="AL742">
        <v>3</v>
      </c>
      <c r="AM742">
        <v>0</v>
      </c>
      <c r="AN742">
        <v>2478</v>
      </c>
      <c r="AO742">
        <v>135</v>
      </c>
      <c r="AP742">
        <v>0</v>
      </c>
      <c r="AQ742">
        <v>0</v>
      </c>
    </row>
    <row r="743" spans="1:43" x14ac:dyDescent="0.25">
      <c r="A743">
        <v>740</v>
      </c>
      <c r="B743">
        <v>15</v>
      </c>
      <c r="C743">
        <v>15</v>
      </c>
      <c r="D743">
        <v>4</v>
      </c>
      <c r="E743">
        <v>1393</v>
      </c>
      <c r="F743">
        <v>3860</v>
      </c>
      <c r="G743">
        <v>3863</v>
      </c>
      <c r="H743">
        <v>1772</v>
      </c>
      <c r="I743">
        <v>1180</v>
      </c>
      <c r="J743">
        <v>148</v>
      </c>
      <c r="K743">
        <v>100</v>
      </c>
      <c r="L743">
        <v>203</v>
      </c>
      <c r="M743">
        <v>364</v>
      </c>
      <c r="N743">
        <v>713</v>
      </c>
      <c r="O743">
        <v>441</v>
      </c>
      <c r="P743">
        <v>308</v>
      </c>
      <c r="Q743">
        <v>87</v>
      </c>
      <c r="R743">
        <v>0.181578253</v>
      </c>
      <c r="S743">
        <v>924</v>
      </c>
      <c r="T743">
        <v>121</v>
      </c>
      <c r="U743">
        <v>951</v>
      </c>
      <c r="V743">
        <v>891</v>
      </c>
      <c r="W743">
        <v>1154</v>
      </c>
      <c r="X743">
        <v>571</v>
      </c>
      <c r="Y743">
        <v>42</v>
      </c>
      <c r="Z743">
        <v>102</v>
      </c>
      <c r="AA743">
        <v>661</v>
      </c>
      <c r="AB743">
        <v>1</v>
      </c>
      <c r="AC743">
        <v>40</v>
      </c>
      <c r="AD743">
        <v>78</v>
      </c>
      <c r="AE743">
        <v>0</v>
      </c>
      <c r="AF743">
        <v>0</v>
      </c>
      <c r="AG743">
        <v>4</v>
      </c>
      <c r="AH743">
        <v>2583</v>
      </c>
      <c r="AI743">
        <v>0</v>
      </c>
      <c r="AJ743">
        <v>0</v>
      </c>
      <c r="AK743">
        <v>1.2516</v>
      </c>
      <c r="AL743">
        <v>3</v>
      </c>
      <c r="AM743">
        <v>0</v>
      </c>
      <c r="AN743">
        <v>1393</v>
      </c>
      <c r="AO743">
        <v>3</v>
      </c>
      <c r="AP743">
        <v>0</v>
      </c>
      <c r="AQ743">
        <v>0</v>
      </c>
    </row>
    <row r="744" spans="1:43" x14ac:dyDescent="0.25">
      <c r="A744">
        <v>741</v>
      </c>
      <c r="B744">
        <v>15</v>
      </c>
      <c r="C744">
        <v>15</v>
      </c>
      <c r="D744">
        <v>4</v>
      </c>
      <c r="E744">
        <v>1791</v>
      </c>
      <c r="F744">
        <v>5278</v>
      </c>
      <c r="G744">
        <v>5293</v>
      </c>
      <c r="H744">
        <v>2493</v>
      </c>
      <c r="I744">
        <v>1395</v>
      </c>
      <c r="J744">
        <v>334</v>
      </c>
      <c r="K744">
        <v>174</v>
      </c>
      <c r="L744">
        <v>247</v>
      </c>
      <c r="M744">
        <v>514</v>
      </c>
      <c r="N744">
        <v>845</v>
      </c>
      <c r="O744">
        <v>528</v>
      </c>
      <c r="P744">
        <v>306</v>
      </c>
      <c r="Q744">
        <v>81.501282209999999</v>
      </c>
      <c r="R744">
        <v>0.247309685</v>
      </c>
      <c r="S744">
        <v>1131</v>
      </c>
      <c r="T744">
        <v>151</v>
      </c>
      <c r="U744">
        <v>1065</v>
      </c>
      <c r="V744">
        <v>1268</v>
      </c>
      <c r="W744">
        <v>1376</v>
      </c>
      <c r="X744">
        <v>1005</v>
      </c>
      <c r="Y744">
        <v>192</v>
      </c>
      <c r="Z744">
        <v>192</v>
      </c>
      <c r="AA744">
        <v>615</v>
      </c>
      <c r="AB744">
        <v>2</v>
      </c>
      <c r="AC744">
        <v>55</v>
      </c>
      <c r="AD744">
        <v>75</v>
      </c>
      <c r="AE744">
        <v>0</v>
      </c>
      <c r="AF744">
        <v>0</v>
      </c>
      <c r="AG744">
        <v>4</v>
      </c>
      <c r="AH744">
        <v>0</v>
      </c>
      <c r="AI744">
        <v>0</v>
      </c>
      <c r="AJ744">
        <v>0</v>
      </c>
      <c r="AK744">
        <v>1.21513</v>
      </c>
      <c r="AL744">
        <v>3</v>
      </c>
      <c r="AM744">
        <v>0</v>
      </c>
      <c r="AN744">
        <v>1791</v>
      </c>
      <c r="AO744">
        <v>15</v>
      </c>
      <c r="AP744">
        <v>0</v>
      </c>
      <c r="AQ744">
        <v>0</v>
      </c>
    </row>
    <row r="745" spans="1:43" x14ac:dyDescent="0.25">
      <c r="A745">
        <v>742</v>
      </c>
      <c r="B745">
        <v>15</v>
      </c>
      <c r="C745">
        <v>15</v>
      </c>
      <c r="D745">
        <v>4</v>
      </c>
      <c r="E745">
        <v>5077</v>
      </c>
      <c r="F745">
        <v>13629</v>
      </c>
      <c r="G745">
        <v>13658</v>
      </c>
      <c r="H745">
        <v>6841</v>
      </c>
      <c r="I745">
        <v>2665</v>
      </c>
      <c r="J745">
        <v>2335</v>
      </c>
      <c r="K745">
        <v>697</v>
      </c>
      <c r="L745">
        <v>881</v>
      </c>
      <c r="M745">
        <v>1230</v>
      </c>
      <c r="N745">
        <v>2254</v>
      </c>
      <c r="O745">
        <v>1686</v>
      </c>
      <c r="P745">
        <v>757.73129600000004</v>
      </c>
      <c r="Q745">
        <v>734</v>
      </c>
      <c r="R745">
        <v>0.15634196</v>
      </c>
      <c r="S745">
        <v>18702</v>
      </c>
      <c r="T745">
        <v>660</v>
      </c>
      <c r="U745">
        <v>2537</v>
      </c>
      <c r="V745">
        <v>5064</v>
      </c>
      <c r="W745">
        <v>2912</v>
      </c>
      <c r="X745">
        <v>1682</v>
      </c>
      <c r="Y745">
        <v>1718</v>
      </c>
      <c r="Z745">
        <v>6408</v>
      </c>
      <c r="AA745">
        <v>6398</v>
      </c>
      <c r="AB745">
        <v>12</v>
      </c>
      <c r="AC745">
        <v>1874</v>
      </c>
      <c r="AD745">
        <v>2292</v>
      </c>
      <c r="AE745">
        <v>0</v>
      </c>
      <c r="AF745">
        <v>0</v>
      </c>
      <c r="AG745">
        <v>3</v>
      </c>
      <c r="AH745">
        <v>33</v>
      </c>
      <c r="AI745">
        <v>0</v>
      </c>
      <c r="AJ745">
        <v>0</v>
      </c>
      <c r="AK745">
        <v>1.68486</v>
      </c>
      <c r="AL745">
        <v>3</v>
      </c>
      <c r="AM745">
        <v>0</v>
      </c>
      <c r="AN745">
        <v>5077</v>
      </c>
      <c r="AO745">
        <v>29</v>
      </c>
      <c r="AP745">
        <v>0</v>
      </c>
      <c r="AQ745">
        <v>0</v>
      </c>
    </row>
    <row r="746" spans="1:43" x14ac:dyDescent="0.25">
      <c r="A746">
        <v>743</v>
      </c>
      <c r="B746">
        <v>15</v>
      </c>
      <c r="C746">
        <v>15</v>
      </c>
      <c r="D746">
        <v>4</v>
      </c>
      <c r="E746">
        <v>3582</v>
      </c>
      <c r="F746">
        <v>10049</v>
      </c>
      <c r="G746">
        <v>10056</v>
      </c>
      <c r="H746">
        <v>4738</v>
      </c>
      <c r="I746">
        <v>2820</v>
      </c>
      <c r="J746">
        <v>549</v>
      </c>
      <c r="K746">
        <v>582</v>
      </c>
      <c r="L746">
        <v>449</v>
      </c>
      <c r="M746">
        <v>658</v>
      </c>
      <c r="N746">
        <v>1878</v>
      </c>
      <c r="O746">
        <v>2250</v>
      </c>
      <c r="P746">
        <v>685.23736959999997</v>
      </c>
      <c r="Q746">
        <v>402</v>
      </c>
      <c r="R746">
        <v>0.16316673700000001</v>
      </c>
      <c r="S746">
        <v>4031</v>
      </c>
      <c r="T746">
        <v>264</v>
      </c>
      <c r="U746">
        <v>2330</v>
      </c>
      <c r="V746">
        <v>2391</v>
      </c>
      <c r="W746">
        <v>3006</v>
      </c>
      <c r="X746">
        <v>1235</v>
      </c>
      <c r="Y746">
        <v>173</v>
      </c>
      <c r="Z746">
        <v>1041</v>
      </c>
      <c r="AA746">
        <v>963</v>
      </c>
      <c r="AB746">
        <v>130</v>
      </c>
      <c r="AC746">
        <v>667</v>
      </c>
      <c r="AD746">
        <v>1057</v>
      </c>
      <c r="AE746">
        <v>0</v>
      </c>
      <c r="AF746">
        <v>0</v>
      </c>
      <c r="AG746">
        <v>4</v>
      </c>
      <c r="AH746">
        <v>0</v>
      </c>
      <c r="AI746">
        <v>0</v>
      </c>
      <c r="AJ746">
        <v>0</v>
      </c>
      <c r="AK746">
        <v>1.2412700000000001</v>
      </c>
      <c r="AL746">
        <v>3</v>
      </c>
      <c r="AM746">
        <v>0</v>
      </c>
      <c r="AN746">
        <v>3582</v>
      </c>
      <c r="AO746">
        <v>7</v>
      </c>
      <c r="AP746">
        <v>0</v>
      </c>
      <c r="AQ746">
        <v>0</v>
      </c>
    </row>
    <row r="747" spans="1:43" x14ac:dyDescent="0.25">
      <c r="A747">
        <v>744</v>
      </c>
      <c r="B747">
        <v>15</v>
      </c>
      <c r="C747">
        <v>15</v>
      </c>
      <c r="D747">
        <v>4</v>
      </c>
      <c r="E747">
        <v>1955</v>
      </c>
      <c r="F747">
        <v>5159</v>
      </c>
      <c r="G747">
        <v>5159</v>
      </c>
      <c r="H747">
        <v>2667</v>
      </c>
      <c r="I747">
        <v>1132</v>
      </c>
      <c r="J747">
        <v>771</v>
      </c>
      <c r="K747">
        <v>451</v>
      </c>
      <c r="L747">
        <v>265</v>
      </c>
      <c r="M747">
        <v>357</v>
      </c>
      <c r="N747">
        <v>869</v>
      </c>
      <c r="O747">
        <v>523</v>
      </c>
      <c r="P747">
        <v>395.08546530000001</v>
      </c>
      <c r="Q747">
        <v>94</v>
      </c>
      <c r="R747">
        <v>0.22884580500000001</v>
      </c>
      <c r="S747">
        <v>1696</v>
      </c>
      <c r="T747">
        <v>315</v>
      </c>
      <c r="U747">
        <v>1114</v>
      </c>
      <c r="V747">
        <v>1390</v>
      </c>
      <c r="W747">
        <v>1451</v>
      </c>
      <c r="X747">
        <v>1078</v>
      </c>
      <c r="Y747">
        <v>63</v>
      </c>
      <c r="Z747">
        <v>106</v>
      </c>
      <c r="AA747">
        <v>1119</v>
      </c>
      <c r="AB747">
        <v>1</v>
      </c>
      <c r="AC747">
        <v>83</v>
      </c>
      <c r="AD747">
        <v>324</v>
      </c>
      <c r="AE747">
        <v>0</v>
      </c>
      <c r="AF747">
        <v>0</v>
      </c>
      <c r="AG747">
        <v>4</v>
      </c>
      <c r="AH747">
        <v>155</v>
      </c>
      <c r="AI747">
        <v>0</v>
      </c>
      <c r="AJ747">
        <v>0</v>
      </c>
      <c r="AK747">
        <v>1.2320899999999999</v>
      </c>
      <c r="AL747">
        <v>1</v>
      </c>
      <c r="AM747">
        <v>0</v>
      </c>
      <c r="AN747">
        <v>1955</v>
      </c>
      <c r="AO747">
        <v>0</v>
      </c>
      <c r="AP747">
        <v>0</v>
      </c>
      <c r="AQ747">
        <v>0</v>
      </c>
    </row>
    <row r="748" spans="1:43" x14ac:dyDescent="0.25">
      <c r="A748">
        <v>745</v>
      </c>
      <c r="B748">
        <v>15</v>
      </c>
      <c r="C748">
        <v>15</v>
      </c>
      <c r="D748">
        <v>4</v>
      </c>
      <c r="E748">
        <v>2202</v>
      </c>
      <c r="F748">
        <v>5770</v>
      </c>
      <c r="G748">
        <v>5770</v>
      </c>
      <c r="H748">
        <v>2732</v>
      </c>
      <c r="I748">
        <v>1776</v>
      </c>
      <c r="J748">
        <v>493</v>
      </c>
      <c r="K748">
        <v>362</v>
      </c>
      <c r="L748">
        <v>370</v>
      </c>
      <c r="M748">
        <v>470</v>
      </c>
      <c r="N748">
        <v>1005</v>
      </c>
      <c r="O748">
        <v>1980</v>
      </c>
      <c r="P748">
        <v>437.00138980000003</v>
      </c>
      <c r="Q748">
        <v>13</v>
      </c>
      <c r="R748">
        <v>0.22639796700000001</v>
      </c>
      <c r="S748">
        <v>433</v>
      </c>
      <c r="T748">
        <v>233</v>
      </c>
      <c r="U748">
        <v>1035</v>
      </c>
      <c r="V748">
        <v>1593</v>
      </c>
      <c r="W748">
        <v>1456</v>
      </c>
      <c r="X748">
        <v>1033</v>
      </c>
      <c r="Y748">
        <v>57</v>
      </c>
      <c r="Z748">
        <v>110</v>
      </c>
      <c r="AA748">
        <v>176</v>
      </c>
      <c r="AB748">
        <v>1</v>
      </c>
      <c r="AC748">
        <v>28</v>
      </c>
      <c r="AD748">
        <v>61</v>
      </c>
      <c r="AE748">
        <v>0</v>
      </c>
      <c r="AF748">
        <v>0</v>
      </c>
      <c r="AG748">
        <v>4</v>
      </c>
      <c r="AH748">
        <v>0</v>
      </c>
      <c r="AI748">
        <v>0</v>
      </c>
      <c r="AJ748">
        <v>0</v>
      </c>
      <c r="AK748">
        <v>1.1271100000000001</v>
      </c>
      <c r="AL748">
        <v>1</v>
      </c>
      <c r="AM748">
        <v>0</v>
      </c>
      <c r="AN748">
        <v>2202</v>
      </c>
      <c r="AO748">
        <v>0</v>
      </c>
      <c r="AP748">
        <v>0</v>
      </c>
      <c r="AQ748">
        <v>0</v>
      </c>
    </row>
    <row r="749" spans="1:43" x14ac:dyDescent="0.25">
      <c r="A749">
        <v>746</v>
      </c>
      <c r="B749">
        <v>15</v>
      </c>
      <c r="C749">
        <v>15</v>
      </c>
      <c r="D749">
        <v>4</v>
      </c>
      <c r="E749">
        <v>2759</v>
      </c>
      <c r="F749">
        <v>8717</v>
      </c>
      <c r="G749">
        <v>8739</v>
      </c>
      <c r="H749">
        <v>4003</v>
      </c>
      <c r="I749">
        <v>2644</v>
      </c>
      <c r="J749">
        <v>15</v>
      </c>
      <c r="K749">
        <v>183</v>
      </c>
      <c r="L749">
        <v>344</v>
      </c>
      <c r="M749">
        <v>394</v>
      </c>
      <c r="N749">
        <v>1835</v>
      </c>
      <c r="O749">
        <v>65629</v>
      </c>
      <c r="P749">
        <v>2765.4645780000001</v>
      </c>
      <c r="Q749">
        <v>117</v>
      </c>
      <c r="R749">
        <v>0.20022922600000001</v>
      </c>
      <c r="S749">
        <v>1749</v>
      </c>
      <c r="T749">
        <v>196</v>
      </c>
      <c r="U749">
        <v>2040</v>
      </c>
      <c r="V749">
        <v>1974</v>
      </c>
      <c r="W749">
        <v>2984</v>
      </c>
      <c r="X749">
        <v>1270</v>
      </c>
      <c r="Y749">
        <v>127</v>
      </c>
      <c r="Z749">
        <v>398</v>
      </c>
      <c r="AA749">
        <v>833</v>
      </c>
      <c r="AB749">
        <v>38</v>
      </c>
      <c r="AC749">
        <v>188</v>
      </c>
      <c r="AD749">
        <v>165</v>
      </c>
      <c r="AE749">
        <v>0</v>
      </c>
      <c r="AF749">
        <v>0</v>
      </c>
      <c r="AG749">
        <v>4</v>
      </c>
      <c r="AH749">
        <v>0</v>
      </c>
      <c r="AI749">
        <v>0</v>
      </c>
      <c r="AJ749">
        <v>0</v>
      </c>
      <c r="AK749">
        <v>0.98363999999999996</v>
      </c>
      <c r="AL749">
        <v>1</v>
      </c>
      <c r="AM749">
        <v>0</v>
      </c>
      <c r="AN749">
        <v>2759</v>
      </c>
      <c r="AO749">
        <v>22</v>
      </c>
      <c r="AP749">
        <v>0</v>
      </c>
      <c r="AQ749">
        <v>0</v>
      </c>
    </row>
    <row r="750" spans="1:43" x14ac:dyDescent="0.25">
      <c r="A750">
        <v>747</v>
      </c>
      <c r="B750">
        <v>16</v>
      </c>
      <c r="C750">
        <v>16</v>
      </c>
      <c r="D750">
        <v>4</v>
      </c>
      <c r="E750">
        <v>1178</v>
      </c>
      <c r="F750">
        <v>3688</v>
      </c>
      <c r="G750">
        <v>3688</v>
      </c>
      <c r="H750">
        <v>1570</v>
      </c>
      <c r="I750">
        <v>1126</v>
      </c>
      <c r="J750">
        <v>37</v>
      </c>
      <c r="K750">
        <v>136</v>
      </c>
      <c r="L750">
        <v>114</v>
      </c>
      <c r="M750">
        <v>131</v>
      </c>
      <c r="N750">
        <v>809</v>
      </c>
      <c r="O750">
        <v>3271</v>
      </c>
      <c r="P750">
        <v>523</v>
      </c>
      <c r="Q750">
        <v>15</v>
      </c>
      <c r="R750">
        <v>0.26142342800000001</v>
      </c>
      <c r="S750">
        <v>336</v>
      </c>
      <c r="T750">
        <v>302</v>
      </c>
      <c r="U750">
        <v>478</v>
      </c>
      <c r="V750">
        <v>858</v>
      </c>
      <c r="W750">
        <v>1159</v>
      </c>
      <c r="X750">
        <v>690</v>
      </c>
      <c r="Y750">
        <v>9</v>
      </c>
      <c r="Z750">
        <v>52</v>
      </c>
      <c r="AA750">
        <v>234</v>
      </c>
      <c r="AB750">
        <v>3</v>
      </c>
      <c r="AC750">
        <v>9</v>
      </c>
      <c r="AD750">
        <v>29</v>
      </c>
      <c r="AE750">
        <v>0</v>
      </c>
      <c r="AF750">
        <v>0</v>
      </c>
      <c r="AG750">
        <v>5</v>
      </c>
      <c r="AH750">
        <v>0</v>
      </c>
      <c r="AI750">
        <v>0</v>
      </c>
      <c r="AJ750">
        <v>0</v>
      </c>
      <c r="AK750">
        <v>1.03911</v>
      </c>
      <c r="AL750">
        <v>1</v>
      </c>
      <c r="AM750">
        <v>0</v>
      </c>
      <c r="AN750">
        <v>1178</v>
      </c>
      <c r="AO750">
        <v>0</v>
      </c>
      <c r="AP750">
        <v>0</v>
      </c>
      <c r="AQ750">
        <v>0</v>
      </c>
    </row>
    <row r="751" spans="1:43" x14ac:dyDescent="0.25">
      <c r="A751">
        <v>748</v>
      </c>
      <c r="B751">
        <v>16</v>
      </c>
      <c r="C751">
        <v>16</v>
      </c>
      <c r="D751">
        <v>4</v>
      </c>
      <c r="E751">
        <v>1325</v>
      </c>
      <c r="F751">
        <v>4533</v>
      </c>
      <c r="G751">
        <v>4540</v>
      </c>
      <c r="H751">
        <v>1917</v>
      </c>
      <c r="I751">
        <v>1246</v>
      </c>
      <c r="J751">
        <v>0</v>
      </c>
      <c r="K751">
        <v>138</v>
      </c>
      <c r="L751">
        <v>97</v>
      </c>
      <c r="M751">
        <v>244</v>
      </c>
      <c r="N751">
        <v>848</v>
      </c>
      <c r="O751">
        <v>433</v>
      </c>
      <c r="P751">
        <v>312.72276149999999</v>
      </c>
      <c r="Q751">
        <v>73</v>
      </c>
      <c r="R751">
        <v>0.20936576500000001</v>
      </c>
      <c r="S751">
        <v>265</v>
      </c>
      <c r="T751">
        <v>185</v>
      </c>
      <c r="U751">
        <v>920</v>
      </c>
      <c r="V751">
        <v>1156</v>
      </c>
      <c r="W751">
        <v>1294</v>
      </c>
      <c r="X751">
        <v>714</v>
      </c>
      <c r="Y751">
        <v>12</v>
      </c>
      <c r="Z751">
        <v>74</v>
      </c>
      <c r="AA751">
        <v>120</v>
      </c>
      <c r="AB751">
        <v>1</v>
      </c>
      <c r="AC751">
        <v>25</v>
      </c>
      <c r="AD751">
        <v>33</v>
      </c>
      <c r="AE751">
        <v>0</v>
      </c>
      <c r="AF751">
        <v>0</v>
      </c>
      <c r="AG751">
        <v>4</v>
      </c>
      <c r="AH751">
        <v>0</v>
      </c>
      <c r="AI751">
        <v>0</v>
      </c>
      <c r="AJ751">
        <v>0</v>
      </c>
      <c r="AK751">
        <v>1.1166499999999999</v>
      </c>
      <c r="AL751">
        <v>2</v>
      </c>
      <c r="AM751">
        <v>0</v>
      </c>
      <c r="AN751">
        <v>1325</v>
      </c>
      <c r="AO751">
        <v>7</v>
      </c>
      <c r="AP751">
        <v>0</v>
      </c>
      <c r="AQ751">
        <v>0</v>
      </c>
    </row>
    <row r="752" spans="1:43" x14ac:dyDescent="0.25">
      <c r="A752">
        <v>749</v>
      </c>
      <c r="B752">
        <v>16</v>
      </c>
      <c r="C752">
        <v>16</v>
      </c>
      <c r="D752">
        <v>4</v>
      </c>
      <c r="E752">
        <v>2195</v>
      </c>
      <c r="F752">
        <v>6896</v>
      </c>
      <c r="G752">
        <v>6896</v>
      </c>
      <c r="H752">
        <v>2865</v>
      </c>
      <c r="I752">
        <v>1428</v>
      </c>
      <c r="J752">
        <v>796</v>
      </c>
      <c r="K752">
        <v>225</v>
      </c>
      <c r="L752">
        <v>428</v>
      </c>
      <c r="M752">
        <v>521</v>
      </c>
      <c r="N752">
        <v>1019</v>
      </c>
      <c r="O752">
        <v>438</v>
      </c>
      <c r="P752">
        <v>272.63147609999999</v>
      </c>
      <c r="Q752">
        <v>138</v>
      </c>
      <c r="R752">
        <v>0.150531199</v>
      </c>
      <c r="S752">
        <v>1422</v>
      </c>
      <c r="T752">
        <v>499</v>
      </c>
      <c r="U752">
        <v>1425</v>
      </c>
      <c r="V752">
        <v>2203</v>
      </c>
      <c r="W752">
        <v>1551</v>
      </c>
      <c r="X752">
        <v>796</v>
      </c>
      <c r="Y752">
        <v>46</v>
      </c>
      <c r="Z752">
        <v>204</v>
      </c>
      <c r="AA752">
        <v>311</v>
      </c>
      <c r="AB752">
        <v>1</v>
      </c>
      <c r="AC752">
        <v>820</v>
      </c>
      <c r="AD752">
        <v>40</v>
      </c>
      <c r="AE752">
        <v>0</v>
      </c>
      <c r="AF752">
        <v>0</v>
      </c>
      <c r="AG752">
        <v>4</v>
      </c>
      <c r="AH752">
        <v>0</v>
      </c>
      <c r="AI752">
        <v>0</v>
      </c>
      <c r="AJ752">
        <v>0</v>
      </c>
      <c r="AK752">
        <v>1.2667600000000001</v>
      </c>
      <c r="AL752">
        <v>2</v>
      </c>
      <c r="AM752">
        <v>0</v>
      </c>
      <c r="AN752">
        <v>2195</v>
      </c>
      <c r="AO752">
        <v>0</v>
      </c>
      <c r="AP752">
        <v>0</v>
      </c>
      <c r="AQ752">
        <v>0</v>
      </c>
    </row>
    <row r="753" spans="1:43" x14ac:dyDescent="0.25">
      <c r="A753">
        <v>750</v>
      </c>
      <c r="B753">
        <v>16</v>
      </c>
      <c r="C753">
        <v>16</v>
      </c>
      <c r="D753">
        <v>4</v>
      </c>
      <c r="E753">
        <v>680</v>
      </c>
      <c r="F753">
        <v>2197</v>
      </c>
      <c r="G753">
        <v>2202</v>
      </c>
      <c r="H753">
        <v>993</v>
      </c>
      <c r="I753">
        <v>572</v>
      </c>
      <c r="J753">
        <v>187</v>
      </c>
      <c r="K753">
        <v>118</v>
      </c>
      <c r="L753">
        <v>55</v>
      </c>
      <c r="M753">
        <v>154</v>
      </c>
      <c r="N753">
        <v>352</v>
      </c>
      <c r="O753">
        <v>854</v>
      </c>
      <c r="P753">
        <v>19.11771684</v>
      </c>
      <c r="Q753">
        <v>489</v>
      </c>
      <c r="R753">
        <v>7.7030812000000004E-2</v>
      </c>
      <c r="S753">
        <v>12045</v>
      </c>
      <c r="T753">
        <v>103</v>
      </c>
      <c r="U753">
        <v>618</v>
      </c>
      <c r="V753">
        <v>777</v>
      </c>
      <c r="W753">
        <v>442</v>
      </c>
      <c r="X753">
        <v>151</v>
      </c>
      <c r="Y753">
        <v>883</v>
      </c>
      <c r="Z753">
        <v>1135</v>
      </c>
      <c r="AA753">
        <v>698</v>
      </c>
      <c r="AB753">
        <v>2</v>
      </c>
      <c r="AC753">
        <v>8862</v>
      </c>
      <c r="AD753">
        <v>465</v>
      </c>
      <c r="AE753">
        <v>0</v>
      </c>
      <c r="AF753">
        <v>0</v>
      </c>
      <c r="AG753">
        <v>2</v>
      </c>
      <c r="AH753">
        <v>0</v>
      </c>
      <c r="AI753">
        <v>807</v>
      </c>
      <c r="AJ753">
        <v>237</v>
      </c>
      <c r="AK753">
        <v>1.6533199999999999</v>
      </c>
      <c r="AL753">
        <v>3</v>
      </c>
      <c r="AM753">
        <v>0</v>
      </c>
      <c r="AN753">
        <v>680</v>
      </c>
      <c r="AO753">
        <v>5</v>
      </c>
      <c r="AP753">
        <v>0</v>
      </c>
      <c r="AQ753">
        <v>0</v>
      </c>
    </row>
    <row r="754" spans="1:43" x14ac:dyDescent="0.25">
      <c r="A754">
        <v>751</v>
      </c>
      <c r="B754">
        <v>16</v>
      </c>
      <c r="C754">
        <v>16</v>
      </c>
      <c r="D754">
        <v>4</v>
      </c>
      <c r="E754">
        <v>14</v>
      </c>
      <c r="F754">
        <v>50</v>
      </c>
      <c r="G754">
        <v>50</v>
      </c>
      <c r="H754">
        <v>20</v>
      </c>
      <c r="I754">
        <v>12</v>
      </c>
      <c r="J754">
        <v>3</v>
      </c>
      <c r="K754">
        <v>1</v>
      </c>
      <c r="L754">
        <v>1</v>
      </c>
      <c r="M754">
        <v>4</v>
      </c>
      <c r="N754">
        <v>8</v>
      </c>
      <c r="O754">
        <v>11159.8</v>
      </c>
      <c r="P754">
        <v>5.5140326799999997</v>
      </c>
      <c r="Q754">
        <v>2275.426974</v>
      </c>
      <c r="R754">
        <v>4.7619047999999997E-2</v>
      </c>
      <c r="S754">
        <v>27918</v>
      </c>
      <c r="T754">
        <v>2</v>
      </c>
      <c r="U754">
        <v>13</v>
      </c>
      <c r="V754">
        <v>16</v>
      </c>
      <c r="W754">
        <v>9</v>
      </c>
      <c r="X754">
        <v>2</v>
      </c>
      <c r="Y754">
        <v>2812</v>
      </c>
      <c r="Z754">
        <v>3222</v>
      </c>
      <c r="AA754">
        <v>2574</v>
      </c>
      <c r="AB754">
        <v>6</v>
      </c>
      <c r="AC754">
        <v>15856</v>
      </c>
      <c r="AD754">
        <v>3448</v>
      </c>
      <c r="AE754">
        <v>0</v>
      </c>
      <c r="AF754">
        <v>0</v>
      </c>
      <c r="AG754">
        <v>4</v>
      </c>
      <c r="AH754">
        <v>22</v>
      </c>
      <c r="AI754">
        <v>0</v>
      </c>
      <c r="AJ754">
        <v>0</v>
      </c>
      <c r="AK754">
        <v>1.4717199999999999</v>
      </c>
      <c r="AL754">
        <v>3</v>
      </c>
      <c r="AM754">
        <v>0</v>
      </c>
      <c r="AN754">
        <v>14</v>
      </c>
      <c r="AO754">
        <v>0</v>
      </c>
      <c r="AP754">
        <v>0</v>
      </c>
      <c r="AQ754">
        <v>0</v>
      </c>
    </row>
    <row r="755" spans="1:43" x14ac:dyDescent="0.25">
      <c r="A755">
        <v>752</v>
      </c>
      <c r="B755">
        <v>16</v>
      </c>
      <c r="C755">
        <v>16</v>
      </c>
      <c r="D755">
        <v>4</v>
      </c>
      <c r="E755">
        <v>615</v>
      </c>
      <c r="F755">
        <v>1663</v>
      </c>
      <c r="G755">
        <v>1725</v>
      </c>
      <c r="H755">
        <v>764</v>
      </c>
      <c r="I755">
        <v>292</v>
      </c>
      <c r="J755">
        <v>452</v>
      </c>
      <c r="K755">
        <v>49</v>
      </c>
      <c r="L755">
        <v>93</v>
      </c>
      <c r="M755">
        <v>137</v>
      </c>
      <c r="N755">
        <v>333</v>
      </c>
      <c r="O755">
        <v>1585.4</v>
      </c>
      <c r="P755">
        <v>317.8023488</v>
      </c>
      <c r="Q755">
        <v>1426</v>
      </c>
      <c r="R755">
        <v>1.9583843E-2</v>
      </c>
      <c r="S755">
        <v>30849</v>
      </c>
      <c r="T755">
        <v>199</v>
      </c>
      <c r="U755">
        <v>251</v>
      </c>
      <c r="V755">
        <v>959</v>
      </c>
      <c r="W755">
        <v>152</v>
      </c>
      <c r="X755">
        <v>25</v>
      </c>
      <c r="Y755">
        <v>845</v>
      </c>
      <c r="Z755">
        <v>2432</v>
      </c>
      <c r="AA755">
        <v>2526</v>
      </c>
      <c r="AB755">
        <v>5</v>
      </c>
      <c r="AC755">
        <v>23791</v>
      </c>
      <c r="AD755">
        <v>1250</v>
      </c>
      <c r="AE755">
        <v>0</v>
      </c>
      <c r="AF755">
        <v>0</v>
      </c>
      <c r="AG755">
        <v>2</v>
      </c>
      <c r="AH755">
        <v>2</v>
      </c>
      <c r="AI755">
        <v>0</v>
      </c>
      <c r="AJ755">
        <v>0</v>
      </c>
      <c r="AK755">
        <v>1.7877400000000001</v>
      </c>
      <c r="AL755">
        <v>3</v>
      </c>
      <c r="AM755">
        <v>0</v>
      </c>
      <c r="AN755">
        <v>615</v>
      </c>
      <c r="AO755">
        <v>62</v>
      </c>
      <c r="AP755">
        <v>0</v>
      </c>
      <c r="AQ755">
        <v>0</v>
      </c>
    </row>
    <row r="756" spans="1:43" x14ac:dyDescent="0.25">
      <c r="A756">
        <v>753</v>
      </c>
      <c r="B756">
        <v>16</v>
      </c>
      <c r="C756">
        <v>16</v>
      </c>
      <c r="D756">
        <v>4</v>
      </c>
      <c r="E756">
        <v>1584</v>
      </c>
      <c r="F756">
        <v>5091</v>
      </c>
      <c r="G756">
        <v>5094</v>
      </c>
      <c r="H756">
        <v>2046</v>
      </c>
      <c r="I756">
        <v>1548</v>
      </c>
      <c r="J756">
        <v>13</v>
      </c>
      <c r="K756">
        <v>110</v>
      </c>
      <c r="L756">
        <v>151</v>
      </c>
      <c r="M756">
        <v>309</v>
      </c>
      <c r="N756">
        <v>1003</v>
      </c>
      <c r="O756">
        <v>570</v>
      </c>
      <c r="P756">
        <v>516</v>
      </c>
      <c r="Q756">
        <v>28</v>
      </c>
      <c r="R756">
        <v>0.179194352</v>
      </c>
      <c r="S756">
        <v>262</v>
      </c>
      <c r="T756">
        <v>134</v>
      </c>
      <c r="U756">
        <v>1003</v>
      </c>
      <c r="V756">
        <v>1198</v>
      </c>
      <c r="W756">
        <v>1621</v>
      </c>
      <c r="X756">
        <v>706</v>
      </c>
      <c r="Y756">
        <v>7</v>
      </c>
      <c r="Z756">
        <v>61</v>
      </c>
      <c r="AA756">
        <v>160</v>
      </c>
      <c r="AB756">
        <v>2</v>
      </c>
      <c r="AC756">
        <v>14</v>
      </c>
      <c r="AD756">
        <v>18</v>
      </c>
      <c r="AE756">
        <v>0</v>
      </c>
      <c r="AF756">
        <v>0</v>
      </c>
      <c r="AG756">
        <v>4</v>
      </c>
      <c r="AH756">
        <v>0</v>
      </c>
      <c r="AI756">
        <v>0</v>
      </c>
      <c r="AJ756">
        <v>0</v>
      </c>
      <c r="AK756">
        <v>1.09053</v>
      </c>
      <c r="AL756">
        <v>1</v>
      </c>
      <c r="AM756">
        <v>0</v>
      </c>
      <c r="AN756">
        <v>1584</v>
      </c>
      <c r="AO756">
        <v>3</v>
      </c>
      <c r="AP756">
        <v>0</v>
      </c>
      <c r="AQ756">
        <v>0</v>
      </c>
    </row>
    <row r="757" spans="1:43" x14ac:dyDescent="0.25">
      <c r="A757">
        <v>754</v>
      </c>
      <c r="B757">
        <v>16</v>
      </c>
      <c r="C757">
        <v>16</v>
      </c>
      <c r="D757">
        <v>4</v>
      </c>
      <c r="E757">
        <v>1279</v>
      </c>
      <c r="F757">
        <v>4031</v>
      </c>
      <c r="G757">
        <v>4068</v>
      </c>
      <c r="H757">
        <v>1781</v>
      </c>
      <c r="I757">
        <v>1226</v>
      </c>
      <c r="J757">
        <v>13</v>
      </c>
      <c r="K757">
        <v>106</v>
      </c>
      <c r="L757">
        <v>85</v>
      </c>
      <c r="M757">
        <v>245</v>
      </c>
      <c r="N757">
        <v>842</v>
      </c>
      <c r="O757">
        <v>3692</v>
      </c>
      <c r="P757">
        <v>713</v>
      </c>
      <c r="Q757">
        <v>231.4526822</v>
      </c>
      <c r="R757">
        <v>0.250362845</v>
      </c>
      <c r="S757">
        <v>1383</v>
      </c>
      <c r="T757">
        <v>87</v>
      </c>
      <c r="U757">
        <v>694</v>
      </c>
      <c r="V757">
        <v>1020</v>
      </c>
      <c r="W757">
        <v>1336</v>
      </c>
      <c r="X757">
        <v>850</v>
      </c>
      <c r="Y757">
        <v>37</v>
      </c>
      <c r="Z757">
        <v>142</v>
      </c>
      <c r="AA757">
        <v>1044</v>
      </c>
      <c r="AB757">
        <v>14</v>
      </c>
      <c r="AC757">
        <v>101</v>
      </c>
      <c r="AD757">
        <v>45</v>
      </c>
      <c r="AE757">
        <v>0</v>
      </c>
      <c r="AF757">
        <v>0</v>
      </c>
      <c r="AG757">
        <v>4</v>
      </c>
      <c r="AH757">
        <v>37</v>
      </c>
      <c r="AI757">
        <v>3267</v>
      </c>
      <c r="AJ757">
        <v>11958</v>
      </c>
      <c r="AK757">
        <v>1.0054399999999999</v>
      </c>
      <c r="AL757">
        <v>1</v>
      </c>
      <c r="AM757">
        <v>0</v>
      </c>
      <c r="AN757">
        <v>1279</v>
      </c>
      <c r="AO757">
        <v>37</v>
      </c>
      <c r="AP757">
        <v>0</v>
      </c>
      <c r="AQ757">
        <v>0</v>
      </c>
    </row>
    <row r="758" spans="1:43" x14ac:dyDescent="0.25">
      <c r="A758">
        <v>755</v>
      </c>
      <c r="B758">
        <v>16</v>
      </c>
      <c r="C758">
        <v>16</v>
      </c>
      <c r="D758">
        <v>4</v>
      </c>
      <c r="E758">
        <v>3304</v>
      </c>
      <c r="F758">
        <v>10481</v>
      </c>
      <c r="G758">
        <v>10482</v>
      </c>
      <c r="H758">
        <v>4795</v>
      </c>
      <c r="I758">
        <v>3014</v>
      </c>
      <c r="J758">
        <v>273</v>
      </c>
      <c r="K758">
        <v>365</v>
      </c>
      <c r="L758">
        <v>426</v>
      </c>
      <c r="M758">
        <v>568</v>
      </c>
      <c r="N758">
        <v>1944</v>
      </c>
      <c r="O758">
        <v>1301</v>
      </c>
      <c r="P758">
        <v>1025.1149600000001</v>
      </c>
      <c r="Q758">
        <v>66</v>
      </c>
      <c r="R758">
        <v>0.19043043800000001</v>
      </c>
      <c r="S758">
        <v>1794</v>
      </c>
      <c r="T758">
        <v>533</v>
      </c>
      <c r="U758">
        <v>1942</v>
      </c>
      <c r="V758">
        <v>2787</v>
      </c>
      <c r="W758">
        <v>3353</v>
      </c>
      <c r="X758">
        <v>1500</v>
      </c>
      <c r="Y758">
        <v>53</v>
      </c>
      <c r="Z758">
        <v>408</v>
      </c>
      <c r="AA758">
        <v>708</v>
      </c>
      <c r="AB758">
        <v>2</v>
      </c>
      <c r="AC758">
        <v>190</v>
      </c>
      <c r="AD758">
        <v>433</v>
      </c>
      <c r="AE758">
        <v>0</v>
      </c>
      <c r="AF758">
        <v>0</v>
      </c>
      <c r="AG758">
        <v>4</v>
      </c>
      <c r="AH758">
        <v>60</v>
      </c>
      <c r="AI758">
        <v>0</v>
      </c>
      <c r="AJ758">
        <v>0</v>
      </c>
      <c r="AK758">
        <v>1.1120300000000001</v>
      </c>
      <c r="AL758">
        <v>1</v>
      </c>
      <c r="AM758">
        <v>0</v>
      </c>
      <c r="AN758">
        <v>3304</v>
      </c>
      <c r="AO758">
        <v>1</v>
      </c>
      <c r="AP758">
        <v>0</v>
      </c>
      <c r="AQ758">
        <v>0</v>
      </c>
    </row>
    <row r="759" spans="1:43" x14ac:dyDescent="0.25">
      <c r="A759">
        <v>756</v>
      </c>
      <c r="B759">
        <v>16</v>
      </c>
      <c r="C759">
        <v>16</v>
      </c>
      <c r="D759">
        <v>4</v>
      </c>
      <c r="E759">
        <v>2235</v>
      </c>
      <c r="F759">
        <v>7353</v>
      </c>
      <c r="G759">
        <v>7363</v>
      </c>
      <c r="H759">
        <v>3622</v>
      </c>
      <c r="I759">
        <v>2101</v>
      </c>
      <c r="J759">
        <v>86</v>
      </c>
      <c r="K759">
        <v>191</v>
      </c>
      <c r="L759">
        <v>208</v>
      </c>
      <c r="M759">
        <v>419</v>
      </c>
      <c r="N759">
        <v>1423</v>
      </c>
      <c r="O759">
        <v>981</v>
      </c>
      <c r="P759">
        <v>805.03071680000005</v>
      </c>
      <c r="Q759">
        <v>48</v>
      </c>
      <c r="R759">
        <v>0.15736183400000001</v>
      </c>
      <c r="S759">
        <v>1854</v>
      </c>
      <c r="T759">
        <v>373</v>
      </c>
      <c r="U759">
        <v>1609</v>
      </c>
      <c r="V759">
        <v>2014</v>
      </c>
      <c r="W759">
        <v>2217</v>
      </c>
      <c r="X759">
        <v>679</v>
      </c>
      <c r="Y759">
        <v>74</v>
      </c>
      <c r="Z759">
        <v>470</v>
      </c>
      <c r="AA759">
        <v>433</v>
      </c>
      <c r="AB759">
        <v>11</v>
      </c>
      <c r="AC759">
        <v>287</v>
      </c>
      <c r="AD759">
        <v>579</v>
      </c>
      <c r="AE759">
        <v>0</v>
      </c>
      <c r="AF759">
        <v>0</v>
      </c>
      <c r="AG759">
        <v>4</v>
      </c>
      <c r="AH759">
        <v>1794</v>
      </c>
      <c r="AI759">
        <v>0</v>
      </c>
      <c r="AJ759">
        <v>0</v>
      </c>
      <c r="AK759">
        <v>1.25875</v>
      </c>
      <c r="AL759">
        <v>2</v>
      </c>
      <c r="AM759">
        <v>0</v>
      </c>
      <c r="AN759">
        <v>2235</v>
      </c>
      <c r="AO759">
        <v>10</v>
      </c>
      <c r="AP759">
        <v>0</v>
      </c>
      <c r="AQ759">
        <v>0</v>
      </c>
    </row>
    <row r="760" spans="1:43" x14ac:dyDescent="0.25">
      <c r="A760">
        <v>757</v>
      </c>
      <c r="B760">
        <v>16</v>
      </c>
      <c r="C760">
        <v>16</v>
      </c>
      <c r="D760">
        <v>4</v>
      </c>
      <c r="E760">
        <v>872</v>
      </c>
      <c r="F760">
        <v>2745</v>
      </c>
      <c r="G760">
        <v>2758</v>
      </c>
      <c r="H760">
        <v>1297</v>
      </c>
      <c r="I760">
        <v>848</v>
      </c>
      <c r="J760">
        <v>15</v>
      </c>
      <c r="K760">
        <v>168</v>
      </c>
      <c r="L760">
        <v>131</v>
      </c>
      <c r="M760">
        <v>265</v>
      </c>
      <c r="N760">
        <v>307</v>
      </c>
      <c r="O760">
        <v>189</v>
      </c>
      <c r="P760">
        <v>179</v>
      </c>
      <c r="Q760">
        <v>3.751802863</v>
      </c>
      <c r="R760">
        <v>0.103186097</v>
      </c>
      <c r="S760">
        <v>212</v>
      </c>
      <c r="T760">
        <v>129</v>
      </c>
      <c r="U760">
        <v>593</v>
      </c>
      <c r="V760">
        <v>805</v>
      </c>
      <c r="W760">
        <v>918</v>
      </c>
      <c r="X760">
        <v>230</v>
      </c>
      <c r="Y760">
        <v>14</v>
      </c>
      <c r="Z760">
        <v>21</v>
      </c>
      <c r="AA760">
        <v>144</v>
      </c>
      <c r="AB760">
        <v>0</v>
      </c>
      <c r="AC760">
        <v>13</v>
      </c>
      <c r="AD760">
        <v>20</v>
      </c>
      <c r="AE760">
        <v>0</v>
      </c>
      <c r="AF760">
        <v>0</v>
      </c>
      <c r="AG760">
        <v>4</v>
      </c>
      <c r="AH760">
        <v>0</v>
      </c>
      <c r="AI760">
        <v>0</v>
      </c>
      <c r="AJ760">
        <v>0</v>
      </c>
      <c r="AK760">
        <v>1.20225</v>
      </c>
      <c r="AL760">
        <v>3</v>
      </c>
      <c r="AM760">
        <v>0</v>
      </c>
      <c r="AN760">
        <v>872</v>
      </c>
      <c r="AO760">
        <v>13</v>
      </c>
      <c r="AP760">
        <v>0</v>
      </c>
      <c r="AQ760">
        <v>0</v>
      </c>
    </row>
    <row r="761" spans="1:43" x14ac:dyDescent="0.25">
      <c r="A761">
        <v>758</v>
      </c>
      <c r="B761">
        <v>16</v>
      </c>
      <c r="C761">
        <v>16</v>
      </c>
      <c r="D761">
        <v>4</v>
      </c>
      <c r="E761">
        <v>2027</v>
      </c>
      <c r="F761">
        <v>6605</v>
      </c>
      <c r="G761">
        <v>6617</v>
      </c>
      <c r="H761">
        <v>3046</v>
      </c>
      <c r="I761">
        <v>1822</v>
      </c>
      <c r="J761">
        <v>104</v>
      </c>
      <c r="K761">
        <v>405</v>
      </c>
      <c r="L761">
        <v>452</v>
      </c>
      <c r="M761">
        <v>354</v>
      </c>
      <c r="N761">
        <v>819</v>
      </c>
      <c r="O761">
        <v>390</v>
      </c>
      <c r="P761">
        <v>335.71852919999998</v>
      </c>
      <c r="Q761">
        <v>38</v>
      </c>
      <c r="R761">
        <v>0.17563267199999999</v>
      </c>
      <c r="S761">
        <v>914</v>
      </c>
      <c r="T761">
        <v>201</v>
      </c>
      <c r="U761">
        <v>1541</v>
      </c>
      <c r="V761">
        <v>1958</v>
      </c>
      <c r="W761">
        <v>1861</v>
      </c>
      <c r="X761">
        <v>808</v>
      </c>
      <c r="Y761">
        <v>135</v>
      </c>
      <c r="Z761">
        <v>96</v>
      </c>
      <c r="AA761">
        <v>558</v>
      </c>
      <c r="AB761">
        <v>1</v>
      </c>
      <c r="AC761">
        <v>28</v>
      </c>
      <c r="AD761">
        <v>96</v>
      </c>
      <c r="AE761">
        <v>0</v>
      </c>
      <c r="AF761">
        <v>0</v>
      </c>
      <c r="AG761">
        <v>4</v>
      </c>
      <c r="AH761">
        <v>204</v>
      </c>
      <c r="AI761">
        <v>0</v>
      </c>
      <c r="AJ761">
        <v>0</v>
      </c>
      <c r="AK761">
        <v>1.2392300000000001</v>
      </c>
      <c r="AL761">
        <v>3</v>
      </c>
      <c r="AM761">
        <v>0</v>
      </c>
      <c r="AN761">
        <v>2027</v>
      </c>
      <c r="AO761">
        <v>12</v>
      </c>
      <c r="AP761">
        <v>0</v>
      </c>
      <c r="AQ761">
        <v>0</v>
      </c>
    </row>
    <row r="762" spans="1:43" x14ac:dyDescent="0.25">
      <c r="A762">
        <v>759</v>
      </c>
      <c r="B762">
        <v>16</v>
      </c>
      <c r="C762">
        <v>16</v>
      </c>
      <c r="D762">
        <v>4</v>
      </c>
      <c r="E762">
        <v>2412</v>
      </c>
      <c r="F762">
        <v>7824</v>
      </c>
      <c r="G762">
        <v>7829</v>
      </c>
      <c r="H762">
        <v>3727</v>
      </c>
      <c r="I762">
        <v>1710</v>
      </c>
      <c r="J762">
        <v>610</v>
      </c>
      <c r="K762">
        <v>156</v>
      </c>
      <c r="L762">
        <v>314</v>
      </c>
      <c r="M762">
        <v>808</v>
      </c>
      <c r="N762">
        <v>1093</v>
      </c>
      <c r="O762">
        <v>550</v>
      </c>
      <c r="P762">
        <v>395</v>
      </c>
      <c r="Q762">
        <v>126</v>
      </c>
      <c r="R762">
        <v>0.15655527</v>
      </c>
      <c r="S762">
        <v>412</v>
      </c>
      <c r="T762">
        <v>506</v>
      </c>
      <c r="U762">
        <v>1551</v>
      </c>
      <c r="V762">
        <v>2412</v>
      </c>
      <c r="W762">
        <v>2184</v>
      </c>
      <c r="X762">
        <v>911</v>
      </c>
      <c r="Y762">
        <v>52</v>
      </c>
      <c r="Z762">
        <v>86</v>
      </c>
      <c r="AA762">
        <v>170</v>
      </c>
      <c r="AB762">
        <v>1</v>
      </c>
      <c r="AC762">
        <v>70</v>
      </c>
      <c r="AD762">
        <v>33</v>
      </c>
      <c r="AE762">
        <v>0</v>
      </c>
      <c r="AF762">
        <v>0</v>
      </c>
      <c r="AG762">
        <v>4</v>
      </c>
      <c r="AH762">
        <v>0</v>
      </c>
      <c r="AI762">
        <v>7204</v>
      </c>
      <c r="AJ762">
        <v>0</v>
      </c>
      <c r="AK762">
        <v>1.22899</v>
      </c>
      <c r="AL762">
        <v>3</v>
      </c>
      <c r="AM762">
        <v>0</v>
      </c>
      <c r="AN762">
        <v>2412</v>
      </c>
      <c r="AO762">
        <v>5</v>
      </c>
      <c r="AP762">
        <v>0</v>
      </c>
      <c r="AQ762">
        <v>0</v>
      </c>
    </row>
    <row r="763" spans="1:43" x14ac:dyDescent="0.25">
      <c r="A763">
        <v>760</v>
      </c>
      <c r="B763">
        <v>16</v>
      </c>
      <c r="C763">
        <v>16</v>
      </c>
      <c r="D763">
        <v>4</v>
      </c>
      <c r="E763">
        <v>2066</v>
      </c>
      <c r="F763">
        <v>6130</v>
      </c>
      <c r="G763">
        <v>6142</v>
      </c>
      <c r="H763">
        <v>3050</v>
      </c>
      <c r="I763">
        <v>1634</v>
      </c>
      <c r="J763">
        <v>351</v>
      </c>
      <c r="K763">
        <v>347</v>
      </c>
      <c r="L763">
        <v>442</v>
      </c>
      <c r="M763">
        <v>555</v>
      </c>
      <c r="N763">
        <v>724</v>
      </c>
      <c r="O763">
        <v>400</v>
      </c>
      <c r="P763">
        <v>355.38499719999999</v>
      </c>
      <c r="Q763">
        <v>35.387047889999998</v>
      </c>
      <c r="R763">
        <v>0.14960261799999999</v>
      </c>
      <c r="S763">
        <v>448</v>
      </c>
      <c r="T763">
        <v>453</v>
      </c>
      <c r="U763">
        <v>759</v>
      </c>
      <c r="V763">
        <v>2705</v>
      </c>
      <c r="W763">
        <v>1590</v>
      </c>
      <c r="X763">
        <v>703</v>
      </c>
      <c r="Y763">
        <v>29</v>
      </c>
      <c r="Z763">
        <v>73</v>
      </c>
      <c r="AA763">
        <v>249</v>
      </c>
      <c r="AB763">
        <v>1</v>
      </c>
      <c r="AC763">
        <v>23</v>
      </c>
      <c r="AD763">
        <v>73</v>
      </c>
      <c r="AE763">
        <v>0</v>
      </c>
      <c r="AF763">
        <v>0</v>
      </c>
      <c r="AG763">
        <v>4</v>
      </c>
      <c r="AH763">
        <v>0</v>
      </c>
      <c r="AI763">
        <v>0</v>
      </c>
      <c r="AJ763">
        <v>0</v>
      </c>
      <c r="AK763">
        <v>1.22435</v>
      </c>
      <c r="AL763">
        <v>3</v>
      </c>
      <c r="AM763">
        <v>0</v>
      </c>
      <c r="AN763">
        <v>2066</v>
      </c>
      <c r="AO763">
        <v>12</v>
      </c>
      <c r="AP763">
        <v>0</v>
      </c>
      <c r="AQ763">
        <v>0</v>
      </c>
    </row>
    <row r="764" spans="1:43" x14ac:dyDescent="0.25">
      <c r="A764">
        <v>761</v>
      </c>
      <c r="B764">
        <v>16</v>
      </c>
      <c r="C764">
        <v>16</v>
      </c>
      <c r="D764">
        <v>4</v>
      </c>
      <c r="E764">
        <v>3901</v>
      </c>
      <c r="F764">
        <v>11418</v>
      </c>
      <c r="G764">
        <v>11495</v>
      </c>
      <c r="H764">
        <v>5319</v>
      </c>
      <c r="I764">
        <v>1943</v>
      </c>
      <c r="J764">
        <v>1977</v>
      </c>
      <c r="K764">
        <v>791</v>
      </c>
      <c r="L764">
        <v>698</v>
      </c>
      <c r="M764">
        <v>941</v>
      </c>
      <c r="N764">
        <v>1472</v>
      </c>
      <c r="O764">
        <v>594</v>
      </c>
      <c r="P764">
        <v>436.1069286</v>
      </c>
      <c r="Q764">
        <v>166</v>
      </c>
      <c r="R764">
        <v>0.111715445</v>
      </c>
      <c r="S764">
        <v>2998</v>
      </c>
      <c r="T764">
        <v>501</v>
      </c>
      <c r="U764">
        <v>2760</v>
      </c>
      <c r="V764">
        <v>4098</v>
      </c>
      <c r="W764">
        <v>2932</v>
      </c>
      <c r="X764">
        <v>915</v>
      </c>
      <c r="Y764">
        <v>324</v>
      </c>
      <c r="Z764">
        <v>983</v>
      </c>
      <c r="AA764">
        <v>1328</v>
      </c>
      <c r="AB764">
        <v>1</v>
      </c>
      <c r="AC764">
        <v>260</v>
      </c>
      <c r="AD764">
        <v>102</v>
      </c>
      <c r="AE764">
        <v>0</v>
      </c>
      <c r="AF764">
        <v>0</v>
      </c>
      <c r="AG764">
        <v>4</v>
      </c>
      <c r="AH764">
        <v>2157</v>
      </c>
      <c r="AI764">
        <v>0</v>
      </c>
      <c r="AJ764">
        <v>0</v>
      </c>
      <c r="AK764">
        <v>1.5138100000000001</v>
      </c>
      <c r="AL764">
        <v>3</v>
      </c>
      <c r="AM764">
        <v>0</v>
      </c>
      <c r="AN764">
        <v>3901</v>
      </c>
      <c r="AO764">
        <v>77</v>
      </c>
      <c r="AP764">
        <v>0</v>
      </c>
      <c r="AQ764">
        <v>0</v>
      </c>
    </row>
    <row r="765" spans="1:43" x14ac:dyDescent="0.25">
      <c r="A765">
        <v>762</v>
      </c>
      <c r="B765">
        <v>16</v>
      </c>
      <c r="C765">
        <v>16</v>
      </c>
      <c r="D765">
        <v>4</v>
      </c>
      <c r="E765">
        <v>1331</v>
      </c>
      <c r="F765">
        <v>3588</v>
      </c>
      <c r="G765">
        <v>3595</v>
      </c>
      <c r="H765">
        <v>2205</v>
      </c>
      <c r="I765">
        <v>529</v>
      </c>
      <c r="J765">
        <v>786</v>
      </c>
      <c r="K765">
        <v>54</v>
      </c>
      <c r="L765">
        <v>253</v>
      </c>
      <c r="M765">
        <v>433</v>
      </c>
      <c r="N765">
        <v>580</v>
      </c>
      <c r="O765">
        <v>222</v>
      </c>
      <c r="P765">
        <v>176</v>
      </c>
      <c r="Q765">
        <v>9</v>
      </c>
      <c r="R765">
        <v>9.4852364999999994E-2</v>
      </c>
      <c r="S765">
        <v>193</v>
      </c>
      <c r="T765">
        <v>227</v>
      </c>
      <c r="U765">
        <v>479</v>
      </c>
      <c r="V765">
        <v>2074</v>
      </c>
      <c r="W765">
        <v>657</v>
      </c>
      <c r="X765">
        <v>269</v>
      </c>
      <c r="Y765">
        <v>8</v>
      </c>
      <c r="Z765">
        <v>41</v>
      </c>
      <c r="AA765">
        <v>100</v>
      </c>
      <c r="AB765">
        <v>0</v>
      </c>
      <c r="AC765">
        <v>7</v>
      </c>
      <c r="AD765">
        <v>37</v>
      </c>
      <c r="AE765">
        <v>0</v>
      </c>
      <c r="AF765">
        <v>0</v>
      </c>
      <c r="AG765">
        <v>3</v>
      </c>
      <c r="AH765">
        <v>0</v>
      </c>
      <c r="AI765">
        <v>0</v>
      </c>
      <c r="AJ765">
        <v>0</v>
      </c>
      <c r="AK765">
        <v>1.4074500000000001</v>
      </c>
      <c r="AL765">
        <v>3</v>
      </c>
      <c r="AM765">
        <v>0</v>
      </c>
      <c r="AN765">
        <v>1331</v>
      </c>
      <c r="AO765">
        <v>7</v>
      </c>
      <c r="AP765">
        <v>0</v>
      </c>
      <c r="AQ765">
        <v>0</v>
      </c>
    </row>
    <row r="766" spans="1:43" x14ac:dyDescent="0.25">
      <c r="A766">
        <v>763</v>
      </c>
      <c r="B766">
        <v>16</v>
      </c>
      <c r="C766">
        <v>16</v>
      </c>
      <c r="D766">
        <v>4</v>
      </c>
      <c r="E766">
        <v>3336</v>
      </c>
      <c r="F766">
        <v>8470</v>
      </c>
      <c r="G766">
        <v>8482</v>
      </c>
      <c r="H766">
        <v>3882</v>
      </c>
      <c r="I766">
        <v>929</v>
      </c>
      <c r="J766">
        <v>2399</v>
      </c>
      <c r="K766">
        <v>610</v>
      </c>
      <c r="L766">
        <v>857</v>
      </c>
      <c r="M766">
        <v>945</v>
      </c>
      <c r="N766">
        <v>902</v>
      </c>
      <c r="O766">
        <v>249</v>
      </c>
      <c r="P766">
        <v>176.31906499999999</v>
      </c>
      <c r="Q766">
        <v>72</v>
      </c>
      <c r="R766">
        <v>0.112471763</v>
      </c>
      <c r="S766">
        <v>3720</v>
      </c>
      <c r="T766">
        <v>601</v>
      </c>
      <c r="U766">
        <v>1182</v>
      </c>
      <c r="V766">
        <v>4079</v>
      </c>
      <c r="W766">
        <v>1480</v>
      </c>
      <c r="X766">
        <v>792</v>
      </c>
      <c r="Y766">
        <v>34</v>
      </c>
      <c r="Z766">
        <v>1361</v>
      </c>
      <c r="AA766">
        <v>2203</v>
      </c>
      <c r="AB766">
        <v>1</v>
      </c>
      <c r="AC766">
        <v>31</v>
      </c>
      <c r="AD766">
        <v>90</v>
      </c>
      <c r="AE766">
        <v>0</v>
      </c>
      <c r="AF766">
        <v>0</v>
      </c>
      <c r="AG766">
        <v>3</v>
      </c>
      <c r="AH766">
        <v>0</v>
      </c>
      <c r="AI766">
        <v>0</v>
      </c>
      <c r="AJ766">
        <v>0</v>
      </c>
      <c r="AK766">
        <v>1.9268000000000001</v>
      </c>
      <c r="AL766">
        <v>3</v>
      </c>
      <c r="AM766">
        <v>0</v>
      </c>
      <c r="AN766">
        <v>3336</v>
      </c>
      <c r="AO766">
        <v>12</v>
      </c>
      <c r="AP766">
        <v>0</v>
      </c>
      <c r="AQ766">
        <v>0</v>
      </c>
    </row>
    <row r="767" spans="1:43" x14ac:dyDescent="0.25">
      <c r="A767">
        <v>764</v>
      </c>
      <c r="B767">
        <v>16</v>
      </c>
      <c r="C767">
        <v>16</v>
      </c>
      <c r="D767">
        <v>4</v>
      </c>
      <c r="E767">
        <v>2251</v>
      </c>
      <c r="F767">
        <v>6830</v>
      </c>
      <c r="G767">
        <v>6849</v>
      </c>
      <c r="H767">
        <v>3659</v>
      </c>
      <c r="I767">
        <v>1619</v>
      </c>
      <c r="J767">
        <v>510</v>
      </c>
      <c r="K767">
        <v>243</v>
      </c>
      <c r="L767">
        <v>780</v>
      </c>
      <c r="M767">
        <v>508</v>
      </c>
      <c r="N767">
        <v>705</v>
      </c>
      <c r="O767">
        <v>490</v>
      </c>
      <c r="P767">
        <v>409.42193140000001</v>
      </c>
      <c r="Q767">
        <v>77</v>
      </c>
      <c r="R767">
        <v>0.21217150800000001</v>
      </c>
      <c r="S767">
        <v>1860</v>
      </c>
      <c r="T767">
        <v>207</v>
      </c>
      <c r="U767">
        <v>943</v>
      </c>
      <c r="V767">
        <v>2495</v>
      </c>
      <c r="W767">
        <v>2347</v>
      </c>
      <c r="X767">
        <v>1013</v>
      </c>
      <c r="Y767">
        <v>596</v>
      </c>
      <c r="Z767">
        <v>121</v>
      </c>
      <c r="AA767">
        <v>989</v>
      </c>
      <c r="AB767">
        <v>1</v>
      </c>
      <c r="AC767">
        <v>75</v>
      </c>
      <c r="AD767">
        <v>78</v>
      </c>
      <c r="AE767">
        <v>0</v>
      </c>
      <c r="AF767">
        <v>0</v>
      </c>
      <c r="AG767">
        <v>4</v>
      </c>
      <c r="AH767">
        <v>262</v>
      </c>
      <c r="AI767">
        <v>0</v>
      </c>
      <c r="AJ767">
        <v>0</v>
      </c>
      <c r="AK767">
        <v>1.3213200000000001</v>
      </c>
      <c r="AL767">
        <v>3</v>
      </c>
      <c r="AM767">
        <v>0</v>
      </c>
      <c r="AN767">
        <v>2251</v>
      </c>
      <c r="AO767">
        <v>19</v>
      </c>
      <c r="AP767">
        <v>0</v>
      </c>
      <c r="AQ767">
        <v>0</v>
      </c>
    </row>
    <row r="768" spans="1:43" x14ac:dyDescent="0.25">
      <c r="A768">
        <v>765</v>
      </c>
      <c r="B768">
        <v>16</v>
      </c>
      <c r="C768">
        <v>16</v>
      </c>
      <c r="D768">
        <v>4</v>
      </c>
      <c r="E768">
        <v>952</v>
      </c>
      <c r="F768">
        <v>2904</v>
      </c>
      <c r="G768">
        <v>2921</v>
      </c>
      <c r="H768">
        <v>1570</v>
      </c>
      <c r="I768">
        <v>881</v>
      </c>
      <c r="J768">
        <v>21</v>
      </c>
      <c r="K768">
        <v>89</v>
      </c>
      <c r="L768">
        <v>158</v>
      </c>
      <c r="M768">
        <v>286</v>
      </c>
      <c r="N768">
        <v>426</v>
      </c>
      <c r="O768">
        <v>308</v>
      </c>
      <c r="P768">
        <v>167</v>
      </c>
      <c r="Q768">
        <v>106</v>
      </c>
      <c r="R768">
        <v>0.16886035299999999</v>
      </c>
      <c r="S768">
        <v>811</v>
      </c>
      <c r="T768">
        <v>198</v>
      </c>
      <c r="U768">
        <v>515</v>
      </c>
      <c r="V768">
        <v>1079</v>
      </c>
      <c r="W768">
        <v>772</v>
      </c>
      <c r="X768">
        <v>452</v>
      </c>
      <c r="Y768">
        <v>150</v>
      </c>
      <c r="Z768">
        <v>73</v>
      </c>
      <c r="AA768">
        <v>536</v>
      </c>
      <c r="AB768">
        <v>0</v>
      </c>
      <c r="AC768">
        <v>24</v>
      </c>
      <c r="AD768">
        <v>28</v>
      </c>
      <c r="AE768">
        <v>0</v>
      </c>
      <c r="AF768">
        <v>0</v>
      </c>
      <c r="AG768">
        <v>4</v>
      </c>
      <c r="AH768">
        <v>1273</v>
      </c>
      <c r="AI768">
        <v>0</v>
      </c>
      <c r="AJ768">
        <v>0</v>
      </c>
      <c r="AK768">
        <v>1.32437</v>
      </c>
      <c r="AL768">
        <v>3</v>
      </c>
      <c r="AM768">
        <v>0</v>
      </c>
      <c r="AN768">
        <v>952</v>
      </c>
      <c r="AO768">
        <v>17</v>
      </c>
      <c r="AP768">
        <v>0</v>
      </c>
      <c r="AQ768">
        <v>0</v>
      </c>
    </row>
    <row r="769" spans="1:43" x14ac:dyDescent="0.25">
      <c r="A769">
        <v>766</v>
      </c>
      <c r="B769">
        <v>16</v>
      </c>
      <c r="C769">
        <v>16</v>
      </c>
      <c r="D769">
        <v>4</v>
      </c>
      <c r="E769">
        <v>1089</v>
      </c>
      <c r="F769">
        <v>3137</v>
      </c>
      <c r="G769">
        <v>3142</v>
      </c>
      <c r="H769">
        <v>1414</v>
      </c>
      <c r="I769">
        <v>825</v>
      </c>
      <c r="J769">
        <v>220</v>
      </c>
      <c r="K769">
        <v>113</v>
      </c>
      <c r="L769">
        <v>101</v>
      </c>
      <c r="M769">
        <v>324</v>
      </c>
      <c r="N769">
        <v>545</v>
      </c>
      <c r="O769">
        <v>303</v>
      </c>
      <c r="P769">
        <v>193</v>
      </c>
      <c r="Q769">
        <v>78.324288670000001</v>
      </c>
      <c r="R769">
        <v>0.20356801499999999</v>
      </c>
      <c r="S769">
        <v>893</v>
      </c>
      <c r="T769">
        <v>111</v>
      </c>
      <c r="U769">
        <v>664</v>
      </c>
      <c r="V769">
        <v>966</v>
      </c>
      <c r="W769">
        <v>855</v>
      </c>
      <c r="X769">
        <v>438</v>
      </c>
      <c r="Y769">
        <v>56</v>
      </c>
      <c r="Z769">
        <v>124</v>
      </c>
      <c r="AA769">
        <v>599</v>
      </c>
      <c r="AB769">
        <v>1</v>
      </c>
      <c r="AC769">
        <v>36</v>
      </c>
      <c r="AD769">
        <v>77</v>
      </c>
      <c r="AE769">
        <v>0</v>
      </c>
      <c r="AF769">
        <v>0</v>
      </c>
      <c r="AG769">
        <v>4</v>
      </c>
      <c r="AH769">
        <v>0</v>
      </c>
      <c r="AI769">
        <v>0</v>
      </c>
      <c r="AJ769">
        <v>0</v>
      </c>
      <c r="AK769">
        <v>1.1837200000000001</v>
      </c>
      <c r="AL769">
        <v>3</v>
      </c>
      <c r="AM769">
        <v>0</v>
      </c>
      <c r="AN769">
        <v>1089</v>
      </c>
      <c r="AO769">
        <v>5</v>
      </c>
      <c r="AP769">
        <v>0</v>
      </c>
      <c r="AQ769">
        <v>0</v>
      </c>
    </row>
    <row r="770" spans="1:43" x14ac:dyDescent="0.25">
      <c r="A770">
        <v>767</v>
      </c>
      <c r="B770">
        <v>16</v>
      </c>
      <c r="C770">
        <v>16</v>
      </c>
      <c r="D770">
        <v>4</v>
      </c>
      <c r="E770">
        <v>3809</v>
      </c>
      <c r="F770">
        <v>10919</v>
      </c>
      <c r="G770">
        <v>10921</v>
      </c>
      <c r="H770">
        <v>6200</v>
      </c>
      <c r="I770">
        <v>2962</v>
      </c>
      <c r="J770">
        <v>737</v>
      </c>
      <c r="K770">
        <v>331</v>
      </c>
      <c r="L770">
        <v>608</v>
      </c>
      <c r="M770">
        <v>842</v>
      </c>
      <c r="N770">
        <v>2006</v>
      </c>
      <c r="O770">
        <v>2081</v>
      </c>
      <c r="P770">
        <v>644.50470229999996</v>
      </c>
      <c r="Q770">
        <v>663</v>
      </c>
      <c r="R770">
        <v>0.155954975</v>
      </c>
      <c r="S770">
        <v>11299</v>
      </c>
      <c r="T770">
        <v>694</v>
      </c>
      <c r="U770">
        <v>1278</v>
      </c>
      <c r="V770">
        <v>4651</v>
      </c>
      <c r="W770">
        <v>2788</v>
      </c>
      <c r="X770">
        <v>1278</v>
      </c>
      <c r="Y770">
        <v>949</v>
      </c>
      <c r="Z770">
        <v>813</v>
      </c>
      <c r="AA770">
        <v>2039</v>
      </c>
      <c r="AB770">
        <v>2</v>
      </c>
      <c r="AC770">
        <v>7226</v>
      </c>
      <c r="AD770">
        <v>270</v>
      </c>
      <c r="AE770">
        <v>0</v>
      </c>
      <c r="AF770">
        <v>0</v>
      </c>
      <c r="AG770">
        <v>4</v>
      </c>
      <c r="AH770">
        <v>1367</v>
      </c>
      <c r="AI770">
        <v>0</v>
      </c>
      <c r="AJ770">
        <v>0</v>
      </c>
      <c r="AK770">
        <v>1.3525199999999999</v>
      </c>
      <c r="AL770">
        <v>3</v>
      </c>
      <c r="AM770">
        <v>0</v>
      </c>
      <c r="AN770">
        <v>3809</v>
      </c>
      <c r="AO770">
        <v>2</v>
      </c>
      <c r="AP770">
        <v>0</v>
      </c>
      <c r="AQ770">
        <v>0</v>
      </c>
    </row>
    <row r="771" spans="1:43" x14ac:dyDescent="0.25">
      <c r="A771">
        <v>768</v>
      </c>
      <c r="B771">
        <v>16</v>
      </c>
      <c r="C771">
        <v>16</v>
      </c>
      <c r="D771">
        <v>4</v>
      </c>
      <c r="E771">
        <v>3242</v>
      </c>
      <c r="F771">
        <v>9713</v>
      </c>
      <c r="G771">
        <v>9754</v>
      </c>
      <c r="H771">
        <v>5318</v>
      </c>
      <c r="I771">
        <v>2539</v>
      </c>
      <c r="J771">
        <v>634</v>
      </c>
      <c r="K771">
        <v>374</v>
      </c>
      <c r="L771">
        <v>491</v>
      </c>
      <c r="M771">
        <v>715</v>
      </c>
      <c r="N771">
        <v>1674</v>
      </c>
      <c r="O771">
        <v>6223</v>
      </c>
      <c r="P771">
        <v>587.07136890000004</v>
      </c>
      <c r="Q771">
        <v>698.62548479999998</v>
      </c>
      <c r="R771">
        <v>0.125173164</v>
      </c>
      <c r="S771">
        <v>6683</v>
      </c>
      <c r="T771">
        <v>633</v>
      </c>
      <c r="U771">
        <v>1465</v>
      </c>
      <c r="V771">
        <v>4481</v>
      </c>
      <c r="W771">
        <v>2176</v>
      </c>
      <c r="X771">
        <v>1044</v>
      </c>
      <c r="Y771">
        <v>349</v>
      </c>
      <c r="Z771">
        <v>2830</v>
      </c>
      <c r="AA771">
        <v>676</v>
      </c>
      <c r="AB771">
        <v>27</v>
      </c>
      <c r="AC771">
        <v>2502</v>
      </c>
      <c r="AD771">
        <v>299</v>
      </c>
      <c r="AE771">
        <v>0</v>
      </c>
      <c r="AF771">
        <v>0</v>
      </c>
      <c r="AG771">
        <v>4</v>
      </c>
      <c r="AH771">
        <v>0</v>
      </c>
      <c r="AI771">
        <v>0</v>
      </c>
      <c r="AJ771">
        <v>0</v>
      </c>
      <c r="AK771">
        <v>1.2847500000000001</v>
      </c>
      <c r="AL771">
        <v>3</v>
      </c>
      <c r="AM771">
        <v>0</v>
      </c>
      <c r="AN771">
        <v>3242</v>
      </c>
      <c r="AO771">
        <v>41</v>
      </c>
      <c r="AP771">
        <v>0</v>
      </c>
      <c r="AQ771">
        <v>0</v>
      </c>
    </row>
    <row r="772" spans="1:43" x14ac:dyDescent="0.25">
      <c r="A772">
        <v>769</v>
      </c>
      <c r="B772">
        <v>16</v>
      </c>
      <c r="C772">
        <v>16</v>
      </c>
      <c r="D772">
        <v>4</v>
      </c>
      <c r="E772">
        <v>4333</v>
      </c>
      <c r="F772">
        <v>14317</v>
      </c>
      <c r="G772">
        <v>14343</v>
      </c>
      <c r="H772">
        <v>6540</v>
      </c>
      <c r="I772">
        <v>3753</v>
      </c>
      <c r="J772">
        <v>504</v>
      </c>
      <c r="K772">
        <v>206</v>
      </c>
      <c r="L772">
        <v>367</v>
      </c>
      <c r="M772">
        <v>978</v>
      </c>
      <c r="N772">
        <v>2800</v>
      </c>
      <c r="O772">
        <v>5833.8</v>
      </c>
      <c r="P772">
        <v>753.18930580000006</v>
      </c>
      <c r="Q772">
        <v>244</v>
      </c>
      <c r="R772">
        <v>9.0256486999999996E-2</v>
      </c>
      <c r="S772">
        <v>1850</v>
      </c>
      <c r="T772">
        <v>737</v>
      </c>
      <c r="U772">
        <v>3381</v>
      </c>
      <c r="V772">
        <v>5122</v>
      </c>
      <c r="W772">
        <v>2849</v>
      </c>
      <c r="X772">
        <v>842</v>
      </c>
      <c r="Y772">
        <v>11</v>
      </c>
      <c r="Z772">
        <v>888</v>
      </c>
      <c r="AA772">
        <v>377</v>
      </c>
      <c r="AB772">
        <v>0</v>
      </c>
      <c r="AC772">
        <v>413</v>
      </c>
      <c r="AD772">
        <v>161</v>
      </c>
      <c r="AE772">
        <v>0</v>
      </c>
      <c r="AF772">
        <v>0</v>
      </c>
      <c r="AG772">
        <v>4</v>
      </c>
      <c r="AH772">
        <v>0</v>
      </c>
      <c r="AI772">
        <v>0</v>
      </c>
      <c r="AJ772">
        <v>0</v>
      </c>
      <c r="AK772">
        <v>1.39127</v>
      </c>
      <c r="AL772">
        <v>3</v>
      </c>
      <c r="AM772">
        <v>0</v>
      </c>
      <c r="AN772">
        <v>4333</v>
      </c>
      <c r="AO772">
        <v>26</v>
      </c>
      <c r="AP772">
        <v>0</v>
      </c>
      <c r="AQ772">
        <v>0</v>
      </c>
    </row>
    <row r="773" spans="1:43" x14ac:dyDescent="0.25">
      <c r="A773">
        <v>770</v>
      </c>
      <c r="B773">
        <v>16</v>
      </c>
      <c r="C773">
        <v>16</v>
      </c>
      <c r="D773">
        <v>4</v>
      </c>
      <c r="E773">
        <v>2106</v>
      </c>
      <c r="F773">
        <v>6370</v>
      </c>
      <c r="G773">
        <v>6376</v>
      </c>
      <c r="H773">
        <v>3605</v>
      </c>
      <c r="I773">
        <v>1794</v>
      </c>
      <c r="J773">
        <v>182</v>
      </c>
      <c r="K773">
        <v>267</v>
      </c>
      <c r="L773">
        <v>413</v>
      </c>
      <c r="M773">
        <v>538</v>
      </c>
      <c r="N773">
        <v>886</v>
      </c>
      <c r="O773">
        <v>514</v>
      </c>
      <c r="P773">
        <v>371</v>
      </c>
      <c r="Q773">
        <v>106</v>
      </c>
      <c r="R773">
        <v>0.190953293</v>
      </c>
      <c r="S773">
        <v>1531</v>
      </c>
      <c r="T773">
        <v>298</v>
      </c>
      <c r="U773">
        <v>885</v>
      </c>
      <c r="V773">
        <v>2387</v>
      </c>
      <c r="W773">
        <v>2098</v>
      </c>
      <c r="X773">
        <v>922</v>
      </c>
      <c r="Y773">
        <v>238</v>
      </c>
      <c r="Z773">
        <v>172</v>
      </c>
      <c r="AA773">
        <v>904</v>
      </c>
      <c r="AB773">
        <v>1</v>
      </c>
      <c r="AC773">
        <v>142</v>
      </c>
      <c r="AD773">
        <v>74</v>
      </c>
      <c r="AE773">
        <v>0</v>
      </c>
      <c r="AF773">
        <v>0</v>
      </c>
      <c r="AG773">
        <v>4</v>
      </c>
      <c r="AH773">
        <v>0</v>
      </c>
      <c r="AI773">
        <v>0</v>
      </c>
      <c r="AJ773">
        <v>0</v>
      </c>
      <c r="AK773">
        <v>1.3019799999999999</v>
      </c>
      <c r="AL773">
        <v>3</v>
      </c>
      <c r="AM773">
        <v>0</v>
      </c>
      <c r="AN773">
        <v>2106</v>
      </c>
      <c r="AO773">
        <v>6</v>
      </c>
      <c r="AP773">
        <v>0</v>
      </c>
      <c r="AQ773">
        <v>0</v>
      </c>
    </row>
    <row r="774" spans="1:43" x14ac:dyDescent="0.25">
      <c r="A774">
        <v>771</v>
      </c>
      <c r="B774">
        <v>16</v>
      </c>
      <c r="C774">
        <v>16</v>
      </c>
      <c r="D774">
        <v>4</v>
      </c>
      <c r="E774">
        <v>2695</v>
      </c>
      <c r="F774">
        <v>7083</v>
      </c>
      <c r="G774">
        <v>7086</v>
      </c>
      <c r="H774">
        <v>3623</v>
      </c>
      <c r="I774">
        <v>2536</v>
      </c>
      <c r="J774">
        <v>212</v>
      </c>
      <c r="K774">
        <v>561</v>
      </c>
      <c r="L774">
        <v>379</v>
      </c>
      <c r="M774">
        <v>764</v>
      </c>
      <c r="N774">
        <v>1010</v>
      </c>
      <c r="O774">
        <v>740</v>
      </c>
      <c r="P774">
        <v>474.1376879</v>
      </c>
      <c r="Q774">
        <v>155</v>
      </c>
      <c r="R774">
        <v>0.22313132699999999</v>
      </c>
      <c r="S774">
        <v>1354</v>
      </c>
      <c r="T774">
        <v>297</v>
      </c>
      <c r="U774">
        <v>1112</v>
      </c>
      <c r="V774">
        <v>1994</v>
      </c>
      <c r="W774">
        <v>2200</v>
      </c>
      <c r="X774">
        <v>1383</v>
      </c>
      <c r="Y774">
        <v>329</v>
      </c>
      <c r="Z774">
        <v>223</v>
      </c>
      <c r="AA774">
        <v>723</v>
      </c>
      <c r="AB774">
        <v>1</v>
      </c>
      <c r="AC774">
        <v>16</v>
      </c>
      <c r="AD774">
        <v>62</v>
      </c>
      <c r="AE774">
        <v>0</v>
      </c>
      <c r="AF774">
        <v>0</v>
      </c>
      <c r="AG774">
        <v>4</v>
      </c>
      <c r="AH774">
        <v>85</v>
      </c>
      <c r="AI774">
        <v>0</v>
      </c>
      <c r="AJ774">
        <v>0</v>
      </c>
      <c r="AK774">
        <v>1.2073</v>
      </c>
      <c r="AL774">
        <v>3</v>
      </c>
      <c r="AM774">
        <v>0</v>
      </c>
      <c r="AN774">
        <v>2695</v>
      </c>
      <c r="AO774">
        <v>3</v>
      </c>
      <c r="AP774">
        <v>0</v>
      </c>
      <c r="AQ774">
        <v>0</v>
      </c>
    </row>
    <row r="775" spans="1:43" x14ac:dyDescent="0.25">
      <c r="A775">
        <v>772</v>
      </c>
      <c r="B775">
        <v>16</v>
      </c>
      <c r="C775">
        <v>16</v>
      </c>
      <c r="D775">
        <v>4</v>
      </c>
      <c r="E775">
        <v>1523</v>
      </c>
      <c r="F775">
        <v>5092</v>
      </c>
      <c r="G775">
        <v>5133</v>
      </c>
      <c r="H775">
        <v>2494</v>
      </c>
      <c r="I775">
        <v>1109</v>
      </c>
      <c r="J775">
        <v>382</v>
      </c>
      <c r="K775">
        <v>252</v>
      </c>
      <c r="L775">
        <v>491</v>
      </c>
      <c r="M775">
        <v>495</v>
      </c>
      <c r="N775">
        <v>276</v>
      </c>
      <c r="O775">
        <v>242</v>
      </c>
      <c r="P775">
        <v>197</v>
      </c>
      <c r="Q775">
        <v>20.227259329999999</v>
      </c>
      <c r="R775">
        <v>0.120104928</v>
      </c>
      <c r="S775">
        <v>228</v>
      </c>
      <c r="T775">
        <v>351</v>
      </c>
      <c r="U775">
        <v>1087</v>
      </c>
      <c r="V775">
        <v>1892</v>
      </c>
      <c r="W775">
        <v>1348</v>
      </c>
      <c r="X775">
        <v>485</v>
      </c>
      <c r="Y775">
        <v>54</v>
      </c>
      <c r="Z775">
        <v>19</v>
      </c>
      <c r="AA775">
        <v>74</v>
      </c>
      <c r="AB775">
        <v>0</v>
      </c>
      <c r="AC775">
        <v>20</v>
      </c>
      <c r="AD775">
        <v>61</v>
      </c>
      <c r="AE775">
        <v>0</v>
      </c>
      <c r="AF775">
        <v>0</v>
      </c>
      <c r="AG775">
        <v>4</v>
      </c>
      <c r="AH775">
        <v>0</v>
      </c>
      <c r="AI775">
        <v>0</v>
      </c>
      <c r="AJ775">
        <v>0</v>
      </c>
      <c r="AK775">
        <v>1.3928499999999999</v>
      </c>
      <c r="AL775">
        <v>3</v>
      </c>
      <c r="AM775">
        <v>0</v>
      </c>
      <c r="AN775">
        <v>1523</v>
      </c>
      <c r="AO775">
        <v>41</v>
      </c>
      <c r="AP775">
        <v>0</v>
      </c>
      <c r="AQ775">
        <v>0</v>
      </c>
    </row>
    <row r="776" spans="1:43" x14ac:dyDescent="0.25">
      <c r="A776">
        <v>773</v>
      </c>
      <c r="B776">
        <v>16</v>
      </c>
      <c r="C776">
        <v>16</v>
      </c>
      <c r="D776">
        <v>4</v>
      </c>
      <c r="E776">
        <v>2024</v>
      </c>
      <c r="F776">
        <v>6253</v>
      </c>
      <c r="G776">
        <v>6255</v>
      </c>
      <c r="H776">
        <v>3094</v>
      </c>
      <c r="I776">
        <v>1216</v>
      </c>
      <c r="J776">
        <v>812</v>
      </c>
      <c r="K776">
        <v>261</v>
      </c>
      <c r="L776">
        <v>438</v>
      </c>
      <c r="M776">
        <v>612</v>
      </c>
      <c r="N776">
        <v>715</v>
      </c>
      <c r="O776">
        <v>490</v>
      </c>
      <c r="P776">
        <v>232</v>
      </c>
      <c r="Q776">
        <v>220.16225360000001</v>
      </c>
      <c r="R776">
        <v>0.115559989</v>
      </c>
      <c r="S776">
        <v>1687</v>
      </c>
      <c r="T776">
        <v>714</v>
      </c>
      <c r="U776">
        <v>1326</v>
      </c>
      <c r="V776">
        <v>2724</v>
      </c>
      <c r="W776">
        <v>1366</v>
      </c>
      <c r="X776">
        <v>672</v>
      </c>
      <c r="Y776">
        <v>182</v>
      </c>
      <c r="Z776">
        <v>222</v>
      </c>
      <c r="AA776">
        <v>469</v>
      </c>
      <c r="AB776">
        <v>1</v>
      </c>
      <c r="AC776">
        <v>421</v>
      </c>
      <c r="AD776">
        <v>392</v>
      </c>
      <c r="AE776">
        <v>0</v>
      </c>
      <c r="AF776">
        <v>0</v>
      </c>
      <c r="AG776">
        <v>4</v>
      </c>
      <c r="AH776">
        <v>0</v>
      </c>
      <c r="AI776">
        <v>0</v>
      </c>
      <c r="AJ776">
        <v>0</v>
      </c>
      <c r="AK776">
        <v>1.3550899999999999</v>
      </c>
      <c r="AL776">
        <v>3</v>
      </c>
      <c r="AM776">
        <v>0</v>
      </c>
      <c r="AN776">
        <v>2024</v>
      </c>
      <c r="AO776">
        <v>2</v>
      </c>
      <c r="AP776">
        <v>0</v>
      </c>
      <c r="AQ776">
        <v>0</v>
      </c>
    </row>
    <row r="777" spans="1:43" x14ac:dyDescent="0.25">
      <c r="A777">
        <v>774</v>
      </c>
      <c r="B777">
        <v>16</v>
      </c>
      <c r="C777">
        <v>16</v>
      </c>
      <c r="D777">
        <v>4</v>
      </c>
      <c r="E777">
        <v>3517</v>
      </c>
      <c r="F777">
        <v>8943</v>
      </c>
      <c r="G777">
        <v>9320</v>
      </c>
      <c r="H777">
        <v>4316</v>
      </c>
      <c r="I777">
        <v>1688</v>
      </c>
      <c r="J777">
        <v>1773</v>
      </c>
      <c r="K777">
        <v>811</v>
      </c>
      <c r="L777">
        <v>942</v>
      </c>
      <c r="M777">
        <v>726</v>
      </c>
      <c r="N777">
        <v>1052</v>
      </c>
      <c r="O777">
        <v>553</v>
      </c>
      <c r="P777">
        <v>332.97531570000001</v>
      </c>
      <c r="Q777">
        <v>197</v>
      </c>
      <c r="R777">
        <v>0.13776514300000001</v>
      </c>
      <c r="S777">
        <v>2048</v>
      </c>
      <c r="T777">
        <v>698</v>
      </c>
      <c r="U777">
        <v>1327</v>
      </c>
      <c r="V777">
        <v>3744</v>
      </c>
      <c r="W777">
        <v>2154</v>
      </c>
      <c r="X777">
        <v>972</v>
      </c>
      <c r="Y777">
        <v>186</v>
      </c>
      <c r="Z777">
        <v>288</v>
      </c>
      <c r="AA777">
        <v>1014</v>
      </c>
      <c r="AB777">
        <v>1</v>
      </c>
      <c r="AC777">
        <v>462</v>
      </c>
      <c r="AD777">
        <v>97</v>
      </c>
      <c r="AE777">
        <v>0</v>
      </c>
      <c r="AF777">
        <v>0</v>
      </c>
      <c r="AG777">
        <v>4</v>
      </c>
      <c r="AH777">
        <v>128</v>
      </c>
      <c r="AI777">
        <v>0</v>
      </c>
      <c r="AJ777">
        <v>0</v>
      </c>
      <c r="AK777">
        <v>1.4501200000000001</v>
      </c>
      <c r="AL777">
        <v>3</v>
      </c>
      <c r="AM777">
        <v>0</v>
      </c>
      <c r="AN777">
        <v>3517</v>
      </c>
      <c r="AO777">
        <v>377</v>
      </c>
      <c r="AP777">
        <v>0</v>
      </c>
      <c r="AQ777">
        <v>0</v>
      </c>
    </row>
    <row r="778" spans="1:43" x14ac:dyDescent="0.25">
      <c r="A778">
        <v>775</v>
      </c>
      <c r="B778">
        <v>16</v>
      </c>
      <c r="C778">
        <v>16</v>
      </c>
      <c r="D778">
        <v>4</v>
      </c>
      <c r="E778">
        <v>2947</v>
      </c>
      <c r="F778">
        <v>8271</v>
      </c>
      <c r="G778">
        <v>8286</v>
      </c>
      <c r="H778">
        <v>3704</v>
      </c>
      <c r="I778">
        <v>2100</v>
      </c>
      <c r="J778">
        <v>831</v>
      </c>
      <c r="K778">
        <v>609</v>
      </c>
      <c r="L778">
        <v>541</v>
      </c>
      <c r="M778">
        <v>639</v>
      </c>
      <c r="N778">
        <v>1160</v>
      </c>
      <c r="O778">
        <v>624</v>
      </c>
      <c r="P778">
        <v>568</v>
      </c>
      <c r="Q778">
        <v>58.12402694</v>
      </c>
      <c r="R778">
        <v>0.18092028800000001</v>
      </c>
      <c r="S778">
        <v>728</v>
      </c>
      <c r="T778">
        <v>506</v>
      </c>
      <c r="U778">
        <v>1502</v>
      </c>
      <c r="V778">
        <v>2618</v>
      </c>
      <c r="W778">
        <v>2442</v>
      </c>
      <c r="X778">
        <v>1281</v>
      </c>
      <c r="Y778">
        <v>55</v>
      </c>
      <c r="Z778">
        <v>135</v>
      </c>
      <c r="AA778">
        <v>396</v>
      </c>
      <c r="AB778">
        <v>2</v>
      </c>
      <c r="AC778">
        <v>58</v>
      </c>
      <c r="AD778">
        <v>82</v>
      </c>
      <c r="AE778">
        <v>0</v>
      </c>
      <c r="AF778">
        <v>0</v>
      </c>
      <c r="AG778">
        <v>4</v>
      </c>
      <c r="AH778">
        <v>0</v>
      </c>
      <c r="AI778">
        <v>0</v>
      </c>
      <c r="AJ778">
        <v>0</v>
      </c>
      <c r="AK778">
        <v>1.19465</v>
      </c>
      <c r="AL778">
        <v>3</v>
      </c>
      <c r="AM778">
        <v>0</v>
      </c>
      <c r="AN778">
        <v>2947</v>
      </c>
      <c r="AO778">
        <v>15</v>
      </c>
      <c r="AP778">
        <v>0</v>
      </c>
      <c r="AQ778">
        <v>0</v>
      </c>
    </row>
    <row r="779" spans="1:43" x14ac:dyDescent="0.25">
      <c r="A779">
        <v>776</v>
      </c>
      <c r="B779">
        <v>16</v>
      </c>
      <c r="C779">
        <v>16</v>
      </c>
      <c r="D779">
        <v>4</v>
      </c>
      <c r="E779">
        <v>2366</v>
      </c>
      <c r="F779">
        <v>6439</v>
      </c>
      <c r="G779">
        <v>6464</v>
      </c>
      <c r="H779">
        <v>2953</v>
      </c>
      <c r="I779">
        <v>1443</v>
      </c>
      <c r="J779">
        <v>907</v>
      </c>
      <c r="K779">
        <v>437</v>
      </c>
      <c r="L779">
        <v>385</v>
      </c>
      <c r="M779">
        <v>592</v>
      </c>
      <c r="N779">
        <v>944</v>
      </c>
      <c r="O779">
        <v>514</v>
      </c>
      <c r="P779">
        <v>353</v>
      </c>
      <c r="Q779">
        <v>146.6322064</v>
      </c>
      <c r="R779">
        <v>0.18563447699999999</v>
      </c>
      <c r="S779">
        <v>1235</v>
      </c>
      <c r="T779">
        <v>333</v>
      </c>
      <c r="U779">
        <v>1108</v>
      </c>
      <c r="V779">
        <v>2289</v>
      </c>
      <c r="W779">
        <v>1494</v>
      </c>
      <c r="X779">
        <v>854</v>
      </c>
      <c r="Y779">
        <v>25</v>
      </c>
      <c r="Z779">
        <v>324</v>
      </c>
      <c r="AA779">
        <v>733</v>
      </c>
      <c r="AB779">
        <v>2</v>
      </c>
      <c r="AC779">
        <v>77</v>
      </c>
      <c r="AD779">
        <v>74</v>
      </c>
      <c r="AE779">
        <v>0</v>
      </c>
      <c r="AF779">
        <v>0</v>
      </c>
      <c r="AG779">
        <v>4</v>
      </c>
      <c r="AH779">
        <v>1957</v>
      </c>
      <c r="AI779">
        <v>0</v>
      </c>
      <c r="AJ779">
        <v>0</v>
      </c>
      <c r="AK779">
        <v>1.3277099999999999</v>
      </c>
      <c r="AL779">
        <v>3</v>
      </c>
      <c r="AM779">
        <v>0</v>
      </c>
      <c r="AN779">
        <v>2366</v>
      </c>
      <c r="AO779">
        <v>25</v>
      </c>
      <c r="AP779">
        <v>0</v>
      </c>
      <c r="AQ779">
        <v>0</v>
      </c>
    </row>
    <row r="780" spans="1:43" x14ac:dyDescent="0.25">
      <c r="A780">
        <v>777</v>
      </c>
      <c r="B780">
        <v>16</v>
      </c>
      <c r="C780">
        <v>16</v>
      </c>
      <c r="D780">
        <v>4</v>
      </c>
      <c r="E780">
        <v>2310</v>
      </c>
      <c r="F780">
        <v>5884</v>
      </c>
      <c r="G780">
        <v>5884</v>
      </c>
      <c r="H780">
        <v>2573</v>
      </c>
      <c r="I780">
        <v>247</v>
      </c>
      <c r="J780">
        <v>2198</v>
      </c>
      <c r="K780">
        <v>390</v>
      </c>
      <c r="L780">
        <v>539</v>
      </c>
      <c r="M780">
        <v>718</v>
      </c>
      <c r="N780">
        <v>669</v>
      </c>
      <c r="O780">
        <v>350</v>
      </c>
      <c r="P780">
        <v>116.05372800000001</v>
      </c>
      <c r="Q780">
        <v>238</v>
      </c>
      <c r="R780">
        <v>0.14818039399999999</v>
      </c>
      <c r="S780">
        <v>6198</v>
      </c>
      <c r="T780">
        <v>538</v>
      </c>
      <c r="U780">
        <v>724</v>
      </c>
      <c r="V780">
        <v>2691</v>
      </c>
      <c r="W780">
        <v>984</v>
      </c>
      <c r="X780">
        <v>605</v>
      </c>
      <c r="Y780">
        <v>839</v>
      </c>
      <c r="Z780">
        <v>1346</v>
      </c>
      <c r="AA780">
        <v>3095</v>
      </c>
      <c r="AB780">
        <v>3</v>
      </c>
      <c r="AC780">
        <v>168</v>
      </c>
      <c r="AD780">
        <v>747</v>
      </c>
      <c r="AE780">
        <v>0</v>
      </c>
      <c r="AF780">
        <v>49.449954380000001</v>
      </c>
      <c r="AG780">
        <v>2</v>
      </c>
      <c r="AH780">
        <v>0</v>
      </c>
      <c r="AI780">
        <v>0</v>
      </c>
      <c r="AJ780">
        <v>0</v>
      </c>
      <c r="AK780">
        <v>2.4286699999999999</v>
      </c>
      <c r="AL780">
        <v>3</v>
      </c>
      <c r="AM780">
        <v>0</v>
      </c>
      <c r="AN780">
        <v>2310</v>
      </c>
      <c r="AO780">
        <v>0</v>
      </c>
      <c r="AP780">
        <v>0</v>
      </c>
      <c r="AQ780">
        <v>0</v>
      </c>
    </row>
    <row r="781" spans="1:43" x14ac:dyDescent="0.25">
      <c r="A781">
        <v>778</v>
      </c>
      <c r="B781">
        <v>16</v>
      </c>
      <c r="C781">
        <v>16</v>
      </c>
      <c r="D781">
        <v>4</v>
      </c>
      <c r="E781">
        <v>5740</v>
      </c>
      <c r="F781">
        <v>14188</v>
      </c>
      <c r="G781">
        <v>14199</v>
      </c>
      <c r="H781">
        <v>7317</v>
      </c>
      <c r="I781">
        <v>2501</v>
      </c>
      <c r="J781">
        <v>3373</v>
      </c>
      <c r="K781">
        <v>958</v>
      </c>
      <c r="L781">
        <v>913</v>
      </c>
      <c r="M781">
        <v>1550</v>
      </c>
      <c r="N781">
        <v>2289</v>
      </c>
      <c r="O781">
        <v>1312</v>
      </c>
      <c r="P781">
        <v>490.22925149999998</v>
      </c>
      <c r="Q781">
        <v>226</v>
      </c>
      <c r="R781">
        <v>0.117731207</v>
      </c>
      <c r="S781">
        <v>6318</v>
      </c>
      <c r="T781">
        <v>1101</v>
      </c>
      <c r="U781">
        <v>1488</v>
      </c>
      <c r="V781">
        <v>6889</v>
      </c>
      <c r="W781">
        <v>2729</v>
      </c>
      <c r="X781">
        <v>1298</v>
      </c>
      <c r="Y781">
        <v>41</v>
      </c>
      <c r="Z781">
        <v>818</v>
      </c>
      <c r="AA781">
        <v>5200</v>
      </c>
      <c r="AB781">
        <v>2</v>
      </c>
      <c r="AC781">
        <v>67</v>
      </c>
      <c r="AD781">
        <v>190</v>
      </c>
      <c r="AE781">
        <v>0</v>
      </c>
      <c r="AF781">
        <v>0</v>
      </c>
      <c r="AG781">
        <v>4</v>
      </c>
      <c r="AH781">
        <v>188</v>
      </c>
      <c r="AI781">
        <v>0</v>
      </c>
      <c r="AJ781">
        <v>0</v>
      </c>
      <c r="AK781">
        <v>1.62805</v>
      </c>
      <c r="AL781">
        <v>3</v>
      </c>
      <c r="AM781">
        <v>0</v>
      </c>
      <c r="AN781">
        <v>5740</v>
      </c>
      <c r="AO781">
        <v>11</v>
      </c>
      <c r="AP781">
        <v>0</v>
      </c>
      <c r="AQ781">
        <v>0</v>
      </c>
    </row>
    <row r="782" spans="1:43" x14ac:dyDescent="0.25">
      <c r="A782">
        <v>779</v>
      </c>
      <c r="B782">
        <v>16</v>
      </c>
      <c r="C782">
        <v>16</v>
      </c>
      <c r="D782">
        <v>4</v>
      </c>
      <c r="E782">
        <v>1651</v>
      </c>
      <c r="F782">
        <v>5460</v>
      </c>
      <c r="G782">
        <v>5460</v>
      </c>
      <c r="H782">
        <v>2639</v>
      </c>
      <c r="I782">
        <v>1563</v>
      </c>
      <c r="J782">
        <v>79</v>
      </c>
      <c r="K782">
        <v>116</v>
      </c>
      <c r="L782">
        <v>188</v>
      </c>
      <c r="M782">
        <v>319</v>
      </c>
      <c r="N782">
        <v>1038</v>
      </c>
      <c r="O782">
        <v>455</v>
      </c>
      <c r="P782">
        <v>369.50433290000001</v>
      </c>
      <c r="Q782">
        <v>16</v>
      </c>
      <c r="R782">
        <v>0.176625329</v>
      </c>
      <c r="S782">
        <v>438</v>
      </c>
      <c r="T782">
        <v>77</v>
      </c>
      <c r="U782">
        <v>1116</v>
      </c>
      <c r="V782">
        <v>1408</v>
      </c>
      <c r="W782">
        <v>1771</v>
      </c>
      <c r="X782">
        <v>786</v>
      </c>
      <c r="Y782">
        <v>18</v>
      </c>
      <c r="Z782">
        <v>123</v>
      </c>
      <c r="AA782">
        <v>182</v>
      </c>
      <c r="AB782">
        <v>1</v>
      </c>
      <c r="AC782">
        <v>60</v>
      </c>
      <c r="AD782">
        <v>54</v>
      </c>
      <c r="AE782">
        <v>0</v>
      </c>
      <c r="AF782">
        <v>0</v>
      </c>
      <c r="AG782">
        <v>4</v>
      </c>
      <c r="AH782">
        <v>0</v>
      </c>
      <c r="AI782">
        <v>0</v>
      </c>
      <c r="AJ782">
        <v>0</v>
      </c>
      <c r="AK782">
        <v>1.2338100000000001</v>
      </c>
      <c r="AL782">
        <v>3</v>
      </c>
      <c r="AM782">
        <v>0</v>
      </c>
      <c r="AN782">
        <v>1651</v>
      </c>
      <c r="AO782">
        <v>0</v>
      </c>
      <c r="AP782">
        <v>0</v>
      </c>
      <c r="AQ782">
        <v>0</v>
      </c>
    </row>
    <row r="783" spans="1:43" x14ac:dyDescent="0.25">
      <c r="A783">
        <v>780</v>
      </c>
      <c r="B783">
        <v>16</v>
      </c>
      <c r="C783">
        <v>16</v>
      </c>
      <c r="D783">
        <v>4</v>
      </c>
      <c r="E783">
        <v>990</v>
      </c>
      <c r="F783">
        <v>2980</v>
      </c>
      <c r="G783">
        <v>2989</v>
      </c>
      <c r="H783">
        <v>1277</v>
      </c>
      <c r="I783">
        <v>939</v>
      </c>
      <c r="J783">
        <v>60</v>
      </c>
      <c r="K783">
        <v>160</v>
      </c>
      <c r="L783">
        <v>93</v>
      </c>
      <c r="M783">
        <v>197</v>
      </c>
      <c r="N783">
        <v>540</v>
      </c>
      <c r="O783">
        <v>1923</v>
      </c>
      <c r="P783">
        <v>532</v>
      </c>
      <c r="Q783">
        <v>46</v>
      </c>
      <c r="R783">
        <v>0.222184987</v>
      </c>
      <c r="S783">
        <v>989</v>
      </c>
      <c r="T783">
        <v>138</v>
      </c>
      <c r="U783">
        <v>571</v>
      </c>
      <c r="V783">
        <v>655</v>
      </c>
      <c r="W783">
        <v>951</v>
      </c>
      <c r="X783">
        <v>574</v>
      </c>
      <c r="Y783">
        <v>42</v>
      </c>
      <c r="Z783">
        <v>266</v>
      </c>
      <c r="AA783">
        <v>524</v>
      </c>
      <c r="AB783">
        <v>4</v>
      </c>
      <c r="AC783">
        <v>87</v>
      </c>
      <c r="AD783">
        <v>66</v>
      </c>
      <c r="AE783">
        <v>0</v>
      </c>
      <c r="AF783">
        <v>0</v>
      </c>
      <c r="AG783">
        <v>4</v>
      </c>
      <c r="AH783">
        <v>183</v>
      </c>
      <c r="AI783">
        <v>0</v>
      </c>
      <c r="AJ783">
        <v>0</v>
      </c>
      <c r="AK783">
        <v>1.05542</v>
      </c>
      <c r="AL783">
        <v>1</v>
      </c>
      <c r="AM783">
        <v>0</v>
      </c>
      <c r="AN783">
        <v>990</v>
      </c>
      <c r="AO783">
        <v>9</v>
      </c>
      <c r="AP783">
        <v>0</v>
      </c>
      <c r="AQ783">
        <v>0</v>
      </c>
    </row>
    <row r="784" spans="1:43" x14ac:dyDescent="0.25">
      <c r="A784">
        <v>781</v>
      </c>
      <c r="B784">
        <v>16</v>
      </c>
      <c r="C784">
        <v>16</v>
      </c>
      <c r="D784">
        <v>4</v>
      </c>
      <c r="E784">
        <v>1924</v>
      </c>
      <c r="F784">
        <v>4661</v>
      </c>
      <c r="G784">
        <v>4662</v>
      </c>
      <c r="H784">
        <v>2156</v>
      </c>
      <c r="I784">
        <v>1672</v>
      </c>
      <c r="J784">
        <v>159</v>
      </c>
      <c r="K784">
        <v>470</v>
      </c>
      <c r="L784">
        <v>265</v>
      </c>
      <c r="M784">
        <v>366</v>
      </c>
      <c r="N784">
        <v>804</v>
      </c>
      <c r="O784">
        <v>3696</v>
      </c>
      <c r="P784">
        <v>676.30663279999999</v>
      </c>
      <c r="Q784">
        <v>62.40693727</v>
      </c>
      <c r="R784">
        <v>0.287523749</v>
      </c>
      <c r="S784">
        <v>302</v>
      </c>
      <c r="T784">
        <v>197</v>
      </c>
      <c r="U784">
        <v>811</v>
      </c>
      <c r="V784">
        <v>1265</v>
      </c>
      <c r="W784">
        <v>1240</v>
      </c>
      <c r="X784">
        <v>1077</v>
      </c>
      <c r="Y784">
        <v>5</v>
      </c>
      <c r="Z784">
        <v>55</v>
      </c>
      <c r="AA784">
        <v>172</v>
      </c>
      <c r="AB784">
        <v>0</v>
      </c>
      <c r="AC784">
        <v>41</v>
      </c>
      <c r="AD784">
        <v>29</v>
      </c>
      <c r="AE784">
        <v>0</v>
      </c>
      <c r="AF784">
        <v>0</v>
      </c>
      <c r="AG784">
        <v>4</v>
      </c>
      <c r="AH784">
        <v>0</v>
      </c>
      <c r="AI784">
        <v>0</v>
      </c>
      <c r="AJ784">
        <v>0</v>
      </c>
      <c r="AK784">
        <v>1.0242500000000001</v>
      </c>
      <c r="AL784">
        <v>1</v>
      </c>
      <c r="AM784">
        <v>0</v>
      </c>
      <c r="AN784">
        <v>1924</v>
      </c>
      <c r="AO784">
        <v>1</v>
      </c>
      <c r="AP784">
        <v>0</v>
      </c>
      <c r="AQ784">
        <v>0</v>
      </c>
    </row>
    <row r="785" spans="1:43" x14ac:dyDescent="0.25">
      <c r="A785">
        <v>782</v>
      </c>
      <c r="B785">
        <v>16</v>
      </c>
      <c r="C785">
        <v>16</v>
      </c>
      <c r="D785">
        <v>4</v>
      </c>
      <c r="E785">
        <v>2664</v>
      </c>
      <c r="F785">
        <v>7462</v>
      </c>
      <c r="G785">
        <v>7473</v>
      </c>
      <c r="H785">
        <v>3488</v>
      </c>
      <c r="I785">
        <v>2042</v>
      </c>
      <c r="J785">
        <v>497</v>
      </c>
      <c r="K785">
        <v>260</v>
      </c>
      <c r="L785">
        <v>627</v>
      </c>
      <c r="M785">
        <v>721</v>
      </c>
      <c r="N785">
        <v>1048</v>
      </c>
      <c r="O785">
        <v>795</v>
      </c>
      <c r="P785">
        <v>476.28388380000001</v>
      </c>
      <c r="Q785">
        <v>83.64002705</v>
      </c>
      <c r="R785">
        <v>0.195017892</v>
      </c>
      <c r="S785">
        <v>558</v>
      </c>
      <c r="T785">
        <v>374</v>
      </c>
      <c r="U785">
        <v>1318</v>
      </c>
      <c r="V785">
        <v>2432</v>
      </c>
      <c r="W785">
        <v>1875</v>
      </c>
      <c r="X785">
        <v>1061</v>
      </c>
      <c r="Y785">
        <v>9</v>
      </c>
      <c r="Z785">
        <v>78</v>
      </c>
      <c r="AA785">
        <v>375</v>
      </c>
      <c r="AB785">
        <v>1</v>
      </c>
      <c r="AC785">
        <v>49</v>
      </c>
      <c r="AD785">
        <v>46</v>
      </c>
      <c r="AE785">
        <v>0</v>
      </c>
      <c r="AF785">
        <v>0</v>
      </c>
      <c r="AG785">
        <v>4</v>
      </c>
      <c r="AH785">
        <v>0</v>
      </c>
      <c r="AI785">
        <v>0</v>
      </c>
      <c r="AJ785">
        <v>0</v>
      </c>
      <c r="AK785">
        <v>1.14835</v>
      </c>
      <c r="AL785">
        <v>3</v>
      </c>
      <c r="AM785">
        <v>0</v>
      </c>
      <c r="AN785">
        <v>2664</v>
      </c>
      <c r="AO785">
        <v>11</v>
      </c>
      <c r="AP785">
        <v>0</v>
      </c>
      <c r="AQ785">
        <v>0</v>
      </c>
    </row>
    <row r="786" spans="1:43" x14ac:dyDescent="0.25">
      <c r="A786">
        <v>783</v>
      </c>
      <c r="B786">
        <v>16</v>
      </c>
      <c r="C786">
        <v>16</v>
      </c>
      <c r="D786">
        <v>4</v>
      </c>
      <c r="E786">
        <v>1126</v>
      </c>
      <c r="F786">
        <v>2990</v>
      </c>
      <c r="G786">
        <v>2990</v>
      </c>
      <c r="H786">
        <v>1574</v>
      </c>
      <c r="I786">
        <v>625</v>
      </c>
      <c r="J786">
        <v>495</v>
      </c>
      <c r="K786">
        <v>148</v>
      </c>
      <c r="L786">
        <v>155</v>
      </c>
      <c r="M786">
        <v>314</v>
      </c>
      <c r="N786">
        <v>506</v>
      </c>
      <c r="O786">
        <v>743</v>
      </c>
      <c r="P786">
        <v>189</v>
      </c>
      <c r="Q786">
        <v>20</v>
      </c>
      <c r="R786">
        <v>0.166833167</v>
      </c>
      <c r="S786">
        <v>194</v>
      </c>
      <c r="T786">
        <v>86</v>
      </c>
      <c r="U786">
        <v>505</v>
      </c>
      <c r="V786">
        <v>1342</v>
      </c>
      <c r="W786">
        <v>547</v>
      </c>
      <c r="X786">
        <v>448</v>
      </c>
      <c r="Y786">
        <v>3</v>
      </c>
      <c r="Z786">
        <v>25</v>
      </c>
      <c r="AA786">
        <v>55</v>
      </c>
      <c r="AB786">
        <v>0</v>
      </c>
      <c r="AC786">
        <v>100</v>
      </c>
      <c r="AD786">
        <v>11</v>
      </c>
      <c r="AE786">
        <v>0</v>
      </c>
      <c r="AF786">
        <v>0</v>
      </c>
      <c r="AG786">
        <v>4</v>
      </c>
      <c r="AH786">
        <v>0</v>
      </c>
      <c r="AI786">
        <v>0</v>
      </c>
      <c r="AJ786">
        <v>0</v>
      </c>
      <c r="AK786">
        <v>1.15141</v>
      </c>
      <c r="AL786">
        <v>3</v>
      </c>
      <c r="AM786">
        <v>0</v>
      </c>
      <c r="AN786">
        <v>1126</v>
      </c>
      <c r="AO786">
        <v>0</v>
      </c>
      <c r="AP786">
        <v>0</v>
      </c>
      <c r="AQ786">
        <v>0</v>
      </c>
    </row>
    <row r="787" spans="1:43" x14ac:dyDescent="0.25">
      <c r="A787">
        <v>784</v>
      </c>
      <c r="B787">
        <v>16</v>
      </c>
      <c r="C787">
        <v>16</v>
      </c>
      <c r="D787">
        <v>4</v>
      </c>
      <c r="E787">
        <v>1960</v>
      </c>
      <c r="F787">
        <v>6016</v>
      </c>
      <c r="G787">
        <v>6021</v>
      </c>
      <c r="H787">
        <v>2663</v>
      </c>
      <c r="I787">
        <v>1588</v>
      </c>
      <c r="J787">
        <v>316</v>
      </c>
      <c r="K787">
        <v>256</v>
      </c>
      <c r="L787">
        <v>254</v>
      </c>
      <c r="M787">
        <v>318</v>
      </c>
      <c r="N787">
        <v>1142</v>
      </c>
      <c r="O787">
        <v>544</v>
      </c>
      <c r="P787">
        <v>385</v>
      </c>
      <c r="Q787">
        <v>107.37800009999999</v>
      </c>
      <c r="R787">
        <v>0.16222677599999999</v>
      </c>
      <c r="S787">
        <v>745</v>
      </c>
      <c r="T787">
        <v>255</v>
      </c>
      <c r="U787">
        <v>1129</v>
      </c>
      <c r="V787">
        <v>2068</v>
      </c>
      <c r="W787">
        <v>1424</v>
      </c>
      <c r="X787">
        <v>828</v>
      </c>
      <c r="Y787">
        <v>160</v>
      </c>
      <c r="Z787">
        <v>78</v>
      </c>
      <c r="AA787">
        <v>410</v>
      </c>
      <c r="AB787">
        <v>1</v>
      </c>
      <c r="AC787">
        <v>72</v>
      </c>
      <c r="AD787">
        <v>24</v>
      </c>
      <c r="AE787">
        <v>0</v>
      </c>
      <c r="AF787">
        <v>0</v>
      </c>
      <c r="AG787">
        <v>4</v>
      </c>
      <c r="AH787">
        <v>2618</v>
      </c>
      <c r="AI787">
        <v>0</v>
      </c>
      <c r="AJ787">
        <v>0</v>
      </c>
      <c r="AK787">
        <v>1.2004999999999999</v>
      </c>
      <c r="AL787">
        <v>3</v>
      </c>
      <c r="AM787">
        <v>0</v>
      </c>
      <c r="AN787">
        <v>1960</v>
      </c>
      <c r="AO787">
        <v>5</v>
      </c>
      <c r="AP787">
        <v>0</v>
      </c>
      <c r="AQ787">
        <v>0</v>
      </c>
    </row>
    <row r="788" spans="1:43" x14ac:dyDescent="0.25">
      <c r="A788">
        <v>785</v>
      </c>
      <c r="B788">
        <v>16</v>
      </c>
      <c r="C788">
        <v>16</v>
      </c>
      <c r="D788">
        <v>4</v>
      </c>
      <c r="E788">
        <v>2357</v>
      </c>
      <c r="F788">
        <v>7317</v>
      </c>
      <c r="G788">
        <v>7350</v>
      </c>
      <c r="H788">
        <v>3442</v>
      </c>
      <c r="I788">
        <v>1697</v>
      </c>
      <c r="J788">
        <v>679</v>
      </c>
      <c r="K788">
        <v>552</v>
      </c>
      <c r="L788">
        <v>537</v>
      </c>
      <c r="M788">
        <v>478</v>
      </c>
      <c r="N788">
        <v>810</v>
      </c>
      <c r="O788">
        <v>408</v>
      </c>
      <c r="P788">
        <v>349</v>
      </c>
      <c r="Q788">
        <v>35</v>
      </c>
      <c r="R788">
        <v>0.18940098299999999</v>
      </c>
      <c r="S788">
        <v>603</v>
      </c>
      <c r="T788">
        <v>870</v>
      </c>
      <c r="U788">
        <v>1387</v>
      </c>
      <c r="V788">
        <v>2245</v>
      </c>
      <c r="W788">
        <v>1566</v>
      </c>
      <c r="X788">
        <v>1238</v>
      </c>
      <c r="Y788">
        <v>39</v>
      </c>
      <c r="Z788">
        <v>70</v>
      </c>
      <c r="AA788">
        <v>405</v>
      </c>
      <c r="AB788">
        <v>1</v>
      </c>
      <c r="AC788">
        <v>54</v>
      </c>
      <c r="AD788">
        <v>34</v>
      </c>
      <c r="AE788">
        <v>0</v>
      </c>
      <c r="AF788">
        <v>0</v>
      </c>
      <c r="AG788">
        <v>4</v>
      </c>
      <c r="AH788">
        <v>0</v>
      </c>
      <c r="AI788">
        <v>0</v>
      </c>
      <c r="AJ788">
        <v>0</v>
      </c>
      <c r="AK788">
        <v>1.31277</v>
      </c>
      <c r="AL788">
        <v>3</v>
      </c>
      <c r="AM788">
        <v>0</v>
      </c>
      <c r="AN788">
        <v>2357</v>
      </c>
      <c r="AO788">
        <v>33</v>
      </c>
      <c r="AP788">
        <v>0</v>
      </c>
      <c r="AQ788">
        <v>0</v>
      </c>
    </row>
    <row r="789" spans="1:43" x14ac:dyDescent="0.25">
      <c r="A789">
        <v>786</v>
      </c>
      <c r="B789">
        <v>16</v>
      </c>
      <c r="C789">
        <v>16</v>
      </c>
      <c r="D789">
        <v>4</v>
      </c>
      <c r="E789">
        <v>1598</v>
      </c>
      <c r="F789">
        <v>4635</v>
      </c>
      <c r="G789">
        <v>4641</v>
      </c>
      <c r="H789">
        <v>2137</v>
      </c>
      <c r="I789">
        <v>1510</v>
      </c>
      <c r="J789">
        <v>15</v>
      </c>
      <c r="K789">
        <v>208</v>
      </c>
      <c r="L789">
        <v>217</v>
      </c>
      <c r="M789">
        <v>410</v>
      </c>
      <c r="N789">
        <v>778</v>
      </c>
      <c r="O789">
        <v>309</v>
      </c>
      <c r="P789">
        <v>264.42201440000002</v>
      </c>
      <c r="Q789">
        <v>7</v>
      </c>
      <c r="R789">
        <v>0.21476651199999999</v>
      </c>
      <c r="S789">
        <v>276</v>
      </c>
      <c r="T789">
        <v>157</v>
      </c>
      <c r="U789">
        <v>617</v>
      </c>
      <c r="V789">
        <v>1668</v>
      </c>
      <c r="W789">
        <v>1385</v>
      </c>
      <c r="X789">
        <v>783</v>
      </c>
      <c r="Y789">
        <v>34</v>
      </c>
      <c r="Z789">
        <v>45</v>
      </c>
      <c r="AA789">
        <v>148</v>
      </c>
      <c r="AB789">
        <v>1</v>
      </c>
      <c r="AC789">
        <v>13</v>
      </c>
      <c r="AD789">
        <v>35</v>
      </c>
      <c r="AE789">
        <v>0</v>
      </c>
      <c r="AF789">
        <v>0</v>
      </c>
      <c r="AG789">
        <v>4</v>
      </c>
      <c r="AH789">
        <v>0</v>
      </c>
      <c r="AI789">
        <v>0</v>
      </c>
      <c r="AJ789">
        <v>0</v>
      </c>
      <c r="AK789">
        <v>1.26284</v>
      </c>
      <c r="AL789">
        <v>3</v>
      </c>
      <c r="AM789">
        <v>0</v>
      </c>
      <c r="AN789">
        <v>1598</v>
      </c>
      <c r="AO789">
        <v>6</v>
      </c>
      <c r="AP789">
        <v>0</v>
      </c>
      <c r="AQ789">
        <v>0</v>
      </c>
    </row>
    <row r="790" spans="1:43" x14ac:dyDescent="0.25">
      <c r="A790">
        <v>787</v>
      </c>
      <c r="B790">
        <v>16</v>
      </c>
      <c r="C790">
        <v>16</v>
      </c>
      <c r="D790">
        <v>4</v>
      </c>
      <c r="E790">
        <v>2466</v>
      </c>
      <c r="F790">
        <v>7693</v>
      </c>
      <c r="G790">
        <v>7698</v>
      </c>
      <c r="H790">
        <v>3206</v>
      </c>
      <c r="I790">
        <v>1911</v>
      </c>
      <c r="J790">
        <v>452</v>
      </c>
      <c r="K790">
        <v>347</v>
      </c>
      <c r="L790">
        <v>253</v>
      </c>
      <c r="M790">
        <v>650</v>
      </c>
      <c r="N790">
        <v>1216</v>
      </c>
      <c r="O790">
        <v>464</v>
      </c>
      <c r="P790">
        <v>429.25435709999999</v>
      </c>
      <c r="Q790">
        <v>12</v>
      </c>
      <c r="R790">
        <v>0.142005564</v>
      </c>
      <c r="S790">
        <v>872</v>
      </c>
      <c r="T790">
        <v>503</v>
      </c>
      <c r="U790">
        <v>1493</v>
      </c>
      <c r="V790">
        <v>3042</v>
      </c>
      <c r="W790">
        <v>1335</v>
      </c>
      <c r="X790">
        <v>956</v>
      </c>
      <c r="Y790">
        <v>125</v>
      </c>
      <c r="Z790">
        <v>117</v>
      </c>
      <c r="AA790">
        <v>515</v>
      </c>
      <c r="AB790">
        <v>1</v>
      </c>
      <c r="AC790">
        <v>61</v>
      </c>
      <c r="AD790">
        <v>53</v>
      </c>
      <c r="AE790">
        <v>0</v>
      </c>
      <c r="AF790">
        <v>0</v>
      </c>
      <c r="AG790">
        <v>4</v>
      </c>
      <c r="AH790">
        <v>0</v>
      </c>
      <c r="AI790">
        <v>0</v>
      </c>
      <c r="AJ790">
        <v>0</v>
      </c>
      <c r="AK790">
        <v>1.2665599999999999</v>
      </c>
      <c r="AL790">
        <v>3</v>
      </c>
      <c r="AM790">
        <v>0</v>
      </c>
      <c r="AN790">
        <v>2466</v>
      </c>
      <c r="AO790">
        <v>5</v>
      </c>
      <c r="AP790">
        <v>0</v>
      </c>
      <c r="AQ790">
        <v>0</v>
      </c>
    </row>
    <row r="791" spans="1:43" x14ac:dyDescent="0.25">
      <c r="A791">
        <v>788</v>
      </c>
      <c r="B791">
        <v>16</v>
      </c>
      <c r="C791">
        <v>16</v>
      </c>
      <c r="D791">
        <v>4</v>
      </c>
      <c r="E791">
        <v>1934</v>
      </c>
      <c r="F791">
        <v>6423</v>
      </c>
      <c r="G791">
        <v>6430</v>
      </c>
      <c r="H791">
        <v>2943</v>
      </c>
      <c r="I791">
        <v>1798</v>
      </c>
      <c r="J791">
        <v>50</v>
      </c>
      <c r="K791">
        <v>282</v>
      </c>
      <c r="L791">
        <v>254</v>
      </c>
      <c r="M791">
        <v>305</v>
      </c>
      <c r="N791">
        <v>1098</v>
      </c>
      <c r="O791">
        <v>422</v>
      </c>
      <c r="P791">
        <v>419.98843040000003</v>
      </c>
      <c r="Q791">
        <v>4</v>
      </c>
      <c r="R791">
        <v>0.21594250200000001</v>
      </c>
      <c r="S791">
        <v>418</v>
      </c>
      <c r="T791">
        <v>374</v>
      </c>
      <c r="U791">
        <v>1123</v>
      </c>
      <c r="V791">
        <v>1961</v>
      </c>
      <c r="W791">
        <v>1473</v>
      </c>
      <c r="X791">
        <v>1014</v>
      </c>
      <c r="Y791">
        <v>11</v>
      </c>
      <c r="Z791">
        <v>80</v>
      </c>
      <c r="AA791">
        <v>283</v>
      </c>
      <c r="AB791">
        <v>1</v>
      </c>
      <c r="AC791">
        <v>26</v>
      </c>
      <c r="AD791">
        <v>17</v>
      </c>
      <c r="AE791">
        <v>0</v>
      </c>
      <c r="AF791">
        <v>0</v>
      </c>
      <c r="AG791">
        <v>4</v>
      </c>
      <c r="AH791">
        <v>0</v>
      </c>
      <c r="AI791">
        <v>0</v>
      </c>
      <c r="AJ791">
        <v>0</v>
      </c>
      <c r="AK791">
        <v>1.20828</v>
      </c>
      <c r="AL791">
        <v>3</v>
      </c>
      <c r="AM791">
        <v>0</v>
      </c>
      <c r="AN791">
        <v>1934</v>
      </c>
      <c r="AO791">
        <v>7</v>
      </c>
      <c r="AP791">
        <v>0</v>
      </c>
      <c r="AQ791">
        <v>0</v>
      </c>
    </row>
    <row r="792" spans="1:43" x14ac:dyDescent="0.25">
      <c r="A792">
        <v>789</v>
      </c>
      <c r="B792">
        <v>16</v>
      </c>
      <c r="C792">
        <v>16</v>
      </c>
      <c r="D792">
        <v>4</v>
      </c>
      <c r="E792">
        <v>1477</v>
      </c>
      <c r="F792">
        <v>5163</v>
      </c>
      <c r="G792">
        <v>5167</v>
      </c>
      <c r="H792">
        <v>2193</v>
      </c>
      <c r="I792">
        <v>1402</v>
      </c>
      <c r="J792">
        <v>23</v>
      </c>
      <c r="K792">
        <v>196</v>
      </c>
      <c r="L792">
        <v>243</v>
      </c>
      <c r="M792">
        <v>337</v>
      </c>
      <c r="N792">
        <v>700</v>
      </c>
      <c r="O792">
        <v>292</v>
      </c>
      <c r="P792">
        <v>270</v>
      </c>
      <c r="Q792">
        <v>4</v>
      </c>
      <c r="R792">
        <v>0.152267396</v>
      </c>
      <c r="S792">
        <v>322</v>
      </c>
      <c r="T792">
        <v>249</v>
      </c>
      <c r="U792">
        <v>1246</v>
      </c>
      <c r="V792">
        <v>1726</v>
      </c>
      <c r="W792">
        <v>1084</v>
      </c>
      <c r="X792">
        <v>652</v>
      </c>
      <c r="Y792">
        <v>13</v>
      </c>
      <c r="Z792">
        <v>41</v>
      </c>
      <c r="AA792">
        <v>192</v>
      </c>
      <c r="AB792">
        <v>0</v>
      </c>
      <c r="AC792">
        <v>25</v>
      </c>
      <c r="AD792">
        <v>51</v>
      </c>
      <c r="AE792">
        <v>0</v>
      </c>
      <c r="AF792">
        <v>0</v>
      </c>
      <c r="AG792">
        <v>4</v>
      </c>
      <c r="AH792">
        <v>0</v>
      </c>
      <c r="AI792">
        <v>0</v>
      </c>
      <c r="AJ792">
        <v>0</v>
      </c>
      <c r="AK792">
        <v>1.20086</v>
      </c>
      <c r="AL792">
        <v>3</v>
      </c>
      <c r="AM792">
        <v>0</v>
      </c>
      <c r="AN792">
        <v>1477</v>
      </c>
      <c r="AO792">
        <v>4</v>
      </c>
      <c r="AP792">
        <v>0</v>
      </c>
      <c r="AQ792">
        <v>0</v>
      </c>
    </row>
    <row r="793" spans="1:43" x14ac:dyDescent="0.25">
      <c r="A793">
        <v>790</v>
      </c>
      <c r="B793">
        <v>16</v>
      </c>
      <c r="C793">
        <v>16</v>
      </c>
      <c r="D793">
        <v>4</v>
      </c>
      <c r="E793">
        <v>1884</v>
      </c>
      <c r="F793">
        <v>5813</v>
      </c>
      <c r="G793">
        <v>5822</v>
      </c>
      <c r="H793">
        <v>2624</v>
      </c>
      <c r="I793">
        <v>1783</v>
      </c>
      <c r="J793">
        <v>48</v>
      </c>
      <c r="K793">
        <v>224</v>
      </c>
      <c r="L793">
        <v>249</v>
      </c>
      <c r="M793">
        <v>442</v>
      </c>
      <c r="N793">
        <v>978</v>
      </c>
      <c r="O793">
        <v>630</v>
      </c>
      <c r="P793">
        <v>514</v>
      </c>
      <c r="Q793">
        <v>4</v>
      </c>
      <c r="R793">
        <v>0.28970775100000001</v>
      </c>
      <c r="S793">
        <v>385</v>
      </c>
      <c r="T793">
        <v>316</v>
      </c>
      <c r="U793">
        <v>858</v>
      </c>
      <c r="V793">
        <v>1904</v>
      </c>
      <c r="W793">
        <v>1721</v>
      </c>
      <c r="X793">
        <v>1320</v>
      </c>
      <c r="Y793">
        <v>3</v>
      </c>
      <c r="Z793">
        <v>39</v>
      </c>
      <c r="AA793">
        <v>292</v>
      </c>
      <c r="AB793">
        <v>0</v>
      </c>
      <c r="AC793">
        <v>33</v>
      </c>
      <c r="AD793">
        <v>18</v>
      </c>
      <c r="AE793">
        <v>0</v>
      </c>
      <c r="AF793">
        <v>0</v>
      </c>
      <c r="AG793">
        <v>4</v>
      </c>
      <c r="AH793">
        <v>0</v>
      </c>
      <c r="AI793">
        <v>0</v>
      </c>
      <c r="AJ793">
        <v>0</v>
      </c>
      <c r="AK793">
        <v>1.1732</v>
      </c>
      <c r="AL793">
        <v>3</v>
      </c>
      <c r="AM793">
        <v>0</v>
      </c>
      <c r="AN793">
        <v>1884</v>
      </c>
      <c r="AO793">
        <v>9</v>
      </c>
      <c r="AP793">
        <v>0</v>
      </c>
      <c r="AQ793">
        <v>0</v>
      </c>
    </row>
    <row r="794" spans="1:43" x14ac:dyDescent="0.25">
      <c r="A794">
        <v>791</v>
      </c>
      <c r="B794">
        <v>16</v>
      </c>
      <c r="C794">
        <v>16</v>
      </c>
      <c r="D794">
        <v>4</v>
      </c>
      <c r="E794">
        <v>1037</v>
      </c>
      <c r="F794">
        <v>3370</v>
      </c>
      <c r="G794">
        <v>3376</v>
      </c>
      <c r="H794">
        <v>1691</v>
      </c>
      <c r="I794">
        <v>964</v>
      </c>
      <c r="J794">
        <v>65</v>
      </c>
      <c r="K794">
        <v>103</v>
      </c>
      <c r="L794">
        <v>422</v>
      </c>
      <c r="M794">
        <v>211</v>
      </c>
      <c r="N794">
        <v>308</v>
      </c>
      <c r="O794">
        <v>142</v>
      </c>
      <c r="P794">
        <v>127.8914642</v>
      </c>
      <c r="Q794">
        <v>11</v>
      </c>
      <c r="R794">
        <v>0.19477054399999999</v>
      </c>
      <c r="S794">
        <v>1092</v>
      </c>
      <c r="T794">
        <v>169</v>
      </c>
      <c r="U794">
        <v>558</v>
      </c>
      <c r="V794">
        <v>1325</v>
      </c>
      <c r="W794">
        <v>987</v>
      </c>
      <c r="X794">
        <v>587</v>
      </c>
      <c r="Y794">
        <v>130</v>
      </c>
      <c r="Z794">
        <v>215</v>
      </c>
      <c r="AA794">
        <v>663</v>
      </c>
      <c r="AB794">
        <v>4</v>
      </c>
      <c r="AC794">
        <v>57</v>
      </c>
      <c r="AD794">
        <v>23</v>
      </c>
      <c r="AE794">
        <v>0</v>
      </c>
      <c r="AF794">
        <v>0</v>
      </c>
      <c r="AG794">
        <v>4</v>
      </c>
      <c r="AH794">
        <v>0</v>
      </c>
      <c r="AI794">
        <v>0</v>
      </c>
      <c r="AJ794">
        <v>0</v>
      </c>
      <c r="AK794">
        <v>1.4925600000000001</v>
      </c>
      <c r="AL794">
        <v>3</v>
      </c>
      <c r="AM794">
        <v>0</v>
      </c>
      <c r="AN794">
        <v>1037</v>
      </c>
      <c r="AO794">
        <v>6</v>
      </c>
      <c r="AP794">
        <v>0</v>
      </c>
      <c r="AQ794">
        <v>0</v>
      </c>
    </row>
    <row r="795" spans="1:43" x14ac:dyDescent="0.25">
      <c r="A795">
        <v>792</v>
      </c>
      <c r="B795">
        <v>16</v>
      </c>
      <c r="C795">
        <v>16</v>
      </c>
      <c r="D795">
        <v>4</v>
      </c>
      <c r="E795">
        <v>904</v>
      </c>
      <c r="F795">
        <v>3126</v>
      </c>
      <c r="G795">
        <v>3155</v>
      </c>
      <c r="H795">
        <v>1319</v>
      </c>
      <c r="I795">
        <v>854</v>
      </c>
      <c r="J795">
        <v>0</v>
      </c>
      <c r="K795">
        <v>113</v>
      </c>
      <c r="L795">
        <v>159</v>
      </c>
      <c r="M795">
        <v>246</v>
      </c>
      <c r="N795">
        <v>385</v>
      </c>
      <c r="O795">
        <v>195</v>
      </c>
      <c r="P795">
        <v>188</v>
      </c>
      <c r="Q795">
        <v>3</v>
      </c>
      <c r="R795">
        <v>0.25403568399999998</v>
      </c>
      <c r="S795">
        <v>117</v>
      </c>
      <c r="T795">
        <v>178</v>
      </c>
      <c r="U795">
        <v>520</v>
      </c>
      <c r="V795">
        <v>1170</v>
      </c>
      <c r="W795">
        <v>827</v>
      </c>
      <c r="X795">
        <v>726</v>
      </c>
      <c r="Y795">
        <v>1</v>
      </c>
      <c r="Z795">
        <v>12</v>
      </c>
      <c r="AA795">
        <v>91</v>
      </c>
      <c r="AB795">
        <v>0</v>
      </c>
      <c r="AC795">
        <v>5</v>
      </c>
      <c r="AD795">
        <v>8</v>
      </c>
      <c r="AE795">
        <v>0</v>
      </c>
      <c r="AF795">
        <v>0</v>
      </c>
      <c r="AG795">
        <v>4</v>
      </c>
      <c r="AH795">
        <v>0</v>
      </c>
      <c r="AI795">
        <v>0</v>
      </c>
      <c r="AJ795">
        <v>0</v>
      </c>
      <c r="AK795">
        <v>1.2204299999999999</v>
      </c>
      <c r="AL795">
        <v>3</v>
      </c>
      <c r="AM795">
        <v>0</v>
      </c>
      <c r="AN795">
        <v>904</v>
      </c>
      <c r="AO795">
        <v>29</v>
      </c>
      <c r="AP795">
        <v>0</v>
      </c>
      <c r="AQ795">
        <v>0</v>
      </c>
    </row>
    <row r="796" spans="1:43" x14ac:dyDescent="0.25">
      <c r="A796">
        <v>793</v>
      </c>
      <c r="B796">
        <v>16</v>
      </c>
      <c r="C796">
        <v>16</v>
      </c>
      <c r="D796">
        <v>4</v>
      </c>
      <c r="E796">
        <v>1455</v>
      </c>
      <c r="F796">
        <v>4630</v>
      </c>
      <c r="G796">
        <v>4634</v>
      </c>
      <c r="H796">
        <v>2285</v>
      </c>
      <c r="I796">
        <v>1276</v>
      </c>
      <c r="J796">
        <v>159</v>
      </c>
      <c r="K796">
        <v>222</v>
      </c>
      <c r="L796">
        <v>375</v>
      </c>
      <c r="M796">
        <v>344</v>
      </c>
      <c r="N796">
        <v>522</v>
      </c>
      <c r="O796">
        <v>239</v>
      </c>
      <c r="P796">
        <v>213.53925240000001</v>
      </c>
      <c r="Q796">
        <v>22</v>
      </c>
      <c r="R796">
        <v>0.285243199</v>
      </c>
      <c r="S796">
        <v>633</v>
      </c>
      <c r="T796">
        <v>245</v>
      </c>
      <c r="U796">
        <v>615</v>
      </c>
      <c r="V796">
        <v>1541</v>
      </c>
      <c r="W796">
        <v>1188</v>
      </c>
      <c r="X796">
        <v>1115</v>
      </c>
      <c r="Y796">
        <v>87</v>
      </c>
      <c r="Z796">
        <v>111</v>
      </c>
      <c r="AA796">
        <v>335</v>
      </c>
      <c r="AB796">
        <v>1</v>
      </c>
      <c r="AC796">
        <v>53</v>
      </c>
      <c r="AD796">
        <v>46</v>
      </c>
      <c r="AE796">
        <v>0</v>
      </c>
      <c r="AF796">
        <v>0</v>
      </c>
      <c r="AG796">
        <v>4</v>
      </c>
      <c r="AH796">
        <v>0</v>
      </c>
      <c r="AI796">
        <v>0</v>
      </c>
      <c r="AJ796">
        <v>0</v>
      </c>
      <c r="AK796">
        <v>1.43544</v>
      </c>
      <c r="AL796">
        <v>3</v>
      </c>
      <c r="AM796">
        <v>0</v>
      </c>
      <c r="AN796">
        <v>1455</v>
      </c>
      <c r="AO796">
        <v>4</v>
      </c>
      <c r="AP796">
        <v>0</v>
      </c>
      <c r="AQ796">
        <v>0</v>
      </c>
    </row>
    <row r="797" spans="1:43" x14ac:dyDescent="0.25">
      <c r="A797">
        <v>794</v>
      </c>
      <c r="B797">
        <v>16</v>
      </c>
      <c r="C797">
        <v>16</v>
      </c>
      <c r="D797">
        <v>4</v>
      </c>
      <c r="E797">
        <v>927</v>
      </c>
      <c r="F797">
        <v>3181</v>
      </c>
      <c r="G797">
        <v>3181</v>
      </c>
      <c r="H797">
        <v>1570</v>
      </c>
      <c r="I797">
        <v>884</v>
      </c>
      <c r="J797">
        <v>0</v>
      </c>
      <c r="K797">
        <v>82</v>
      </c>
      <c r="L797">
        <v>148</v>
      </c>
      <c r="M797">
        <v>211</v>
      </c>
      <c r="N797">
        <v>485</v>
      </c>
      <c r="O797">
        <v>561</v>
      </c>
      <c r="P797">
        <v>103</v>
      </c>
      <c r="Q797">
        <v>25</v>
      </c>
      <c r="R797">
        <v>0.175772713</v>
      </c>
      <c r="S797">
        <v>214</v>
      </c>
      <c r="T797">
        <v>133</v>
      </c>
      <c r="U797">
        <v>497</v>
      </c>
      <c r="V797">
        <v>936</v>
      </c>
      <c r="W797">
        <v>1150</v>
      </c>
      <c r="X797">
        <v>398</v>
      </c>
      <c r="Y797">
        <v>27</v>
      </c>
      <c r="Z797">
        <v>62</v>
      </c>
      <c r="AA797">
        <v>83</v>
      </c>
      <c r="AB797">
        <v>0</v>
      </c>
      <c r="AC797">
        <v>35</v>
      </c>
      <c r="AD797">
        <v>7</v>
      </c>
      <c r="AE797">
        <v>0</v>
      </c>
      <c r="AF797">
        <v>0</v>
      </c>
      <c r="AG797">
        <v>4</v>
      </c>
      <c r="AH797">
        <v>0</v>
      </c>
      <c r="AI797">
        <v>0</v>
      </c>
      <c r="AJ797">
        <v>0</v>
      </c>
      <c r="AK797">
        <v>1.39236</v>
      </c>
      <c r="AL797">
        <v>3</v>
      </c>
      <c r="AM797">
        <v>0</v>
      </c>
      <c r="AN797">
        <v>927</v>
      </c>
      <c r="AO797">
        <v>0</v>
      </c>
      <c r="AP797">
        <v>0</v>
      </c>
      <c r="AQ797">
        <v>0</v>
      </c>
    </row>
    <row r="798" spans="1:43" x14ac:dyDescent="0.25">
      <c r="A798">
        <v>795</v>
      </c>
      <c r="B798">
        <v>16</v>
      </c>
      <c r="C798">
        <v>16</v>
      </c>
      <c r="D798">
        <v>4</v>
      </c>
      <c r="E798">
        <v>916</v>
      </c>
      <c r="F798">
        <v>3121</v>
      </c>
      <c r="G798">
        <v>3129</v>
      </c>
      <c r="H798">
        <v>1672</v>
      </c>
      <c r="I798">
        <v>652</v>
      </c>
      <c r="J798">
        <v>260</v>
      </c>
      <c r="K798">
        <v>99</v>
      </c>
      <c r="L798">
        <v>277</v>
      </c>
      <c r="M798">
        <v>301</v>
      </c>
      <c r="N798">
        <v>237</v>
      </c>
      <c r="O798">
        <v>437</v>
      </c>
      <c r="P798">
        <v>151</v>
      </c>
      <c r="Q798">
        <v>150.02566590000001</v>
      </c>
      <c r="R798">
        <v>0.16915100499999999</v>
      </c>
      <c r="S798">
        <v>1516</v>
      </c>
      <c r="T798">
        <v>134</v>
      </c>
      <c r="U798">
        <v>468</v>
      </c>
      <c r="V798">
        <v>1210</v>
      </c>
      <c r="W798">
        <v>805</v>
      </c>
      <c r="X798">
        <v>390</v>
      </c>
      <c r="Y798">
        <v>22</v>
      </c>
      <c r="Z798">
        <v>165</v>
      </c>
      <c r="AA798">
        <v>406</v>
      </c>
      <c r="AB798">
        <v>4</v>
      </c>
      <c r="AC798">
        <v>769</v>
      </c>
      <c r="AD798">
        <v>150</v>
      </c>
      <c r="AE798">
        <v>0</v>
      </c>
      <c r="AF798">
        <v>0</v>
      </c>
      <c r="AG798">
        <v>4</v>
      </c>
      <c r="AH798">
        <v>0</v>
      </c>
      <c r="AI798">
        <v>0</v>
      </c>
      <c r="AJ798">
        <v>0</v>
      </c>
      <c r="AK798">
        <v>1.3228800000000001</v>
      </c>
      <c r="AL798">
        <v>3</v>
      </c>
      <c r="AM798">
        <v>0</v>
      </c>
      <c r="AN798">
        <v>916</v>
      </c>
      <c r="AO798">
        <v>8</v>
      </c>
      <c r="AP798">
        <v>0</v>
      </c>
      <c r="AQ798">
        <v>0</v>
      </c>
    </row>
    <row r="799" spans="1:43" x14ac:dyDescent="0.25">
      <c r="A799">
        <v>796</v>
      </c>
      <c r="B799">
        <v>16</v>
      </c>
      <c r="C799">
        <v>16</v>
      </c>
      <c r="D799">
        <v>4</v>
      </c>
      <c r="E799">
        <v>2040</v>
      </c>
      <c r="F799">
        <v>6424</v>
      </c>
      <c r="G799">
        <v>6466</v>
      </c>
      <c r="H799">
        <v>2956</v>
      </c>
      <c r="I799">
        <v>1752</v>
      </c>
      <c r="J799">
        <v>179</v>
      </c>
      <c r="K799">
        <v>298</v>
      </c>
      <c r="L799">
        <v>460</v>
      </c>
      <c r="M799">
        <v>614</v>
      </c>
      <c r="N799">
        <v>669</v>
      </c>
      <c r="O799">
        <v>858</v>
      </c>
      <c r="P799">
        <v>373</v>
      </c>
      <c r="Q799">
        <v>390.36122810000001</v>
      </c>
      <c r="R799">
        <v>0.25706866699999997</v>
      </c>
      <c r="S799">
        <v>6261</v>
      </c>
      <c r="T799">
        <v>266</v>
      </c>
      <c r="U799">
        <v>970</v>
      </c>
      <c r="V799">
        <v>2081</v>
      </c>
      <c r="W799">
        <v>1918</v>
      </c>
      <c r="X799">
        <v>1487</v>
      </c>
      <c r="Y799">
        <v>1213</v>
      </c>
      <c r="Z799">
        <v>426</v>
      </c>
      <c r="AA799">
        <v>1982</v>
      </c>
      <c r="AB799">
        <v>25</v>
      </c>
      <c r="AC799">
        <v>2301</v>
      </c>
      <c r="AD799">
        <v>314</v>
      </c>
      <c r="AE799">
        <v>0</v>
      </c>
      <c r="AF799">
        <v>0</v>
      </c>
      <c r="AG799">
        <v>4</v>
      </c>
      <c r="AH799">
        <v>18</v>
      </c>
      <c r="AI799">
        <v>0</v>
      </c>
      <c r="AJ799">
        <v>0</v>
      </c>
      <c r="AK799">
        <v>1.4539599999999999</v>
      </c>
      <c r="AL799">
        <v>3</v>
      </c>
      <c r="AM799">
        <v>0</v>
      </c>
      <c r="AN799">
        <v>2040</v>
      </c>
      <c r="AO799">
        <v>42</v>
      </c>
      <c r="AP799">
        <v>0</v>
      </c>
      <c r="AQ799">
        <v>0</v>
      </c>
    </row>
    <row r="800" spans="1:43" x14ac:dyDescent="0.25">
      <c r="A800">
        <v>797</v>
      </c>
      <c r="B800">
        <v>16</v>
      </c>
      <c r="C800">
        <v>16</v>
      </c>
      <c r="D800">
        <v>4</v>
      </c>
      <c r="E800">
        <v>2180</v>
      </c>
      <c r="F800">
        <v>6562</v>
      </c>
      <c r="G800">
        <v>6581</v>
      </c>
      <c r="H800">
        <v>2930</v>
      </c>
      <c r="I800">
        <v>1865</v>
      </c>
      <c r="J800">
        <v>252</v>
      </c>
      <c r="K800">
        <v>479</v>
      </c>
      <c r="L800">
        <v>515</v>
      </c>
      <c r="M800">
        <v>360</v>
      </c>
      <c r="N800">
        <v>829</v>
      </c>
      <c r="O800">
        <v>1055</v>
      </c>
      <c r="P800">
        <v>355</v>
      </c>
      <c r="Q800">
        <v>659.15561019999996</v>
      </c>
      <c r="R800">
        <v>0.16839741799999999</v>
      </c>
      <c r="S800">
        <v>6630</v>
      </c>
      <c r="T800">
        <v>240</v>
      </c>
      <c r="U800">
        <v>1372</v>
      </c>
      <c r="V800">
        <v>2544</v>
      </c>
      <c r="W800">
        <v>1845</v>
      </c>
      <c r="X800">
        <v>885</v>
      </c>
      <c r="Y800">
        <v>254</v>
      </c>
      <c r="Z800">
        <v>2306</v>
      </c>
      <c r="AA800">
        <v>662</v>
      </c>
      <c r="AB800">
        <v>2</v>
      </c>
      <c r="AC800">
        <v>2751</v>
      </c>
      <c r="AD800">
        <v>655</v>
      </c>
      <c r="AE800">
        <v>0</v>
      </c>
      <c r="AF800">
        <v>0</v>
      </c>
      <c r="AG800">
        <v>4</v>
      </c>
      <c r="AH800">
        <v>181</v>
      </c>
      <c r="AI800">
        <v>0</v>
      </c>
      <c r="AJ800">
        <v>0</v>
      </c>
      <c r="AK800">
        <v>1.2700100000000001</v>
      </c>
      <c r="AL800">
        <v>3</v>
      </c>
      <c r="AM800">
        <v>0</v>
      </c>
      <c r="AN800">
        <v>2180</v>
      </c>
      <c r="AO800">
        <v>19</v>
      </c>
      <c r="AP800">
        <v>0</v>
      </c>
      <c r="AQ800">
        <v>0</v>
      </c>
    </row>
    <row r="801" spans="1:43" x14ac:dyDescent="0.25">
      <c r="A801">
        <v>798</v>
      </c>
      <c r="B801">
        <v>16</v>
      </c>
      <c r="C801">
        <v>16</v>
      </c>
      <c r="D801">
        <v>4</v>
      </c>
      <c r="E801">
        <v>1562</v>
      </c>
      <c r="F801">
        <v>3865</v>
      </c>
      <c r="G801">
        <v>3865</v>
      </c>
      <c r="H801">
        <v>1777</v>
      </c>
      <c r="I801">
        <v>1211</v>
      </c>
      <c r="J801">
        <v>297</v>
      </c>
      <c r="K801">
        <v>392</v>
      </c>
      <c r="L801">
        <v>383</v>
      </c>
      <c r="M801">
        <v>261</v>
      </c>
      <c r="N801">
        <v>508</v>
      </c>
      <c r="O801">
        <v>334</v>
      </c>
      <c r="P801">
        <v>288</v>
      </c>
      <c r="Q801">
        <v>12</v>
      </c>
      <c r="R801">
        <v>0.32091051100000001</v>
      </c>
      <c r="S801">
        <v>2076</v>
      </c>
      <c r="T801">
        <v>181</v>
      </c>
      <c r="U801">
        <v>605</v>
      </c>
      <c r="V801">
        <v>1323</v>
      </c>
      <c r="W801">
        <v>1118</v>
      </c>
      <c r="X801">
        <v>1136</v>
      </c>
      <c r="Y801">
        <v>13</v>
      </c>
      <c r="Z801">
        <v>148</v>
      </c>
      <c r="AA801">
        <v>437</v>
      </c>
      <c r="AB801">
        <v>1</v>
      </c>
      <c r="AC801">
        <v>1430</v>
      </c>
      <c r="AD801">
        <v>47</v>
      </c>
      <c r="AE801">
        <v>0</v>
      </c>
      <c r="AF801">
        <v>0</v>
      </c>
      <c r="AG801">
        <v>4</v>
      </c>
      <c r="AH801">
        <v>0</v>
      </c>
      <c r="AI801">
        <v>0</v>
      </c>
      <c r="AJ801">
        <v>0</v>
      </c>
      <c r="AK801">
        <v>1.32707</v>
      </c>
      <c r="AL801">
        <v>3</v>
      </c>
      <c r="AM801">
        <v>0</v>
      </c>
      <c r="AN801">
        <v>1562</v>
      </c>
      <c r="AO801">
        <v>0</v>
      </c>
      <c r="AP801">
        <v>0</v>
      </c>
      <c r="AQ801">
        <v>0</v>
      </c>
    </row>
    <row r="802" spans="1:43" x14ac:dyDescent="0.25">
      <c r="A802">
        <v>799</v>
      </c>
      <c r="B802">
        <v>16</v>
      </c>
      <c r="C802">
        <v>16</v>
      </c>
      <c r="D802">
        <v>4</v>
      </c>
      <c r="E802">
        <v>1874</v>
      </c>
      <c r="F802">
        <v>5369</v>
      </c>
      <c r="G802">
        <v>5376</v>
      </c>
      <c r="H802">
        <v>2342</v>
      </c>
      <c r="I802">
        <v>1645</v>
      </c>
      <c r="J802">
        <v>140</v>
      </c>
      <c r="K802">
        <v>147</v>
      </c>
      <c r="L802">
        <v>322</v>
      </c>
      <c r="M802">
        <v>407</v>
      </c>
      <c r="N802">
        <v>994</v>
      </c>
      <c r="O802">
        <v>382</v>
      </c>
      <c r="P802">
        <v>309.73493359999998</v>
      </c>
      <c r="Q802">
        <v>20</v>
      </c>
      <c r="R802">
        <v>0.21519461100000001</v>
      </c>
      <c r="S802">
        <v>187</v>
      </c>
      <c r="T802">
        <v>207</v>
      </c>
      <c r="U802">
        <v>896</v>
      </c>
      <c r="V802">
        <v>1435</v>
      </c>
      <c r="W802">
        <v>1698</v>
      </c>
      <c r="X802">
        <v>933</v>
      </c>
      <c r="Y802">
        <v>5</v>
      </c>
      <c r="Z802">
        <v>19</v>
      </c>
      <c r="AA802">
        <v>117</v>
      </c>
      <c r="AB802">
        <v>0</v>
      </c>
      <c r="AC802">
        <v>32</v>
      </c>
      <c r="AD802">
        <v>14</v>
      </c>
      <c r="AE802">
        <v>0</v>
      </c>
      <c r="AF802">
        <v>0</v>
      </c>
      <c r="AG802">
        <v>4</v>
      </c>
      <c r="AH802">
        <v>0</v>
      </c>
      <c r="AI802">
        <v>0</v>
      </c>
      <c r="AJ802">
        <v>0</v>
      </c>
      <c r="AK802">
        <v>1.2246699999999999</v>
      </c>
      <c r="AL802">
        <v>3</v>
      </c>
      <c r="AM802">
        <v>0</v>
      </c>
      <c r="AN802">
        <v>1874</v>
      </c>
      <c r="AO802">
        <v>7</v>
      </c>
      <c r="AP802">
        <v>0</v>
      </c>
      <c r="AQ802">
        <v>0</v>
      </c>
    </row>
    <row r="803" spans="1:43" x14ac:dyDescent="0.25">
      <c r="A803">
        <v>800</v>
      </c>
      <c r="B803">
        <v>16</v>
      </c>
      <c r="C803">
        <v>16</v>
      </c>
      <c r="D803">
        <v>4</v>
      </c>
      <c r="E803">
        <v>1981</v>
      </c>
      <c r="F803">
        <v>5354</v>
      </c>
      <c r="G803">
        <v>5433</v>
      </c>
      <c r="H803">
        <v>2388</v>
      </c>
      <c r="I803">
        <v>1074</v>
      </c>
      <c r="J803">
        <v>901</v>
      </c>
      <c r="K803">
        <v>562</v>
      </c>
      <c r="L803">
        <v>435</v>
      </c>
      <c r="M803">
        <v>456</v>
      </c>
      <c r="N803">
        <v>503</v>
      </c>
      <c r="O803">
        <v>433</v>
      </c>
      <c r="P803">
        <v>346</v>
      </c>
      <c r="Q803">
        <v>82</v>
      </c>
      <c r="R803">
        <v>0.28240109099999999</v>
      </c>
      <c r="S803">
        <v>1601</v>
      </c>
      <c r="T803">
        <v>221</v>
      </c>
      <c r="U803">
        <v>489</v>
      </c>
      <c r="V803">
        <v>2040</v>
      </c>
      <c r="W803">
        <v>1607</v>
      </c>
      <c r="X803">
        <v>1315</v>
      </c>
      <c r="Y803">
        <v>102</v>
      </c>
      <c r="Z803">
        <v>53</v>
      </c>
      <c r="AA803">
        <v>1106</v>
      </c>
      <c r="AB803">
        <v>1</v>
      </c>
      <c r="AC803">
        <v>51</v>
      </c>
      <c r="AD803">
        <v>288</v>
      </c>
      <c r="AE803">
        <v>0</v>
      </c>
      <c r="AF803">
        <v>0</v>
      </c>
      <c r="AG803">
        <v>4</v>
      </c>
      <c r="AH803">
        <v>3096</v>
      </c>
      <c r="AI803">
        <v>0</v>
      </c>
      <c r="AJ803">
        <v>0</v>
      </c>
      <c r="AK803">
        <v>1.3093999999999999</v>
      </c>
      <c r="AL803">
        <v>3</v>
      </c>
      <c r="AM803">
        <v>0</v>
      </c>
      <c r="AN803">
        <v>1981</v>
      </c>
      <c r="AO803">
        <v>79</v>
      </c>
      <c r="AP803">
        <v>0</v>
      </c>
      <c r="AQ803">
        <v>0</v>
      </c>
    </row>
    <row r="804" spans="1:43" x14ac:dyDescent="0.25">
      <c r="A804">
        <v>801</v>
      </c>
      <c r="B804">
        <v>16</v>
      </c>
      <c r="C804">
        <v>16</v>
      </c>
      <c r="D804">
        <v>4</v>
      </c>
      <c r="E804">
        <v>3833</v>
      </c>
      <c r="F804">
        <v>10618</v>
      </c>
      <c r="G804">
        <v>10679</v>
      </c>
      <c r="H804">
        <v>5583</v>
      </c>
      <c r="I804">
        <v>2167</v>
      </c>
      <c r="J804">
        <v>1601</v>
      </c>
      <c r="K804">
        <v>440</v>
      </c>
      <c r="L804">
        <v>642</v>
      </c>
      <c r="M804">
        <v>1049</v>
      </c>
      <c r="N804">
        <v>1726</v>
      </c>
      <c r="O804">
        <v>769</v>
      </c>
      <c r="P804">
        <v>501.51804129999999</v>
      </c>
      <c r="Q804">
        <v>278</v>
      </c>
      <c r="R804">
        <v>0.144067797</v>
      </c>
      <c r="S804">
        <v>1881</v>
      </c>
      <c r="T804">
        <v>598</v>
      </c>
      <c r="U804">
        <v>1680</v>
      </c>
      <c r="V804">
        <v>4613</v>
      </c>
      <c r="W804">
        <v>2737</v>
      </c>
      <c r="X804">
        <v>1236</v>
      </c>
      <c r="Y804">
        <v>333</v>
      </c>
      <c r="Z804">
        <v>303</v>
      </c>
      <c r="AA804">
        <v>825</v>
      </c>
      <c r="AB804">
        <v>1</v>
      </c>
      <c r="AC804">
        <v>276</v>
      </c>
      <c r="AD804">
        <v>143</v>
      </c>
      <c r="AE804">
        <v>0</v>
      </c>
      <c r="AF804">
        <v>0</v>
      </c>
      <c r="AG804">
        <v>4</v>
      </c>
      <c r="AH804">
        <v>0</v>
      </c>
      <c r="AI804">
        <v>0</v>
      </c>
      <c r="AJ804">
        <v>0</v>
      </c>
      <c r="AK804">
        <v>1.2802899999999999</v>
      </c>
      <c r="AL804">
        <v>3</v>
      </c>
      <c r="AM804">
        <v>0</v>
      </c>
      <c r="AN804">
        <v>3833</v>
      </c>
      <c r="AO804">
        <v>61</v>
      </c>
      <c r="AP804">
        <v>0</v>
      </c>
      <c r="AQ804">
        <v>0</v>
      </c>
    </row>
    <row r="805" spans="1:43" x14ac:dyDescent="0.25">
      <c r="A805">
        <v>802</v>
      </c>
      <c r="B805">
        <v>16</v>
      </c>
      <c r="C805">
        <v>16</v>
      </c>
      <c r="D805">
        <v>4</v>
      </c>
      <c r="E805">
        <v>1514</v>
      </c>
      <c r="F805">
        <v>5392</v>
      </c>
      <c r="G805">
        <v>5399</v>
      </c>
      <c r="H805">
        <v>2424</v>
      </c>
      <c r="I805">
        <v>1270</v>
      </c>
      <c r="J805">
        <v>202</v>
      </c>
      <c r="K805">
        <v>229</v>
      </c>
      <c r="L805">
        <v>441</v>
      </c>
      <c r="M805">
        <v>510</v>
      </c>
      <c r="N805">
        <v>334</v>
      </c>
      <c r="O805">
        <v>281</v>
      </c>
      <c r="P805">
        <v>220.29286930000001</v>
      </c>
      <c r="Q805">
        <v>57.15777044</v>
      </c>
      <c r="R805">
        <v>0.162942108</v>
      </c>
      <c r="S805">
        <v>251</v>
      </c>
      <c r="T805">
        <v>323</v>
      </c>
      <c r="U805">
        <v>1095</v>
      </c>
      <c r="V805">
        <v>2069</v>
      </c>
      <c r="W805">
        <v>1316</v>
      </c>
      <c r="X805">
        <v>709</v>
      </c>
      <c r="Y805">
        <v>6</v>
      </c>
      <c r="Z805">
        <v>17</v>
      </c>
      <c r="AA805">
        <v>182</v>
      </c>
      <c r="AB805">
        <v>0</v>
      </c>
      <c r="AC805">
        <v>17</v>
      </c>
      <c r="AD805">
        <v>29</v>
      </c>
      <c r="AE805">
        <v>0</v>
      </c>
      <c r="AF805">
        <v>0</v>
      </c>
      <c r="AG805">
        <v>3</v>
      </c>
      <c r="AH805">
        <v>192</v>
      </c>
      <c r="AI805">
        <v>0</v>
      </c>
      <c r="AJ805">
        <v>0</v>
      </c>
      <c r="AK805">
        <v>1.37626</v>
      </c>
      <c r="AL805">
        <v>3</v>
      </c>
      <c r="AM805">
        <v>0</v>
      </c>
      <c r="AN805">
        <v>1514</v>
      </c>
      <c r="AO805">
        <v>7</v>
      </c>
      <c r="AP805">
        <v>0</v>
      </c>
      <c r="AQ805">
        <v>0</v>
      </c>
    </row>
    <row r="806" spans="1:43" x14ac:dyDescent="0.25">
      <c r="A806">
        <v>803</v>
      </c>
      <c r="B806">
        <v>16</v>
      </c>
      <c r="C806">
        <v>16</v>
      </c>
      <c r="D806">
        <v>4</v>
      </c>
      <c r="E806">
        <v>1060</v>
      </c>
      <c r="F806">
        <v>2519</v>
      </c>
      <c r="G806">
        <v>2519</v>
      </c>
      <c r="H806">
        <v>797</v>
      </c>
      <c r="I806">
        <v>454</v>
      </c>
      <c r="J806">
        <v>628</v>
      </c>
      <c r="K806">
        <v>263</v>
      </c>
      <c r="L806">
        <v>249</v>
      </c>
      <c r="M806">
        <v>254</v>
      </c>
      <c r="N806">
        <v>304</v>
      </c>
      <c r="O806">
        <v>6800</v>
      </c>
      <c r="P806">
        <v>380.00346350000001</v>
      </c>
      <c r="Q806">
        <v>150</v>
      </c>
      <c r="R806">
        <v>0.31196739499999998</v>
      </c>
      <c r="S806">
        <v>585</v>
      </c>
      <c r="T806">
        <v>55</v>
      </c>
      <c r="U806">
        <v>460</v>
      </c>
      <c r="V806">
        <v>760</v>
      </c>
      <c r="W806">
        <v>613</v>
      </c>
      <c r="X806">
        <v>735</v>
      </c>
      <c r="Y806">
        <v>19</v>
      </c>
      <c r="Z806">
        <v>32</v>
      </c>
      <c r="AA806">
        <v>515</v>
      </c>
      <c r="AB806">
        <v>2</v>
      </c>
      <c r="AC806">
        <v>8</v>
      </c>
      <c r="AD806">
        <v>9</v>
      </c>
      <c r="AE806">
        <v>0</v>
      </c>
      <c r="AF806">
        <v>0</v>
      </c>
      <c r="AG806">
        <v>4</v>
      </c>
      <c r="AH806">
        <v>0</v>
      </c>
      <c r="AI806">
        <v>0</v>
      </c>
      <c r="AJ806">
        <v>0</v>
      </c>
      <c r="AK806">
        <v>1.09341</v>
      </c>
      <c r="AL806">
        <v>1</v>
      </c>
      <c r="AM806">
        <v>0</v>
      </c>
      <c r="AN806">
        <v>1060</v>
      </c>
      <c r="AO806">
        <v>0</v>
      </c>
      <c r="AP806">
        <v>0</v>
      </c>
      <c r="AQ806">
        <v>0</v>
      </c>
    </row>
    <row r="807" spans="1:43" x14ac:dyDescent="0.25">
      <c r="A807">
        <v>804</v>
      </c>
      <c r="B807">
        <v>17</v>
      </c>
      <c r="C807">
        <v>17</v>
      </c>
      <c r="D807">
        <v>4</v>
      </c>
      <c r="E807">
        <v>1242</v>
      </c>
      <c r="F807">
        <v>3440</v>
      </c>
      <c r="G807">
        <v>3452</v>
      </c>
      <c r="H807">
        <v>1775</v>
      </c>
      <c r="I807">
        <v>934</v>
      </c>
      <c r="J807">
        <v>238</v>
      </c>
      <c r="K807">
        <v>159</v>
      </c>
      <c r="L807">
        <v>430</v>
      </c>
      <c r="M807">
        <v>322</v>
      </c>
      <c r="N807">
        <v>335</v>
      </c>
      <c r="O807">
        <v>611</v>
      </c>
      <c r="P807">
        <v>276</v>
      </c>
      <c r="Q807">
        <v>42.752411860000002</v>
      </c>
      <c r="R807">
        <v>0.206120848</v>
      </c>
      <c r="S807">
        <v>656</v>
      </c>
      <c r="T807">
        <v>155</v>
      </c>
      <c r="U807">
        <v>688</v>
      </c>
      <c r="V807">
        <v>1249</v>
      </c>
      <c r="W807">
        <v>1126</v>
      </c>
      <c r="X807">
        <v>487</v>
      </c>
      <c r="Y807">
        <v>40</v>
      </c>
      <c r="Z807">
        <v>95</v>
      </c>
      <c r="AA807">
        <v>400</v>
      </c>
      <c r="AB807">
        <v>2</v>
      </c>
      <c r="AC807">
        <v>29</v>
      </c>
      <c r="AD807">
        <v>90</v>
      </c>
      <c r="AE807">
        <v>0</v>
      </c>
      <c r="AF807">
        <v>0</v>
      </c>
      <c r="AG807">
        <v>4</v>
      </c>
      <c r="AH807">
        <v>151</v>
      </c>
      <c r="AI807">
        <v>0</v>
      </c>
      <c r="AJ807">
        <v>0</v>
      </c>
      <c r="AK807">
        <v>1.1993799999999999</v>
      </c>
      <c r="AL807">
        <v>1</v>
      </c>
      <c r="AM807">
        <v>0</v>
      </c>
      <c r="AN807">
        <v>1242</v>
      </c>
      <c r="AO807">
        <v>12</v>
      </c>
      <c r="AP807">
        <v>0</v>
      </c>
      <c r="AQ807">
        <v>0</v>
      </c>
    </row>
    <row r="808" spans="1:43" x14ac:dyDescent="0.25">
      <c r="A808">
        <v>805</v>
      </c>
      <c r="B808">
        <v>17</v>
      </c>
      <c r="C808">
        <v>17</v>
      </c>
      <c r="D808">
        <v>4</v>
      </c>
      <c r="E808">
        <v>2289</v>
      </c>
      <c r="F808">
        <v>7294</v>
      </c>
      <c r="G808">
        <v>7298</v>
      </c>
      <c r="H808">
        <v>4097</v>
      </c>
      <c r="I808">
        <v>2122</v>
      </c>
      <c r="J808">
        <v>89</v>
      </c>
      <c r="K808">
        <v>250</v>
      </c>
      <c r="L808">
        <v>482</v>
      </c>
      <c r="M808">
        <v>692</v>
      </c>
      <c r="N808">
        <v>889</v>
      </c>
      <c r="O808">
        <v>470</v>
      </c>
      <c r="P808">
        <v>236.4599633</v>
      </c>
      <c r="Q808">
        <v>126</v>
      </c>
      <c r="R808">
        <v>0.16733118999999999</v>
      </c>
      <c r="S808">
        <v>510</v>
      </c>
      <c r="T808">
        <v>541</v>
      </c>
      <c r="U808">
        <v>1048</v>
      </c>
      <c r="V808">
        <v>2590</v>
      </c>
      <c r="W808">
        <v>2446</v>
      </c>
      <c r="X808">
        <v>894</v>
      </c>
      <c r="Y808">
        <v>45</v>
      </c>
      <c r="Z808">
        <v>78</v>
      </c>
      <c r="AA808">
        <v>284</v>
      </c>
      <c r="AB808">
        <v>1</v>
      </c>
      <c r="AC808">
        <v>18</v>
      </c>
      <c r="AD808">
        <v>84</v>
      </c>
      <c r="AE808">
        <v>0</v>
      </c>
      <c r="AF808">
        <v>0</v>
      </c>
      <c r="AG808">
        <v>4</v>
      </c>
      <c r="AH808">
        <v>0</v>
      </c>
      <c r="AI808">
        <v>0</v>
      </c>
      <c r="AJ808">
        <v>0</v>
      </c>
      <c r="AK808">
        <v>1.2987299999999999</v>
      </c>
      <c r="AL808">
        <v>3</v>
      </c>
      <c r="AM808">
        <v>0</v>
      </c>
      <c r="AN808">
        <v>2289</v>
      </c>
      <c r="AO808">
        <v>4</v>
      </c>
      <c r="AP808">
        <v>0</v>
      </c>
      <c r="AQ808">
        <v>0</v>
      </c>
    </row>
    <row r="809" spans="1:43" x14ac:dyDescent="0.25">
      <c r="A809">
        <v>806</v>
      </c>
      <c r="B809">
        <v>17</v>
      </c>
      <c r="C809">
        <v>17</v>
      </c>
      <c r="D809">
        <v>4</v>
      </c>
      <c r="E809">
        <v>3291</v>
      </c>
      <c r="F809">
        <v>9695</v>
      </c>
      <c r="G809">
        <v>9770</v>
      </c>
      <c r="H809">
        <v>4463</v>
      </c>
      <c r="I809">
        <v>3027</v>
      </c>
      <c r="J809">
        <v>187</v>
      </c>
      <c r="K809">
        <v>724</v>
      </c>
      <c r="L809">
        <v>972</v>
      </c>
      <c r="M809">
        <v>785</v>
      </c>
      <c r="N809">
        <v>847</v>
      </c>
      <c r="O809">
        <v>1677</v>
      </c>
      <c r="P809">
        <v>506.60448559999998</v>
      </c>
      <c r="Q809">
        <v>1099</v>
      </c>
      <c r="R809">
        <v>0.24641559900000001</v>
      </c>
      <c r="S809">
        <v>9009</v>
      </c>
      <c r="T809">
        <v>327</v>
      </c>
      <c r="U809">
        <v>1255</v>
      </c>
      <c r="V809">
        <v>3450</v>
      </c>
      <c r="W809">
        <v>2951</v>
      </c>
      <c r="X809">
        <v>2147</v>
      </c>
      <c r="Y809">
        <v>645</v>
      </c>
      <c r="Z809">
        <v>693</v>
      </c>
      <c r="AA809">
        <v>1235</v>
      </c>
      <c r="AB809">
        <v>25</v>
      </c>
      <c r="AC809">
        <v>5316</v>
      </c>
      <c r="AD809">
        <v>1095</v>
      </c>
      <c r="AE809">
        <v>0</v>
      </c>
      <c r="AF809">
        <v>0</v>
      </c>
      <c r="AG809">
        <v>4</v>
      </c>
      <c r="AH809">
        <v>0</v>
      </c>
      <c r="AI809">
        <v>0</v>
      </c>
      <c r="AJ809">
        <v>0</v>
      </c>
      <c r="AK809">
        <v>1.34137</v>
      </c>
      <c r="AL809">
        <v>3</v>
      </c>
      <c r="AM809">
        <v>0</v>
      </c>
      <c r="AN809">
        <v>3291</v>
      </c>
      <c r="AO809">
        <v>75</v>
      </c>
      <c r="AP809">
        <v>0</v>
      </c>
      <c r="AQ809">
        <v>0</v>
      </c>
    </row>
    <row r="810" spans="1:43" x14ac:dyDescent="0.25">
      <c r="A810">
        <v>807</v>
      </c>
      <c r="B810">
        <v>17</v>
      </c>
      <c r="C810">
        <v>17</v>
      </c>
      <c r="D810">
        <v>4</v>
      </c>
      <c r="E810">
        <v>1262</v>
      </c>
      <c r="F810">
        <v>4294</v>
      </c>
      <c r="G810">
        <v>4300</v>
      </c>
      <c r="H810">
        <v>1882</v>
      </c>
      <c r="I810">
        <v>1166</v>
      </c>
      <c r="J810">
        <v>20</v>
      </c>
      <c r="K810">
        <v>300</v>
      </c>
      <c r="L810">
        <v>338</v>
      </c>
      <c r="M810">
        <v>351</v>
      </c>
      <c r="N810">
        <v>252</v>
      </c>
      <c r="O810">
        <v>240</v>
      </c>
      <c r="P810">
        <v>179</v>
      </c>
      <c r="Q810">
        <v>21</v>
      </c>
      <c r="R810">
        <v>0.189785495</v>
      </c>
      <c r="S810">
        <v>221</v>
      </c>
      <c r="T810">
        <v>266</v>
      </c>
      <c r="U810">
        <v>970</v>
      </c>
      <c r="V810">
        <v>1558</v>
      </c>
      <c r="W810">
        <v>1289</v>
      </c>
      <c r="X810">
        <v>653</v>
      </c>
      <c r="Y810">
        <v>52</v>
      </c>
      <c r="Z810">
        <v>13</v>
      </c>
      <c r="AA810">
        <v>91</v>
      </c>
      <c r="AB810">
        <v>0</v>
      </c>
      <c r="AC810">
        <v>46</v>
      </c>
      <c r="AD810">
        <v>19</v>
      </c>
      <c r="AE810">
        <v>0</v>
      </c>
      <c r="AF810">
        <v>0</v>
      </c>
      <c r="AG810">
        <v>4</v>
      </c>
      <c r="AH810">
        <v>0</v>
      </c>
      <c r="AI810">
        <v>0</v>
      </c>
      <c r="AJ810">
        <v>0</v>
      </c>
      <c r="AK810">
        <v>1.4516199999999999</v>
      </c>
      <c r="AL810">
        <v>3</v>
      </c>
      <c r="AM810">
        <v>0</v>
      </c>
      <c r="AN810">
        <v>1262</v>
      </c>
      <c r="AO810">
        <v>6</v>
      </c>
      <c r="AP810">
        <v>0</v>
      </c>
      <c r="AQ810">
        <v>0</v>
      </c>
    </row>
    <row r="811" spans="1:43" x14ac:dyDescent="0.25">
      <c r="A811">
        <v>808</v>
      </c>
      <c r="B811">
        <v>17</v>
      </c>
      <c r="C811">
        <v>17</v>
      </c>
      <c r="D811">
        <v>4</v>
      </c>
      <c r="E811">
        <v>897</v>
      </c>
      <c r="F811">
        <v>3144</v>
      </c>
      <c r="G811">
        <v>3156</v>
      </c>
      <c r="H811">
        <v>1667</v>
      </c>
      <c r="I811">
        <v>883</v>
      </c>
      <c r="J811">
        <v>0</v>
      </c>
      <c r="K811">
        <v>120</v>
      </c>
      <c r="L811">
        <v>246</v>
      </c>
      <c r="M811">
        <v>298</v>
      </c>
      <c r="N811">
        <v>238</v>
      </c>
      <c r="O811">
        <v>208</v>
      </c>
      <c r="P811">
        <v>158</v>
      </c>
      <c r="Q811">
        <v>46</v>
      </c>
      <c r="R811">
        <v>0.175942549</v>
      </c>
      <c r="S811">
        <v>145</v>
      </c>
      <c r="T811">
        <v>206</v>
      </c>
      <c r="U811">
        <v>709</v>
      </c>
      <c r="V811">
        <v>1333</v>
      </c>
      <c r="W811">
        <v>1095</v>
      </c>
      <c r="X811">
        <v>457</v>
      </c>
      <c r="Y811">
        <v>1</v>
      </c>
      <c r="Z811">
        <v>8</v>
      </c>
      <c r="AA811">
        <v>128</v>
      </c>
      <c r="AB811">
        <v>0</v>
      </c>
      <c r="AC811">
        <v>3</v>
      </c>
      <c r="AD811">
        <v>5</v>
      </c>
      <c r="AE811">
        <v>0</v>
      </c>
      <c r="AF811">
        <v>0</v>
      </c>
      <c r="AG811">
        <v>4</v>
      </c>
      <c r="AH811">
        <v>0</v>
      </c>
      <c r="AI811">
        <v>0</v>
      </c>
      <c r="AJ811">
        <v>0</v>
      </c>
      <c r="AK811">
        <v>1.29799</v>
      </c>
      <c r="AL811">
        <v>3</v>
      </c>
      <c r="AM811">
        <v>0</v>
      </c>
      <c r="AN811">
        <v>897</v>
      </c>
      <c r="AO811">
        <v>12</v>
      </c>
      <c r="AP811">
        <v>0</v>
      </c>
      <c r="AQ811">
        <v>0</v>
      </c>
    </row>
    <row r="812" spans="1:43" x14ac:dyDescent="0.25">
      <c r="A812">
        <v>809</v>
      </c>
      <c r="B812">
        <v>17</v>
      </c>
      <c r="C812">
        <v>17</v>
      </c>
      <c r="D812">
        <v>4</v>
      </c>
      <c r="E812">
        <v>762</v>
      </c>
      <c r="F812">
        <v>2314</v>
      </c>
      <c r="G812">
        <v>2325</v>
      </c>
      <c r="H812">
        <v>1154</v>
      </c>
      <c r="I812">
        <v>720</v>
      </c>
      <c r="J812">
        <v>4</v>
      </c>
      <c r="K812">
        <v>117</v>
      </c>
      <c r="L812">
        <v>306</v>
      </c>
      <c r="M812">
        <v>246</v>
      </c>
      <c r="N812">
        <v>103</v>
      </c>
      <c r="O812">
        <v>417</v>
      </c>
      <c r="P812">
        <v>126</v>
      </c>
      <c r="Q812">
        <v>263.60112340000001</v>
      </c>
      <c r="R812">
        <v>0.26731561199999998</v>
      </c>
      <c r="S812">
        <v>2452</v>
      </c>
      <c r="T812">
        <v>138</v>
      </c>
      <c r="U812">
        <v>350</v>
      </c>
      <c r="V812">
        <v>744</v>
      </c>
      <c r="W812">
        <v>848</v>
      </c>
      <c r="X812">
        <v>505</v>
      </c>
      <c r="Y812">
        <v>18</v>
      </c>
      <c r="Z812">
        <v>267</v>
      </c>
      <c r="AA812">
        <v>279</v>
      </c>
      <c r="AB812">
        <v>1</v>
      </c>
      <c r="AC812">
        <v>1350</v>
      </c>
      <c r="AD812">
        <v>537</v>
      </c>
      <c r="AE812">
        <v>0</v>
      </c>
      <c r="AF812">
        <v>0</v>
      </c>
      <c r="AG812">
        <v>4</v>
      </c>
      <c r="AH812">
        <v>2438</v>
      </c>
      <c r="AI812">
        <v>0</v>
      </c>
      <c r="AJ812">
        <v>0</v>
      </c>
      <c r="AK812">
        <v>1.2787599999999999</v>
      </c>
      <c r="AL812">
        <v>3</v>
      </c>
      <c r="AM812">
        <v>0</v>
      </c>
      <c r="AN812">
        <v>762</v>
      </c>
      <c r="AO812">
        <v>11</v>
      </c>
      <c r="AP812">
        <v>0</v>
      </c>
      <c r="AQ812">
        <v>0</v>
      </c>
    </row>
    <row r="813" spans="1:43" x14ac:dyDescent="0.25">
      <c r="A813">
        <v>810</v>
      </c>
      <c r="B813">
        <v>17</v>
      </c>
      <c r="C813">
        <v>17</v>
      </c>
      <c r="D813">
        <v>4</v>
      </c>
      <c r="E813">
        <v>3925</v>
      </c>
      <c r="F813">
        <v>12029</v>
      </c>
      <c r="G813">
        <v>12047</v>
      </c>
      <c r="H813">
        <v>6187</v>
      </c>
      <c r="I813">
        <v>3309</v>
      </c>
      <c r="J813">
        <v>473</v>
      </c>
      <c r="K813">
        <v>967</v>
      </c>
      <c r="L813">
        <v>1068</v>
      </c>
      <c r="M813">
        <v>672</v>
      </c>
      <c r="N813">
        <v>1213</v>
      </c>
      <c r="O813">
        <v>11815</v>
      </c>
      <c r="P813">
        <v>1723.034827</v>
      </c>
      <c r="Q813">
        <v>2396</v>
      </c>
      <c r="R813">
        <v>0.21822580599999999</v>
      </c>
      <c r="S813">
        <v>22674</v>
      </c>
      <c r="T813">
        <v>559</v>
      </c>
      <c r="U813">
        <v>1576</v>
      </c>
      <c r="V813">
        <v>4187</v>
      </c>
      <c r="W813">
        <v>3650</v>
      </c>
      <c r="X813">
        <v>2056</v>
      </c>
      <c r="Y813">
        <v>2634</v>
      </c>
      <c r="Z813">
        <v>4008</v>
      </c>
      <c r="AA813">
        <v>2560</v>
      </c>
      <c r="AB813">
        <v>22</v>
      </c>
      <c r="AC813">
        <v>10732</v>
      </c>
      <c r="AD813">
        <v>2718</v>
      </c>
      <c r="AE813">
        <v>0</v>
      </c>
      <c r="AF813">
        <v>0</v>
      </c>
      <c r="AG813">
        <v>4</v>
      </c>
      <c r="AH813">
        <v>342</v>
      </c>
      <c r="AI813">
        <v>1247</v>
      </c>
      <c r="AJ813">
        <v>25</v>
      </c>
      <c r="AK813">
        <v>1.39313</v>
      </c>
      <c r="AL813">
        <v>3</v>
      </c>
      <c r="AM813">
        <v>0</v>
      </c>
      <c r="AN813">
        <v>3925</v>
      </c>
      <c r="AO813">
        <v>18</v>
      </c>
      <c r="AP813">
        <v>0</v>
      </c>
      <c r="AQ813">
        <v>0</v>
      </c>
    </row>
    <row r="814" spans="1:43" x14ac:dyDescent="0.25">
      <c r="A814">
        <v>811</v>
      </c>
      <c r="B814">
        <v>17</v>
      </c>
      <c r="C814">
        <v>17</v>
      </c>
      <c r="D814">
        <v>4</v>
      </c>
      <c r="E814">
        <v>2727</v>
      </c>
      <c r="F814">
        <v>7577</v>
      </c>
      <c r="G814">
        <v>7597</v>
      </c>
      <c r="H814">
        <v>3808</v>
      </c>
      <c r="I814">
        <v>2052</v>
      </c>
      <c r="J814">
        <v>685</v>
      </c>
      <c r="K814">
        <v>614</v>
      </c>
      <c r="L814">
        <v>795</v>
      </c>
      <c r="M814">
        <v>646</v>
      </c>
      <c r="N814">
        <v>656</v>
      </c>
      <c r="O814">
        <v>640</v>
      </c>
      <c r="P814">
        <v>295.01353410000002</v>
      </c>
      <c r="Q814">
        <v>343</v>
      </c>
      <c r="R814">
        <v>0.20009421699999999</v>
      </c>
      <c r="S814">
        <v>3041</v>
      </c>
      <c r="T814">
        <v>573</v>
      </c>
      <c r="U814">
        <v>937</v>
      </c>
      <c r="V814">
        <v>2994</v>
      </c>
      <c r="W814">
        <v>2327</v>
      </c>
      <c r="X814">
        <v>1391</v>
      </c>
      <c r="Y814">
        <v>383</v>
      </c>
      <c r="Z814">
        <v>231</v>
      </c>
      <c r="AA814">
        <v>1692</v>
      </c>
      <c r="AB814">
        <v>1</v>
      </c>
      <c r="AC814">
        <v>437</v>
      </c>
      <c r="AD814">
        <v>297</v>
      </c>
      <c r="AE814">
        <v>0</v>
      </c>
      <c r="AF814">
        <v>0</v>
      </c>
      <c r="AG814">
        <v>3</v>
      </c>
      <c r="AH814">
        <v>222</v>
      </c>
      <c r="AI814">
        <v>6810</v>
      </c>
      <c r="AJ814">
        <v>11726</v>
      </c>
      <c r="AK814">
        <v>1.3239799999999999</v>
      </c>
      <c r="AL814">
        <v>3</v>
      </c>
      <c r="AM814">
        <v>0</v>
      </c>
      <c r="AN814">
        <v>2727</v>
      </c>
      <c r="AO814">
        <v>20</v>
      </c>
      <c r="AP814">
        <v>0</v>
      </c>
      <c r="AQ814">
        <v>0</v>
      </c>
    </row>
    <row r="815" spans="1:43" x14ac:dyDescent="0.25">
      <c r="A815">
        <v>812</v>
      </c>
      <c r="B815">
        <v>17</v>
      </c>
      <c r="C815">
        <v>17</v>
      </c>
      <c r="D815">
        <v>4</v>
      </c>
      <c r="E815">
        <v>1159</v>
      </c>
      <c r="F815">
        <v>3130</v>
      </c>
      <c r="G815">
        <v>3149</v>
      </c>
      <c r="H815">
        <v>1458</v>
      </c>
      <c r="I815">
        <v>916</v>
      </c>
      <c r="J815">
        <v>284</v>
      </c>
      <c r="K815">
        <v>282</v>
      </c>
      <c r="L815">
        <v>274</v>
      </c>
      <c r="M815">
        <v>322</v>
      </c>
      <c r="N815">
        <v>286</v>
      </c>
      <c r="O815">
        <v>398</v>
      </c>
      <c r="P815">
        <v>154</v>
      </c>
      <c r="Q815">
        <v>233</v>
      </c>
      <c r="R815">
        <v>0.18063958499999999</v>
      </c>
      <c r="S815">
        <v>1783</v>
      </c>
      <c r="T815">
        <v>283</v>
      </c>
      <c r="U815">
        <v>410</v>
      </c>
      <c r="V815">
        <v>1122</v>
      </c>
      <c r="W815">
        <v>1044</v>
      </c>
      <c r="X815">
        <v>507</v>
      </c>
      <c r="Y815">
        <v>391</v>
      </c>
      <c r="Z815">
        <v>471</v>
      </c>
      <c r="AA815">
        <v>855</v>
      </c>
      <c r="AB815">
        <v>1</v>
      </c>
      <c r="AC815">
        <v>20</v>
      </c>
      <c r="AD815">
        <v>45</v>
      </c>
      <c r="AE815">
        <v>0</v>
      </c>
      <c r="AF815">
        <v>0</v>
      </c>
      <c r="AG815">
        <v>3</v>
      </c>
      <c r="AH815">
        <v>0</v>
      </c>
      <c r="AI815">
        <v>0</v>
      </c>
      <c r="AJ815">
        <v>0</v>
      </c>
      <c r="AK815">
        <v>1.4196299999999999</v>
      </c>
      <c r="AL815">
        <v>3</v>
      </c>
      <c r="AM815">
        <v>0</v>
      </c>
      <c r="AN815">
        <v>1159</v>
      </c>
      <c r="AO815">
        <v>19</v>
      </c>
      <c r="AP815">
        <v>0</v>
      </c>
      <c r="AQ815">
        <v>0</v>
      </c>
    </row>
    <row r="816" spans="1:43" x14ac:dyDescent="0.25">
      <c r="A816">
        <v>813</v>
      </c>
      <c r="B816">
        <v>17</v>
      </c>
      <c r="C816">
        <v>17</v>
      </c>
      <c r="D816">
        <v>4</v>
      </c>
      <c r="E816">
        <v>1086</v>
      </c>
      <c r="F816">
        <v>2881</v>
      </c>
      <c r="G816">
        <v>2893</v>
      </c>
      <c r="H816">
        <v>1580</v>
      </c>
      <c r="I816">
        <v>666</v>
      </c>
      <c r="J816">
        <v>406</v>
      </c>
      <c r="K816">
        <v>476</v>
      </c>
      <c r="L816">
        <v>229</v>
      </c>
      <c r="M816">
        <v>211</v>
      </c>
      <c r="N816">
        <v>172</v>
      </c>
      <c r="O816">
        <v>260</v>
      </c>
      <c r="P816">
        <v>123</v>
      </c>
      <c r="Q816">
        <v>98</v>
      </c>
      <c r="R816">
        <v>0.20287081300000001</v>
      </c>
      <c r="S816">
        <v>1269</v>
      </c>
      <c r="T816">
        <v>181</v>
      </c>
      <c r="U816">
        <v>384</v>
      </c>
      <c r="V816">
        <v>1347</v>
      </c>
      <c r="W816">
        <v>626</v>
      </c>
      <c r="X816">
        <v>490</v>
      </c>
      <c r="Y816">
        <v>5</v>
      </c>
      <c r="Z816">
        <v>44</v>
      </c>
      <c r="AA816">
        <v>1177</v>
      </c>
      <c r="AB816">
        <v>1</v>
      </c>
      <c r="AC816">
        <v>26</v>
      </c>
      <c r="AD816">
        <v>16</v>
      </c>
      <c r="AE816">
        <v>0</v>
      </c>
      <c r="AF816">
        <v>0</v>
      </c>
      <c r="AG816">
        <v>4</v>
      </c>
      <c r="AH816">
        <v>0</v>
      </c>
      <c r="AI816">
        <v>0</v>
      </c>
      <c r="AJ816">
        <v>0</v>
      </c>
      <c r="AK816">
        <v>1.4525699999999999</v>
      </c>
      <c r="AL816">
        <v>3</v>
      </c>
      <c r="AM816">
        <v>0</v>
      </c>
      <c r="AN816">
        <v>1086</v>
      </c>
      <c r="AO816">
        <v>12</v>
      </c>
      <c r="AP816">
        <v>0</v>
      </c>
      <c r="AQ816">
        <v>0</v>
      </c>
    </row>
    <row r="817" spans="1:43" x14ac:dyDescent="0.25">
      <c r="A817">
        <v>814</v>
      </c>
      <c r="B817">
        <v>17</v>
      </c>
      <c r="C817">
        <v>17</v>
      </c>
      <c r="D817">
        <v>4</v>
      </c>
      <c r="E817">
        <v>1104</v>
      </c>
      <c r="F817">
        <v>3211</v>
      </c>
      <c r="G817">
        <v>3219</v>
      </c>
      <c r="H817">
        <v>1599</v>
      </c>
      <c r="I817">
        <v>1026</v>
      </c>
      <c r="J817">
        <v>12</v>
      </c>
      <c r="K817">
        <v>219</v>
      </c>
      <c r="L817">
        <v>389</v>
      </c>
      <c r="M817">
        <v>270</v>
      </c>
      <c r="N817">
        <v>225</v>
      </c>
      <c r="O817">
        <v>201</v>
      </c>
      <c r="P817">
        <v>150</v>
      </c>
      <c r="Q817">
        <v>6</v>
      </c>
      <c r="R817">
        <v>0.21537637300000001</v>
      </c>
      <c r="S817">
        <v>329</v>
      </c>
      <c r="T817">
        <v>149</v>
      </c>
      <c r="U817">
        <v>634</v>
      </c>
      <c r="V817">
        <v>1329</v>
      </c>
      <c r="W817">
        <v>894</v>
      </c>
      <c r="X817">
        <v>618</v>
      </c>
      <c r="Y817">
        <v>64</v>
      </c>
      <c r="Z817">
        <v>13</v>
      </c>
      <c r="AA817">
        <v>216</v>
      </c>
      <c r="AB817">
        <v>0</v>
      </c>
      <c r="AC817">
        <v>23</v>
      </c>
      <c r="AD817">
        <v>13</v>
      </c>
      <c r="AE817">
        <v>0</v>
      </c>
      <c r="AF817">
        <v>0</v>
      </c>
      <c r="AG817">
        <v>4</v>
      </c>
      <c r="AH817">
        <v>0</v>
      </c>
      <c r="AI817">
        <v>0</v>
      </c>
      <c r="AJ817">
        <v>0</v>
      </c>
      <c r="AK817">
        <v>1.31982</v>
      </c>
      <c r="AL817">
        <v>3</v>
      </c>
      <c r="AM817">
        <v>0</v>
      </c>
      <c r="AN817">
        <v>1104</v>
      </c>
      <c r="AO817">
        <v>8</v>
      </c>
      <c r="AP817">
        <v>0</v>
      </c>
      <c r="AQ817">
        <v>0</v>
      </c>
    </row>
    <row r="818" spans="1:43" x14ac:dyDescent="0.25">
      <c r="A818">
        <v>815</v>
      </c>
      <c r="B818">
        <v>17</v>
      </c>
      <c r="C818">
        <v>17</v>
      </c>
      <c r="D818">
        <v>4</v>
      </c>
      <c r="E818">
        <v>1203</v>
      </c>
      <c r="F818">
        <v>3741</v>
      </c>
      <c r="G818">
        <v>3756</v>
      </c>
      <c r="H818">
        <v>1428</v>
      </c>
      <c r="I818">
        <v>515</v>
      </c>
      <c r="J818">
        <v>637</v>
      </c>
      <c r="K818">
        <v>443</v>
      </c>
      <c r="L818">
        <v>307</v>
      </c>
      <c r="M818">
        <v>285</v>
      </c>
      <c r="N818">
        <v>172</v>
      </c>
      <c r="O818">
        <v>156</v>
      </c>
      <c r="P818">
        <v>89</v>
      </c>
      <c r="Q818">
        <v>67</v>
      </c>
      <c r="R818">
        <v>0.14789070000000001</v>
      </c>
      <c r="S818">
        <v>235</v>
      </c>
      <c r="T818">
        <v>265</v>
      </c>
      <c r="U818">
        <v>1143</v>
      </c>
      <c r="V818">
        <v>1302</v>
      </c>
      <c r="W818">
        <v>934</v>
      </c>
      <c r="X818">
        <v>398</v>
      </c>
      <c r="Y818">
        <v>21</v>
      </c>
      <c r="Z818">
        <v>30</v>
      </c>
      <c r="AA818">
        <v>165</v>
      </c>
      <c r="AB818">
        <v>0</v>
      </c>
      <c r="AC818">
        <v>10</v>
      </c>
      <c r="AD818">
        <v>9</v>
      </c>
      <c r="AE818">
        <v>0</v>
      </c>
      <c r="AF818">
        <v>0</v>
      </c>
      <c r="AG818">
        <v>4</v>
      </c>
      <c r="AH818">
        <v>0</v>
      </c>
      <c r="AI818">
        <v>0</v>
      </c>
      <c r="AJ818">
        <v>0</v>
      </c>
      <c r="AK818">
        <v>1.4696199999999999</v>
      </c>
      <c r="AL818">
        <v>3</v>
      </c>
      <c r="AM818">
        <v>0</v>
      </c>
      <c r="AN818">
        <v>1203</v>
      </c>
      <c r="AO818">
        <v>15</v>
      </c>
      <c r="AP818">
        <v>0</v>
      </c>
      <c r="AQ818">
        <v>0</v>
      </c>
    </row>
    <row r="819" spans="1:43" x14ac:dyDescent="0.25">
      <c r="A819">
        <v>816</v>
      </c>
      <c r="B819">
        <v>17</v>
      </c>
      <c r="C819">
        <v>17</v>
      </c>
      <c r="D819">
        <v>4</v>
      </c>
      <c r="E819">
        <v>944</v>
      </c>
      <c r="F819">
        <v>2913</v>
      </c>
      <c r="G819">
        <v>2922</v>
      </c>
      <c r="H819">
        <v>1371</v>
      </c>
      <c r="I819">
        <v>648</v>
      </c>
      <c r="J819">
        <v>258</v>
      </c>
      <c r="K819">
        <v>197</v>
      </c>
      <c r="L819">
        <v>267</v>
      </c>
      <c r="M819">
        <v>288</v>
      </c>
      <c r="N819">
        <v>180</v>
      </c>
      <c r="O819">
        <v>202</v>
      </c>
      <c r="P819">
        <v>118</v>
      </c>
      <c r="Q819">
        <v>28</v>
      </c>
      <c r="R819">
        <v>0.24428364699999999</v>
      </c>
      <c r="S819">
        <v>656</v>
      </c>
      <c r="T819">
        <v>164</v>
      </c>
      <c r="U819">
        <v>535</v>
      </c>
      <c r="V819">
        <v>1086</v>
      </c>
      <c r="W819">
        <v>922</v>
      </c>
      <c r="X819">
        <v>635</v>
      </c>
      <c r="Y819">
        <v>126</v>
      </c>
      <c r="Z819">
        <v>48</v>
      </c>
      <c r="AA819">
        <v>442</v>
      </c>
      <c r="AB819">
        <v>1</v>
      </c>
      <c r="AC819">
        <v>17</v>
      </c>
      <c r="AD819">
        <v>22</v>
      </c>
      <c r="AE819">
        <v>0</v>
      </c>
      <c r="AF819">
        <v>0</v>
      </c>
      <c r="AG819">
        <v>3</v>
      </c>
      <c r="AH819">
        <v>0</v>
      </c>
      <c r="AI819">
        <v>0</v>
      </c>
      <c r="AJ819">
        <v>0</v>
      </c>
      <c r="AK819">
        <v>1.5108200000000001</v>
      </c>
      <c r="AL819">
        <v>3</v>
      </c>
      <c r="AM819">
        <v>0</v>
      </c>
      <c r="AN819">
        <v>944</v>
      </c>
      <c r="AO819">
        <v>9</v>
      </c>
      <c r="AP819">
        <v>0</v>
      </c>
      <c r="AQ819">
        <v>0</v>
      </c>
    </row>
    <row r="820" spans="1:43" x14ac:dyDescent="0.25">
      <c r="A820">
        <v>817</v>
      </c>
      <c r="B820">
        <v>17</v>
      </c>
      <c r="C820">
        <v>17</v>
      </c>
      <c r="D820">
        <v>4</v>
      </c>
      <c r="E820">
        <v>2127</v>
      </c>
      <c r="F820">
        <v>7122</v>
      </c>
      <c r="G820">
        <v>7156</v>
      </c>
      <c r="H820">
        <v>3486</v>
      </c>
      <c r="I820">
        <v>576</v>
      </c>
      <c r="J820">
        <v>1617</v>
      </c>
      <c r="K820">
        <v>616</v>
      </c>
      <c r="L820">
        <v>859</v>
      </c>
      <c r="M820">
        <v>457</v>
      </c>
      <c r="N820">
        <v>191</v>
      </c>
      <c r="O820">
        <v>215</v>
      </c>
      <c r="P820">
        <v>143</v>
      </c>
      <c r="Q820">
        <v>72.409265579999996</v>
      </c>
      <c r="R820">
        <v>6.8342918000000002E-2</v>
      </c>
      <c r="S820">
        <v>432</v>
      </c>
      <c r="T820">
        <v>232</v>
      </c>
      <c r="U820">
        <v>1924</v>
      </c>
      <c r="V820">
        <v>3119</v>
      </c>
      <c r="W820">
        <v>1647</v>
      </c>
      <c r="X820">
        <v>324</v>
      </c>
      <c r="Y820">
        <v>24</v>
      </c>
      <c r="Z820">
        <v>59</v>
      </c>
      <c r="AA820">
        <v>293</v>
      </c>
      <c r="AB820">
        <v>0</v>
      </c>
      <c r="AC820">
        <v>31</v>
      </c>
      <c r="AD820">
        <v>25</v>
      </c>
      <c r="AE820">
        <v>0</v>
      </c>
      <c r="AF820">
        <v>0</v>
      </c>
      <c r="AG820">
        <v>3</v>
      </c>
      <c r="AH820">
        <v>0</v>
      </c>
      <c r="AI820">
        <v>0</v>
      </c>
      <c r="AJ820">
        <v>0</v>
      </c>
      <c r="AK820">
        <v>1.7000299999999999</v>
      </c>
      <c r="AL820">
        <v>3</v>
      </c>
      <c r="AM820">
        <v>0</v>
      </c>
      <c r="AN820">
        <v>2127</v>
      </c>
      <c r="AO820">
        <v>34</v>
      </c>
      <c r="AP820">
        <v>0</v>
      </c>
      <c r="AQ820">
        <v>0</v>
      </c>
    </row>
    <row r="821" spans="1:43" x14ac:dyDescent="0.25">
      <c r="A821">
        <v>818</v>
      </c>
      <c r="B821">
        <v>17</v>
      </c>
      <c r="C821">
        <v>17</v>
      </c>
      <c r="D821">
        <v>4</v>
      </c>
      <c r="E821">
        <v>1404</v>
      </c>
      <c r="F821">
        <v>4549</v>
      </c>
      <c r="G821">
        <v>4549</v>
      </c>
      <c r="H821">
        <v>2538</v>
      </c>
      <c r="I821">
        <v>1252</v>
      </c>
      <c r="J821">
        <v>106</v>
      </c>
      <c r="K821">
        <v>201</v>
      </c>
      <c r="L821">
        <v>357</v>
      </c>
      <c r="M821">
        <v>341</v>
      </c>
      <c r="N821">
        <v>501</v>
      </c>
      <c r="O821">
        <v>312</v>
      </c>
      <c r="P821">
        <v>195</v>
      </c>
      <c r="Q821">
        <v>102</v>
      </c>
      <c r="R821">
        <v>0.14109311699999999</v>
      </c>
      <c r="S821">
        <v>581</v>
      </c>
      <c r="T821">
        <v>154</v>
      </c>
      <c r="U821">
        <v>777</v>
      </c>
      <c r="V821">
        <v>1922</v>
      </c>
      <c r="W821">
        <v>1422</v>
      </c>
      <c r="X821">
        <v>517</v>
      </c>
      <c r="Y821">
        <v>4</v>
      </c>
      <c r="Z821">
        <v>14</v>
      </c>
      <c r="AA821">
        <v>519</v>
      </c>
      <c r="AB821">
        <v>0</v>
      </c>
      <c r="AC821">
        <v>6</v>
      </c>
      <c r="AD821">
        <v>38</v>
      </c>
      <c r="AE821">
        <v>0</v>
      </c>
      <c r="AF821">
        <v>0</v>
      </c>
      <c r="AG821">
        <v>4</v>
      </c>
      <c r="AH821">
        <v>1511</v>
      </c>
      <c r="AI821">
        <v>0</v>
      </c>
      <c r="AJ821">
        <v>0</v>
      </c>
      <c r="AK821">
        <v>1.2174499999999999</v>
      </c>
      <c r="AL821">
        <v>3</v>
      </c>
      <c r="AM821">
        <v>0</v>
      </c>
      <c r="AN821">
        <v>1404</v>
      </c>
      <c r="AO821">
        <v>0</v>
      </c>
      <c r="AP821">
        <v>0</v>
      </c>
      <c r="AQ821">
        <v>0</v>
      </c>
    </row>
    <row r="822" spans="1:43" x14ac:dyDescent="0.25">
      <c r="A822">
        <v>819</v>
      </c>
      <c r="B822">
        <v>17</v>
      </c>
      <c r="C822">
        <v>17</v>
      </c>
      <c r="D822">
        <v>4</v>
      </c>
      <c r="E822">
        <v>694</v>
      </c>
      <c r="F822">
        <v>1999</v>
      </c>
      <c r="G822">
        <v>2003</v>
      </c>
      <c r="H822">
        <v>878</v>
      </c>
      <c r="I822">
        <v>318</v>
      </c>
      <c r="J822">
        <v>365</v>
      </c>
      <c r="K822">
        <v>236</v>
      </c>
      <c r="L822">
        <v>197</v>
      </c>
      <c r="M822">
        <v>155</v>
      </c>
      <c r="N822">
        <v>114</v>
      </c>
      <c r="O822">
        <v>159</v>
      </c>
      <c r="P822">
        <v>132.87042260000001</v>
      </c>
      <c r="Q822">
        <v>30</v>
      </c>
      <c r="R822">
        <v>0.15649606299999999</v>
      </c>
      <c r="S822">
        <v>260</v>
      </c>
      <c r="T822">
        <v>224</v>
      </c>
      <c r="U822">
        <v>342</v>
      </c>
      <c r="V822">
        <v>793</v>
      </c>
      <c r="W822">
        <v>374</v>
      </c>
      <c r="X822">
        <v>223</v>
      </c>
      <c r="Y822">
        <v>37</v>
      </c>
      <c r="Z822">
        <v>41</v>
      </c>
      <c r="AA822">
        <v>118</v>
      </c>
      <c r="AB822">
        <v>0</v>
      </c>
      <c r="AC822">
        <v>29</v>
      </c>
      <c r="AD822">
        <v>35</v>
      </c>
      <c r="AE822">
        <v>0</v>
      </c>
      <c r="AF822">
        <v>0</v>
      </c>
      <c r="AG822">
        <v>4</v>
      </c>
      <c r="AH822">
        <v>0</v>
      </c>
      <c r="AI822">
        <v>0</v>
      </c>
      <c r="AJ822">
        <v>0</v>
      </c>
      <c r="AK822">
        <v>1.3268599999999999</v>
      </c>
      <c r="AL822">
        <v>2</v>
      </c>
      <c r="AM822">
        <v>0</v>
      </c>
      <c r="AN822">
        <v>694</v>
      </c>
      <c r="AO822">
        <v>4</v>
      </c>
      <c r="AP822">
        <v>0</v>
      </c>
      <c r="AQ822">
        <v>0</v>
      </c>
    </row>
    <row r="823" spans="1:43" x14ac:dyDescent="0.25">
      <c r="A823">
        <v>820</v>
      </c>
      <c r="B823">
        <v>17</v>
      </c>
      <c r="C823">
        <v>17</v>
      </c>
      <c r="D823">
        <v>4</v>
      </c>
      <c r="E823">
        <v>5057</v>
      </c>
      <c r="F823">
        <v>14323</v>
      </c>
      <c r="G823">
        <v>14357</v>
      </c>
      <c r="H823">
        <v>7316</v>
      </c>
      <c r="I823">
        <v>3205</v>
      </c>
      <c r="J823">
        <v>1710</v>
      </c>
      <c r="K823">
        <v>698</v>
      </c>
      <c r="L823">
        <v>941</v>
      </c>
      <c r="M823">
        <v>1223</v>
      </c>
      <c r="N823">
        <v>2203</v>
      </c>
      <c r="O823">
        <v>14520</v>
      </c>
      <c r="P823">
        <v>1895.2303959999999</v>
      </c>
      <c r="Q823">
        <v>223.40842380000001</v>
      </c>
      <c r="R823">
        <v>0.18304804</v>
      </c>
      <c r="S823">
        <v>953</v>
      </c>
      <c r="T823">
        <v>677</v>
      </c>
      <c r="U823">
        <v>2329</v>
      </c>
      <c r="V823">
        <v>5150</v>
      </c>
      <c r="W823">
        <v>3914</v>
      </c>
      <c r="X823">
        <v>1933</v>
      </c>
      <c r="Y823">
        <v>60</v>
      </c>
      <c r="Z823">
        <v>77</v>
      </c>
      <c r="AA823">
        <v>639</v>
      </c>
      <c r="AB823">
        <v>2</v>
      </c>
      <c r="AC823">
        <v>153</v>
      </c>
      <c r="AD823">
        <v>22</v>
      </c>
      <c r="AE823">
        <v>0</v>
      </c>
      <c r="AF823">
        <v>0</v>
      </c>
      <c r="AG823">
        <v>4</v>
      </c>
      <c r="AH823">
        <v>792</v>
      </c>
      <c r="AI823">
        <v>0</v>
      </c>
      <c r="AJ823">
        <v>0</v>
      </c>
      <c r="AK823">
        <v>1.0400499999999999</v>
      </c>
      <c r="AL823">
        <v>1</v>
      </c>
      <c r="AM823">
        <v>0</v>
      </c>
      <c r="AN823">
        <v>5057</v>
      </c>
      <c r="AO823">
        <v>34</v>
      </c>
      <c r="AP823">
        <v>0</v>
      </c>
      <c r="AQ823">
        <v>0</v>
      </c>
    </row>
    <row r="824" spans="1:43" x14ac:dyDescent="0.25">
      <c r="A824">
        <v>821</v>
      </c>
      <c r="B824">
        <v>17</v>
      </c>
      <c r="C824">
        <v>17</v>
      </c>
      <c r="D824">
        <v>4</v>
      </c>
      <c r="E824">
        <v>1453</v>
      </c>
      <c r="F824">
        <v>4034</v>
      </c>
      <c r="G824">
        <v>5044</v>
      </c>
      <c r="H824">
        <v>2083</v>
      </c>
      <c r="I824">
        <v>1091</v>
      </c>
      <c r="J824">
        <v>395</v>
      </c>
      <c r="K824">
        <v>191</v>
      </c>
      <c r="L824">
        <v>297</v>
      </c>
      <c r="M824">
        <v>481</v>
      </c>
      <c r="N824">
        <v>476</v>
      </c>
      <c r="O824">
        <v>1070</v>
      </c>
      <c r="P824">
        <v>455.69525090000002</v>
      </c>
      <c r="Q824">
        <v>371</v>
      </c>
      <c r="R824">
        <v>0.15681566299999999</v>
      </c>
      <c r="S824">
        <v>2015</v>
      </c>
      <c r="T824">
        <v>125</v>
      </c>
      <c r="U824">
        <v>1271</v>
      </c>
      <c r="V824">
        <v>1904</v>
      </c>
      <c r="W824">
        <v>1290</v>
      </c>
      <c r="X824">
        <v>646</v>
      </c>
      <c r="Y824">
        <v>38</v>
      </c>
      <c r="Z824">
        <v>77</v>
      </c>
      <c r="AA824">
        <v>1821</v>
      </c>
      <c r="AB824">
        <v>1</v>
      </c>
      <c r="AC824">
        <v>29</v>
      </c>
      <c r="AD824">
        <v>49</v>
      </c>
      <c r="AE824">
        <v>0</v>
      </c>
      <c r="AF824">
        <v>0</v>
      </c>
      <c r="AG824">
        <v>4</v>
      </c>
      <c r="AH824">
        <v>0</v>
      </c>
      <c r="AI824">
        <v>10675</v>
      </c>
      <c r="AJ824">
        <v>4428</v>
      </c>
      <c r="AK824">
        <v>1.1230500000000001</v>
      </c>
      <c r="AL824">
        <v>1</v>
      </c>
      <c r="AM824">
        <v>0</v>
      </c>
      <c r="AN824">
        <v>1453</v>
      </c>
      <c r="AO824">
        <v>1010</v>
      </c>
      <c r="AP824">
        <v>0</v>
      </c>
      <c r="AQ824">
        <v>0</v>
      </c>
    </row>
    <row r="825" spans="1:43" x14ac:dyDescent="0.25">
      <c r="A825">
        <v>822</v>
      </c>
      <c r="B825">
        <v>17</v>
      </c>
      <c r="C825">
        <v>17</v>
      </c>
      <c r="D825">
        <v>4</v>
      </c>
      <c r="E825">
        <v>1278</v>
      </c>
      <c r="F825">
        <v>3374</v>
      </c>
      <c r="G825">
        <v>3557</v>
      </c>
      <c r="H825">
        <v>1483</v>
      </c>
      <c r="I825">
        <v>1147</v>
      </c>
      <c r="J825">
        <v>104</v>
      </c>
      <c r="K825">
        <v>48</v>
      </c>
      <c r="L825">
        <v>242</v>
      </c>
      <c r="M825">
        <v>476</v>
      </c>
      <c r="N825">
        <v>510</v>
      </c>
      <c r="O825">
        <v>1079</v>
      </c>
      <c r="P825">
        <v>819</v>
      </c>
      <c r="Q825">
        <v>9</v>
      </c>
      <c r="R825">
        <v>0.26514936</v>
      </c>
      <c r="S825">
        <v>294</v>
      </c>
      <c r="T825">
        <v>101</v>
      </c>
      <c r="U825">
        <v>458</v>
      </c>
      <c r="V825">
        <v>1100</v>
      </c>
      <c r="W825">
        <v>999</v>
      </c>
      <c r="X825">
        <v>754</v>
      </c>
      <c r="Y825">
        <v>5</v>
      </c>
      <c r="Z825">
        <v>25</v>
      </c>
      <c r="AA825">
        <v>216</v>
      </c>
      <c r="AB825">
        <v>0</v>
      </c>
      <c r="AC825">
        <v>11</v>
      </c>
      <c r="AD825">
        <v>37</v>
      </c>
      <c r="AE825">
        <v>0</v>
      </c>
      <c r="AF825">
        <v>0</v>
      </c>
      <c r="AG825">
        <v>5</v>
      </c>
      <c r="AH825">
        <v>0</v>
      </c>
      <c r="AI825">
        <v>0</v>
      </c>
      <c r="AJ825">
        <v>0</v>
      </c>
      <c r="AK825">
        <v>0.96235999999999999</v>
      </c>
      <c r="AL825">
        <v>1</v>
      </c>
      <c r="AM825">
        <v>0</v>
      </c>
      <c r="AN825">
        <v>1278</v>
      </c>
      <c r="AO825">
        <v>183</v>
      </c>
      <c r="AP825">
        <v>0</v>
      </c>
      <c r="AQ825">
        <v>0</v>
      </c>
    </row>
    <row r="826" spans="1:43" x14ac:dyDescent="0.25">
      <c r="A826">
        <v>823</v>
      </c>
      <c r="B826">
        <v>17</v>
      </c>
      <c r="C826">
        <v>17</v>
      </c>
      <c r="D826">
        <v>4</v>
      </c>
      <c r="E826">
        <v>2809</v>
      </c>
      <c r="F826">
        <v>7189</v>
      </c>
      <c r="G826">
        <v>7230</v>
      </c>
      <c r="H826">
        <v>3824</v>
      </c>
      <c r="I826">
        <v>2285</v>
      </c>
      <c r="J826">
        <v>502</v>
      </c>
      <c r="K826">
        <v>723</v>
      </c>
      <c r="L826">
        <v>472</v>
      </c>
      <c r="M826">
        <v>814</v>
      </c>
      <c r="N826">
        <v>778</v>
      </c>
      <c r="O826">
        <v>769</v>
      </c>
      <c r="P826">
        <v>536.62056840000002</v>
      </c>
      <c r="Q826">
        <v>99</v>
      </c>
      <c r="R826">
        <v>0.20773140700000001</v>
      </c>
      <c r="S826">
        <v>780</v>
      </c>
      <c r="T826">
        <v>485</v>
      </c>
      <c r="U826">
        <v>760</v>
      </c>
      <c r="V826">
        <v>2748</v>
      </c>
      <c r="W826">
        <v>2170</v>
      </c>
      <c r="X826">
        <v>1099</v>
      </c>
      <c r="Y826">
        <v>20</v>
      </c>
      <c r="Z826">
        <v>116</v>
      </c>
      <c r="AA826">
        <v>407</v>
      </c>
      <c r="AB826">
        <v>2</v>
      </c>
      <c r="AC826">
        <v>30</v>
      </c>
      <c r="AD826">
        <v>205</v>
      </c>
      <c r="AE826">
        <v>0</v>
      </c>
      <c r="AF826">
        <v>0</v>
      </c>
      <c r="AG826">
        <v>4</v>
      </c>
      <c r="AH826">
        <v>1580</v>
      </c>
      <c r="AI826">
        <v>0</v>
      </c>
      <c r="AJ826">
        <v>0</v>
      </c>
      <c r="AK826">
        <v>1.18432</v>
      </c>
      <c r="AL826">
        <v>1</v>
      </c>
      <c r="AM826">
        <v>0</v>
      </c>
      <c r="AN826">
        <v>2809</v>
      </c>
      <c r="AO826">
        <v>41</v>
      </c>
      <c r="AP826">
        <v>0</v>
      </c>
      <c r="AQ826">
        <v>0</v>
      </c>
    </row>
    <row r="827" spans="1:43" x14ac:dyDescent="0.25">
      <c r="A827">
        <v>824</v>
      </c>
      <c r="B827">
        <v>17</v>
      </c>
      <c r="C827">
        <v>17</v>
      </c>
      <c r="D827">
        <v>4</v>
      </c>
      <c r="E827">
        <v>1946</v>
      </c>
      <c r="F827">
        <v>5533</v>
      </c>
      <c r="G827">
        <v>5685</v>
      </c>
      <c r="H827">
        <v>2719</v>
      </c>
      <c r="I827">
        <v>898</v>
      </c>
      <c r="J827">
        <v>1046</v>
      </c>
      <c r="K827">
        <v>515</v>
      </c>
      <c r="L827">
        <v>692</v>
      </c>
      <c r="M827">
        <v>442</v>
      </c>
      <c r="N827">
        <v>287</v>
      </c>
      <c r="O827">
        <v>437</v>
      </c>
      <c r="P827">
        <v>289.17845979999998</v>
      </c>
      <c r="Q827">
        <v>162</v>
      </c>
      <c r="R827">
        <v>0.109094177</v>
      </c>
      <c r="S827">
        <v>1319</v>
      </c>
      <c r="T827">
        <v>319</v>
      </c>
      <c r="U827">
        <v>1018</v>
      </c>
      <c r="V827">
        <v>2569</v>
      </c>
      <c r="W827">
        <v>1024</v>
      </c>
      <c r="X827">
        <v>446</v>
      </c>
      <c r="Y827">
        <v>465</v>
      </c>
      <c r="Z827">
        <v>224</v>
      </c>
      <c r="AA827">
        <v>463</v>
      </c>
      <c r="AB827">
        <v>1</v>
      </c>
      <c r="AC827">
        <v>51</v>
      </c>
      <c r="AD827">
        <v>115</v>
      </c>
      <c r="AE827">
        <v>0</v>
      </c>
      <c r="AF827">
        <v>0</v>
      </c>
      <c r="AG827">
        <v>4</v>
      </c>
      <c r="AH827">
        <v>209</v>
      </c>
      <c r="AI827">
        <v>0</v>
      </c>
      <c r="AJ827">
        <v>0</v>
      </c>
      <c r="AK827">
        <v>1.25867</v>
      </c>
      <c r="AL827">
        <v>1</v>
      </c>
      <c r="AM827">
        <v>0</v>
      </c>
      <c r="AN827">
        <v>1946</v>
      </c>
      <c r="AO827">
        <v>152</v>
      </c>
      <c r="AP827">
        <v>0</v>
      </c>
      <c r="AQ827">
        <v>0</v>
      </c>
    </row>
    <row r="828" spans="1:43" x14ac:dyDescent="0.25">
      <c r="A828">
        <v>825</v>
      </c>
      <c r="B828">
        <v>17</v>
      </c>
      <c r="C828">
        <v>17</v>
      </c>
      <c r="D828">
        <v>4</v>
      </c>
      <c r="E828">
        <v>1975</v>
      </c>
      <c r="F828">
        <v>5862</v>
      </c>
      <c r="G828">
        <v>5873</v>
      </c>
      <c r="H828">
        <v>2778</v>
      </c>
      <c r="I828">
        <v>1125</v>
      </c>
      <c r="J828">
        <v>809</v>
      </c>
      <c r="K828">
        <v>647</v>
      </c>
      <c r="L828">
        <v>604</v>
      </c>
      <c r="M828">
        <v>407</v>
      </c>
      <c r="N828">
        <v>323</v>
      </c>
      <c r="O828">
        <v>267</v>
      </c>
      <c r="P828">
        <v>205.27552019999999</v>
      </c>
      <c r="Q828">
        <v>52</v>
      </c>
      <c r="R828">
        <v>0.123154209</v>
      </c>
      <c r="S828">
        <v>208</v>
      </c>
      <c r="T828">
        <v>465</v>
      </c>
      <c r="U828">
        <v>1132</v>
      </c>
      <c r="V828">
        <v>2574</v>
      </c>
      <c r="W828">
        <v>1554</v>
      </c>
      <c r="X828">
        <v>638</v>
      </c>
      <c r="Y828">
        <v>10</v>
      </c>
      <c r="Z828">
        <v>32</v>
      </c>
      <c r="AA828">
        <v>116</v>
      </c>
      <c r="AB828">
        <v>0</v>
      </c>
      <c r="AC828">
        <v>13</v>
      </c>
      <c r="AD828">
        <v>37</v>
      </c>
      <c r="AE828">
        <v>0</v>
      </c>
      <c r="AF828">
        <v>0</v>
      </c>
      <c r="AG828">
        <v>4</v>
      </c>
      <c r="AH828">
        <v>0</v>
      </c>
      <c r="AI828">
        <v>0</v>
      </c>
      <c r="AJ828">
        <v>0</v>
      </c>
      <c r="AK828">
        <v>1.3952800000000001</v>
      </c>
      <c r="AL828">
        <v>3</v>
      </c>
      <c r="AM828">
        <v>0</v>
      </c>
      <c r="AN828">
        <v>1975</v>
      </c>
      <c r="AO828">
        <v>11</v>
      </c>
      <c r="AP828">
        <v>0</v>
      </c>
      <c r="AQ828">
        <v>0</v>
      </c>
    </row>
    <row r="829" spans="1:43" x14ac:dyDescent="0.25">
      <c r="A829">
        <v>826</v>
      </c>
      <c r="B829">
        <v>17</v>
      </c>
      <c r="C829">
        <v>17</v>
      </c>
      <c r="D829">
        <v>4</v>
      </c>
      <c r="E829">
        <v>1711</v>
      </c>
      <c r="F829">
        <v>5152</v>
      </c>
      <c r="G829">
        <v>5161</v>
      </c>
      <c r="H829">
        <v>2380</v>
      </c>
      <c r="I829">
        <v>587</v>
      </c>
      <c r="J829">
        <v>1174</v>
      </c>
      <c r="K829">
        <v>479</v>
      </c>
      <c r="L829">
        <v>531</v>
      </c>
      <c r="M829">
        <v>507</v>
      </c>
      <c r="N829">
        <v>195</v>
      </c>
      <c r="O829">
        <v>222</v>
      </c>
      <c r="P829">
        <v>108.33198</v>
      </c>
      <c r="Q829">
        <v>95</v>
      </c>
      <c r="R829">
        <v>9.7240723000000001E-2</v>
      </c>
      <c r="S829">
        <v>725</v>
      </c>
      <c r="T829">
        <v>372</v>
      </c>
      <c r="U829">
        <v>1094</v>
      </c>
      <c r="V829">
        <v>2094</v>
      </c>
      <c r="W829">
        <v>1081</v>
      </c>
      <c r="X829">
        <v>454</v>
      </c>
      <c r="Y829">
        <v>135</v>
      </c>
      <c r="Z829">
        <v>65</v>
      </c>
      <c r="AA829">
        <v>277</v>
      </c>
      <c r="AB829">
        <v>0</v>
      </c>
      <c r="AC829">
        <v>93</v>
      </c>
      <c r="AD829">
        <v>155</v>
      </c>
      <c r="AE829">
        <v>0</v>
      </c>
      <c r="AF829">
        <v>0</v>
      </c>
      <c r="AG829">
        <v>4</v>
      </c>
      <c r="AH829">
        <v>0</v>
      </c>
      <c r="AI829">
        <v>0</v>
      </c>
      <c r="AJ829">
        <v>0</v>
      </c>
      <c r="AK829">
        <v>1.5354099999999999</v>
      </c>
      <c r="AL829">
        <v>3</v>
      </c>
      <c r="AM829">
        <v>0</v>
      </c>
      <c r="AN829">
        <v>1711</v>
      </c>
      <c r="AO829">
        <v>9</v>
      </c>
      <c r="AP829">
        <v>0</v>
      </c>
      <c r="AQ829">
        <v>0</v>
      </c>
    </row>
    <row r="830" spans="1:43" x14ac:dyDescent="0.25">
      <c r="A830">
        <v>827</v>
      </c>
      <c r="B830">
        <v>17</v>
      </c>
      <c r="C830">
        <v>17</v>
      </c>
      <c r="D830">
        <v>4</v>
      </c>
      <c r="E830">
        <v>1409</v>
      </c>
      <c r="F830">
        <v>4113</v>
      </c>
      <c r="G830">
        <v>4118</v>
      </c>
      <c r="H830">
        <v>2301</v>
      </c>
      <c r="I830">
        <v>819</v>
      </c>
      <c r="J830">
        <v>555</v>
      </c>
      <c r="K830">
        <v>227</v>
      </c>
      <c r="L830">
        <v>464</v>
      </c>
      <c r="M830">
        <v>351</v>
      </c>
      <c r="N830">
        <v>343</v>
      </c>
      <c r="O830">
        <v>251</v>
      </c>
      <c r="P830">
        <v>133</v>
      </c>
      <c r="Q830">
        <v>68</v>
      </c>
      <c r="R830">
        <v>0.13198944100000001</v>
      </c>
      <c r="S830">
        <v>1843</v>
      </c>
      <c r="T830">
        <v>155</v>
      </c>
      <c r="U830">
        <v>593</v>
      </c>
      <c r="V830">
        <v>1704</v>
      </c>
      <c r="W830">
        <v>1167</v>
      </c>
      <c r="X830">
        <v>441</v>
      </c>
      <c r="Y830">
        <v>165</v>
      </c>
      <c r="Z830">
        <v>92</v>
      </c>
      <c r="AA830">
        <v>1151</v>
      </c>
      <c r="AB830">
        <v>0</v>
      </c>
      <c r="AC830">
        <v>22</v>
      </c>
      <c r="AD830">
        <v>413</v>
      </c>
      <c r="AE830">
        <v>0</v>
      </c>
      <c r="AF830">
        <v>0</v>
      </c>
      <c r="AG830">
        <v>3</v>
      </c>
      <c r="AH830">
        <v>0</v>
      </c>
      <c r="AI830">
        <v>0</v>
      </c>
      <c r="AJ830">
        <v>0</v>
      </c>
      <c r="AK830">
        <v>2.08142</v>
      </c>
      <c r="AL830">
        <v>3</v>
      </c>
      <c r="AM830">
        <v>0</v>
      </c>
      <c r="AN830">
        <v>1409</v>
      </c>
      <c r="AO830">
        <v>5</v>
      </c>
      <c r="AP830">
        <v>0</v>
      </c>
      <c r="AQ830">
        <v>0</v>
      </c>
    </row>
    <row r="831" spans="1:43" x14ac:dyDescent="0.25">
      <c r="A831">
        <v>828</v>
      </c>
      <c r="B831">
        <v>17</v>
      </c>
      <c r="C831">
        <v>17</v>
      </c>
      <c r="D831">
        <v>4</v>
      </c>
      <c r="E831">
        <v>3286</v>
      </c>
      <c r="F831">
        <v>9062</v>
      </c>
      <c r="G831">
        <v>9074</v>
      </c>
      <c r="H831">
        <v>4476</v>
      </c>
      <c r="I831">
        <v>2319</v>
      </c>
      <c r="J831">
        <v>860</v>
      </c>
      <c r="K831">
        <v>622</v>
      </c>
      <c r="L831">
        <v>978</v>
      </c>
      <c r="M831">
        <v>750</v>
      </c>
      <c r="N831">
        <v>964</v>
      </c>
      <c r="O831">
        <v>441</v>
      </c>
      <c r="P831">
        <v>260.06458329999998</v>
      </c>
      <c r="Q831">
        <v>198</v>
      </c>
      <c r="R831">
        <v>0.121379161</v>
      </c>
      <c r="S831">
        <v>1944</v>
      </c>
      <c r="T831">
        <v>639</v>
      </c>
      <c r="U831">
        <v>1516</v>
      </c>
      <c r="V831">
        <v>3854</v>
      </c>
      <c r="W831">
        <v>2041</v>
      </c>
      <c r="X831">
        <v>903</v>
      </c>
      <c r="Y831">
        <v>425</v>
      </c>
      <c r="Z831">
        <v>281</v>
      </c>
      <c r="AA831">
        <v>777</v>
      </c>
      <c r="AB831">
        <v>1</v>
      </c>
      <c r="AC831">
        <v>53</v>
      </c>
      <c r="AD831">
        <v>407</v>
      </c>
      <c r="AE831">
        <v>0</v>
      </c>
      <c r="AF831">
        <v>0</v>
      </c>
      <c r="AG831">
        <v>4</v>
      </c>
      <c r="AH831">
        <v>76</v>
      </c>
      <c r="AI831">
        <v>0</v>
      </c>
      <c r="AJ831">
        <v>0</v>
      </c>
      <c r="AK831">
        <v>1.34954</v>
      </c>
      <c r="AL831">
        <v>3</v>
      </c>
      <c r="AM831">
        <v>0</v>
      </c>
      <c r="AN831">
        <v>3286</v>
      </c>
      <c r="AO831">
        <v>12</v>
      </c>
      <c r="AP831">
        <v>0</v>
      </c>
      <c r="AQ831">
        <v>0</v>
      </c>
    </row>
    <row r="832" spans="1:43" x14ac:dyDescent="0.25">
      <c r="A832">
        <v>829</v>
      </c>
      <c r="B832">
        <v>17</v>
      </c>
      <c r="C832">
        <v>17</v>
      </c>
      <c r="D832">
        <v>4</v>
      </c>
      <c r="E832">
        <v>1211</v>
      </c>
      <c r="F832">
        <v>3269</v>
      </c>
      <c r="G832">
        <v>3277</v>
      </c>
      <c r="H832">
        <v>1557</v>
      </c>
      <c r="I832">
        <v>998</v>
      </c>
      <c r="J832">
        <v>259</v>
      </c>
      <c r="K832">
        <v>353</v>
      </c>
      <c r="L832">
        <v>289</v>
      </c>
      <c r="M832">
        <v>339</v>
      </c>
      <c r="N832">
        <v>229</v>
      </c>
      <c r="O832">
        <v>195</v>
      </c>
      <c r="P832">
        <v>159.01799149999999</v>
      </c>
      <c r="Q832">
        <v>24</v>
      </c>
      <c r="R832">
        <v>0.14517078899999999</v>
      </c>
      <c r="S832">
        <v>797</v>
      </c>
      <c r="T832">
        <v>201</v>
      </c>
      <c r="U832">
        <v>724</v>
      </c>
      <c r="V832">
        <v>1308</v>
      </c>
      <c r="W832">
        <v>708</v>
      </c>
      <c r="X832">
        <v>336</v>
      </c>
      <c r="Y832">
        <v>9</v>
      </c>
      <c r="Z832">
        <v>77</v>
      </c>
      <c r="AA832">
        <v>376</v>
      </c>
      <c r="AB832">
        <v>1</v>
      </c>
      <c r="AC832">
        <v>36</v>
      </c>
      <c r="AD832">
        <v>298</v>
      </c>
      <c r="AE832">
        <v>0</v>
      </c>
      <c r="AF832">
        <v>0</v>
      </c>
      <c r="AG832">
        <v>2</v>
      </c>
      <c r="AH832">
        <v>243</v>
      </c>
      <c r="AI832">
        <v>0</v>
      </c>
      <c r="AJ832">
        <v>0</v>
      </c>
      <c r="AK832">
        <v>1.5525</v>
      </c>
      <c r="AL832">
        <v>3</v>
      </c>
      <c r="AM832">
        <v>0</v>
      </c>
      <c r="AN832">
        <v>1211</v>
      </c>
      <c r="AO832">
        <v>8</v>
      </c>
      <c r="AP832">
        <v>0</v>
      </c>
      <c r="AQ832">
        <v>0</v>
      </c>
    </row>
    <row r="833" spans="1:43" x14ac:dyDescent="0.25">
      <c r="A833">
        <v>830</v>
      </c>
      <c r="B833">
        <v>17</v>
      </c>
      <c r="C833">
        <v>17</v>
      </c>
      <c r="D833">
        <v>4</v>
      </c>
      <c r="E833">
        <v>1937</v>
      </c>
      <c r="F833">
        <v>5881</v>
      </c>
      <c r="G833">
        <v>5881</v>
      </c>
      <c r="H833">
        <v>2935</v>
      </c>
      <c r="I833">
        <v>1330</v>
      </c>
      <c r="J833">
        <v>554</v>
      </c>
      <c r="K833">
        <v>707</v>
      </c>
      <c r="L833">
        <v>394</v>
      </c>
      <c r="M833">
        <v>513</v>
      </c>
      <c r="N833">
        <v>326</v>
      </c>
      <c r="O833">
        <v>290</v>
      </c>
      <c r="P833">
        <v>188</v>
      </c>
      <c r="Q833">
        <v>98.360253499999999</v>
      </c>
      <c r="R833">
        <v>0.12900202999999999</v>
      </c>
      <c r="S833">
        <v>500</v>
      </c>
      <c r="T833">
        <v>382</v>
      </c>
      <c r="U833">
        <v>1534</v>
      </c>
      <c r="V833">
        <v>2157</v>
      </c>
      <c r="W833">
        <v>1519</v>
      </c>
      <c r="X833">
        <v>618</v>
      </c>
      <c r="Y833">
        <v>160</v>
      </c>
      <c r="Z833">
        <v>9</v>
      </c>
      <c r="AA833">
        <v>290</v>
      </c>
      <c r="AB833">
        <v>0</v>
      </c>
      <c r="AC833">
        <v>7</v>
      </c>
      <c r="AD833">
        <v>34</v>
      </c>
      <c r="AE833">
        <v>0</v>
      </c>
      <c r="AF833">
        <v>0</v>
      </c>
      <c r="AG833">
        <v>4</v>
      </c>
      <c r="AH833">
        <v>0</v>
      </c>
      <c r="AI833">
        <v>0</v>
      </c>
      <c r="AJ833">
        <v>0</v>
      </c>
      <c r="AK833">
        <v>1.3960999999999999</v>
      </c>
      <c r="AL833">
        <v>3</v>
      </c>
      <c r="AM833">
        <v>0</v>
      </c>
      <c r="AN833">
        <v>1937</v>
      </c>
      <c r="AO833">
        <v>0</v>
      </c>
      <c r="AP833">
        <v>0</v>
      </c>
      <c r="AQ833">
        <v>0</v>
      </c>
    </row>
    <row r="834" spans="1:43" x14ac:dyDescent="0.25">
      <c r="A834">
        <v>831</v>
      </c>
      <c r="B834">
        <v>17</v>
      </c>
      <c r="C834">
        <v>17</v>
      </c>
      <c r="D834">
        <v>4</v>
      </c>
      <c r="E834">
        <v>1328</v>
      </c>
      <c r="F834">
        <v>4013</v>
      </c>
      <c r="G834">
        <v>4046</v>
      </c>
      <c r="H834">
        <v>1886</v>
      </c>
      <c r="I834">
        <v>675</v>
      </c>
      <c r="J834">
        <v>597</v>
      </c>
      <c r="K834">
        <v>425</v>
      </c>
      <c r="L834">
        <v>484</v>
      </c>
      <c r="M834">
        <v>271</v>
      </c>
      <c r="N834">
        <v>153</v>
      </c>
      <c r="O834">
        <v>157</v>
      </c>
      <c r="P834">
        <v>88</v>
      </c>
      <c r="Q834">
        <v>65.415291609999997</v>
      </c>
      <c r="R834">
        <v>0.16763565899999999</v>
      </c>
      <c r="S834">
        <v>524</v>
      </c>
      <c r="T834">
        <v>341</v>
      </c>
      <c r="U834">
        <v>545</v>
      </c>
      <c r="V834">
        <v>1695</v>
      </c>
      <c r="W834">
        <v>849</v>
      </c>
      <c r="X834">
        <v>588</v>
      </c>
      <c r="Y834">
        <v>50</v>
      </c>
      <c r="Z834">
        <v>20</v>
      </c>
      <c r="AA834">
        <v>405</v>
      </c>
      <c r="AB834">
        <v>0</v>
      </c>
      <c r="AC834">
        <v>39</v>
      </c>
      <c r="AD834">
        <v>10</v>
      </c>
      <c r="AE834">
        <v>0</v>
      </c>
      <c r="AF834">
        <v>0</v>
      </c>
      <c r="AG834">
        <v>4</v>
      </c>
      <c r="AH834">
        <v>107</v>
      </c>
      <c r="AI834">
        <v>0</v>
      </c>
      <c r="AJ834">
        <v>0</v>
      </c>
      <c r="AK834">
        <v>1.53668</v>
      </c>
      <c r="AL834">
        <v>3</v>
      </c>
      <c r="AM834">
        <v>0</v>
      </c>
      <c r="AN834">
        <v>1328</v>
      </c>
      <c r="AO834">
        <v>33</v>
      </c>
      <c r="AP834">
        <v>0</v>
      </c>
      <c r="AQ834">
        <v>0</v>
      </c>
    </row>
    <row r="835" spans="1:43" x14ac:dyDescent="0.25">
      <c r="A835">
        <v>832</v>
      </c>
      <c r="B835">
        <v>17</v>
      </c>
      <c r="C835">
        <v>17</v>
      </c>
      <c r="D835">
        <v>4</v>
      </c>
      <c r="E835">
        <v>1777</v>
      </c>
      <c r="F835">
        <v>5155</v>
      </c>
      <c r="G835">
        <v>5155</v>
      </c>
      <c r="H835">
        <v>2753</v>
      </c>
      <c r="I835">
        <v>1294</v>
      </c>
      <c r="J835">
        <v>453</v>
      </c>
      <c r="K835">
        <v>505</v>
      </c>
      <c r="L835">
        <v>440</v>
      </c>
      <c r="M835">
        <v>311</v>
      </c>
      <c r="N835">
        <v>518</v>
      </c>
      <c r="O835">
        <v>302</v>
      </c>
      <c r="P835">
        <v>222</v>
      </c>
      <c r="Q835">
        <v>74.473582539999995</v>
      </c>
      <c r="R835">
        <v>0.21705292300000001</v>
      </c>
      <c r="S835">
        <v>630</v>
      </c>
      <c r="T835">
        <v>361</v>
      </c>
      <c r="U835">
        <v>974</v>
      </c>
      <c r="V835">
        <v>1757</v>
      </c>
      <c r="W835">
        <v>1565</v>
      </c>
      <c r="X835">
        <v>963</v>
      </c>
      <c r="Y835">
        <v>36</v>
      </c>
      <c r="Z835">
        <v>64</v>
      </c>
      <c r="AA835">
        <v>484</v>
      </c>
      <c r="AB835">
        <v>0</v>
      </c>
      <c r="AC835">
        <v>20</v>
      </c>
      <c r="AD835">
        <v>26</v>
      </c>
      <c r="AE835">
        <v>0</v>
      </c>
      <c r="AF835">
        <v>0</v>
      </c>
      <c r="AG835">
        <v>4</v>
      </c>
      <c r="AH835">
        <v>0</v>
      </c>
      <c r="AI835">
        <v>0</v>
      </c>
      <c r="AJ835">
        <v>0</v>
      </c>
      <c r="AK835">
        <v>1.3561700000000001</v>
      </c>
      <c r="AL835">
        <v>3</v>
      </c>
      <c r="AM835">
        <v>0</v>
      </c>
      <c r="AN835">
        <v>1777</v>
      </c>
      <c r="AO835">
        <v>0</v>
      </c>
      <c r="AP835">
        <v>0</v>
      </c>
      <c r="AQ835">
        <v>0</v>
      </c>
    </row>
    <row r="836" spans="1:43" x14ac:dyDescent="0.25">
      <c r="A836">
        <v>833</v>
      </c>
      <c r="B836">
        <v>17</v>
      </c>
      <c r="C836">
        <v>17</v>
      </c>
      <c r="D836">
        <v>4</v>
      </c>
      <c r="E836">
        <v>1471</v>
      </c>
      <c r="F836">
        <v>4448</v>
      </c>
      <c r="G836">
        <v>4463</v>
      </c>
      <c r="H836">
        <v>2335</v>
      </c>
      <c r="I836">
        <v>1366</v>
      </c>
      <c r="J836">
        <v>11</v>
      </c>
      <c r="K836">
        <v>321</v>
      </c>
      <c r="L836">
        <v>364</v>
      </c>
      <c r="M836">
        <v>435</v>
      </c>
      <c r="N836">
        <v>352</v>
      </c>
      <c r="O836">
        <v>317</v>
      </c>
      <c r="P836">
        <v>260.02508390000003</v>
      </c>
      <c r="Q836">
        <v>25</v>
      </c>
      <c r="R836">
        <v>0.17813844300000001</v>
      </c>
      <c r="S836">
        <v>189</v>
      </c>
      <c r="T836">
        <v>463</v>
      </c>
      <c r="U836">
        <v>619</v>
      </c>
      <c r="V836">
        <v>1766</v>
      </c>
      <c r="W836">
        <v>1363</v>
      </c>
      <c r="X836">
        <v>741</v>
      </c>
      <c r="Y836">
        <v>2</v>
      </c>
      <c r="Z836">
        <v>20</v>
      </c>
      <c r="AA836">
        <v>146</v>
      </c>
      <c r="AB836">
        <v>0</v>
      </c>
      <c r="AC836">
        <v>7</v>
      </c>
      <c r="AD836">
        <v>14</v>
      </c>
      <c r="AE836">
        <v>0</v>
      </c>
      <c r="AF836">
        <v>0</v>
      </c>
      <c r="AG836">
        <v>4</v>
      </c>
      <c r="AH836">
        <v>218</v>
      </c>
      <c r="AI836">
        <v>0</v>
      </c>
      <c r="AJ836">
        <v>0</v>
      </c>
      <c r="AK836">
        <v>1.2078599999999999</v>
      </c>
      <c r="AL836">
        <v>3</v>
      </c>
      <c r="AM836">
        <v>0</v>
      </c>
      <c r="AN836">
        <v>1471</v>
      </c>
      <c r="AO836">
        <v>15</v>
      </c>
      <c r="AP836">
        <v>0</v>
      </c>
      <c r="AQ836">
        <v>0</v>
      </c>
    </row>
    <row r="837" spans="1:43" x14ac:dyDescent="0.25">
      <c r="A837">
        <v>834</v>
      </c>
      <c r="B837">
        <v>17</v>
      </c>
      <c r="C837">
        <v>17</v>
      </c>
      <c r="D837">
        <v>4</v>
      </c>
      <c r="E837">
        <v>1578</v>
      </c>
      <c r="F837">
        <v>4732</v>
      </c>
      <c r="G837">
        <v>4744</v>
      </c>
      <c r="H837">
        <v>2526</v>
      </c>
      <c r="I837">
        <v>1554</v>
      </c>
      <c r="J837">
        <v>22</v>
      </c>
      <c r="K837">
        <v>268</v>
      </c>
      <c r="L837">
        <v>417</v>
      </c>
      <c r="M837">
        <v>492</v>
      </c>
      <c r="N837">
        <v>410</v>
      </c>
      <c r="O837">
        <v>589</v>
      </c>
      <c r="P837">
        <v>323.92245630000002</v>
      </c>
      <c r="Q837">
        <v>210</v>
      </c>
      <c r="R837">
        <v>0.199432892</v>
      </c>
      <c r="S837">
        <v>1256</v>
      </c>
      <c r="T837">
        <v>217</v>
      </c>
      <c r="U837">
        <v>716</v>
      </c>
      <c r="V837">
        <v>1755</v>
      </c>
      <c r="W837">
        <v>1665</v>
      </c>
      <c r="X837">
        <v>775</v>
      </c>
      <c r="Y837">
        <v>43</v>
      </c>
      <c r="Z837">
        <v>129</v>
      </c>
      <c r="AA837">
        <v>290</v>
      </c>
      <c r="AB837">
        <v>2</v>
      </c>
      <c r="AC837">
        <v>704</v>
      </c>
      <c r="AD837">
        <v>88</v>
      </c>
      <c r="AE837">
        <v>0</v>
      </c>
      <c r="AF837">
        <v>0</v>
      </c>
      <c r="AG837">
        <v>4</v>
      </c>
      <c r="AH837">
        <v>2161</v>
      </c>
      <c r="AI837">
        <v>0</v>
      </c>
      <c r="AJ837">
        <v>0</v>
      </c>
      <c r="AK837">
        <v>1.19899</v>
      </c>
      <c r="AL837">
        <v>3</v>
      </c>
      <c r="AM837">
        <v>0</v>
      </c>
      <c r="AN837">
        <v>1578</v>
      </c>
      <c r="AO837">
        <v>12</v>
      </c>
      <c r="AP837">
        <v>0</v>
      </c>
      <c r="AQ837">
        <v>0</v>
      </c>
    </row>
    <row r="838" spans="1:43" x14ac:dyDescent="0.25">
      <c r="A838">
        <v>835</v>
      </c>
      <c r="B838">
        <v>17</v>
      </c>
      <c r="C838">
        <v>17</v>
      </c>
      <c r="D838">
        <v>4</v>
      </c>
      <c r="E838">
        <v>1788</v>
      </c>
      <c r="F838">
        <v>5495</v>
      </c>
      <c r="G838">
        <v>5497</v>
      </c>
      <c r="H838">
        <v>2724</v>
      </c>
      <c r="I838">
        <v>1452</v>
      </c>
      <c r="J838">
        <v>227</v>
      </c>
      <c r="K838">
        <v>437</v>
      </c>
      <c r="L838">
        <v>494</v>
      </c>
      <c r="M838">
        <v>519</v>
      </c>
      <c r="N838">
        <v>342</v>
      </c>
      <c r="O838">
        <v>329</v>
      </c>
      <c r="P838">
        <v>241.4439501</v>
      </c>
      <c r="Q838">
        <v>90</v>
      </c>
      <c r="R838">
        <v>0.19729207000000001</v>
      </c>
      <c r="S838">
        <v>533</v>
      </c>
      <c r="T838">
        <v>125</v>
      </c>
      <c r="U838">
        <v>1239</v>
      </c>
      <c r="V838">
        <v>1685</v>
      </c>
      <c r="W838">
        <v>1711</v>
      </c>
      <c r="X838">
        <v>749</v>
      </c>
      <c r="Y838">
        <v>76</v>
      </c>
      <c r="Z838">
        <v>53</v>
      </c>
      <c r="AA838">
        <v>313</v>
      </c>
      <c r="AB838">
        <v>0</v>
      </c>
      <c r="AC838">
        <v>20</v>
      </c>
      <c r="AD838">
        <v>71</v>
      </c>
      <c r="AE838">
        <v>0</v>
      </c>
      <c r="AF838">
        <v>0</v>
      </c>
      <c r="AG838">
        <v>4</v>
      </c>
      <c r="AH838">
        <v>0</v>
      </c>
      <c r="AI838">
        <v>0</v>
      </c>
      <c r="AJ838">
        <v>0</v>
      </c>
      <c r="AK838">
        <v>1.3026599999999999</v>
      </c>
      <c r="AL838">
        <v>3</v>
      </c>
      <c r="AM838">
        <v>0</v>
      </c>
      <c r="AN838">
        <v>1788</v>
      </c>
      <c r="AO838">
        <v>2</v>
      </c>
      <c r="AP838">
        <v>0</v>
      </c>
      <c r="AQ838">
        <v>0</v>
      </c>
    </row>
    <row r="839" spans="1:43" x14ac:dyDescent="0.25">
      <c r="A839">
        <v>836</v>
      </c>
      <c r="B839">
        <v>17</v>
      </c>
      <c r="C839">
        <v>17</v>
      </c>
      <c r="D839">
        <v>4</v>
      </c>
      <c r="E839">
        <v>1529</v>
      </c>
      <c r="F839">
        <v>4379</v>
      </c>
      <c r="G839">
        <v>4391</v>
      </c>
      <c r="H839">
        <v>1974</v>
      </c>
      <c r="I839">
        <v>1223</v>
      </c>
      <c r="J839">
        <v>252</v>
      </c>
      <c r="K839">
        <v>263</v>
      </c>
      <c r="L839">
        <v>580</v>
      </c>
      <c r="M839">
        <v>406</v>
      </c>
      <c r="N839">
        <v>297</v>
      </c>
      <c r="O839">
        <v>322</v>
      </c>
      <c r="P839">
        <v>279</v>
      </c>
      <c r="Q839">
        <v>43</v>
      </c>
      <c r="R839">
        <v>0.25627723600000002</v>
      </c>
      <c r="S839">
        <v>712</v>
      </c>
      <c r="T839">
        <v>144</v>
      </c>
      <c r="U839">
        <v>644</v>
      </c>
      <c r="V839">
        <v>1388</v>
      </c>
      <c r="W839">
        <v>1554</v>
      </c>
      <c r="X839">
        <v>921</v>
      </c>
      <c r="Y839">
        <v>373</v>
      </c>
      <c r="Z839">
        <v>45</v>
      </c>
      <c r="AA839">
        <v>125</v>
      </c>
      <c r="AB839">
        <v>1</v>
      </c>
      <c r="AC839">
        <v>75</v>
      </c>
      <c r="AD839">
        <v>93</v>
      </c>
      <c r="AE839">
        <v>0</v>
      </c>
      <c r="AF839">
        <v>0</v>
      </c>
      <c r="AG839">
        <v>4</v>
      </c>
      <c r="AH839">
        <v>0</v>
      </c>
      <c r="AI839">
        <v>0</v>
      </c>
      <c r="AJ839">
        <v>0</v>
      </c>
      <c r="AK839">
        <v>1.2186300000000001</v>
      </c>
      <c r="AL839">
        <v>3</v>
      </c>
      <c r="AM839">
        <v>0</v>
      </c>
      <c r="AN839">
        <v>1529</v>
      </c>
      <c r="AO839">
        <v>12</v>
      </c>
      <c r="AP839">
        <v>0</v>
      </c>
      <c r="AQ839">
        <v>0</v>
      </c>
    </row>
    <row r="840" spans="1:43" x14ac:dyDescent="0.25">
      <c r="A840">
        <v>837</v>
      </c>
      <c r="B840">
        <v>17</v>
      </c>
      <c r="C840">
        <v>17</v>
      </c>
      <c r="D840">
        <v>4</v>
      </c>
      <c r="E840">
        <v>3241</v>
      </c>
      <c r="F840">
        <v>9308</v>
      </c>
      <c r="G840">
        <v>9399</v>
      </c>
      <c r="H840">
        <v>4425</v>
      </c>
      <c r="I840">
        <v>2262</v>
      </c>
      <c r="J840">
        <v>940</v>
      </c>
      <c r="K840">
        <v>881</v>
      </c>
      <c r="L840">
        <v>1353</v>
      </c>
      <c r="M840">
        <v>699</v>
      </c>
      <c r="N840">
        <v>322</v>
      </c>
      <c r="O840">
        <v>468</v>
      </c>
      <c r="P840">
        <v>394</v>
      </c>
      <c r="Q840">
        <v>56.167039180000003</v>
      </c>
      <c r="R840">
        <v>0.15327204899999999</v>
      </c>
      <c r="S840">
        <v>930</v>
      </c>
      <c r="T840">
        <v>523</v>
      </c>
      <c r="U840">
        <v>2197</v>
      </c>
      <c r="V840">
        <v>3871</v>
      </c>
      <c r="W840">
        <v>2727</v>
      </c>
      <c r="X840">
        <v>1331</v>
      </c>
      <c r="Y840">
        <v>33</v>
      </c>
      <c r="Z840">
        <v>63</v>
      </c>
      <c r="AA840">
        <v>500</v>
      </c>
      <c r="AB840">
        <v>0</v>
      </c>
      <c r="AC840">
        <v>11</v>
      </c>
      <c r="AD840">
        <v>323</v>
      </c>
      <c r="AE840">
        <v>0</v>
      </c>
      <c r="AF840">
        <v>0</v>
      </c>
      <c r="AG840">
        <v>4</v>
      </c>
      <c r="AH840">
        <v>0</v>
      </c>
      <c r="AI840">
        <v>0</v>
      </c>
      <c r="AJ840">
        <v>0</v>
      </c>
      <c r="AK840">
        <v>1.3984099999999999</v>
      </c>
      <c r="AL840">
        <v>3</v>
      </c>
      <c r="AM840">
        <v>0</v>
      </c>
      <c r="AN840">
        <v>3241</v>
      </c>
      <c r="AO840">
        <v>91</v>
      </c>
      <c r="AP840">
        <v>0</v>
      </c>
      <c r="AQ840">
        <v>0</v>
      </c>
    </row>
    <row r="841" spans="1:43" x14ac:dyDescent="0.25">
      <c r="A841">
        <v>838</v>
      </c>
      <c r="B841">
        <v>17</v>
      </c>
      <c r="C841">
        <v>17</v>
      </c>
      <c r="D841">
        <v>4</v>
      </c>
      <c r="E841">
        <v>1464</v>
      </c>
      <c r="F841">
        <v>3728</v>
      </c>
      <c r="G841">
        <v>3751</v>
      </c>
      <c r="H841">
        <v>1861</v>
      </c>
      <c r="I841">
        <v>774</v>
      </c>
      <c r="J841">
        <v>619</v>
      </c>
      <c r="K841">
        <v>549</v>
      </c>
      <c r="L841">
        <v>413</v>
      </c>
      <c r="M841">
        <v>299</v>
      </c>
      <c r="N841">
        <v>203</v>
      </c>
      <c r="O841">
        <v>252</v>
      </c>
      <c r="P841">
        <v>200</v>
      </c>
      <c r="Q841">
        <v>53.398164770000001</v>
      </c>
      <c r="R841">
        <v>0.153383097</v>
      </c>
      <c r="S841">
        <v>858</v>
      </c>
      <c r="T841">
        <v>133</v>
      </c>
      <c r="U841">
        <v>875</v>
      </c>
      <c r="V841">
        <v>1330</v>
      </c>
      <c r="W841">
        <v>1150</v>
      </c>
      <c r="X841">
        <v>516</v>
      </c>
      <c r="Y841">
        <v>177</v>
      </c>
      <c r="Z841">
        <v>115</v>
      </c>
      <c r="AA841">
        <v>517</v>
      </c>
      <c r="AB841">
        <v>1</v>
      </c>
      <c r="AC841">
        <v>13</v>
      </c>
      <c r="AD841">
        <v>35</v>
      </c>
      <c r="AE841">
        <v>0</v>
      </c>
      <c r="AF841">
        <v>0</v>
      </c>
      <c r="AG841">
        <v>4</v>
      </c>
      <c r="AH841">
        <v>0</v>
      </c>
      <c r="AI841">
        <v>0</v>
      </c>
      <c r="AJ841">
        <v>0</v>
      </c>
      <c r="AK841">
        <v>1.3584799999999999</v>
      </c>
      <c r="AL841">
        <v>2</v>
      </c>
      <c r="AM841">
        <v>0</v>
      </c>
      <c r="AN841">
        <v>1464</v>
      </c>
      <c r="AO841">
        <v>23</v>
      </c>
      <c r="AP841">
        <v>0</v>
      </c>
      <c r="AQ841">
        <v>0</v>
      </c>
    </row>
    <row r="842" spans="1:43" x14ac:dyDescent="0.25">
      <c r="A842">
        <v>839</v>
      </c>
      <c r="B842">
        <v>17</v>
      </c>
      <c r="C842">
        <v>17</v>
      </c>
      <c r="D842">
        <v>4</v>
      </c>
      <c r="E842">
        <v>1996</v>
      </c>
      <c r="F842">
        <v>4495</v>
      </c>
      <c r="G842">
        <v>4545</v>
      </c>
      <c r="H842">
        <v>2405</v>
      </c>
      <c r="I842">
        <v>957</v>
      </c>
      <c r="J842">
        <v>1265</v>
      </c>
      <c r="K842">
        <v>655</v>
      </c>
      <c r="L842">
        <v>576</v>
      </c>
      <c r="M842">
        <v>411</v>
      </c>
      <c r="N842">
        <v>351</v>
      </c>
      <c r="O842">
        <v>330</v>
      </c>
      <c r="P842">
        <v>153.53255999999999</v>
      </c>
      <c r="Q842">
        <v>178.5637308</v>
      </c>
      <c r="R842">
        <v>0.14936608600000001</v>
      </c>
      <c r="S842">
        <v>3047</v>
      </c>
      <c r="T842">
        <v>352</v>
      </c>
      <c r="U842">
        <v>730</v>
      </c>
      <c r="V842">
        <v>2017</v>
      </c>
      <c r="W842">
        <v>1190</v>
      </c>
      <c r="X842">
        <v>611</v>
      </c>
      <c r="Y842">
        <v>313</v>
      </c>
      <c r="Z842">
        <v>441</v>
      </c>
      <c r="AA842">
        <v>1678</v>
      </c>
      <c r="AB842">
        <v>3</v>
      </c>
      <c r="AC842">
        <v>98</v>
      </c>
      <c r="AD842">
        <v>514</v>
      </c>
      <c r="AE842">
        <v>0</v>
      </c>
      <c r="AF842">
        <v>49.449954380000001</v>
      </c>
      <c r="AG842">
        <v>3</v>
      </c>
      <c r="AH842">
        <v>40</v>
      </c>
      <c r="AI842">
        <v>0</v>
      </c>
      <c r="AJ842">
        <v>0</v>
      </c>
      <c r="AK842">
        <v>1.84663</v>
      </c>
      <c r="AL842">
        <v>2</v>
      </c>
      <c r="AM842">
        <v>0</v>
      </c>
      <c r="AN842">
        <v>1996</v>
      </c>
      <c r="AO842">
        <v>50</v>
      </c>
      <c r="AP842">
        <v>0</v>
      </c>
      <c r="AQ842">
        <v>0</v>
      </c>
    </row>
    <row r="843" spans="1:43" x14ac:dyDescent="0.25">
      <c r="A843">
        <v>840</v>
      </c>
      <c r="B843">
        <v>17</v>
      </c>
      <c r="C843">
        <v>17</v>
      </c>
      <c r="D843">
        <v>4</v>
      </c>
      <c r="E843">
        <v>2539</v>
      </c>
      <c r="F843">
        <v>5349</v>
      </c>
      <c r="G843">
        <v>5358</v>
      </c>
      <c r="H843">
        <v>2690</v>
      </c>
      <c r="I843">
        <v>1077</v>
      </c>
      <c r="J843">
        <v>1396</v>
      </c>
      <c r="K843">
        <v>532</v>
      </c>
      <c r="L843">
        <v>825</v>
      </c>
      <c r="M843">
        <v>713</v>
      </c>
      <c r="N843">
        <v>466</v>
      </c>
      <c r="O843">
        <v>503</v>
      </c>
      <c r="P843">
        <v>377.15799750000002</v>
      </c>
      <c r="Q843">
        <v>117.7105243</v>
      </c>
      <c r="R843">
        <v>0.24269508400000001</v>
      </c>
      <c r="S843">
        <v>1206</v>
      </c>
      <c r="T843">
        <v>157</v>
      </c>
      <c r="U843">
        <v>850</v>
      </c>
      <c r="V843">
        <v>2191</v>
      </c>
      <c r="W843">
        <v>1301</v>
      </c>
      <c r="X843">
        <v>1168</v>
      </c>
      <c r="Y843">
        <v>238</v>
      </c>
      <c r="Z843">
        <v>173</v>
      </c>
      <c r="AA843">
        <v>616</v>
      </c>
      <c r="AB843">
        <v>2</v>
      </c>
      <c r="AC843">
        <v>57</v>
      </c>
      <c r="AD843">
        <v>120</v>
      </c>
      <c r="AE843">
        <v>0</v>
      </c>
      <c r="AF843">
        <v>0</v>
      </c>
      <c r="AG843">
        <v>4</v>
      </c>
      <c r="AH843">
        <v>16</v>
      </c>
      <c r="AI843">
        <v>0</v>
      </c>
      <c r="AJ843">
        <v>0</v>
      </c>
      <c r="AK843">
        <v>1.2204699999999999</v>
      </c>
      <c r="AL843">
        <v>1</v>
      </c>
      <c r="AM843">
        <v>0</v>
      </c>
      <c r="AN843">
        <v>2539</v>
      </c>
      <c r="AO843">
        <v>9</v>
      </c>
      <c r="AP843">
        <v>0</v>
      </c>
      <c r="AQ843">
        <v>0</v>
      </c>
    </row>
    <row r="844" spans="1:43" x14ac:dyDescent="0.25">
      <c r="A844">
        <v>841</v>
      </c>
      <c r="B844">
        <v>17</v>
      </c>
      <c r="C844">
        <v>17</v>
      </c>
      <c r="D844">
        <v>4</v>
      </c>
      <c r="E844">
        <v>1770</v>
      </c>
      <c r="F844">
        <v>4323</v>
      </c>
      <c r="G844">
        <v>4323</v>
      </c>
      <c r="H844">
        <v>2600</v>
      </c>
      <c r="I844">
        <v>1156</v>
      </c>
      <c r="J844">
        <v>608</v>
      </c>
      <c r="K844">
        <v>489</v>
      </c>
      <c r="L844">
        <v>537</v>
      </c>
      <c r="M844">
        <v>453</v>
      </c>
      <c r="N844">
        <v>286</v>
      </c>
      <c r="O844">
        <v>313</v>
      </c>
      <c r="P844">
        <v>299.1429344</v>
      </c>
      <c r="Q844">
        <v>12</v>
      </c>
      <c r="R844">
        <v>0.241486068</v>
      </c>
      <c r="S844">
        <v>738</v>
      </c>
      <c r="T844">
        <v>173</v>
      </c>
      <c r="U844">
        <v>590</v>
      </c>
      <c r="V844">
        <v>1590</v>
      </c>
      <c r="W844">
        <v>1446</v>
      </c>
      <c r="X844">
        <v>890</v>
      </c>
      <c r="Y844">
        <v>35</v>
      </c>
      <c r="Z844">
        <v>81</v>
      </c>
      <c r="AA844">
        <v>517</v>
      </c>
      <c r="AB844">
        <v>1</v>
      </c>
      <c r="AC844">
        <v>33</v>
      </c>
      <c r="AD844">
        <v>71</v>
      </c>
      <c r="AE844">
        <v>0</v>
      </c>
      <c r="AF844">
        <v>0</v>
      </c>
      <c r="AG844">
        <v>4</v>
      </c>
      <c r="AH844">
        <v>0</v>
      </c>
      <c r="AI844">
        <v>0</v>
      </c>
      <c r="AJ844">
        <v>0</v>
      </c>
      <c r="AK844">
        <v>1.27254</v>
      </c>
      <c r="AL844">
        <v>1</v>
      </c>
      <c r="AM844">
        <v>0</v>
      </c>
      <c r="AN844">
        <v>1770</v>
      </c>
      <c r="AO844">
        <v>0</v>
      </c>
      <c r="AP844">
        <v>0</v>
      </c>
      <c r="AQ844">
        <v>0</v>
      </c>
    </row>
    <row r="845" spans="1:43" x14ac:dyDescent="0.25">
      <c r="A845">
        <v>842</v>
      </c>
      <c r="B845">
        <v>17</v>
      </c>
      <c r="C845">
        <v>17</v>
      </c>
      <c r="D845">
        <v>4</v>
      </c>
      <c r="E845">
        <v>1330</v>
      </c>
      <c r="F845">
        <v>3053</v>
      </c>
      <c r="G845">
        <v>3059</v>
      </c>
      <c r="H845">
        <v>2019</v>
      </c>
      <c r="I845">
        <v>488</v>
      </c>
      <c r="J845">
        <v>836</v>
      </c>
      <c r="K845">
        <v>346</v>
      </c>
      <c r="L845">
        <v>442</v>
      </c>
      <c r="M845">
        <v>402</v>
      </c>
      <c r="N845">
        <v>153</v>
      </c>
      <c r="O845">
        <v>230</v>
      </c>
      <c r="P845">
        <v>188</v>
      </c>
      <c r="Q845">
        <v>42</v>
      </c>
      <c r="R845">
        <v>0.112129545</v>
      </c>
      <c r="S845">
        <v>620</v>
      </c>
      <c r="T845">
        <v>171</v>
      </c>
      <c r="U845">
        <v>446</v>
      </c>
      <c r="V845">
        <v>1346</v>
      </c>
      <c r="W845">
        <v>877</v>
      </c>
      <c r="X845">
        <v>333</v>
      </c>
      <c r="Y845">
        <v>194</v>
      </c>
      <c r="Z845">
        <v>84</v>
      </c>
      <c r="AA845">
        <v>277</v>
      </c>
      <c r="AB845">
        <v>1</v>
      </c>
      <c r="AC845">
        <v>25</v>
      </c>
      <c r="AD845">
        <v>39</v>
      </c>
      <c r="AE845">
        <v>0</v>
      </c>
      <c r="AF845">
        <v>0</v>
      </c>
      <c r="AG845">
        <v>4</v>
      </c>
      <c r="AH845">
        <v>0</v>
      </c>
      <c r="AI845">
        <v>0</v>
      </c>
      <c r="AJ845">
        <v>0</v>
      </c>
      <c r="AK845">
        <v>1.2590600000000001</v>
      </c>
      <c r="AL845">
        <v>2</v>
      </c>
      <c r="AM845">
        <v>0</v>
      </c>
      <c r="AN845">
        <v>1330</v>
      </c>
      <c r="AO845">
        <v>6</v>
      </c>
      <c r="AP845">
        <v>0</v>
      </c>
      <c r="AQ845">
        <v>0</v>
      </c>
    </row>
    <row r="846" spans="1:43" x14ac:dyDescent="0.25">
      <c r="A846">
        <v>843</v>
      </c>
      <c r="B846">
        <v>17</v>
      </c>
      <c r="C846">
        <v>17</v>
      </c>
      <c r="D846">
        <v>4</v>
      </c>
      <c r="E846">
        <v>1488</v>
      </c>
      <c r="F846">
        <v>4108</v>
      </c>
      <c r="G846">
        <v>4124</v>
      </c>
      <c r="H846">
        <v>1957</v>
      </c>
      <c r="I846">
        <v>1402</v>
      </c>
      <c r="J846">
        <v>63</v>
      </c>
      <c r="K846">
        <v>191</v>
      </c>
      <c r="L846">
        <v>353</v>
      </c>
      <c r="M846">
        <v>533</v>
      </c>
      <c r="N846">
        <v>404</v>
      </c>
      <c r="O846">
        <v>558</v>
      </c>
      <c r="P846">
        <v>442</v>
      </c>
      <c r="Q846">
        <v>6</v>
      </c>
      <c r="R846">
        <v>0.28556057699999998</v>
      </c>
      <c r="S846">
        <v>340</v>
      </c>
      <c r="T846">
        <v>253</v>
      </c>
      <c r="U846">
        <v>614</v>
      </c>
      <c r="V846">
        <v>1235</v>
      </c>
      <c r="W846">
        <v>1311</v>
      </c>
      <c r="X846">
        <v>1090</v>
      </c>
      <c r="Y846">
        <v>15</v>
      </c>
      <c r="Z846">
        <v>58</v>
      </c>
      <c r="AA846">
        <v>235</v>
      </c>
      <c r="AB846">
        <v>0</v>
      </c>
      <c r="AC846">
        <v>15</v>
      </c>
      <c r="AD846">
        <v>17</v>
      </c>
      <c r="AE846">
        <v>0</v>
      </c>
      <c r="AF846">
        <v>0</v>
      </c>
      <c r="AG846">
        <v>4</v>
      </c>
      <c r="AH846">
        <v>0</v>
      </c>
      <c r="AI846">
        <v>0</v>
      </c>
      <c r="AJ846">
        <v>0</v>
      </c>
      <c r="AK846">
        <v>1.1070500000000001</v>
      </c>
      <c r="AL846">
        <v>1</v>
      </c>
      <c r="AM846">
        <v>0</v>
      </c>
      <c r="AN846">
        <v>1488</v>
      </c>
      <c r="AO846">
        <v>16</v>
      </c>
      <c r="AP846">
        <v>0</v>
      </c>
      <c r="AQ846">
        <v>0</v>
      </c>
    </row>
    <row r="847" spans="1:43" x14ac:dyDescent="0.25">
      <c r="A847">
        <v>844</v>
      </c>
      <c r="B847">
        <v>17</v>
      </c>
      <c r="C847">
        <v>17</v>
      </c>
      <c r="D847">
        <v>4</v>
      </c>
      <c r="E847">
        <v>3342</v>
      </c>
      <c r="F847">
        <v>9341</v>
      </c>
      <c r="G847">
        <v>9355</v>
      </c>
      <c r="H847">
        <v>4816</v>
      </c>
      <c r="I847">
        <v>3191</v>
      </c>
      <c r="J847">
        <v>42</v>
      </c>
      <c r="K847">
        <v>435</v>
      </c>
      <c r="L847">
        <v>377</v>
      </c>
      <c r="M847">
        <v>707</v>
      </c>
      <c r="N847">
        <v>1820</v>
      </c>
      <c r="O847">
        <v>26251</v>
      </c>
      <c r="P847">
        <v>2053.5555279999999</v>
      </c>
      <c r="Q847">
        <v>85</v>
      </c>
      <c r="R847">
        <v>0.25330556999999998</v>
      </c>
      <c r="S847">
        <v>1368</v>
      </c>
      <c r="T847">
        <v>317</v>
      </c>
      <c r="U847">
        <v>1708</v>
      </c>
      <c r="V847">
        <v>2626</v>
      </c>
      <c r="W847">
        <v>2749</v>
      </c>
      <c r="X847">
        <v>1889</v>
      </c>
      <c r="Y847">
        <v>107</v>
      </c>
      <c r="Z847">
        <v>374</v>
      </c>
      <c r="AA847">
        <v>648</v>
      </c>
      <c r="AB847">
        <v>14</v>
      </c>
      <c r="AC847">
        <v>72</v>
      </c>
      <c r="AD847">
        <v>153</v>
      </c>
      <c r="AE847">
        <v>0</v>
      </c>
      <c r="AF847">
        <v>0</v>
      </c>
      <c r="AG847">
        <v>5</v>
      </c>
      <c r="AH847">
        <v>0</v>
      </c>
      <c r="AI847">
        <v>0</v>
      </c>
      <c r="AJ847">
        <v>0</v>
      </c>
      <c r="AK847">
        <v>1.00417</v>
      </c>
      <c r="AL847">
        <v>1</v>
      </c>
      <c r="AM847">
        <v>0</v>
      </c>
      <c r="AN847">
        <v>3342</v>
      </c>
      <c r="AO847">
        <v>14</v>
      </c>
      <c r="AP847">
        <v>0</v>
      </c>
      <c r="AQ847">
        <v>0</v>
      </c>
    </row>
    <row r="848" spans="1:43" x14ac:dyDescent="0.25">
      <c r="A848">
        <v>845</v>
      </c>
      <c r="B848">
        <v>17</v>
      </c>
      <c r="C848">
        <v>17</v>
      </c>
      <c r="D848">
        <v>4</v>
      </c>
      <c r="E848">
        <v>2456</v>
      </c>
      <c r="F848">
        <v>7800</v>
      </c>
      <c r="G848">
        <v>7800</v>
      </c>
      <c r="H848">
        <v>3510</v>
      </c>
      <c r="I848">
        <v>2285</v>
      </c>
      <c r="J848">
        <v>90</v>
      </c>
      <c r="K848">
        <v>291</v>
      </c>
      <c r="L848">
        <v>438</v>
      </c>
      <c r="M848">
        <v>553</v>
      </c>
      <c r="N848">
        <v>1176</v>
      </c>
      <c r="O848">
        <v>1280</v>
      </c>
      <c r="P848">
        <v>787</v>
      </c>
      <c r="Q848">
        <v>38</v>
      </c>
      <c r="R848">
        <v>0.26161812299999998</v>
      </c>
      <c r="S848">
        <v>854</v>
      </c>
      <c r="T848">
        <v>339</v>
      </c>
      <c r="U848">
        <v>1596</v>
      </c>
      <c r="V848">
        <v>1703</v>
      </c>
      <c r="W848">
        <v>2319</v>
      </c>
      <c r="X848">
        <v>1525</v>
      </c>
      <c r="Y848">
        <v>21</v>
      </c>
      <c r="Z848">
        <v>83</v>
      </c>
      <c r="AA848">
        <v>666</v>
      </c>
      <c r="AB848">
        <v>1</v>
      </c>
      <c r="AC848">
        <v>36</v>
      </c>
      <c r="AD848">
        <v>47</v>
      </c>
      <c r="AE848">
        <v>0</v>
      </c>
      <c r="AF848">
        <v>0</v>
      </c>
      <c r="AG848">
        <v>4</v>
      </c>
      <c r="AH848">
        <v>0</v>
      </c>
      <c r="AI848">
        <v>0</v>
      </c>
      <c r="AJ848">
        <v>0</v>
      </c>
      <c r="AK848">
        <v>1.06576</v>
      </c>
      <c r="AL848">
        <v>1</v>
      </c>
      <c r="AM848">
        <v>0</v>
      </c>
      <c r="AN848">
        <v>2456</v>
      </c>
      <c r="AO848">
        <v>0</v>
      </c>
      <c r="AP848">
        <v>0</v>
      </c>
      <c r="AQ848">
        <v>0</v>
      </c>
    </row>
    <row r="849" spans="1:43" x14ac:dyDescent="0.25">
      <c r="A849">
        <v>846</v>
      </c>
      <c r="B849">
        <v>17</v>
      </c>
      <c r="C849">
        <v>17</v>
      </c>
      <c r="D849">
        <v>4</v>
      </c>
      <c r="E849">
        <v>2119</v>
      </c>
      <c r="F849">
        <v>5812</v>
      </c>
      <c r="G849">
        <v>5818</v>
      </c>
      <c r="H849">
        <v>2879</v>
      </c>
      <c r="I849">
        <v>1731</v>
      </c>
      <c r="J849">
        <v>325</v>
      </c>
      <c r="K849">
        <v>658</v>
      </c>
      <c r="L849">
        <v>555</v>
      </c>
      <c r="M849">
        <v>469</v>
      </c>
      <c r="N849">
        <v>464</v>
      </c>
      <c r="O849">
        <v>457</v>
      </c>
      <c r="P849">
        <v>366.9397596</v>
      </c>
      <c r="Q849">
        <v>71.274717109999997</v>
      </c>
      <c r="R849">
        <v>0.21285346999999999</v>
      </c>
      <c r="S849">
        <v>1044</v>
      </c>
      <c r="T849">
        <v>279</v>
      </c>
      <c r="U849">
        <v>1008</v>
      </c>
      <c r="V849">
        <v>1777</v>
      </c>
      <c r="W849">
        <v>1571</v>
      </c>
      <c r="X849">
        <v>1012</v>
      </c>
      <c r="Y849">
        <v>131</v>
      </c>
      <c r="Z849">
        <v>164</v>
      </c>
      <c r="AA849">
        <v>574</v>
      </c>
      <c r="AB849">
        <v>2</v>
      </c>
      <c r="AC849">
        <v>99</v>
      </c>
      <c r="AD849">
        <v>74</v>
      </c>
      <c r="AE849">
        <v>0</v>
      </c>
      <c r="AF849">
        <v>0</v>
      </c>
      <c r="AG849">
        <v>4</v>
      </c>
      <c r="AH849">
        <v>1</v>
      </c>
      <c r="AI849">
        <v>0</v>
      </c>
      <c r="AJ849">
        <v>0</v>
      </c>
      <c r="AK849">
        <v>1.1719599999999999</v>
      </c>
      <c r="AL849">
        <v>2</v>
      </c>
      <c r="AM849">
        <v>0</v>
      </c>
      <c r="AN849">
        <v>2119</v>
      </c>
      <c r="AO849">
        <v>6</v>
      </c>
      <c r="AP849">
        <v>0</v>
      </c>
      <c r="AQ849">
        <v>0</v>
      </c>
    </row>
    <row r="850" spans="1:43" x14ac:dyDescent="0.25">
      <c r="A850">
        <v>847</v>
      </c>
      <c r="B850">
        <v>17</v>
      </c>
      <c r="C850">
        <v>17</v>
      </c>
      <c r="D850">
        <v>4</v>
      </c>
      <c r="E850">
        <v>1129</v>
      </c>
      <c r="F850">
        <v>2915</v>
      </c>
      <c r="G850">
        <v>2915</v>
      </c>
      <c r="H850">
        <v>1423</v>
      </c>
      <c r="I850">
        <v>518</v>
      </c>
      <c r="J850">
        <v>661</v>
      </c>
      <c r="K850">
        <v>276</v>
      </c>
      <c r="L850">
        <v>413</v>
      </c>
      <c r="M850">
        <v>250</v>
      </c>
      <c r="N850">
        <v>198</v>
      </c>
      <c r="O850">
        <v>228</v>
      </c>
      <c r="P850">
        <v>124.80767350000001</v>
      </c>
      <c r="Q850">
        <v>50.063862950000001</v>
      </c>
      <c r="R850">
        <v>0.219088226</v>
      </c>
      <c r="S850">
        <v>989</v>
      </c>
      <c r="T850">
        <v>106</v>
      </c>
      <c r="U850">
        <v>455</v>
      </c>
      <c r="V850">
        <v>1044</v>
      </c>
      <c r="W850">
        <v>709</v>
      </c>
      <c r="X850">
        <v>624</v>
      </c>
      <c r="Y850">
        <v>40</v>
      </c>
      <c r="Z850">
        <v>280</v>
      </c>
      <c r="AA850">
        <v>533</v>
      </c>
      <c r="AB850">
        <v>0</v>
      </c>
      <c r="AC850">
        <v>41</v>
      </c>
      <c r="AD850">
        <v>95</v>
      </c>
      <c r="AE850">
        <v>0</v>
      </c>
      <c r="AF850">
        <v>0</v>
      </c>
      <c r="AG850">
        <v>3</v>
      </c>
      <c r="AH850">
        <v>0</v>
      </c>
      <c r="AI850">
        <v>0</v>
      </c>
      <c r="AJ850">
        <v>0</v>
      </c>
      <c r="AK850">
        <v>1.5372699999999999</v>
      </c>
      <c r="AL850">
        <v>2</v>
      </c>
      <c r="AM850">
        <v>0</v>
      </c>
      <c r="AN850">
        <v>1129</v>
      </c>
      <c r="AO850">
        <v>0</v>
      </c>
      <c r="AP850">
        <v>0</v>
      </c>
      <c r="AQ850">
        <v>0</v>
      </c>
    </row>
    <row r="851" spans="1:43" x14ac:dyDescent="0.25">
      <c r="A851">
        <v>848</v>
      </c>
      <c r="B851">
        <v>17</v>
      </c>
      <c r="C851">
        <v>17</v>
      </c>
      <c r="D851">
        <v>4</v>
      </c>
      <c r="E851">
        <v>1850</v>
      </c>
      <c r="F851">
        <v>4772</v>
      </c>
      <c r="G851">
        <v>4795</v>
      </c>
      <c r="H851">
        <v>2554</v>
      </c>
      <c r="I851">
        <v>831</v>
      </c>
      <c r="J851">
        <v>998</v>
      </c>
      <c r="K851">
        <v>541</v>
      </c>
      <c r="L851">
        <v>433</v>
      </c>
      <c r="M851">
        <v>496</v>
      </c>
      <c r="N851">
        <v>379</v>
      </c>
      <c r="O851">
        <v>273</v>
      </c>
      <c r="P851">
        <v>150.73315249999999</v>
      </c>
      <c r="Q851">
        <v>122</v>
      </c>
      <c r="R851">
        <v>0.16214667699999999</v>
      </c>
      <c r="S851">
        <v>3735</v>
      </c>
      <c r="T851">
        <v>338</v>
      </c>
      <c r="U851">
        <v>980</v>
      </c>
      <c r="V851">
        <v>1690</v>
      </c>
      <c r="W851">
        <v>1330</v>
      </c>
      <c r="X851">
        <v>724</v>
      </c>
      <c r="Y851">
        <v>539</v>
      </c>
      <c r="Z851">
        <v>320</v>
      </c>
      <c r="AA851">
        <v>2653</v>
      </c>
      <c r="AB851">
        <v>3</v>
      </c>
      <c r="AC851">
        <v>80</v>
      </c>
      <c r="AD851">
        <v>140</v>
      </c>
      <c r="AE851">
        <v>0</v>
      </c>
      <c r="AF851">
        <v>0</v>
      </c>
      <c r="AG851">
        <v>4</v>
      </c>
      <c r="AH851">
        <v>0</v>
      </c>
      <c r="AI851">
        <v>0</v>
      </c>
      <c r="AJ851">
        <v>0</v>
      </c>
      <c r="AK851">
        <v>2.1192899999999999</v>
      </c>
      <c r="AL851">
        <v>2</v>
      </c>
      <c r="AM851">
        <v>0</v>
      </c>
      <c r="AN851">
        <v>1850</v>
      </c>
      <c r="AO851">
        <v>23</v>
      </c>
      <c r="AP851">
        <v>0</v>
      </c>
      <c r="AQ851">
        <v>0</v>
      </c>
    </row>
    <row r="852" spans="1:43" x14ac:dyDescent="0.25">
      <c r="A852">
        <v>849</v>
      </c>
      <c r="B852">
        <v>17</v>
      </c>
      <c r="C852">
        <v>17</v>
      </c>
      <c r="D852">
        <v>4</v>
      </c>
      <c r="E852">
        <v>1415</v>
      </c>
      <c r="F852">
        <v>3996</v>
      </c>
      <c r="G852">
        <v>4010</v>
      </c>
      <c r="H852">
        <v>1923</v>
      </c>
      <c r="I852">
        <v>1243</v>
      </c>
      <c r="J852">
        <v>114</v>
      </c>
      <c r="K852">
        <v>375</v>
      </c>
      <c r="L852">
        <v>292</v>
      </c>
      <c r="M852">
        <v>315</v>
      </c>
      <c r="N852">
        <v>430</v>
      </c>
      <c r="O852">
        <v>328</v>
      </c>
      <c r="P852">
        <v>282</v>
      </c>
      <c r="Q852">
        <v>33</v>
      </c>
      <c r="R852">
        <v>0.20489596099999999</v>
      </c>
      <c r="S852">
        <v>653</v>
      </c>
      <c r="T852">
        <v>246</v>
      </c>
      <c r="U852">
        <v>817</v>
      </c>
      <c r="V852">
        <v>1193</v>
      </c>
      <c r="W852">
        <v>1099</v>
      </c>
      <c r="X852">
        <v>614</v>
      </c>
      <c r="Y852">
        <v>91</v>
      </c>
      <c r="Z852">
        <v>114</v>
      </c>
      <c r="AA852">
        <v>352</v>
      </c>
      <c r="AB852">
        <v>2</v>
      </c>
      <c r="AC852">
        <v>29</v>
      </c>
      <c r="AD852">
        <v>65</v>
      </c>
      <c r="AE852">
        <v>0</v>
      </c>
      <c r="AF852">
        <v>0</v>
      </c>
      <c r="AG852">
        <v>4</v>
      </c>
      <c r="AH852">
        <v>2886</v>
      </c>
      <c r="AI852">
        <v>0</v>
      </c>
      <c r="AJ852">
        <v>0</v>
      </c>
      <c r="AK852">
        <v>1.18232</v>
      </c>
      <c r="AL852">
        <v>1</v>
      </c>
      <c r="AM852">
        <v>0</v>
      </c>
      <c r="AN852">
        <v>1415</v>
      </c>
      <c r="AO852">
        <v>14</v>
      </c>
      <c r="AP852">
        <v>0</v>
      </c>
      <c r="AQ852">
        <v>0</v>
      </c>
    </row>
    <row r="853" spans="1:43" x14ac:dyDescent="0.25">
      <c r="A853">
        <v>850</v>
      </c>
      <c r="B853">
        <v>17</v>
      </c>
      <c r="C853">
        <v>17</v>
      </c>
      <c r="D853">
        <v>4</v>
      </c>
      <c r="E853">
        <v>1346</v>
      </c>
      <c r="F853">
        <v>4078</v>
      </c>
      <c r="G853">
        <v>4078</v>
      </c>
      <c r="H853">
        <v>2144</v>
      </c>
      <c r="I853">
        <v>1270</v>
      </c>
      <c r="J853">
        <v>47</v>
      </c>
      <c r="K853">
        <v>137</v>
      </c>
      <c r="L853">
        <v>176</v>
      </c>
      <c r="M853">
        <v>396</v>
      </c>
      <c r="N853">
        <v>654</v>
      </c>
      <c r="O853">
        <v>605</v>
      </c>
      <c r="P853">
        <v>450.54070940000003</v>
      </c>
      <c r="Q853">
        <v>10</v>
      </c>
      <c r="R853">
        <v>0.23986014</v>
      </c>
      <c r="S853">
        <v>265</v>
      </c>
      <c r="T853">
        <v>300</v>
      </c>
      <c r="U853">
        <v>743</v>
      </c>
      <c r="V853">
        <v>1306</v>
      </c>
      <c r="W853">
        <v>957</v>
      </c>
      <c r="X853">
        <v>845</v>
      </c>
      <c r="Y853">
        <v>8</v>
      </c>
      <c r="Z853">
        <v>85</v>
      </c>
      <c r="AA853">
        <v>107</v>
      </c>
      <c r="AB853">
        <v>1</v>
      </c>
      <c r="AC853">
        <v>17</v>
      </c>
      <c r="AD853">
        <v>47</v>
      </c>
      <c r="AE853">
        <v>0</v>
      </c>
      <c r="AF853">
        <v>0</v>
      </c>
      <c r="AG853">
        <v>4</v>
      </c>
      <c r="AH853">
        <v>0</v>
      </c>
      <c r="AI853">
        <v>0</v>
      </c>
      <c r="AJ853">
        <v>0</v>
      </c>
      <c r="AK853">
        <v>1.0679099999999999</v>
      </c>
      <c r="AL853">
        <v>1</v>
      </c>
      <c r="AM853">
        <v>0</v>
      </c>
      <c r="AN853">
        <v>1346</v>
      </c>
      <c r="AO853">
        <v>0</v>
      </c>
      <c r="AP853">
        <v>0</v>
      </c>
      <c r="AQ853">
        <v>0</v>
      </c>
    </row>
    <row r="854" spans="1:43" x14ac:dyDescent="0.25">
      <c r="A854">
        <v>851</v>
      </c>
      <c r="B854">
        <v>17</v>
      </c>
      <c r="C854">
        <v>17</v>
      </c>
      <c r="D854">
        <v>4</v>
      </c>
      <c r="E854">
        <v>740</v>
      </c>
      <c r="F854">
        <v>2132</v>
      </c>
      <c r="G854">
        <v>2132</v>
      </c>
      <c r="H854">
        <v>1065</v>
      </c>
      <c r="I854">
        <v>704</v>
      </c>
      <c r="J854">
        <v>6</v>
      </c>
      <c r="K854">
        <v>38</v>
      </c>
      <c r="L854">
        <v>84</v>
      </c>
      <c r="M854">
        <v>189</v>
      </c>
      <c r="N854">
        <v>416</v>
      </c>
      <c r="O854">
        <v>618</v>
      </c>
      <c r="P854">
        <v>198</v>
      </c>
      <c r="Q854">
        <v>11</v>
      </c>
      <c r="R854">
        <v>0.28611632300000001</v>
      </c>
      <c r="S854">
        <v>299</v>
      </c>
      <c r="T854">
        <v>99</v>
      </c>
      <c r="U854">
        <v>347</v>
      </c>
      <c r="V854">
        <v>682</v>
      </c>
      <c r="W854">
        <v>508</v>
      </c>
      <c r="X854">
        <v>431</v>
      </c>
      <c r="Y854">
        <v>6</v>
      </c>
      <c r="Z854">
        <v>62</v>
      </c>
      <c r="AA854">
        <v>194</v>
      </c>
      <c r="AB854">
        <v>1</v>
      </c>
      <c r="AC854">
        <v>12</v>
      </c>
      <c r="AD854">
        <v>24</v>
      </c>
      <c r="AE854">
        <v>0</v>
      </c>
      <c r="AF854">
        <v>0</v>
      </c>
      <c r="AG854">
        <v>4</v>
      </c>
      <c r="AH854">
        <v>155</v>
      </c>
      <c r="AI854">
        <v>0</v>
      </c>
      <c r="AJ854">
        <v>0</v>
      </c>
      <c r="AK854">
        <v>1.0945100000000001</v>
      </c>
      <c r="AL854">
        <v>1</v>
      </c>
      <c r="AM854">
        <v>0</v>
      </c>
      <c r="AN854">
        <v>740</v>
      </c>
      <c r="AO854">
        <v>0</v>
      </c>
      <c r="AP854">
        <v>0</v>
      </c>
      <c r="AQ854">
        <v>0</v>
      </c>
    </row>
    <row r="855" spans="1:43" x14ac:dyDescent="0.25">
      <c r="A855">
        <v>852</v>
      </c>
      <c r="B855">
        <v>17</v>
      </c>
      <c r="C855">
        <v>17</v>
      </c>
      <c r="D855">
        <v>4</v>
      </c>
      <c r="E855">
        <v>2290</v>
      </c>
      <c r="F855">
        <v>6209</v>
      </c>
      <c r="G855">
        <v>6218</v>
      </c>
      <c r="H855">
        <v>3339</v>
      </c>
      <c r="I855">
        <v>2091</v>
      </c>
      <c r="J855">
        <v>86</v>
      </c>
      <c r="K855">
        <v>435</v>
      </c>
      <c r="L855">
        <v>536</v>
      </c>
      <c r="M855">
        <v>439</v>
      </c>
      <c r="N855">
        <v>888</v>
      </c>
      <c r="O855">
        <v>568</v>
      </c>
      <c r="P855">
        <v>463</v>
      </c>
      <c r="Q855">
        <v>44.993204550000002</v>
      </c>
      <c r="R855">
        <v>0.252242152</v>
      </c>
      <c r="S855">
        <v>716</v>
      </c>
      <c r="T855">
        <v>287</v>
      </c>
      <c r="U855">
        <v>860</v>
      </c>
      <c r="V855">
        <v>1633</v>
      </c>
      <c r="W855">
        <v>2026</v>
      </c>
      <c r="X855">
        <v>1250</v>
      </c>
      <c r="Y855">
        <v>67</v>
      </c>
      <c r="Z855">
        <v>135</v>
      </c>
      <c r="AA855">
        <v>370</v>
      </c>
      <c r="AB855">
        <v>2</v>
      </c>
      <c r="AC855">
        <v>52</v>
      </c>
      <c r="AD855">
        <v>90</v>
      </c>
      <c r="AE855">
        <v>0</v>
      </c>
      <c r="AF855">
        <v>0</v>
      </c>
      <c r="AG855">
        <v>4</v>
      </c>
      <c r="AH855">
        <v>0</v>
      </c>
      <c r="AI855">
        <v>0</v>
      </c>
      <c r="AJ855">
        <v>0</v>
      </c>
      <c r="AK855">
        <v>1.15947</v>
      </c>
      <c r="AL855">
        <v>1</v>
      </c>
      <c r="AM855">
        <v>0</v>
      </c>
      <c r="AN855">
        <v>2290</v>
      </c>
      <c r="AO855">
        <v>9</v>
      </c>
      <c r="AP855">
        <v>0</v>
      </c>
      <c r="AQ855">
        <v>0</v>
      </c>
    </row>
    <row r="856" spans="1:43" x14ac:dyDescent="0.25">
      <c r="A856">
        <v>853</v>
      </c>
      <c r="B856">
        <v>17</v>
      </c>
      <c r="C856">
        <v>17</v>
      </c>
      <c r="D856">
        <v>4</v>
      </c>
      <c r="E856">
        <v>2181</v>
      </c>
      <c r="F856">
        <v>5122</v>
      </c>
      <c r="G856">
        <v>5133</v>
      </c>
      <c r="H856">
        <v>3081</v>
      </c>
      <c r="I856">
        <v>1456</v>
      </c>
      <c r="J856">
        <v>650</v>
      </c>
      <c r="K856">
        <v>617</v>
      </c>
      <c r="L856">
        <v>597</v>
      </c>
      <c r="M856">
        <v>561</v>
      </c>
      <c r="N856">
        <v>411</v>
      </c>
      <c r="O856">
        <v>595</v>
      </c>
      <c r="P856">
        <v>265.70430429999999</v>
      </c>
      <c r="Q856">
        <v>164</v>
      </c>
      <c r="R856">
        <v>0.16031999999999999</v>
      </c>
      <c r="S856">
        <v>1548</v>
      </c>
      <c r="T856">
        <v>289</v>
      </c>
      <c r="U856">
        <v>942</v>
      </c>
      <c r="V856">
        <v>2312</v>
      </c>
      <c r="W856">
        <v>1658</v>
      </c>
      <c r="X856">
        <v>839</v>
      </c>
      <c r="Y856">
        <v>25</v>
      </c>
      <c r="Z856">
        <v>86</v>
      </c>
      <c r="AA856">
        <v>1357</v>
      </c>
      <c r="AB856">
        <v>1</v>
      </c>
      <c r="AC856">
        <v>25</v>
      </c>
      <c r="AD856">
        <v>54</v>
      </c>
      <c r="AE856">
        <v>0</v>
      </c>
      <c r="AF856">
        <v>0</v>
      </c>
      <c r="AG856">
        <v>4</v>
      </c>
      <c r="AH856">
        <v>81</v>
      </c>
      <c r="AI856">
        <v>0</v>
      </c>
      <c r="AJ856">
        <v>0</v>
      </c>
      <c r="AK856">
        <v>1.3161700000000001</v>
      </c>
      <c r="AL856">
        <v>1</v>
      </c>
      <c r="AM856">
        <v>0</v>
      </c>
      <c r="AN856">
        <v>2181</v>
      </c>
      <c r="AO856">
        <v>11</v>
      </c>
      <c r="AP856">
        <v>0</v>
      </c>
      <c r="AQ856">
        <v>0</v>
      </c>
    </row>
    <row r="857" spans="1:43" x14ac:dyDescent="0.25">
      <c r="A857">
        <v>854</v>
      </c>
      <c r="B857">
        <v>17</v>
      </c>
      <c r="C857">
        <v>17</v>
      </c>
      <c r="D857">
        <v>4</v>
      </c>
      <c r="E857">
        <v>2390</v>
      </c>
      <c r="F857">
        <v>6888</v>
      </c>
      <c r="G857">
        <v>6895</v>
      </c>
      <c r="H857">
        <v>3010</v>
      </c>
      <c r="I857">
        <v>531</v>
      </c>
      <c r="J857">
        <v>1761</v>
      </c>
      <c r="K857">
        <v>1029</v>
      </c>
      <c r="L857">
        <v>729</v>
      </c>
      <c r="M857">
        <v>505</v>
      </c>
      <c r="N857">
        <v>138</v>
      </c>
      <c r="O857">
        <v>203</v>
      </c>
      <c r="P857">
        <v>141</v>
      </c>
      <c r="Q857">
        <v>55.767367030000003</v>
      </c>
      <c r="R857">
        <v>7.7605322000000004E-2</v>
      </c>
      <c r="S857">
        <v>421</v>
      </c>
      <c r="T857">
        <v>927</v>
      </c>
      <c r="U857">
        <v>1593</v>
      </c>
      <c r="V857">
        <v>2813</v>
      </c>
      <c r="W857">
        <v>1183</v>
      </c>
      <c r="X857">
        <v>469</v>
      </c>
      <c r="Y857">
        <v>62</v>
      </c>
      <c r="Z857">
        <v>17</v>
      </c>
      <c r="AA857">
        <v>312</v>
      </c>
      <c r="AB857">
        <v>0</v>
      </c>
      <c r="AC857">
        <v>13</v>
      </c>
      <c r="AD857">
        <v>17</v>
      </c>
      <c r="AE857">
        <v>0</v>
      </c>
      <c r="AF857">
        <v>0</v>
      </c>
      <c r="AG857">
        <v>4</v>
      </c>
      <c r="AH857">
        <v>0</v>
      </c>
      <c r="AI857">
        <v>0</v>
      </c>
      <c r="AJ857">
        <v>0</v>
      </c>
      <c r="AK857">
        <v>1.6374</v>
      </c>
      <c r="AL857">
        <v>2</v>
      </c>
      <c r="AM857">
        <v>0</v>
      </c>
      <c r="AN857">
        <v>2390</v>
      </c>
      <c r="AO857">
        <v>7</v>
      </c>
      <c r="AP857">
        <v>0</v>
      </c>
      <c r="AQ857">
        <v>0</v>
      </c>
    </row>
    <row r="858" spans="1:43" x14ac:dyDescent="0.25">
      <c r="A858">
        <v>855</v>
      </c>
      <c r="B858">
        <v>17</v>
      </c>
      <c r="C858">
        <v>17</v>
      </c>
      <c r="D858">
        <v>4</v>
      </c>
      <c r="E858">
        <v>1717</v>
      </c>
      <c r="F858">
        <v>4715</v>
      </c>
      <c r="G858">
        <v>4754</v>
      </c>
      <c r="H858">
        <v>2261</v>
      </c>
      <c r="I858">
        <v>1036</v>
      </c>
      <c r="J858">
        <v>804</v>
      </c>
      <c r="K858">
        <v>930</v>
      </c>
      <c r="L858">
        <v>303</v>
      </c>
      <c r="M858">
        <v>215</v>
      </c>
      <c r="N858">
        <v>276</v>
      </c>
      <c r="O858">
        <v>283</v>
      </c>
      <c r="P858">
        <v>221</v>
      </c>
      <c r="Q858">
        <v>44.281345209999998</v>
      </c>
      <c r="R858">
        <v>0.15729024699999999</v>
      </c>
      <c r="S858">
        <v>711</v>
      </c>
      <c r="T858">
        <v>183</v>
      </c>
      <c r="U858">
        <v>976</v>
      </c>
      <c r="V858">
        <v>1888</v>
      </c>
      <c r="W858">
        <v>1214</v>
      </c>
      <c r="X858">
        <v>694</v>
      </c>
      <c r="Y858">
        <v>27</v>
      </c>
      <c r="Z858">
        <v>57</v>
      </c>
      <c r="AA858">
        <v>541</v>
      </c>
      <c r="AB858">
        <v>1</v>
      </c>
      <c r="AC858">
        <v>36</v>
      </c>
      <c r="AD858">
        <v>49</v>
      </c>
      <c r="AE858">
        <v>0</v>
      </c>
      <c r="AF858">
        <v>0</v>
      </c>
      <c r="AG858">
        <v>4</v>
      </c>
      <c r="AH858">
        <v>0</v>
      </c>
      <c r="AI858">
        <v>0</v>
      </c>
      <c r="AJ858">
        <v>0</v>
      </c>
      <c r="AK858">
        <v>1.3197700000000001</v>
      </c>
      <c r="AL858">
        <v>2</v>
      </c>
      <c r="AM858">
        <v>0</v>
      </c>
      <c r="AN858">
        <v>1717</v>
      </c>
      <c r="AO858">
        <v>39</v>
      </c>
      <c r="AP858">
        <v>0</v>
      </c>
      <c r="AQ858">
        <v>0</v>
      </c>
    </row>
    <row r="859" spans="1:43" x14ac:dyDescent="0.25">
      <c r="A859">
        <v>856</v>
      </c>
      <c r="B859">
        <v>17</v>
      </c>
      <c r="C859">
        <v>17</v>
      </c>
      <c r="D859">
        <v>4</v>
      </c>
      <c r="E859">
        <v>2594</v>
      </c>
      <c r="F859">
        <v>7262</v>
      </c>
      <c r="G859">
        <v>7290</v>
      </c>
      <c r="H859">
        <v>4054</v>
      </c>
      <c r="I859">
        <v>1632</v>
      </c>
      <c r="J859">
        <v>889</v>
      </c>
      <c r="K859">
        <v>788</v>
      </c>
      <c r="L859">
        <v>670</v>
      </c>
      <c r="M859">
        <v>724</v>
      </c>
      <c r="N859">
        <v>428</v>
      </c>
      <c r="O859">
        <v>383</v>
      </c>
      <c r="P859">
        <v>230</v>
      </c>
      <c r="Q859">
        <v>145.33893950000001</v>
      </c>
      <c r="R859">
        <v>0.200364299</v>
      </c>
      <c r="S859">
        <v>1640</v>
      </c>
      <c r="T859">
        <v>350</v>
      </c>
      <c r="U859">
        <v>993</v>
      </c>
      <c r="V859">
        <v>2711</v>
      </c>
      <c r="W859">
        <v>2215</v>
      </c>
      <c r="X859">
        <v>1175</v>
      </c>
      <c r="Y859">
        <v>541</v>
      </c>
      <c r="Z859">
        <v>110</v>
      </c>
      <c r="AA859">
        <v>814</v>
      </c>
      <c r="AB859">
        <v>1</v>
      </c>
      <c r="AC859">
        <v>39</v>
      </c>
      <c r="AD859">
        <v>135</v>
      </c>
      <c r="AE859">
        <v>0</v>
      </c>
      <c r="AF859">
        <v>0</v>
      </c>
      <c r="AG859">
        <v>4</v>
      </c>
      <c r="AH859">
        <v>0</v>
      </c>
      <c r="AI859">
        <v>0</v>
      </c>
      <c r="AJ859">
        <v>0</v>
      </c>
      <c r="AK859">
        <v>1.49525</v>
      </c>
      <c r="AL859">
        <v>3</v>
      </c>
      <c r="AM859">
        <v>0</v>
      </c>
      <c r="AN859">
        <v>2594</v>
      </c>
      <c r="AO859">
        <v>28</v>
      </c>
      <c r="AP859">
        <v>0</v>
      </c>
      <c r="AQ859">
        <v>0</v>
      </c>
    </row>
    <row r="860" spans="1:43" x14ac:dyDescent="0.25">
      <c r="A860">
        <v>857</v>
      </c>
      <c r="B860">
        <v>17</v>
      </c>
      <c r="C860">
        <v>17</v>
      </c>
      <c r="D860">
        <v>4</v>
      </c>
      <c r="E860">
        <v>1054</v>
      </c>
      <c r="F860">
        <v>3025</v>
      </c>
      <c r="G860">
        <v>3035</v>
      </c>
      <c r="H860">
        <v>1580</v>
      </c>
      <c r="I860">
        <v>704</v>
      </c>
      <c r="J860">
        <v>352</v>
      </c>
      <c r="K860">
        <v>338</v>
      </c>
      <c r="L860">
        <v>327</v>
      </c>
      <c r="M860">
        <v>225</v>
      </c>
      <c r="N860">
        <v>170</v>
      </c>
      <c r="O860">
        <v>246</v>
      </c>
      <c r="P860">
        <v>125</v>
      </c>
      <c r="Q860">
        <v>115.4518423</v>
      </c>
      <c r="R860">
        <v>0.145794966</v>
      </c>
      <c r="S860">
        <v>1048</v>
      </c>
      <c r="T860">
        <v>218</v>
      </c>
      <c r="U860">
        <v>556</v>
      </c>
      <c r="V860">
        <v>1076</v>
      </c>
      <c r="W860">
        <v>965</v>
      </c>
      <c r="X860">
        <v>351</v>
      </c>
      <c r="Y860">
        <v>147</v>
      </c>
      <c r="Z860">
        <v>57</v>
      </c>
      <c r="AA860">
        <v>783</v>
      </c>
      <c r="AB860">
        <v>1</v>
      </c>
      <c r="AC860">
        <v>21</v>
      </c>
      <c r="AD860">
        <v>39</v>
      </c>
      <c r="AE860">
        <v>0</v>
      </c>
      <c r="AF860">
        <v>0</v>
      </c>
      <c r="AG860">
        <v>4</v>
      </c>
      <c r="AH860">
        <v>1183</v>
      </c>
      <c r="AI860">
        <v>0</v>
      </c>
      <c r="AJ860">
        <v>0</v>
      </c>
      <c r="AK860">
        <v>1.5127600000000001</v>
      </c>
      <c r="AL860">
        <v>2</v>
      </c>
      <c r="AM860">
        <v>0</v>
      </c>
      <c r="AN860">
        <v>1054</v>
      </c>
      <c r="AO860">
        <v>10</v>
      </c>
      <c r="AP860">
        <v>0</v>
      </c>
      <c r="AQ860">
        <v>0</v>
      </c>
    </row>
    <row r="861" spans="1:43" x14ac:dyDescent="0.25">
      <c r="A861">
        <v>858</v>
      </c>
      <c r="B861">
        <v>17</v>
      </c>
      <c r="C861">
        <v>17</v>
      </c>
      <c r="D861">
        <v>4</v>
      </c>
      <c r="E861">
        <v>2261</v>
      </c>
      <c r="F861">
        <v>5583</v>
      </c>
      <c r="G861">
        <v>5605</v>
      </c>
      <c r="H861">
        <v>2581</v>
      </c>
      <c r="I861">
        <v>1377</v>
      </c>
      <c r="J861">
        <v>817</v>
      </c>
      <c r="K861">
        <v>670</v>
      </c>
      <c r="L861">
        <v>733</v>
      </c>
      <c r="M861">
        <v>507</v>
      </c>
      <c r="N861">
        <v>343</v>
      </c>
      <c r="O861">
        <v>385</v>
      </c>
      <c r="P861">
        <v>313</v>
      </c>
      <c r="Q861">
        <v>71.311218429999997</v>
      </c>
      <c r="R861">
        <v>0.249144422</v>
      </c>
      <c r="S861">
        <v>1210</v>
      </c>
      <c r="T861">
        <v>212</v>
      </c>
      <c r="U861">
        <v>757</v>
      </c>
      <c r="V861">
        <v>1625</v>
      </c>
      <c r="W861">
        <v>1801</v>
      </c>
      <c r="X861">
        <v>1273</v>
      </c>
      <c r="Y861">
        <v>476</v>
      </c>
      <c r="Z861">
        <v>81</v>
      </c>
      <c r="AA861">
        <v>559</v>
      </c>
      <c r="AB861">
        <v>1</v>
      </c>
      <c r="AC861">
        <v>49</v>
      </c>
      <c r="AD861">
        <v>44</v>
      </c>
      <c r="AE861">
        <v>0</v>
      </c>
      <c r="AF861">
        <v>0</v>
      </c>
      <c r="AG861">
        <v>4</v>
      </c>
      <c r="AH861">
        <v>0</v>
      </c>
      <c r="AI861">
        <v>0</v>
      </c>
      <c r="AJ861">
        <v>0</v>
      </c>
      <c r="AK861">
        <v>1.32979</v>
      </c>
      <c r="AL861">
        <v>3</v>
      </c>
      <c r="AM861">
        <v>0</v>
      </c>
      <c r="AN861">
        <v>2261</v>
      </c>
      <c r="AO861">
        <v>22</v>
      </c>
      <c r="AP861">
        <v>0</v>
      </c>
      <c r="AQ861">
        <v>0</v>
      </c>
    </row>
    <row r="862" spans="1:43" x14ac:dyDescent="0.25">
      <c r="A862">
        <v>859</v>
      </c>
      <c r="B862">
        <v>17</v>
      </c>
      <c r="C862">
        <v>17</v>
      </c>
      <c r="D862">
        <v>4</v>
      </c>
      <c r="E862">
        <v>1565</v>
      </c>
      <c r="F862">
        <v>4061</v>
      </c>
      <c r="G862">
        <v>4066</v>
      </c>
      <c r="H862">
        <v>2083</v>
      </c>
      <c r="I862">
        <v>1473</v>
      </c>
      <c r="J862">
        <v>82</v>
      </c>
      <c r="K862">
        <v>653</v>
      </c>
      <c r="L862">
        <v>260</v>
      </c>
      <c r="M862">
        <v>304</v>
      </c>
      <c r="N862">
        <v>328</v>
      </c>
      <c r="O862">
        <v>304</v>
      </c>
      <c r="P862">
        <v>274</v>
      </c>
      <c r="Q862">
        <v>7</v>
      </c>
      <c r="R862">
        <v>0.25718961899999998</v>
      </c>
      <c r="S862">
        <v>422</v>
      </c>
      <c r="T862">
        <v>44</v>
      </c>
      <c r="U862">
        <v>510</v>
      </c>
      <c r="V862">
        <v>1329</v>
      </c>
      <c r="W862">
        <v>1439</v>
      </c>
      <c r="X862">
        <v>816</v>
      </c>
      <c r="Y862">
        <v>43</v>
      </c>
      <c r="Z862">
        <v>64</v>
      </c>
      <c r="AA862">
        <v>260</v>
      </c>
      <c r="AB862">
        <v>1</v>
      </c>
      <c r="AC862">
        <v>22</v>
      </c>
      <c r="AD862">
        <v>32</v>
      </c>
      <c r="AE862">
        <v>0</v>
      </c>
      <c r="AF862">
        <v>0</v>
      </c>
      <c r="AG862">
        <v>4</v>
      </c>
      <c r="AH862">
        <v>0</v>
      </c>
      <c r="AI862">
        <v>0</v>
      </c>
      <c r="AJ862">
        <v>0</v>
      </c>
      <c r="AK862">
        <v>1.22156</v>
      </c>
      <c r="AL862">
        <v>3</v>
      </c>
      <c r="AM862">
        <v>0</v>
      </c>
      <c r="AN862">
        <v>1565</v>
      </c>
      <c r="AO862">
        <v>5</v>
      </c>
      <c r="AP862">
        <v>0</v>
      </c>
      <c r="AQ862">
        <v>0</v>
      </c>
    </row>
    <row r="863" spans="1:43" x14ac:dyDescent="0.25">
      <c r="A863">
        <v>860</v>
      </c>
      <c r="B863">
        <v>17</v>
      </c>
      <c r="C863">
        <v>17</v>
      </c>
      <c r="D863">
        <v>4</v>
      </c>
      <c r="E863">
        <v>2198</v>
      </c>
      <c r="F863">
        <v>5658</v>
      </c>
      <c r="G863">
        <v>5668</v>
      </c>
      <c r="H863">
        <v>3066</v>
      </c>
      <c r="I863">
        <v>1698</v>
      </c>
      <c r="J863">
        <v>436</v>
      </c>
      <c r="K863">
        <v>411</v>
      </c>
      <c r="L863">
        <v>595</v>
      </c>
      <c r="M863">
        <v>488</v>
      </c>
      <c r="N863">
        <v>693</v>
      </c>
      <c r="O863">
        <v>2202</v>
      </c>
      <c r="P863">
        <v>312</v>
      </c>
      <c r="Q863">
        <v>585.11178789999997</v>
      </c>
      <c r="R863">
        <v>0.22429906499999999</v>
      </c>
      <c r="S863">
        <v>4667</v>
      </c>
      <c r="T863">
        <v>318</v>
      </c>
      <c r="U863">
        <v>759</v>
      </c>
      <c r="V863">
        <v>2101</v>
      </c>
      <c r="W863">
        <v>1463</v>
      </c>
      <c r="X863">
        <v>1076</v>
      </c>
      <c r="Y863">
        <v>118</v>
      </c>
      <c r="Z863">
        <v>264</v>
      </c>
      <c r="AA863">
        <v>1032</v>
      </c>
      <c r="AB863">
        <v>1</v>
      </c>
      <c r="AC863">
        <v>2319</v>
      </c>
      <c r="AD863">
        <v>933</v>
      </c>
      <c r="AE863">
        <v>0</v>
      </c>
      <c r="AF863">
        <v>0</v>
      </c>
      <c r="AG863">
        <v>4</v>
      </c>
      <c r="AH863">
        <v>0</v>
      </c>
      <c r="AI863">
        <v>0</v>
      </c>
      <c r="AJ863">
        <v>0</v>
      </c>
      <c r="AK863">
        <v>1.2726200000000001</v>
      </c>
      <c r="AL863">
        <v>3</v>
      </c>
      <c r="AM863">
        <v>0</v>
      </c>
      <c r="AN863">
        <v>2198</v>
      </c>
      <c r="AO863">
        <v>10</v>
      </c>
      <c r="AP863">
        <v>0</v>
      </c>
      <c r="AQ863">
        <v>0</v>
      </c>
    </row>
    <row r="864" spans="1:43" x14ac:dyDescent="0.25">
      <c r="A864">
        <v>861</v>
      </c>
      <c r="B864">
        <v>17</v>
      </c>
      <c r="C864">
        <v>17</v>
      </c>
      <c r="D864">
        <v>4</v>
      </c>
      <c r="E864">
        <v>2086</v>
      </c>
      <c r="F864">
        <v>6717</v>
      </c>
      <c r="G864">
        <v>6728</v>
      </c>
      <c r="H864">
        <v>3621</v>
      </c>
      <c r="I864">
        <v>1946</v>
      </c>
      <c r="J864">
        <v>67</v>
      </c>
      <c r="K864">
        <v>433</v>
      </c>
      <c r="L864">
        <v>664</v>
      </c>
      <c r="M864">
        <v>676</v>
      </c>
      <c r="N864">
        <v>341</v>
      </c>
      <c r="O864">
        <v>612</v>
      </c>
      <c r="P864">
        <v>485.88392329999999</v>
      </c>
      <c r="Q864">
        <v>162</v>
      </c>
      <c r="R864">
        <v>0.22219229700000001</v>
      </c>
      <c r="S864">
        <v>5340</v>
      </c>
      <c r="T864">
        <v>136</v>
      </c>
      <c r="U864">
        <v>1247</v>
      </c>
      <c r="V864">
        <v>2182</v>
      </c>
      <c r="W864">
        <v>2268</v>
      </c>
      <c r="X864">
        <v>1384</v>
      </c>
      <c r="Y864">
        <v>47</v>
      </c>
      <c r="Z864">
        <v>299</v>
      </c>
      <c r="AA864">
        <v>4667</v>
      </c>
      <c r="AB864">
        <v>1</v>
      </c>
      <c r="AC864">
        <v>246</v>
      </c>
      <c r="AD864">
        <v>80</v>
      </c>
      <c r="AE864">
        <v>0</v>
      </c>
      <c r="AF864">
        <v>0</v>
      </c>
      <c r="AG864">
        <v>4</v>
      </c>
      <c r="AH864">
        <v>0</v>
      </c>
      <c r="AI864">
        <v>0</v>
      </c>
      <c r="AJ864">
        <v>0</v>
      </c>
      <c r="AK864">
        <v>1.26736</v>
      </c>
      <c r="AL864">
        <v>3</v>
      </c>
      <c r="AM864">
        <v>0</v>
      </c>
      <c r="AN864">
        <v>2086</v>
      </c>
      <c r="AO864">
        <v>11</v>
      </c>
      <c r="AP864">
        <v>0</v>
      </c>
      <c r="AQ864">
        <v>0</v>
      </c>
    </row>
    <row r="865" spans="1:43" x14ac:dyDescent="0.25">
      <c r="A865">
        <v>862</v>
      </c>
      <c r="B865">
        <v>17</v>
      </c>
      <c r="C865">
        <v>17</v>
      </c>
      <c r="D865">
        <v>4</v>
      </c>
      <c r="E865">
        <v>2730</v>
      </c>
      <c r="F865">
        <v>6985</v>
      </c>
      <c r="G865">
        <v>7000</v>
      </c>
      <c r="H865">
        <v>3928</v>
      </c>
      <c r="I865">
        <v>1345</v>
      </c>
      <c r="J865">
        <v>1381</v>
      </c>
      <c r="K865">
        <v>1019</v>
      </c>
      <c r="L865">
        <v>855</v>
      </c>
      <c r="M865">
        <v>464</v>
      </c>
      <c r="N865">
        <v>394</v>
      </c>
      <c r="O865">
        <v>773</v>
      </c>
      <c r="P865">
        <v>313.35340059999999</v>
      </c>
      <c r="Q865">
        <v>459.48089490000001</v>
      </c>
      <c r="R865">
        <v>0.221305419</v>
      </c>
      <c r="S865">
        <v>5990</v>
      </c>
      <c r="T865">
        <v>241</v>
      </c>
      <c r="U865">
        <v>1468</v>
      </c>
      <c r="V865">
        <v>2657</v>
      </c>
      <c r="W865">
        <v>2164</v>
      </c>
      <c r="X865">
        <v>1353</v>
      </c>
      <c r="Y865">
        <v>1335</v>
      </c>
      <c r="Z865">
        <v>918</v>
      </c>
      <c r="AA865">
        <v>1115</v>
      </c>
      <c r="AB865">
        <v>3</v>
      </c>
      <c r="AC865">
        <v>1406</v>
      </c>
      <c r="AD865">
        <v>1213</v>
      </c>
      <c r="AE865">
        <v>0</v>
      </c>
      <c r="AF865">
        <v>0</v>
      </c>
      <c r="AG865">
        <v>4</v>
      </c>
      <c r="AH865">
        <v>0</v>
      </c>
      <c r="AI865">
        <v>0</v>
      </c>
      <c r="AJ865">
        <v>0</v>
      </c>
      <c r="AK865">
        <v>1.32511</v>
      </c>
      <c r="AL865">
        <v>3</v>
      </c>
      <c r="AM865">
        <v>0</v>
      </c>
      <c r="AN865">
        <v>2730</v>
      </c>
      <c r="AO865">
        <v>15</v>
      </c>
      <c r="AP865">
        <v>0</v>
      </c>
      <c r="AQ865">
        <v>0</v>
      </c>
    </row>
    <row r="866" spans="1:43" x14ac:dyDescent="0.25">
      <c r="A866">
        <v>863</v>
      </c>
      <c r="B866">
        <v>17</v>
      </c>
      <c r="C866">
        <v>17</v>
      </c>
      <c r="D866">
        <v>4</v>
      </c>
      <c r="E866">
        <v>1293</v>
      </c>
      <c r="F866">
        <v>3852</v>
      </c>
      <c r="G866">
        <v>3864</v>
      </c>
      <c r="H866">
        <v>2149</v>
      </c>
      <c r="I866">
        <v>1044</v>
      </c>
      <c r="J866">
        <v>215</v>
      </c>
      <c r="K866">
        <v>265</v>
      </c>
      <c r="L866">
        <v>332</v>
      </c>
      <c r="M866">
        <v>332</v>
      </c>
      <c r="N866">
        <v>359</v>
      </c>
      <c r="O866">
        <v>355</v>
      </c>
      <c r="P866">
        <v>192</v>
      </c>
      <c r="Q866">
        <v>161</v>
      </c>
      <c r="R866">
        <v>0.18943146999999999</v>
      </c>
      <c r="S866">
        <v>998</v>
      </c>
      <c r="T866">
        <v>137</v>
      </c>
      <c r="U866">
        <v>711</v>
      </c>
      <c r="V866">
        <v>1430</v>
      </c>
      <c r="W866">
        <v>1165</v>
      </c>
      <c r="X866">
        <v>673</v>
      </c>
      <c r="Y866">
        <v>331</v>
      </c>
      <c r="Z866">
        <v>112</v>
      </c>
      <c r="AA866">
        <v>426</v>
      </c>
      <c r="AB866">
        <v>1</v>
      </c>
      <c r="AC866">
        <v>51</v>
      </c>
      <c r="AD866">
        <v>77</v>
      </c>
      <c r="AE866">
        <v>0</v>
      </c>
      <c r="AF866">
        <v>0</v>
      </c>
      <c r="AG866">
        <v>3</v>
      </c>
      <c r="AH866">
        <v>0</v>
      </c>
      <c r="AI866">
        <v>647</v>
      </c>
      <c r="AJ866">
        <v>0</v>
      </c>
      <c r="AK866">
        <v>1.3373200000000001</v>
      </c>
      <c r="AL866">
        <v>3</v>
      </c>
      <c r="AM866">
        <v>0</v>
      </c>
      <c r="AN866">
        <v>1293</v>
      </c>
      <c r="AO866">
        <v>12</v>
      </c>
      <c r="AP866">
        <v>0</v>
      </c>
      <c r="AQ866">
        <v>0</v>
      </c>
    </row>
    <row r="867" spans="1:43" x14ac:dyDescent="0.25">
      <c r="A867">
        <v>864</v>
      </c>
      <c r="B867">
        <v>17</v>
      </c>
      <c r="C867">
        <v>17</v>
      </c>
      <c r="D867">
        <v>4</v>
      </c>
      <c r="E867">
        <v>3308</v>
      </c>
      <c r="F867">
        <v>7813</v>
      </c>
      <c r="G867">
        <v>7826</v>
      </c>
      <c r="H867">
        <v>4065</v>
      </c>
      <c r="I867">
        <v>1400</v>
      </c>
      <c r="J867">
        <v>1914</v>
      </c>
      <c r="K867">
        <v>1248</v>
      </c>
      <c r="L867">
        <v>1107</v>
      </c>
      <c r="M867">
        <v>583</v>
      </c>
      <c r="N867">
        <v>376</v>
      </c>
      <c r="O867">
        <v>433</v>
      </c>
      <c r="P867">
        <v>183.9401885</v>
      </c>
      <c r="Q867">
        <v>249.15620949999999</v>
      </c>
      <c r="R867">
        <v>0.20270270300000001</v>
      </c>
      <c r="S867">
        <v>3728</v>
      </c>
      <c r="T867">
        <v>252</v>
      </c>
      <c r="U867">
        <v>1155</v>
      </c>
      <c r="V867">
        <v>2882</v>
      </c>
      <c r="W867">
        <v>2361</v>
      </c>
      <c r="X867">
        <v>1310</v>
      </c>
      <c r="Y867">
        <v>360</v>
      </c>
      <c r="Z867">
        <v>289</v>
      </c>
      <c r="AA867">
        <v>2064</v>
      </c>
      <c r="AB867">
        <v>3</v>
      </c>
      <c r="AC867">
        <v>886</v>
      </c>
      <c r="AD867">
        <v>126</v>
      </c>
      <c r="AE867">
        <v>0</v>
      </c>
      <c r="AF867">
        <v>49.449954380000001</v>
      </c>
      <c r="AG867">
        <v>3</v>
      </c>
      <c r="AH867">
        <v>55</v>
      </c>
      <c r="AI867">
        <v>0</v>
      </c>
      <c r="AJ867">
        <v>0</v>
      </c>
      <c r="AK867">
        <v>1.5436700000000001</v>
      </c>
      <c r="AL867">
        <v>3</v>
      </c>
      <c r="AM867">
        <v>0</v>
      </c>
      <c r="AN867">
        <v>3308</v>
      </c>
      <c r="AO867">
        <v>13</v>
      </c>
      <c r="AP867">
        <v>0</v>
      </c>
      <c r="AQ867">
        <v>0</v>
      </c>
    </row>
    <row r="868" spans="1:43" x14ac:dyDescent="0.25">
      <c r="A868">
        <v>865</v>
      </c>
      <c r="B868">
        <v>17</v>
      </c>
      <c r="C868">
        <v>17</v>
      </c>
      <c r="D868">
        <v>4</v>
      </c>
      <c r="E868">
        <v>1404</v>
      </c>
      <c r="F868">
        <v>3671</v>
      </c>
      <c r="G868">
        <v>3688</v>
      </c>
      <c r="H868">
        <v>1903</v>
      </c>
      <c r="I868">
        <v>1337</v>
      </c>
      <c r="J868">
        <v>57</v>
      </c>
      <c r="K868">
        <v>393</v>
      </c>
      <c r="L868">
        <v>403</v>
      </c>
      <c r="M868">
        <v>358</v>
      </c>
      <c r="N868">
        <v>261</v>
      </c>
      <c r="O868">
        <v>313</v>
      </c>
      <c r="P868">
        <v>304</v>
      </c>
      <c r="Q868">
        <v>7</v>
      </c>
      <c r="R868">
        <v>0.25970937900000002</v>
      </c>
      <c r="S868">
        <v>479</v>
      </c>
      <c r="T868">
        <v>259</v>
      </c>
      <c r="U868">
        <v>500</v>
      </c>
      <c r="V868">
        <v>1118</v>
      </c>
      <c r="W868">
        <v>1029</v>
      </c>
      <c r="X868">
        <v>762</v>
      </c>
      <c r="Y868">
        <v>3</v>
      </c>
      <c r="Z868">
        <v>26</v>
      </c>
      <c r="AA868">
        <v>396</v>
      </c>
      <c r="AB868">
        <v>1</v>
      </c>
      <c r="AC868">
        <v>10</v>
      </c>
      <c r="AD868">
        <v>43</v>
      </c>
      <c r="AE868">
        <v>0</v>
      </c>
      <c r="AF868">
        <v>0</v>
      </c>
      <c r="AG868">
        <v>4</v>
      </c>
      <c r="AH868">
        <v>2510</v>
      </c>
      <c r="AI868">
        <v>0</v>
      </c>
      <c r="AJ868">
        <v>0</v>
      </c>
      <c r="AK868">
        <v>1.17469</v>
      </c>
      <c r="AL868">
        <v>3</v>
      </c>
      <c r="AM868">
        <v>0</v>
      </c>
      <c r="AN868">
        <v>1404</v>
      </c>
      <c r="AO868">
        <v>17</v>
      </c>
      <c r="AP868">
        <v>0</v>
      </c>
      <c r="AQ868">
        <v>0</v>
      </c>
    </row>
    <row r="869" spans="1:43" x14ac:dyDescent="0.25">
      <c r="A869">
        <v>866</v>
      </c>
      <c r="B869">
        <v>17</v>
      </c>
      <c r="C869">
        <v>17</v>
      </c>
      <c r="D869">
        <v>4</v>
      </c>
      <c r="E869">
        <v>1431</v>
      </c>
      <c r="F869">
        <v>3463</v>
      </c>
      <c r="G869">
        <v>3475</v>
      </c>
      <c r="H869">
        <v>1751</v>
      </c>
      <c r="I869">
        <v>1438</v>
      </c>
      <c r="J869">
        <v>93</v>
      </c>
      <c r="K869">
        <v>329</v>
      </c>
      <c r="L869">
        <v>263</v>
      </c>
      <c r="M869">
        <v>410</v>
      </c>
      <c r="N869">
        <v>437</v>
      </c>
      <c r="O869">
        <v>818</v>
      </c>
      <c r="P869">
        <v>522</v>
      </c>
      <c r="Q869">
        <v>39</v>
      </c>
      <c r="R869">
        <v>0.31258278099999998</v>
      </c>
      <c r="S869">
        <v>689</v>
      </c>
      <c r="T869">
        <v>107</v>
      </c>
      <c r="U869">
        <v>607</v>
      </c>
      <c r="V869">
        <v>983</v>
      </c>
      <c r="W869">
        <v>900</v>
      </c>
      <c r="X869">
        <v>1021</v>
      </c>
      <c r="Y869">
        <v>16</v>
      </c>
      <c r="Z869">
        <v>72</v>
      </c>
      <c r="AA869">
        <v>523</v>
      </c>
      <c r="AB869">
        <v>1</v>
      </c>
      <c r="AC869">
        <v>22</v>
      </c>
      <c r="AD869">
        <v>55</v>
      </c>
      <c r="AE869">
        <v>0</v>
      </c>
      <c r="AF869">
        <v>0</v>
      </c>
      <c r="AG869">
        <v>4</v>
      </c>
      <c r="AH869">
        <v>0</v>
      </c>
      <c r="AI869">
        <v>0</v>
      </c>
      <c r="AJ869">
        <v>0</v>
      </c>
      <c r="AK869">
        <v>1.08748</v>
      </c>
      <c r="AL869">
        <v>1</v>
      </c>
      <c r="AM869">
        <v>0</v>
      </c>
      <c r="AN869">
        <v>1431</v>
      </c>
      <c r="AO869">
        <v>12</v>
      </c>
      <c r="AP869">
        <v>0</v>
      </c>
      <c r="AQ869">
        <v>0</v>
      </c>
    </row>
    <row r="870" spans="1:43" x14ac:dyDescent="0.25">
      <c r="A870">
        <v>867</v>
      </c>
      <c r="B870">
        <v>17</v>
      </c>
      <c r="C870">
        <v>17</v>
      </c>
      <c r="D870">
        <v>4</v>
      </c>
      <c r="E870">
        <v>1051</v>
      </c>
      <c r="F870">
        <v>2733</v>
      </c>
      <c r="G870">
        <v>2733</v>
      </c>
      <c r="H870">
        <v>1447</v>
      </c>
      <c r="I870">
        <v>837</v>
      </c>
      <c r="J870">
        <v>202</v>
      </c>
      <c r="K870">
        <v>264</v>
      </c>
      <c r="L870">
        <v>312</v>
      </c>
      <c r="M870">
        <v>140</v>
      </c>
      <c r="N870">
        <v>329</v>
      </c>
      <c r="O870">
        <v>202</v>
      </c>
      <c r="P870">
        <v>193</v>
      </c>
      <c r="Q870">
        <v>9.3474526030000007</v>
      </c>
      <c r="R870">
        <v>0.220820189</v>
      </c>
      <c r="S870">
        <v>313</v>
      </c>
      <c r="T870">
        <v>102</v>
      </c>
      <c r="U870">
        <v>412</v>
      </c>
      <c r="V870">
        <v>947</v>
      </c>
      <c r="W870">
        <v>834</v>
      </c>
      <c r="X870">
        <v>473</v>
      </c>
      <c r="Y870">
        <v>64</v>
      </c>
      <c r="Z870">
        <v>40</v>
      </c>
      <c r="AA870">
        <v>156</v>
      </c>
      <c r="AB870">
        <v>1</v>
      </c>
      <c r="AC870">
        <v>18</v>
      </c>
      <c r="AD870">
        <v>34</v>
      </c>
      <c r="AE870">
        <v>0</v>
      </c>
      <c r="AF870">
        <v>0</v>
      </c>
      <c r="AG870">
        <v>4</v>
      </c>
      <c r="AH870">
        <v>0</v>
      </c>
      <c r="AI870">
        <v>0</v>
      </c>
      <c r="AJ870">
        <v>0</v>
      </c>
      <c r="AK870">
        <v>1.2202299999999999</v>
      </c>
      <c r="AL870">
        <v>3</v>
      </c>
      <c r="AM870">
        <v>0</v>
      </c>
      <c r="AN870">
        <v>1051</v>
      </c>
      <c r="AO870">
        <v>0</v>
      </c>
      <c r="AP870">
        <v>0</v>
      </c>
      <c r="AQ870">
        <v>0</v>
      </c>
    </row>
    <row r="871" spans="1:43" x14ac:dyDescent="0.25">
      <c r="A871">
        <v>868</v>
      </c>
      <c r="B871">
        <v>17</v>
      </c>
      <c r="C871">
        <v>17</v>
      </c>
      <c r="D871">
        <v>4</v>
      </c>
      <c r="E871">
        <v>1342</v>
      </c>
      <c r="F871">
        <v>3520</v>
      </c>
      <c r="G871">
        <v>3598</v>
      </c>
      <c r="H871">
        <v>2130</v>
      </c>
      <c r="I871">
        <v>1078</v>
      </c>
      <c r="J871">
        <v>217</v>
      </c>
      <c r="K871">
        <v>202</v>
      </c>
      <c r="L871">
        <v>186</v>
      </c>
      <c r="M871">
        <v>290</v>
      </c>
      <c r="N871">
        <v>657</v>
      </c>
      <c r="O871">
        <v>259</v>
      </c>
      <c r="P871">
        <v>230.27763340000001</v>
      </c>
      <c r="Q871">
        <v>28</v>
      </c>
      <c r="R871">
        <v>0.185600876</v>
      </c>
      <c r="S871">
        <v>455</v>
      </c>
      <c r="T871">
        <v>162</v>
      </c>
      <c r="U871">
        <v>575</v>
      </c>
      <c r="V871">
        <v>1253</v>
      </c>
      <c r="W871">
        <v>1067</v>
      </c>
      <c r="X871">
        <v>479</v>
      </c>
      <c r="Y871">
        <v>15</v>
      </c>
      <c r="Z871">
        <v>84</v>
      </c>
      <c r="AA871">
        <v>286</v>
      </c>
      <c r="AB871">
        <v>1</v>
      </c>
      <c r="AC871">
        <v>21</v>
      </c>
      <c r="AD871">
        <v>48</v>
      </c>
      <c r="AE871">
        <v>0</v>
      </c>
      <c r="AF871">
        <v>0</v>
      </c>
      <c r="AG871">
        <v>4</v>
      </c>
      <c r="AH871">
        <v>0</v>
      </c>
      <c r="AI871">
        <v>0</v>
      </c>
      <c r="AJ871">
        <v>0</v>
      </c>
      <c r="AK871">
        <v>1.2177500000000001</v>
      </c>
      <c r="AL871">
        <v>3</v>
      </c>
      <c r="AM871">
        <v>0</v>
      </c>
      <c r="AN871">
        <v>1342</v>
      </c>
      <c r="AO871">
        <v>78</v>
      </c>
      <c r="AP871">
        <v>0</v>
      </c>
      <c r="AQ871">
        <v>0</v>
      </c>
    </row>
    <row r="872" spans="1:43" x14ac:dyDescent="0.25">
      <c r="A872">
        <v>869</v>
      </c>
      <c r="B872">
        <v>17</v>
      </c>
      <c r="C872">
        <v>17</v>
      </c>
      <c r="D872">
        <v>4</v>
      </c>
      <c r="E872">
        <v>1520</v>
      </c>
      <c r="F872">
        <v>3375</v>
      </c>
      <c r="G872">
        <v>3407</v>
      </c>
      <c r="H872">
        <v>1793</v>
      </c>
      <c r="I872">
        <v>924</v>
      </c>
      <c r="J872">
        <v>609</v>
      </c>
      <c r="K872">
        <v>483</v>
      </c>
      <c r="L872">
        <v>369</v>
      </c>
      <c r="M872">
        <v>317</v>
      </c>
      <c r="N872">
        <v>358</v>
      </c>
      <c r="O872">
        <v>251</v>
      </c>
      <c r="P872">
        <v>219</v>
      </c>
      <c r="Q872">
        <v>30.450380859999999</v>
      </c>
      <c r="R872">
        <v>0.21732199799999999</v>
      </c>
      <c r="S872">
        <v>1232</v>
      </c>
      <c r="T872">
        <v>236</v>
      </c>
      <c r="U872">
        <v>451</v>
      </c>
      <c r="V872">
        <v>1313</v>
      </c>
      <c r="W872">
        <v>975</v>
      </c>
      <c r="X872">
        <v>638</v>
      </c>
      <c r="Y872">
        <v>120</v>
      </c>
      <c r="Z872">
        <v>123</v>
      </c>
      <c r="AA872">
        <v>737</v>
      </c>
      <c r="AB872">
        <v>1</v>
      </c>
      <c r="AC872">
        <v>58</v>
      </c>
      <c r="AD872">
        <v>193</v>
      </c>
      <c r="AE872">
        <v>0</v>
      </c>
      <c r="AF872">
        <v>0</v>
      </c>
      <c r="AG872">
        <v>4</v>
      </c>
      <c r="AH872">
        <v>0</v>
      </c>
      <c r="AI872">
        <v>0</v>
      </c>
      <c r="AJ872">
        <v>0</v>
      </c>
      <c r="AK872">
        <v>1.3913599999999999</v>
      </c>
      <c r="AL872">
        <v>3</v>
      </c>
      <c r="AM872">
        <v>0</v>
      </c>
      <c r="AN872">
        <v>1520</v>
      </c>
      <c r="AO872">
        <v>32</v>
      </c>
      <c r="AP872">
        <v>0</v>
      </c>
      <c r="AQ872">
        <v>0</v>
      </c>
    </row>
    <row r="873" spans="1:43" x14ac:dyDescent="0.25">
      <c r="A873">
        <v>870</v>
      </c>
      <c r="B873">
        <v>17</v>
      </c>
      <c r="C873">
        <v>17</v>
      </c>
      <c r="D873">
        <v>4</v>
      </c>
      <c r="E873">
        <v>1730</v>
      </c>
      <c r="F873">
        <v>4579</v>
      </c>
      <c r="G873">
        <v>4601</v>
      </c>
      <c r="H873">
        <v>2643</v>
      </c>
      <c r="I873">
        <v>1523</v>
      </c>
      <c r="J873">
        <v>186</v>
      </c>
      <c r="K873">
        <v>421</v>
      </c>
      <c r="L873">
        <v>208</v>
      </c>
      <c r="M873">
        <v>414</v>
      </c>
      <c r="N873">
        <v>689</v>
      </c>
      <c r="O873">
        <v>247</v>
      </c>
      <c r="P873">
        <v>194</v>
      </c>
      <c r="Q873">
        <v>47.37434683</v>
      </c>
      <c r="R873">
        <v>0.18439269999999999</v>
      </c>
      <c r="S873">
        <v>816</v>
      </c>
      <c r="T873">
        <v>176</v>
      </c>
      <c r="U873">
        <v>655</v>
      </c>
      <c r="V873">
        <v>1511</v>
      </c>
      <c r="W873">
        <v>1516</v>
      </c>
      <c r="X873">
        <v>745</v>
      </c>
      <c r="Y873">
        <v>65</v>
      </c>
      <c r="Z873">
        <v>59</v>
      </c>
      <c r="AA873">
        <v>210</v>
      </c>
      <c r="AB873">
        <v>1</v>
      </c>
      <c r="AC873">
        <v>137</v>
      </c>
      <c r="AD873">
        <v>344</v>
      </c>
      <c r="AE873">
        <v>0</v>
      </c>
      <c r="AF873">
        <v>0</v>
      </c>
      <c r="AG873">
        <v>4</v>
      </c>
      <c r="AH873">
        <v>0</v>
      </c>
      <c r="AI873">
        <v>0</v>
      </c>
      <c r="AJ873">
        <v>0</v>
      </c>
      <c r="AK873">
        <v>3.9173</v>
      </c>
      <c r="AL873">
        <v>3</v>
      </c>
      <c r="AM873">
        <v>0</v>
      </c>
      <c r="AN873">
        <v>1730</v>
      </c>
      <c r="AO873">
        <v>22</v>
      </c>
      <c r="AP873">
        <v>0</v>
      </c>
      <c r="AQ873">
        <v>0</v>
      </c>
    </row>
    <row r="874" spans="1:43" x14ac:dyDescent="0.25">
      <c r="A874">
        <v>871</v>
      </c>
      <c r="B874">
        <v>17</v>
      </c>
      <c r="C874">
        <v>17</v>
      </c>
      <c r="D874">
        <v>4</v>
      </c>
      <c r="E874">
        <v>3167</v>
      </c>
      <c r="F874">
        <v>6784</v>
      </c>
      <c r="G874">
        <v>6824</v>
      </c>
      <c r="H874">
        <v>4122</v>
      </c>
      <c r="I874">
        <v>953</v>
      </c>
      <c r="J874">
        <v>2255</v>
      </c>
      <c r="K874">
        <v>930</v>
      </c>
      <c r="L874">
        <v>913</v>
      </c>
      <c r="M874">
        <v>821</v>
      </c>
      <c r="N874">
        <v>515</v>
      </c>
      <c r="O874">
        <v>415</v>
      </c>
      <c r="P874">
        <v>210.08793600000001</v>
      </c>
      <c r="Q874">
        <v>198.35348640000001</v>
      </c>
      <c r="R874">
        <v>0.17408177399999999</v>
      </c>
      <c r="S874">
        <v>4213</v>
      </c>
      <c r="T874">
        <v>341</v>
      </c>
      <c r="U874">
        <v>966</v>
      </c>
      <c r="V874">
        <v>2642</v>
      </c>
      <c r="W874">
        <v>1966</v>
      </c>
      <c r="X874">
        <v>1077</v>
      </c>
      <c r="Y874">
        <v>413</v>
      </c>
      <c r="Z874">
        <v>936</v>
      </c>
      <c r="AA874">
        <v>2491</v>
      </c>
      <c r="AB874">
        <v>8</v>
      </c>
      <c r="AC874">
        <v>185</v>
      </c>
      <c r="AD874">
        <v>180</v>
      </c>
      <c r="AE874">
        <v>0</v>
      </c>
      <c r="AF874">
        <v>49.449954380000001</v>
      </c>
      <c r="AG874">
        <v>3</v>
      </c>
      <c r="AH874">
        <v>0</v>
      </c>
      <c r="AI874">
        <v>0</v>
      </c>
      <c r="AJ874">
        <v>0</v>
      </c>
      <c r="AK874">
        <v>1.80175</v>
      </c>
      <c r="AL874">
        <v>3</v>
      </c>
      <c r="AM874">
        <v>0</v>
      </c>
      <c r="AN874">
        <v>3167</v>
      </c>
      <c r="AO874">
        <v>40</v>
      </c>
      <c r="AP874">
        <v>0</v>
      </c>
      <c r="AQ874">
        <v>0</v>
      </c>
    </row>
    <row r="875" spans="1:43" x14ac:dyDescent="0.25">
      <c r="A875">
        <v>872</v>
      </c>
      <c r="B875">
        <v>17</v>
      </c>
      <c r="C875">
        <v>17</v>
      </c>
      <c r="D875">
        <v>4</v>
      </c>
      <c r="E875">
        <v>2925</v>
      </c>
      <c r="F875">
        <v>8794</v>
      </c>
      <c r="G875">
        <v>8806</v>
      </c>
      <c r="H875">
        <v>5310</v>
      </c>
      <c r="I875">
        <v>1924</v>
      </c>
      <c r="J875">
        <v>963</v>
      </c>
      <c r="K875">
        <v>829</v>
      </c>
      <c r="L875">
        <v>683</v>
      </c>
      <c r="M875">
        <v>764</v>
      </c>
      <c r="N875">
        <v>682</v>
      </c>
      <c r="O875">
        <v>538</v>
      </c>
      <c r="P875">
        <v>422</v>
      </c>
      <c r="Q875">
        <v>111.3560694</v>
      </c>
      <c r="R875">
        <v>0.189458974</v>
      </c>
      <c r="S875">
        <v>2337</v>
      </c>
      <c r="T875">
        <v>390</v>
      </c>
      <c r="U875">
        <v>1458</v>
      </c>
      <c r="V875">
        <v>3754</v>
      </c>
      <c r="W875">
        <v>2518</v>
      </c>
      <c r="X875">
        <v>1601</v>
      </c>
      <c r="Y875">
        <v>617</v>
      </c>
      <c r="Z875">
        <v>532</v>
      </c>
      <c r="AA875">
        <v>532</v>
      </c>
      <c r="AB875">
        <v>1</v>
      </c>
      <c r="AC875">
        <v>140</v>
      </c>
      <c r="AD875">
        <v>515</v>
      </c>
      <c r="AE875">
        <v>0</v>
      </c>
      <c r="AF875">
        <v>0</v>
      </c>
      <c r="AG875">
        <v>4</v>
      </c>
      <c r="AH875">
        <v>166</v>
      </c>
      <c r="AI875">
        <v>0</v>
      </c>
      <c r="AJ875">
        <v>0</v>
      </c>
      <c r="AK875">
        <v>1.40334</v>
      </c>
      <c r="AL875">
        <v>3</v>
      </c>
      <c r="AM875">
        <v>0</v>
      </c>
      <c r="AN875">
        <v>2925</v>
      </c>
      <c r="AO875">
        <v>12</v>
      </c>
      <c r="AP875">
        <v>0</v>
      </c>
      <c r="AQ875">
        <v>0</v>
      </c>
    </row>
    <row r="876" spans="1:43" x14ac:dyDescent="0.25">
      <c r="A876">
        <v>873</v>
      </c>
      <c r="B876">
        <v>17</v>
      </c>
      <c r="C876">
        <v>17</v>
      </c>
      <c r="D876">
        <v>4</v>
      </c>
      <c r="E876">
        <v>1845</v>
      </c>
      <c r="F876">
        <v>5618</v>
      </c>
      <c r="G876">
        <v>5629</v>
      </c>
      <c r="H876">
        <v>2858</v>
      </c>
      <c r="I876">
        <v>1358</v>
      </c>
      <c r="J876">
        <v>396</v>
      </c>
      <c r="K876">
        <v>548</v>
      </c>
      <c r="L876">
        <v>534</v>
      </c>
      <c r="M876">
        <v>473</v>
      </c>
      <c r="N876">
        <v>287</v>
      </c>
      <c r="O876">
        <v>2003</v>
      </c>
      <c r="P876">
        <v>321</v>
      </c>
      <c r="Q876">
        <v>1685.5458229999999</v>
      </c>
      <c r="R876">
        <v>0.17467181500000001</v>
      </c>
      <c r="S876">
        <v>10660</v>
      </c>
      <c r="T876">
        <v>321</v>
      </c>
      <c r="U876">
        <v>1373</v>
      </c>
      <c r="V876">
        <v>2233</v>
      </c>
      <c r="W876">
        <v>1547</v>
      </c>
      <c r="X876">
        <v>789</v>
      </c>
      <c r="Y876">
        <v>1707</v>
      </c>
      <c r="Z876">
        <v>1087</v>
      </c>
      <c r="AA876">
        <v>1192</v>
      </c>
      <c r="AB876">
        <v>3</v>
      </c>
      <c r="AC876">
        <v>4912</v>
      </c>
      <c r="AD876">
        <v>1759</v>
      </c>
      <c r="AE876">
        <v>0</v>
      </c>
      <c r="AF876">
        <v>0</v>
      </c>
      <c r="AG876">
        <v>4</v>
      </c>
      <c r="AH876">
        <v>0</v>
      </c>
      <c r="AI876">
        <v>0</v>
      </c>
      <c r="AJ876">
        <v>0</v>
      </c>
      <c r="AK876">
        <v>1.2437499999999999</v>
      </c>
      <c r="AL876">
        <v>3</v>
      </c>
      <c r="AM876">
        <v>0</v>
      </c>
      <c r="AN876">
        <v>1845</v>
      </c>
      <c r="AO876">
        <v>11</v>
      </c>
      <c r="AP876">
        <v>0</v>
      </c>
      <c r="AQ876">
        <v>0</v>
      </c>
    </row>
    <row r="877" spans="1:43" x14ac:dyDescent="0.25">
      <c r="A877">
        <v>874</v>
      </c>
      <c r="B877">
        <v>18</v>
      </c>
      <c r="C877">
        <v>18</v>
      </c>
      <c r="D877">
        <v>4</v>
      </c>
      <c r="E877">
        <v>0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2428.5</v>
      </c>
      <c r="P877">
        <v>571.45375220000005</v>
      </c>
      <c r="Q877">
        <v>2350</v>
      </c>
      <c r="R877">
        <v>0</v>
      </c>
      <c r="S877">
        <v>3930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9</v>
      </c>
      <c r="Z877">
        <v>403</v>
      </c>
      <c r="AA877">
        <v>262</v>
      </c>
      <c r="AB877">
        <v>1</v>
      </c>
      <c r="AC877">
        <v>3213</v>
      </c>
      <c r="AD877">
        <v>42</v>
      </c>
      <c r="AE877">
        <v>0</v>
      </c>
      <c r="AF877">
        <v>0</v>
      </c>
      <c r="AG877">
        <v>5</v>
      </c>
      <c r="AH877">
        <v>0</v>
      </c>
      <c r="AI877">
        <v>0</v>
      </c>
      <c r="AJ877">
        <v>0</v>
      </c>
      <c r="AK877">
        <v>0.93596000000000001</v>
      </c>
      <c r="AL877">
        <v>3</v>
      </c>
      <c r="AM877">
        <v>0</v>
      </c>
      <c r="AN877">
        <v>0</v>
      </c>
      <c r="AO877">
        <v>0</v>
      </c>
      <c r="AP877">
        <v>0</v>
      </c>
      <c r="AQ877">
        <v>0</v>
      </c>
    </row>
    <row r="878" spans="1:43" x14ac:dyDescent="0.25">
      <c r="A878">
        <v>875</v>
      </c>
      <c r="B878">
        <v>18</v>
      </c>
      <c r="C878">
        <v>18</v>
      </c>
      <c r="D878">
        <v>4</v>
      </c>
      <c r="E878">
        <v>1131</v>
      </c>
      <c r="F878">
        <v>3842</v>
      </c>
      <c r="G878">
        <v>4156</v>
      </c>
      <c r="H878">
        <v>1816</v>
      </c>
      <c r="I878">
        <v>809</v>
      </c>
      <c r="J878">
        <v>287</v>
      </c>
      <c r="K878">
        <v>396</v>
      </c>
      <c r="L878">
        <v>387</v>
      </c>
      <c r="M878">
        <v>199</v>
      </c>
      <c r="N878">
        <v>142</v>
      </c>
      <c r="O878">
        <v>1609.9</v>
      </c>
      <c r="P878">
        <v>157.51591379999999</v>
      </c>
      <c r="Q878">
        <v>898.48791730000005</v>
      </c>
      <c r="R878">
        <v>0.12635869599999999</v>
      </c>
      <c r="S878">
        <v>16578</v>
      </c>
      <c r="T878">
        <v>569</v>
      </c>
      <c r="U878">
        <v>1066</v>
      </c>
      <c r="V878">
        <v>2043</v>
      </c>
      <c r="W878">
        <v>857</v>
      </c>
      <c r="X878">
        <v>476</v>
      </c>
      <c r="Y878">
        <v>842</v>
      </c>
      <c r="Z878">
        <v>2784</v>
      </c>
      <c r="AA878">
        <v>4332</v>
      </c>
      <c r="AB878">
        <v>126</v>
      </c>
      <c r="AC878">
        <v>6908</v>
      </c>
      <c r="AD878">
        <v>1586</v>
      </c>
      <c r="AE878">
        <v>0</v>
      </c>
      <c r="AF878">
        <v>0</v>
      </c>
      <c r="AG878">
        <v>3</v>
      </c>
      <c r="AH878">
        <v>281</v>
      </c>
      <c r="AI878">
        <v>0</v>
      </c>
      <c r="AJ878">
        <v>0</v>
      </c>
      <c r="AK878">
        <v>1.6295999999999999</v>
      </c>
      <c r="AL878">
        <v>3</v>
      </c>
      <c r="AM878">
        <v>0</v>
      </c>
      <c r="AN878">
        <v>1131</v>
      </c>
      <c r="AO878">
        <v>314</v>
      </c>
      <c r="AP878">
        <v>0</v>
      </c>
      <c r="AQ878">
        <v>0</v>
      </c>
    </row>
    <row r="879" spans="1:43" x14ac:dyDescent="0.25">
      <c r="A879">
        <v>876</v>
      </c>
      <c r="B879">
        <v>18</v>
      </c>
      <c r="C879">
        <v>18</v>
      </c>
      <c r="D879">
        <v>4</v>
      </c>
      <c r="E879">
        <v>678</v>
      </c>
      <c r="F879">
        <v>2019</v>
      </c>
      <c r="G879">
        <v>2019</v>
      </c>
      <c r="H879">
        <v>1081</v>
      </c>
      <c r="I879">
        <v>595</v>
      </c>
      <c r="J879">
        <v>85</v>
      </c>
      <c r="K879">
        <v>224</v>
      </c>
      <c r="L879">
        <v>259</v>
      </c>
      <c r="M879">
        <v>124</v>
      </c>
      <c r="N879">
        <v>75</v>
      </c>
      <c r="O879">
        <v>120</v>
      </c>
      <c r="P879">
        <v>108</v>
      </c>
      <c r="Q879">
        <v>12</v>
      </c>
      <c r="R879">
        <v>0.13145928100000001</v>
      </c>
      <c r="S879">
        <v>193</v>
      </c>
      <c r="T879">
        <v>115</v>
      </c>
      <c r="U879">
        <v>467</v>
      </c>
      <c r="V879">
        <v>996</v>
      </c>
      <c r="W879">
        <v>531</v>
      </c>
      <c r="X879">
        <v>230</v>
      </c>
      <c r="Y879">
        <v>3</v>
      </c>
      <c r="Z879">
        <v>16</v>
      </c>
      <c r="AA879">
        <v>81</v>
      </c>
      <c r="AB879">
        <v>0</v>
      </c>
      <c r="AC879">
        <v>40</v>
      </c>
      <c r="AD879">
        <v>53</v>
      </c>
      <c r="AE879">
        <v>0</v>
      </c>
      <c r="AF879">
        <v>0</v>
      </c>
      <c r="AG879">
        <v>4</v>
      </c>
      <c r="AH879">
        <v>0</v>
      </c>
      <c r="AI879">
        <v>0</v>
      </c>
      <c r="AJ879">
        <v>0</v>
      </c>
      <c r="AK879">
        <v>1.23376</v>
      </c>
      <c r="AL879">
        <v>3</v>
      </c>
      <c r="AM879">
        <v>0</v>
      </c>
      <c r="AN879">
        <v>678</v>
      </c>
      <c r="AO879">
        <v>0</v>
      </c>
      <c r="AP879">
        <v>0</v>
      </c>
      <c r="AQ879">
        <v>0</v>
      </c>
    </row>
    <row r="880" spans="1:43" x14ac:dyDescent="0.25">
      <c r="A880">
        <v>877</v>
      </c>
      <c r="B880">
        <v>18</v>
      </c>
      <c r="C880">
        <v>18</v>
      </c>
      <c r="D880">
        <v>4</v>
      </c>
      <c r="E880">
        <v>1078</v>
      </c>
      <c r="F880">
        <v>3231</v>
      </c>
      <c r="G880">
        <v>3258</v>
      </c>
      <c r="H880">
        <v>1487</v>
      </c>
      <c r="I880">
        <v>860</v>
      </c>
      <c r="J880">
        <v>168</v>
      </c>
      <c r="K880">
        <v>328</v>
      </c>
      <c r="L880">
        <v>472</v>
      </c>
      <c r="M880">
        <v>211</v>
      </c>
      <c r="N880">
        <v>54</v>
      </c>
      <c r="O880">
        <v>156</v>
      </c>
      <c r="P880">
        <v>107.44300149999999</v>
      </c>
      <c r="Q880">
        <v>42</v>
      </c>
      <c r="R880">
        <v>0.118395574</v>
      </c>
      <c r="S880">
        <v>557</v>
      </c>
      <c r="T880">
        <v>171</v>
      </c>
      <c r="U880">
        <v>812</v>
      </c>
      <c r="V880">
        <v>1347</v>
      </c>
      <c r="W880">
        <v>842</v>
      </c>
      <c r="X880">
        <v>332</v>
      </c>
      <c r="Y880">
        <v>202</v>
      </c>
      <c r="Z880">
        <v>57</v>
      </c>
      <c r="AA880">
        <v>262</v>
      </c>
      <c r="AB880">
        <v>1</v>
      </c>
      <c r="AC880">
        <v>25</v>
      </c>
      <c r="AD880">
        <v>10</v>
      </c>
      <c r="AE880">
        <v>0</v>
      </c>
      <c r="AF880">
        <v>0</v>
      </c>
      <c r="AG880">
        <v>4</v>
      </c>
      <c r="AH880">
        <v>866</v>
      </c>
      <c r="AI880">
        <v>0</v>
      </c>
      <c r="AJ880">
        <v>0</v>
      </c>
      <c r="AK880">
        <v>1.3738300000000001</v>
      </c>
      <c r="AL880">
        <v>3</v>
      </c>
      <c r="AM880">
        <v>0</v>
      </c>
      <c r="AN880">
        <v>1078</v>
      </c>
      <c r="AO880">
        <v>27</v>
      </c>
      <c r="AP880">
        <v>0</v>
      </c>
      <c r="AQ880">
        <v>0</v>
      </c>
    </row>
    <row r="881" spans="1:43" x14ac:dyDescent="0.25">
      <c r="A881">
        <v>878</v>
      </c>
      <c r="B881">
        <v>18</v>
      </c>
      <c r="C881">
        <v>18</v>
      </c>
      <c r="D881">
        <v>4</v>
      </c>
      <c r="E881">
        <v>1776</v>
      </c>
      <c r="F881">
        <v>5044</v>
      </c>
      <c r="G881">
        <v>5069</v>
      </c>
      <c r="H881">
        <v>2359</v>
      </c>
      <c r="I881">
        <v>1255</v>
      </c>
      <c r="J881">
        <v>511</v>
      </c>
      <c r="K881">
        <v>798</v>
      </c>
      <c r="L881">
        <v>691</v>
      </c>
      <c r="M881">
        <v>210</v>
      </c>
      <c r="N881">
        <v>97</v>
      </c>
      <c r="O881">
        <v>250</v>
      </c>
      <c r="P881">
        <v>133</v>
      </c>
      <c r="Q881">
        <v>99.353678860000002</v>
      </c>
      <c r="R881">
        <v>9.9826086999999994E-2</v>
      </c>
      <c r="S881">
        <v>859</v>
      </c>
      <c r="T881">
        <v>528</v>
      </c>
      <c r="U881">
        <v>1144</v>
      </c>
      <c r="V881">
        <v>2253</v>
      </c>
      <c r="W881">
        <v>1293</v>
      </c>
      <c r="X881">
        <v>367</v>
      </c>
      <c r="Y881">
        <v>41</v>
      </c>
      <c r="Z881">
        <v>127</v>
      </c>
      <c r="AA881">
        <v>454</v>
      </c>
      <c r="AB881">
        <v>1</v>
      </c>
      <c r="AC881">
        <v>193</v>
      </c>
      <c r="AD881">
        <v>43</v>
      </c>
      <c r="AE881">
        <v>0</v>
      </c>
      <c r="AF881">
        <v>0</v>
      </c>
      <c r="AG881">
        <v>3</v>
      </c>
      <c r="AH881">
        <v>0</v>
      </c>
      <c r="AI881">
        <v>0</v>
      </c>
      <c r="AJ881">
        <v>0</v>
      </c>
      <c r="AK881">
        <v>1.4470799999999999</v>
      </c>
      <c r="AL881">
        <v>3</v>
      </c>
      <c r="AM881">
        <v>0</v>
      </c>
      <c r="AN881">
        <v>1776</v>
      </c>
      <c r="AO881">
        <v>25</v>
      </c>
      <c r="AP881">
        <v>0</v>
      </c>
      <c r="AQ881">
        <v>0</v>
      </c>
    </row>
    <row r="882" spans="1:43" x14ac:dyDescent="0.25">
      <c r="A882">
        <v>879</v>
      </c>
      <c r="B882">
        <v>18</v>
      </c>
      <c r="C882">
        <v>18</v>
      </c>
      <c r="D882">
        <v>4</v>
      </c>
      <c r="E882">
        <v>1424</v>
      </c>
      <c r="F882">
        <v>3970</v>
      </c>
      <c r="G882">
        <v>3972</v>
      </c>
      <c r="H882">
        <v>2285</v>
      </c>
      <c r="I882">
        <v>1126</v>
      </c>
      <c r="J882">
        <v>274</v>
      </c>
      <c r="K882">
        <v>464</v>
      </c>
      <c r="L882">
        <v>343</v>
      </c>
      <c r="M882">
        <v>425</v>
      </c>
      <c r="N882">
        <v>187</v>
      </c>
      <c r="O882">
        <v>157</v>
      </c>
      <c r="P882">
        <v>94</v>
      </c>
      <c r="Q882">
        <v>63</v>
      </c>
      <c r="R882">
        <v>0.156897704</v>
      </c>
      <c r="S882">
        <v>546</v>
      </c>
      <c r="T882">
        <v>287</v>
      </c>
      <c r="U882">
        <v>710</v>
      </c>
      <c r="V882">
        <v>1588</v>
      </c>
      <c r="W882">
        <v>1213</v>
      </c>
      <c r="X882">
        <v>545</v>
      </c>
      <c r="Y882">
        <v>47</v>
      </c>
      <c r="Z882">
        <v>81</v>
      </c>
      <c r="AA882">
        <v>169</v>
      </c>
      <c r="AB882">
        <v>1</v>
      </c>
      <c r="AC882">
        <v>146</v>
      </c>
      <c r="AD882">
        <v>102</v>
      </c>
      <c r="AE882">
        <v>0</v>
      </c>
      <c r="AF882">
        <v>0</v>
      </c>
      <c r="AG882">
        <v>4</v>
      </c>
      <c r="AH882">
        <v>0</v>
      </c>
      <c r="AI882">
        <v>0</v>
      </c>
      <c r="AJ882">
        <v>0</v>
      </c>
      <c r="AK882">
        <v>1.4285699999999999</v>
      </c>
      <c r="AL882">
        <v>3</v>
      </c>
      <c r="AM882">
        <v>0</v>
      </c>
      <c r="AN882">
        <v>1424</v>
      </c>
      <c r="AO882">
        <v>2</v>
      </c>
      <c r="AP882">
        <v>0</v>
      </c>
      <c r="AQ882">
        <v>0</v>
      </c>
    </row>
    <row r="883" spans="1:43" x14ac:dyDescent="0.25">
      <c r="A883">
        <v>880</v>
      </c>
      <c r="B883">
        <v>18</v>
      </c>
      <c r="C883">
        <v>18</v>
      </c>
      <c r="D883">
        <v>4</v>
      </c>
      <c r="E883">
        <v>1229</v>
      </c>
      <c r="F883">
        <v>3815</v>
      </c>
      <c r="G883">
        <v>3826</v>
      </c>
      <c r="H883">
        <v>1995</v>
      </c>
      <c r="I883">
        <v>803</v>
      </c>
      <c r="J883">
        <v>404</v>
      </c>
      <c r="K883">
        <v>602</v>
      </c>
      <c r="L883">
        <v>347</v>
      </c>
      <c r="M883">
        <v>228</v>
      </c>
      <c r="N883">
        <v>62</v>
      </c>
      <c r="O883">
        <v>142</v>
      </c>
      <c r="P883">
        <v>103.0823778</v>
      </c>
      <c r="Q883">
        <v>34.380482870000002</v>
      </c>
      <c r="R883">
        <v>6.8741290999999996E-2</v>
      </c>
      <c r="S883">
        <v>382</v>
      </c>
      <c r="T883">
        <v>315</v>
      </c>
      <c r="U883">
        <v>1070</v>
      </c>
      <c r="V883">
        <v>1701</v>
      </c>
      <c r="W883">
        <v>895</v>
      </c>
      <c r="X883">
        <v>193</v>
      </c>
      <c r="Y883">
        <v>9</v>
      </c>
      <c r="Z883">
        <v>28</v>
      </c>
      <c r="AA883">
        <v>274</v>
      </c>
      <c r="AB883">
        <v>0</v>
      </c>
      <c r="AC883">
        <v>15</v>
      </c>
      <c r="AD883">
        <v>56</v>
      </c>
      <c r="AE883">
        <v>0</v>
      </c>
      <c r="AF883">
        <v>0</v>
      </c>
      <c r="AG883">
        <v>4</v>
      </c>
      <c r="AH883">
        <v>0</v>
      </c>
      <c r="AI883">
        <v>0</v>
      </c>
      <c r="AJ883">
        <v>0</v>
      </c>
      <c r="AK883">
        <v>1.5256700000000001</v>
      </c>
      <c r="AL883">
        <v>3</v>
      </c>
      <c r="AM883">
        <v>0</v>
      </c>
      <c r="AN883">
        <v>1229</v>
      </c>
      <c r="AO883">
        <v>11</v>
      </c>
      <c r="AP883">
        <v>0</v>
      </c>
      <c r="AQ883">
        <v>0</v>
      </c>
    </row>
    <row r="884" spans="1:43" x14ac:dyDescent="0.25">
      <c r="A884">
        <v>881</v>
      </c>
      <c r="B884">
        <v>18</v>
      </c>
      <c r="C884">
        <v>18</v>
      </c>
      <c r="D884">
        <v>4</v>
      </c>
      <c r="E884">
        <v>1060</v>
      </c>
      <c r="F884">
        <v>2770</v>
      </c>
      <c r="G884">
        <v>2782</v>
      </c>
      <c r="H884">
        <v>1515</v>
      </c>
      <c r="I884">
        <v>762</v>
      </c>
      <c r="J884">
        <v>285</v>
      </c>
      <c r="K884">
        <v>357</v>
      </c>
      <c r="L884">
        <v>373</v>
      </c>
      <c r="M884">
        <v>191</v>
      </c>
      <c r="N884">
        <v>131</v>
      </c>
      <c r="O884">
        <v>142</v>
      </c>
      <c r="P884">
        <v>128.1185084</v>
      </c>
      <c r="Q884">
        <v>10.87067135</v>
      </c>
      <c r="R884">
        <v>0.15235910899999999</v>
      </c>
      <c r="S884">
        <v>237</v>
      </c>
      <c r="T884">
        <v>235</v>
      </c>
      <c r="U884">
        <v>582</v>
      </c>
      <c r="V884">
        <v>966</v>
      </c>
      <c r="W884">
        <v>851</v>
      </c>
      <c r="X884">
        <v>330</v>
      </c>
      <c r="Y884">
        <v>11</v>
      </c>
      <c r="Z884">
        <v>32</v>
      </c>
      <c r="AA884">
        <v>145</v>
      </c>
      <c r="AB884">
        <v>1</v>
      </c>
      <c r="AC884">
        <v>13</v>
      </c>
      <c r="AD884">
        <v>35</v>
      </c>
      <c r="AE884">
        <v>0</v>
      </c>
      <c r="AF884">
        <v>0</v>
      </c>
      <c r="AG884">
        <v>4</v>
      </c>
      <c r="AH884">
        <v>0</v>
      </c>
      <c r="AI884">
        <v>0</v>
      </c>
      <c r="AJ884">
        <v>0</v>
      </c>
      <c r="AK884">
        <v>1.34138</v>
      </c>
      <c r="AL884">
        <v>2</v>
      </c>
      <c r="AM884">
        <v>0</v>
      </c>
      <c r="AN884">
        <v>1060</v>
      </c>
      <c r="AO884">
        <v>12</v>
      </c>
      <c r="AP884">
        <v>0</v>
      </c>
      <c r="AQ884">
        <v>0</v>
      </c>
    </row>
    <row r="885" spans="1:43" x14ac:dyDescent="0.25">
      <c r="A885">
        <v>882</v>
      </c>
      <c r="B885">
        <v>18</v>
      </c>
      <c r="C885">
        <v>18</v>
      </c>
      <c r="D885">
        <v>4</v>
      </c>
      <c r="E885">
        <v>1316</v>
      </c>
      <c r="F885">
        <v>3374</v>
      </c>
      <c r="G885">
        <v>3379</v>
      </c>
      <c r="H885">
        <v>1673</v>
      </c>
      <c r="I885">
        <v>928</v>
      </c>
      <c r="J885">
        <v>333</v>
      </c>
      <c r="K885">
        <v>415</v>
      </c>
      <c r="L885">
        <v>366</v>
      </c>
      <c r="M885">
        <v>327</v>
      </c>
      <c r="N885">
        <v>208</v>
      </c>
      <c r="O885">
        <v>196</v>
      </c>
      <c r="P885">
        <v>139</v>
      </c>
      <c r="Q885">
        <v>45.8833688</v>
      </c>
      <c r="R885">
        <v>0.17632170999999999</v>
      </c>
      <c r="S885">
        <v>578</v>
      </c>
      <c r="T885">
        <v>271</v>
      </c>
      <c r="U885">
        <v>633</v>
      </c>
      <c r="V885">
        <v>1182</v>
      </c>
      <c r="W885">
        <v>883</v>
      </c>
      <c r="X885">
        <v>467</v>
      </c>
      <c r="Y885">
        <v>121</v>
      </c>
      <c r="Z885">
        <v>30</v>
      </c>
      <c r="AA885">
        <v>404</v>
      </c>
      <c r="AB885">
        <v>0</v>
      </c>
      <c r="AC885">
        <v>8</v>
      </c>
      <c r="AD885">
        <v>15</v>
      </c>
      <c r="AE885">
        <v>0</v>
      </c>
      <c r="AF885">
        <v>0</v>
      </c>
      <c r="AG885">
        <v>4</v>
      </c>
      <c r="AH885">
        <v>0</v>
      </c>
      <c r="AI885">
        <v>0</v>
      </c>
      <c r="AJ885">
        <v>0</v>
      </c>
      <c r="AK885">
        <v>1.3738699999999999</v>
      </c>
      <c r="AL885">
        <v>1</v>
      </c>
      <c r="AM885">
        <v>0</v>
      </c>
      <c r="AN885">
        <v>1316</v>
      </c>
      <c r="AO885">
        <v>5</v>
      </c>
      <c r="AP885">
        <v>0</v>
      </c>
      <c r="AQ885">
        <v>0</v>
      </c>
    </row>
    <row r="886" spans="1:43" x14ac:dyDescent="0.25">
      <c r="A886">
        <v>883</v>
      </c>
      <c r="B886">
        <v>18</v>
      </c>
      <c r="C886">
        <v>18</v>
      </c>
      <c r="D886">
        <v>4</v>
      </c>
      <c r="E886">
        <v>1351</v>
      </c>
      <c r="F886">
        <v>3213</v>
      </c>
      <c r="G886">
        <v>3214</v>
      </c>
      <c r="H886">
        <v>1620</v>
      </c>
      <c r="I886">
        <v>1234</v>
      </c>
      <c r="J886">
        <v>50</v>
      </c>
      <c r="K886">
        <v>259</v>
      </c>
      <c r="L886">
        <v>255</v>
      </c>
      <c r="M886">
        <v>266</v>
      </c>
      <c r="N886">
        <v>563</v>
      </c>
      <c r="O886">
        <v>1702</v>
      </c>
      <c r="P886">
        <v>492.49707919999997</v>
      </c>
      <c r="Q886">
        <v>237.45322590000001</v>
      </c>
      <c r="R886">
        <v>0.34240094599999998</v>
      </c>
      <c r="S886">
        <v>1114</v>
      </c>
      <c r="T886">
        <v>286</v>
      </c>
      <c r="U886">
        <v>219</v>
      </c>
      <c r="V886">
        <v>834</v>
      </c>
      <c r="W886">
        <v>916</v>
      </c>
      <c r="X886">
        <v>1021</v>
      </c>
      <c r="Y886">
        <v>8</v>
      </c>
      <c r="Z886">
        <v>36</v>
      </c>
      <c r="AA886">
        <v>1041</v>
      </c>
      <c r="AB886">
        <v>0</v>
      </c>
      <c r="AC886">
        <v>7</v>
      </c>
      <c r="AD886">
        <v>22</v>
      </c>
      <c r="AE886">
        <v>0</v>
      </c>
      <c r="AF886">
        <v>0</v>
      </c>
      <c r="AG886">
        <v>4</v>
      </c>
      <c r="AH886">
        <v>231</v>
      </c>
      <c r="AI886">
        <v>0</v>
      </c>
      <c r="AJ886">
        <v>0</v>
      </c>
      <c r="AK886">
        <v>1.00708</v>
      </c>
      <c r="AL886">
        <v>1</v>
      </c>
      <c r="AM886">
        <v>0</v>
      </c>
      <c r="AN886">
        <v>1351</v>
      </c>
      <c r="AO886">
        <v>1</v>
      </c>
      <c r="AP886">
        <v>0</v>
      </c>
      <c r="AQ886">
        <v>0</v>
      </c>
    </row>
    <row r="887" spans="1:43" x14ac:dyDescent="0.25">
      <c r="A887">
        <v>884</v>
      </c>
      <c r="B887">
        <v>18</v>
      </c>
      <c r="C887">
        <v>18</v>
      </c>
      <c r="D887">
        <v>4</v>
      </c>
      <c r="E887">
        <v>1471</v>
      </c>
      <c r="F887">
        <v>3900</v>
      </c>
      <c r="G887">
        <v>3908</v>
      </c>
      <c r="H887">
        <v>1946</v>
      </c>
      <c r="I887">
        <v>1329</v>
      </c>
      <c r="J887">
        <v>152</v>
      </c>
      <c r="K887">
        <v>204</v>
      </c>
      <c r="L887">
        <v>282</v>
      </c>
      <c r="M887">
        <v>378</v>
      </c>
      <c r="N887">
        <v>599</v>
      </c>
      <c r="O887">
        <v>1149</v>
      </c>
      <c r="P887">
        <v>455.72715890000001</v>
      </c>
      <c r="Q887">
        <v>239.1434198</v>
      </c>
      <c r="R887">
        <v>0.254527163</v>
      </c>
      <c r="S887">
        <v>551</v>
      </c>
      <c r="T887">
        <v>134</v>
      </c>
      <c r="U887">
        <v>528</v>
      </c>
      <c r="V887">
        <v>1247</v>
      </c>
      <c r="W887">
        <v>1034</v>
      </c>
      <c r="X887">
        <v>900</v>
      </c>
      <c r="Y887">
        <v>18</v>
      </c>
      <c r="Z887">
        <v>105</v>
      </c>
      <c r="AA887">
        <v>337</v>
      </c>
      <c r="AB887">
        <v>1</v>
      </c>
      <c r="AC887">
        <v>35</v>
      </c>
      <c r="AD887">
        <v>55</v>
      </c>
      <c r="AE887">
        <v>0</v>
      </c>
      <c r="AF887">
        <v>0</v>
      </c>
      <c r="AG887">
        <v>4</v>
      </c>
      <c r="AH887">
        <v>0</v>
      </c>
      <c r="AI887">
        <v>0</v>
      </c>
      <c r="AJ887">
        <v>0</v>
      </c>
      <c r="AK887">
        <v>1.0183199999999999</v>
      </c>
      <c r="AL887">
        <v>1</v>
      </c>
      <c r="AM887">
        <v>0</v>
      </c>
      <c r="AN887">
        <v>1471</v>
      </c>
      <c r="AO887">
        <v>8</v>
      </c>
      <c r="AP887">
        <v>0</v>
      </c>
      <c r="AQ887">
        <v>0</v>
      </c>
    </row>
    <row r="888" spans="1:43" x14ac:dyDescent="0.25">
      <c r="A888">
        <v>885</v>
      </c>
      <c r="B888">
        <v>18</v>
      </c>
      <c r="C888">
        <v>18</v>
      </c>
      <c r="D888">
        <v>4</v>
      </c>
      <c r="E888">
        <v>3015</v>
      </c>
      <c r="F888">
        <v>7377</v>
      </c>
      <c r="G888">
        <v>7377</v>
      </c>
      <c r="H888">
        <v>3717</v>
      </c>
      <c r="I888">
        <v>2282</v>
      </c>
      <c r="J888">
        <v>706</v>
      </c>
      <c r="K888">
        <v>401</v>
      </c>
      <c r="L888">
        <v>558</v>
      </c>
      <c r="M888">
        <v>653</v>
      </c>
      <c r="N888">
        <v>1398</v>
      </c>
      <c r="O888">
        <v>2115</v>
      </c>
      <c r="P888">
        <v>1091.6894809999999</v>
      </c>
      <c r="Q888">
        <v>190.3200904</v>
      </c>
      <c r="R888">
        <v>0.21713339800000001</v>
      </c>
      <c r="S888">
        <v>1431</v>
      </c>
      <c r="T888">
        <v>407</v>
      </c>
      <c r="U888">
        <v>974</v>
      </c>
      <c r="V888">
        <v>2300</v>
      </c>
      <c r="W888">
        <v>2050</v>
      </c>
      <c r="X888">
        <v>1293</v>
      </c>
      <c r="Y888">
        <v>17</v>
      </c>
      <c r="Z888">
        <v>536</v>
      </c>
      <c r="AA888">
        <v>794</v>
      </c>
      <c r="AB888">
        <v>1</v>
      </c>
      <c r="AC888">
        <v>54</v>
      </c>
      <c r="AD888">
        <v>29</v>
      </c>
      <c r="AE888">
        <v>0</v>
      </c>
      <c r="AF888">
        <v>0</v>
      </c>
      <c r="AG888">
        <v>4</v>
      </c>
      <c r="AH888">
        <v>1250</v>
      </c>
      <c r="AI888">
        <v>1473</v>
      </c>
      <c r="AJ888">
        <v>10476</v>
      </c>
      <c r="AK888">
        <v>1.02251</v>
      </c>
      <c r="AL888">
        <v>1</v>
      </c>
      <c r="AM888">
        <v>0</v>
      </c>
      <c r="AN888">
        <v>3015</v>
      </c>
      <c r="AO888">
        <v>0</v>
      </c>
      <c r="AP888">
        <v>0</v>
      </c>
      <c r="AQ888">
        <v>0</v>
      </c>
    </row>
    <row r="889" spans="1:43" x14ac:dyDescent="0.25">
      <c r="A889">
        <v>886</v>
      </c>
      <c r="B889">
        <v>18</v>
      </c>
      <c r="C889">
        <v>18</v>
      </c>
      <c r="D889">
        <v>4</v>
      </c>
      <c r="E889">
        <v>1901</v>
      </c>
      <c r="F889">
        <v>4237</v>
      </c>
      <c r="G889">
        <v>4252</v>
      </c>
      <c r="H889">
        <v>2493</v>
      </c>
      <c r="I889">
        <v>1634</v>
      </c>
      <c r="J889">
        <v>283</v>
      </c>
      <c r="K889">
        <v>507</v>
      </c>
      <c r="L889">
        <v>375</v>
      </c>
      <c r="M889">
        <v>473</v>
      </c>
      <c r="N889">
        <v>548</v>
      </c>
      <c r="O889">
        <v>376</v>
      </c>
      <c r="P889">
        <v>360</v>
      </c>
      <c r="Q889">
        <v>15.060325089999999</v>
      </c>
      <c r="R889">
        <v>0.16412537099999999</v>
      </c>
      <c r="S889">
        <v>459</v>
      </c>
      <c r="T889">
        <v>367</v>
      </c>
      <c r="U889">
        <v>399</v>
      </c>
      <c r="V889">
        <v>1983</v>
      </c>
      <c r="W889">
        <v>1252</v>
      </c>
      <c r="X889">
        <v>592</v>
      </c>
      <c r="Y889">
        <v>27</v>
      </c>
      <c r="Z889">
        <v>128</v>
      </c>
      <c r="AA889">
        <v>254</v>
      </c>
      <c r="AB889">
        <v>1</v>
      </c>
      <c r="AC889">
        <v>14</v>
      </c>
      <c r="AD889">
        <v>35</v>
      </c>
      <c r="AE889">
        <v>0</v>
      </c>
      <c r="AF889">
        <v>0</v>
      </c>
      <c r="AG889">
        <v>4</v>
      </c>
      <c r="AH889">
        <v>2</v>
      </c>
      <c r="AI889">
        <v>0</v>
      </c>
      <c r="AJ889">
        <v>0</v>
      </c>
      <c r="AK889">
        <v>1.2049399999999999</v>
      </c>
      <c r="AL889">
        <v>1</v>
      </c>
      <c r="AM889">
        <v>0</v>
      </c>
      <c r="AN889">
        <v>1901</v>
      </c>
      <c r="AO889">
        <v>15</v>
      </c>
      <c r="AP889">
        <v>0</v>
      </c>
      <c r="AQ889">
        <v>0</v>
      </c>
    </row>
    <row r="890" spans="1:43" x14ac:dyDescent="0.25">
      <c r="A890">
        <v>887</v>
      </c>
      <c r="B890">
        <v>18</v>
      </c>
      <c r="C890">
        <v>18</v>
      </c>
      <c r="D890">
        <v>4</v>
      </c>
      <c r="E890">
        <v>1261</v>
      </c>
      <c r="F890">
        <v>3070</v>
      </c>
      <c r="G890">
        <v>3095</v>
      </c>
      <c r="H890">
        <v>1598</v>
      </c>
      <c r="I890">
        <v>945</v>
      </c>
      <c r="J890">
        <v>345</v>
      </c>
      <c r="K890">
        <v>286</v>
      </c>
      <c r="L890">
        <v>344</v>
      </c>
      <c r="M890">
        <v>286</v>
      </c>
      <c r="N890">
        <v>340</v>
      </c>
      <c r="O890">
        <v>437</v>
      </c>
      <c r="P890">
        <v>226</v>
      </c>
      <c r="Q890">
        <v>108.25775</v>
      </c>
      <c r="R890">
        <v>0.14497206700000001</v>
      </c>
      <c r="S890">
        <v>744</v>
      </c>
      <c r="T890">
        <v>193</v>
      </c>
      <c r="U890">
        <v>458</v>
      </c>
      <c r="V890">
        <v>1512</v>
      </c>
      <c r="W890">
        <v>930</v>
      </c>
      <c r="X890">
        <v>383</v>
      </c>
      <c r="Y890">
        <v>20</v>
      </c>
      <c r="Z890">
        <v>292</v>
      </c>
      <c r="AA890">
        <v>413</v>
      </c>
      <c r="AB890">
        <v>0</v>
      </c>
      <c r="AC890">
        <v>8</v>
      </c>
      <c r="AD890">
        <v>11</v>
      </c>
      <c r="AE890">
        <v>0</v>
      </c>
      <c r="AF890">
        <v>0</v>
      </c>
      <c r="AG890">
        <v>4</v>
      </c>
      <c r="AH890">
        <v>2031</v>
      </c>
      <c r="AI890">
        <v>0</v>
      </c>
      <c r="AJ890">
        <v>0</v>
      </c>
      <c r="AK890">
        <v>1.13365</v>
      </c>
      <c r="AL890">
        <v>1</v>
      </c>
      <c r="AM890">
        <v>0</v>
      </c>
      <c r="AN890">
        <v>1261</v>
      </c>
      <c r="AO890">
        <v>25</v>
      </c>
      <c r="AP890">
        <v>0</v>
      </c>
      <c r="AQ890">
        <v>0</v>
      </c>
    </row>
    <row r="891" spans="1:43" x14ac:dyDescent="0.25">
      <c r="A891">
        <v>888</v>
      </c>
      <c r="B891">
        <v>18</v>
      </c>
      <c r="C891">
        <v>18</v>
      </c>
      <c r="D891">
        <v>4</v>
      </c>
      <c r="E891">
        <v>1732</v>
      </c>
      <c r="F891">
        <v>4782</v>
      </c>
      <c r="G891">
        <v>4791</v>
      </c>
      <c r="H891">
        <v>1953</v>
      </c>
      <c r="I891">
        <v>812</v>
      </c>
      <c r="J891">
        <v>950</v>
      </c>
      <c r="K891">
        <v>1027</v>
      </c>
      <c r="L891">
        <v>465</v>
      </c>
      <c r="M891">
        <v>169</v>
      </c>
      <c r="N891">
        <v>61</v>
      </c>
      <c r="O891">
        <v>198</v>
      </c>
      <c r="P891">
        <v>189</v>
      </c>
      <c r="Q891">
        <v>9.2372237009999996</v>
      </c>
      <c r="R891">
        <v>9.1412214000000006E-2</v>
      </c>
      <c r="S891">
        <v>304</v>
      </c>
      <c r="T891">
        <v>371</v>
      </c>
      <c r="U891">
        <v>1481</v>
      </c>
      <c r="V891">
        <v>1842</v>
      </c>
      <c r="W891">
        <v>1019</v>
      </c>
      <c r="X891">
        <v>364</v>
      </c>
      <c r="Y891">
        <v>10</v>
      </c>
      <c r="Z891">
        <v>29</v>
      </c>
      <c r="AA891">
        <v>221</v>
      </c>
      <c r="AB891">
        <v>1</v>
      </c>
      <c r="AC891">
        <v>15</v>
      </c>
      <c r="AD891">
        <v>28</v>
      </c>
      <c r="AE891">
        <v>0</v>
      </c>
      <c r="AF891">
        <v>0</v>
      </c>
      <c r="AG891">
        <v>4</v>
      </c>
      <c r="AH891">
        <v>892</v>
      </c>
      <c r="AI891">
        <v>0</v>
      </c>
      <c r="AJ891">
        <v>0</v>
      </c>
      <c r="AK891">
        <v>1.4205700000000001</v>
      </c>
      <c r="AL891">
        <v>3</v>
      </c>
      <c r="AM891">
        <v>0</v>
      </c>
      <c r="AN891">
        <v>1732</v>
      </c>
      <c r="AO891">
        <v>9</v>
      </c>
      <c r="AP891">
        <v>0</v>
      </c>
      <c r="AQ891">
        <v>0</v>
      </c>
    </row>
    <row r="892" spans="1:43" x14ac:dyDescent="0.25">
      <c r="A892">
        <v>889</v>
      </c>
      <c r="B892">
        <v>18</v>
      </c>
      <c r="C892">
        <v>18</v>
      </c>
      <c r="D892">
        <v>4</v>
      </c>
      <c r="E892">
        <v>1388</v>
      </c>
      <c r="F892">
        <v>3643</v>
      </c>
      <c r="G892">
        <v>3649</v>
      </c>
      <c r="H892">
        <v>2010</v>
      </c>
      <c r="I892">
        <v>843</v>
      </c>
      <c r="J892">
        <v>457</v>
      </c>
      <c r="K892">
        <v>542</v>
      </c>
      <c r="L892">
        <v>455</v>
      </c>
      <c r="M892">
        <v>212</v>
      </c>
      <c r="N892">
        <v>176</v>
      </c>
      <c r="O892">
        <v>130</v>
      </c>
      <c r="P892">
        <v>120.0919597</v>
      </c>
      <c r="Q892">
        <v>11.18401774</v>
      </c>
      <c r="R892">
        <v>0.15896168099999999</v>
      </c>
      <c r="S892">
        <v>183</v>
      </c>
      <c r="T892">
        <v>250</v>
      </c>
      <c r="U892">
        <v>618</v>
      </c>
      <c r="V892">
        <v>1673</v>
      </c>
      <c r="W892">
        <v>896</v>
      </c>
      <c r="X892">
        <v>487</v>
      </c>
      <c r="Y892">
        <v>2</v>
      </c>
      <c r="Z892">
        <v>7</v>
      </c>
      <c r="AA892">
        <v>173</v>
      </c>
      <c r="AB892">
        <v>0</v>
      </c>
      <c r="AC892">
        <v>0</v>
      </c>
      <c r="AD892">
        <v>1</v>
      </c>
      <c r="AE892">
        <v>0</v>
      </c>
      <c r="AF892">
        <v>0</v>
      </c>
      <c r="AG892">
        <v>4</v>
      </c>
      <c r="AH892">
        <v>0</v>
      </c>
      <c r="AI892">
        <v>0</v>
      </c>
      <c r="AJ892">
        <v>0</v>
      </c>
      <c r="AK892">
        <v>1.39611</v>
      </c>
      <c r="AL892">
        <v>2</v>
      </c>
      <c r="AM892">
        <v>0</v>
      </c>
      <c r="AN892">
        <v>1388</v>
      </c>
      <c r="AO892">
        <v>6</v>
      </c>
      <c r="AP892">
        <v>0</v>
      </c>
      <c r="AQ892">
        <v>0</v>
      </c>
    </row>
    <row r="893" spans="1:43" x14ac:dyDescent="0.25">
      <c r="A893">
        <v>890</v>
      </c>
      <c r="B893">
        <v>18</v>
      </c>
      <c r="C893">
        <v>18</v>
      </c>
      <c r="D893">
        <v>4</v>
      </c>
      <c r="E893">
        <v>1813</v>
      </c>
      <c r="F893">
        <v>5153</v>
      </c>
      <c r="G893">
        <v>5158</v>
      </c>
      <c r="H893">
        <v>2512</v>
      </c>
      <c r="I893">
        <v>1263</v>
      </c>
      <c r="J893">
        <v>606</v>
      </c>
      <c r="K893">
        <v>791</v>
      </c>
      <c r="L893">
        <v>485</v>
      </c>
      <c r="M893">
        <v>327</v>
      </c>
      <c r="N893">
        <v>208</v>
      </c>
      <c r="O893">
        <v>211</v>
      </c>
      <c r="P893">
        <v>155</v>
      </c>
      <c r="Q893">
        <v>41.661138200000003</v>
      </c>
      <c r="R893">
        <v>0.12001357999999999</v>
      </c>
      <c r="S893">
        <v>459</v>
      </c>
      <c r="T893">
        <v>424</v>
      </c>
      <c r="U893">
        <v>1175</v>
      </c>
      <c r="V893">
        <v>2085</v>
      </c>
      <c r="W893">
        <v>1494</v>
      </c>
      <c r="X893">
        <v>514</v>
      </c>
      <c r="Y893">
        <v>17</v>
      </c>
      <c r="Z893">
        <v>75</v>
      </c>
      <c r="AA893">
        <v>281</v>
      </c>
      <c r="AB893">
        <v>1</v>
      </c>
      <c r="AC893">
        <v>11</v>
      </c>
      <c r="AD893">
        <v>74</v>
      </c>
      <c r="AE893">
        <v>0</v>
      </c>
      <c r="AF893">
        <v>0</v>
      </c>
      <c r="AG893">
        <v>4</v>
      </c>
      <c r="AH893">
        <v>0</v>
      </c>
      <c r="AI893">
        <v>0</v>
      </c>
      <c r="AJ893">
        <v>0</v>
      </c>
      <c r="AK893">
        <v>1.4909600000000001</v>
      </c>
      <c r="AL893">
        <v>3</v>
      </c>
      <c r="AM893">
        <v>0</v>
      </c>
      <c r="AN893">
        <v>1813</v>
      </c>
      <c r="AO893">
        <v>5</v>
      </c>
      <c r="AP893">
        <v>0</v>
      </c>
      <c r="AQ893">
        <v>0</v>
      </c>
    </row>
    <row r="894" spans="1:43" x14ac:dyDescent="0.25">
      <c r="A894">
        <v>891</v>
      </c>
      <c r="B894">
        <v>18</v>
      </c>
      <c r="C894">
        <v>18</v>
      </c>
      <c r="D894">
        <v>4</v>
      </c>
      <c r="E894">
        <v>1757</v>
      </c>
      <c r="F894">
        <v>4508</v>
      </c>
      <c r="G894">
        <v>4520</v>
      </c>
      <c r="H894">
        <v>2059</v>
      </c>
      <c r="I894">
        <v>972</v>
      </c>
      <c r="J894">
        <v>770</v>
      </c>
      <c r="K894">
        <v>885</v>
      </c>
      <c r="L894">
        <v>484</v>
      </c>
      <c r="M894">
        <v>149</v>
      </c>
      <c r="N894">
        <v>241</v>
      </c>
      <c r="O894">
        <v>186</v>
      </c>
      <c r="P894">
        <v>145</v>
      </c>
      <c r="Q894">
        <v>43.489409350000003</v>
      </c>
      <c r="R894">
        <v>0.12227602899999999</v>
      </c>
      <c r="S894">
        <v>252</v>
      </c>
      <c r="T894">
        <v>274</v>
      </c>
      <c r="U894">
        <v>1045</v>
      </c>
      <c r="V894">
        <v>1823</v>
      </c>
      <c r="W894">
        <v>1149</v>
      </c>
      <c r="X894">
        <v>491</v>
      </c>
      <c r="Y894">
        <v>11</v>
      </c>
      <c r="Z894">
        <v>33</v>
      </c>
      <c r="AA894">
        <v>181</v>
      </c>
      <c r="AB894">
        <v>0</v>
      </c>
      <c r="AC894">
        <v>6</v>
      </c>
      <c r="AD894">
        <v>21</v>
      </c>
      <c r="AE894">
        <v>0</v>
      </c>
      <c r="AF894">
        <v>0</v>
      </c>
      <c r="AG894">
        <v>4</v>
      </c>
      <c r="AH894">
        <v>0</v>
      </c>
      <c r="AI894">
        <v>0</v>
      </c>
      <c r="AJ894">
        <v>0</v>
      </c>
      <c r="AK894">
        <v>1.3811800000000001</v>
      </c>
      <c r="AL894">
        <v>3</v>
      </c>
      <c r="AM894">
        <v>0</v>
      </c>
      <c r="AN894">
        <v>1757</v>
      </c>
      <c r="AO894">
        <v>12</v>
      </c>
      <c r="AP894">
        <v>0</v>
      </c>
      <c r="AQ894">
        <v>0</v>
      </c>
    </row>
    <row r="895" spans="1:43" x14ac:dyDescent="0.25">
      <c r="A895">
        <v>892</v>
      </c>
      <c r="B895">
        <v>18</v>
      </c>
      <c r="C895">
        <v>18</v>
      </c>
      <c r="D895">
        <v>4</v>
      </c>
      <c r="E895">
        <v>1308</v>
      </c>
      <c r="F895">
        <v>3977</v>
      </c>
      <c r="G895">
        <v>4036</v>
      </c>
      <c r="H895">
        <v>1956</v>
      </c>
      <c r="I895">
        <v>989</v>
      </c>
      <c r="J895">
        <v>317</v>
      </c>
      <c r="K895">
        <v>607</v>
      </c>
      <c r="L895">
        <v>365</v>
      </c>
      <c r="M895">
        <v>240</v>
      </c>
      <c r="N895">
        <v>104</v>
      </c>
      <c r="O895">
        <v>313</v>
      </c>
      <c r="P895">
        <v>115.4556738</v>
      </c>
      <c r="Q895">
        <v>168.2730048</v>
      </c>
      <c r="R895">
        <v>8.7793952999999994E-2</v>
      </c>
      <c r="S895">
        <v>835</v>
      </c>
      <c r="T895">
        <v>240</v>
      </c>
      <c r="U895">
        <v>1035</v>
      </c>
      <c r="V895">
        <v>1763</v>
      </c>
      <c r="W895">
        <v>979</v>
      </c>
      <c r="X895">
        <v>303</v>
      </c>
      <c r="Y895">
        <v>19</v>
      </c>
      <c r="Z895">
        <v>103</v>
      </c>
      <c r="AA895">
        <v>189</v>
      </c>
      <c r="AB895">
        <v>1</v>
      </c>
      <c r="AC895">
        <v>421</v>
      </c>
      <c r="AD895">
        <v>102</v>
      </c>
      <c r="AE895">
        <v>0</v>
      </c>
      <c r="AF895">
        <v>0</v>
      </c>
      <c r="AG895">
        <v>4</v>
      </c>
      <c r="AH895">
        <v>0</v>
      </c>
      <c r="AI895">
        <v>0</v>
      </c>
      <c r="AJ895">
        <v>0</v>
      </c>
      <c r="AK895">
        <v>1.3782399999999999</v>
      </c>
      <c r="AL895">
        <v>3</v>
      </c>
      <c r="AM895">
        <v>0</v>
      </c>
      <c r="AN895">
        <v>1308</v>
      </c>
      <c r="AO895">
        <v>59</v>
      </c>
      <c r="AP895">
        <v>0</v>
      </c>
      <c r="AQ895">
        <v>0</v>
      </c>
    </row>
    <row r="896" spans="1:43" x14ac:dyDescent="0.25">
      <c r="A896">
        <v>893</v>
      </c>
      <c r="B896">
        <v>18</v>
      </c>
      <c r="C896">
        <v>18</v>
      </c>
      <c r="D896">
        <v>4</v>
      </c>
      <c r="E896">
        <v>1057</v>
      </c>
      <c r="F896">
        <v>3412</v>
      </c>
      <c r="G896">
        <v>3480</v>
      </c>
      <c r="H896">
        <v>1400</v>
      </c>
      <c r="I896">
        <v>721</v>
      </c>
      <c r="J896">
        <v>328</v>
      </c>
      <c r="K896">
        <v>528</v>
      </c>
      <c r="L896">
        <v>327</v>
      </c>
      <c r="M896">
        <v>136</v>
      </c>
      <c r="N896">
        <v>63</v>
      </c>
      <c r="O896">
        <v>210</v>
      </c>
      <c r="P896">
        <v>83.856360550000005</v>
      </c>
      <c r="Q896">
        <v>122</v>
      </c>
      <c r="R896">
        <v>9.6360303999999994E-2</v>
      </c>
      <c r="S896">
        <v>633</v>
      </c>
      <c r="T896">
        <v>194</v>
      </c>
      <c r="U896">
        <v>981</v>
      </c>
      <c r="V896">
        <v>1353</v>
      </c>
      <c r="W896">
        <v>873</v>
      </c>
      <c r="X896">
        <v>285</v>
      </c>
      <c r="Y896">
        <v>42</v>
      </c>
      <c r="Z896">
        <v>128</v>
      </c>
      <c r="AA896">
        <v>183</v>
      </c>
      <c r="AB896">
        <v>5</v>
      </c>
      <c r="AC896">
        <v>106</v>
      </c>
      <c r="AD896">
        <v>169</v>
      </c>
      <c r="AE896">
        <v>0</v>
      </c>
      <c r="AF896">
        <v>0</v>
      </c>
      <c r="AG896">
        <v>4</v>
      </c>
      <c r="AH896">
        <v>0</v>
      </c>
      <c r="AI896">
        <v>0</v>
      </c>
      <c r="AJ896">
        <v>0</v>
      </c>
      <c r="AK896">
        <v>1.50467</v>
      </c>
      <c r="AL896">
        <v>3</v>
      </c>
      <c r="AM896">
        <v>0</v>
      </c>
      <c r="AN896">
        <v>1057</v>
      </c>
      <c r="AO896">
        <v>68</v>
      </c>
      <c r="AP896">
        <v>0</v>
      </c>
      <c r="AQ896">
        <v>0</v>
      </c>
    </row>
    <row r="897" spans="1:43" x14ac:dyDescent="0.25">
      <c r="A897">
        <v>894</v>
      </c>
      <c r="B897">
        <v>18</v>
      </c>
      <c r="C897">
        <v>18</v>
      </c>
      <c r="D897">
        <v>4</v>
      </c>
      <c r="E897">
        <v>1265</v>
      </c>
      <c r="F897">
        <v>3689</v>
      </c>
      <c r="G897">
        <v>3781</v>
      </c>
      <c r="H897">
        <v>1532</v>
      </c>
      <c r="I897">
        <v>682</v>
      </c>
      <c r="J897">
        <v>547</v>
      </c>
      <c r="K897">
        <v>685</v>
      </c>
      <c r="L897">
        <v>317</v>
      </c>
      <c r="M897">
        <v>180</v>
      </c>
      <c r="N897">
        <v>76</v>
      </c>
      <c r="O897">
        <v>201</v>
      </c>
      <c r="P897">
        <v>79</v>
      </c>
      <c r="Q897">
        <v>117.0626857</v>
      </c>
      <c r="R897">
        <v>0.12809448100000001</v>
      </c>
      <c r="S897">
        <v>902</v>
      </c>
      <c r="T897">
        <v>283</v>
      </c>
      <c r="U897">
        <v>960</v>
      </c>
      <c r="V897">
        <v>1643</v>
      </c>
      <c r="W897">
        <v>965</v>
      </c>
      <c r="X897">
        <v>409</v>
      </c>
      <c r="Y897">
        <v>6</v>
      </c>
      <c r="Z897">
        <v>140</v>
      </c>
      <c r="AA897">
        <v>333</v>
      </c>
      <c r="AB897">
        <v>0</v>
      </c>
      <c r="AC897">
        <v>343</v>
      </c>
      <c r="AD897">
        <v>80</v>
      </c>
      <c r="AE897">
        <v>0</v>
      </c>
      <c r="AF897">
        <v>0</v>
      </c>
      <c r="AG897">
        <v>3</v>
      </c>
      <c r="AH897">
        <v>0</v>
      </c>
      <c r="AI897">
        <v>0</v>
      </c>
      <c r="AJ897">
        <v>0</v>
      </c>
      <c r="AK897">
        <v>1.4999</v>
      </c>
      <c r="AL897">
        <v>3</v>
      </c>
      <c r="AM897">
        <v>0</v>
      </c>
      <c r="AN897">
        <v>1265</v>
      </c>
      <c r="AO897">
        <v>92</v>
      </c>
      <c r="AP897">
        <v>0</v>
      </c>
      <c r="AQ897">
        <v>0</v>
      </c>
    </row>
    <row r="898" spans="1:43" x14ac:dyDescent="0.25">
      <c r="A898">
        <v>895</v>
      </c>
      <c r="B898">
        <v>18</v>
      </c>
      <c r="C898">
        <v>18</v>
      </c>
      <c r="D898">
        <v>4</v>
      </c>
      <c r="E898">
        <v>2510</v>
      </c>
      <c r="F898">
        <v>7136</v>
      </c>
      <c r="G898">
        <v>7232</v>
      </c>
      <c r="H898">
        <v>3273</v>
      </c>
      <c r="I898">
        <v>769</v>
      </c>
      <c r="J898">
        <v>1607</v>
      </c>
      <c r="K898">
        <v>1421</v>
      </c>
      <c r="L898">
        <v>714</v>
      </c>
      <c r="M898">
        <v>320</v>
      </c>
      <c r="N898">
        <v>49</v>
      </c>
      <c r="O898">
        <v>296</v>
      </c>
      <c r="P898">
        <v>121.3171523</v>
      </c>
      <c r="Q898">
        <v>158.3119696</v>
      </c>
      <c r="R898">
        <v>0.100820777</v>
      </c>
      <c r="S898">
        <v>2659</v>
      </c>
      <c r="T898">
        <v>799</v>
      </c>
      <c r="U898">
        <v>1996</v>
      </c>
      <c r="V898">
        <v>3099</v>
      </c>
      <c r="W898">
        <v>1455</v>
      </c>
      <c r="X898">
        <v>572</v>
      </c>
      <c r="Y898">
        <v>17</v>
      </c>
      <c r="Z898">
        <v>415</v>
      </c>
      <c r="AA898">
        <v>1480</v>
      </c>
      <c r="AB898">
        <v>1</v>
      </c>
      <c r="AC898">
        <v>582</v>
      </c>
      <c r="AD898">
        <v>164</v>
      </c>
      <c r="AE898">
        <v>0</v>
      </c>
      <c r="AF898">
        <v>0</v>
      </c>
      <c r="AG898">
        <v>4</v>
      </c>
      <c r="AH898">
        <v>690</v>
      </c>
      <c r="AI898">
        <v>0</v>
      </c>
      <c r="AJ898">
        <v>0</v>
      </c>
      <c r="AK898">
        <v>1.3876299999999999</v>
      </c>
      <c r="AL898">
        <v>3</v>
      </c>
      <c r="AM898">
        <v>0</v>
      </c>
      <c r="AN898">
        <v>2510</v>
      </c>
      <c r="AO898">
        <v>96</v>
      </c>
      <c r="AP898">
        <v>0</v>
      </c>
      <c r="AQ898">
        <v>0</v>
      </c>
    </row>
    <row r="899" spans="1:43" x14ac:dyDescent="0.25">
      <c r="A899">
        <v>896</v>
      </c>
      <c r="B899">
        <v>18</v>
      </c>
      <c r="C899">
        <v>18</v>
      </c>
      <c r="D899">
        <v>4</v>
      </c>
      <c r="E899">
        <v>659</v>
      </c>
      <c r="F899">
        <v>1972</v>
      </c>
      <c r="G899">
        <v>2425</v>
      </c>
      <c r="H899">
        <v>1001</v>
      </c>
      <c r="I899">
        <v>396</v>
      </c>
      <c r="J899">
        <v>330</v>
      </c>
      <c r="K899">
        <v>250</v>
      </c>
      <c r="L899">
        <v>186</v>
      </c>
      <c r="M899">
        <v>171</v>
      </c>
      <c r="N899">
        <v>48</v>
      </c>
      <c r="O899">
        <v>595</v>
      </c>
      <c r="P899">
        <v>64</v>
      </c>
      <c r="Q899">
        <v>410.1727775</v>
      </c>
      <c r="R899">
        <v>9.7682118999999998E-2</v>
      </c>
      <c r="S899">
        <v>3504</v>
      </c>
      <c r="T899">
        <v>97</v>
      </c>
      <c r="U899">
        <v>431</v>
      </c>
      <c r="V899">
        <v>1064</v>
      </c>
      <c r="W899">
        <v>552</v>
      </c>
      <c r="X899">
        <v>183</v>
      </c>
      <c r="Y899">
        <v>380</v>
      </c>
      <c r="Z899">
        <v>411</v>
      </c>
      <c r="AA899">
        <v>362</v>
      </c>
      <c r="AB899">
        <v>174</v>
      </c>
      <c r="AC899">
        <v>1834</v>
      </c>
      <c r="AD899">
        <v>343</v>
      </c>
      <c r="AE899">
        <v>0</v>
      </c>
      <c r="AF899">
        <v>0</v>
      </c>
      <c r="AG899">
        <v>4</v>
      </c>
      <c r="AH899">
        <v>0</v>
      </c>
      <c r="AI899">
        <v>0</v>
      </c>
      <c r="AJ899">
        <v>0</v>
      </c>
      <c r="AK899">
        <v>1.3067800000000001</v>
      </c>
      <c r="AL899">
        <v>3</v>
      </c>
      <c r="AM899">
        <v>0</v>
      </c>
      <c r="AN899">
        <v>659</v>
      </c>
      <c r="AO899">
        <v>453</v>
      </c>
      <c r="AP899">
        <v>0</v>
      </c>
      <c r="AQ899">
        <v>0</v>
      </c>
    </row>
    <row r="900" spans="1:43" x14ac:dyDescent="0.25">
      <c r="A900">
        <v>897</v>
      </c>
      <c r="B900">
        <v>18</v>
      </c>
      <c r="C900">
        <v>18</v>
      </c>
      <c r="D900">
        <v>4</v>
      </c>
      <c r="E900">
        <v>1319</v>
      </c>
      <c r="F900">
        <v>3529</v>
      </c>
      <c r="G900">
        <v>3561</v>
      </c>
      <c r="H900">
        <v>1708</v>
      </c>
      <c r="I900">
        <v>660</v>
      </c>
      <c r="J900">
        <v>699</v>
      </c>
      <c r="K900">
        <v>656</v>
      </c>
      <c r="L900">
        <v>376</v>
      </c>
      <c r="M900">
        <v>255</v>
      </c>
      <c r="N900">
        <v>53</v>
      </c>
      <c r="O900">
        <v>128</v>
      </c>
      <c r="P900">
        <v>70.936242059999998</v>
      </c>
      <c r="Q900">
        <v>59.340156610000001</v>
      </c>
      <c r="R900">
        <v>0.18332943099999999</v>
      </c>
      <c r="S900">
        <v>554</v>
      </c>
      <c r="T900">
        <v>199</v>
      </c>
      <c r="U900">
        <v>943</v>
      </c>
      <c r="V900">
        <v>1311</v>
      </c>
      <c r="W900">
        <v>1100</v>
      </c>
      <c r="X900">
        <v>574</v>
      </c>
      <c r="Y900">
        <v>178</v>
      </c>
      <c r="Z900">
        <v>113</v>
      </c>
      <c r="AA900">
        <v>213</v>
      </c>
      <c r="AB900">
        <v>1</v>
      </c>
      <c r="AC900">
        <v>25</v>
      </c>
      <c r="AD900">
        <v>24</v>
      </c>
      <c r="AE900">
        <v>0</v>
      </c>
      <c r="AF900">
        <v>0</v>
      </c>
      <c r="AG900">
        <v>3</v>
      </c>
      <c r="AH900">
        <v>0</v>
      </c>
      <c r="AI900">
        <v>0</v>
      </c>
      <c r="AJ900">
        <v>0</v>
      </c>
      <c r="AK900">
        <v>1.5867</v>
      </c>
      <c r="AL900">
        <v>3</v>
      </c>
      <c r="AM900">
        <v>0</v>
      </c>
      <c r="AN900">
        <v>1319</v>
      </c>
      <c r="AO900">
        <v>32</v>
      </c>
      <c r="AP900">
        <v>0</v>
      </c>
      <c r="AQ900">
        <v>0</v>
      </c>
    </row>
    <row r="901" spans="1:43" x14ac:dyDescent="0.25">
      <c r="A901">
        <v>898</v>
      </c>
      <c r="B901">
        <v>18</v>
      </c>
      <c r="C901">
        <v>18</v>
      </c>
      <c r="D901">
        <v>4</v>
      </c>
      <c r="E901">
        <v>1364</v>
      </c>
      <c r="F901">
        <v>3505</v>
      </c>
      <c r="G901">
        <v>3523</v>
      </c>
      <c r="H901">
        <v>1427</v>
      </c>
      <c r="I901">
        <v>684</v>
      </c>
      <c r="J901">
        <v>710</v>
      </c>
      <c r="K901">
        <v>726</v>
      </c>
      <c r="L901">
        <v>394</v>
      </c>
      <c r="M901">
        <v>155</v>
      </c>
      <c r="N901">
        <v>80</v>
      </c>
      <c r="O901">
        <v>125</v>
      </c>
      <c r="P901">
        <v>101.40570750000001</v>
      </c>
      <c r="Q901">
        <v>22.885776400000001</v>
      </c>
      <c r="R901">
        <v>0.12003968299999999</v>
      </c>
      <c r="S901">
        <v>472</v>
      </c>
      <c r="T901">
        <v>407</v>
      </c>
      <c r="U901">
        <v>946</v>
      </c>
      <c r="V901">
        <v>1508</v>
      </c>
      <c r="W901">
        <v>679</v>
      </c>
      <c r="X901">
        <v>371</v>
      </c>
      <c r="Y901">
        <v>20</v>
      </c>
      <c r="Z901">
        <v>51</v>
      </c>
      <c r="AA901">
        <v>287</v>
      </c>
      <c r="AB901">
        <v>1</v>
      </c>
      <c r="AC901">
        <v>96</v>
      </c>
      <c r="AD901">
        <v>17</v>
      </c>
      <c r="AE901">
        <v>0</v>
      </c>
      <c r="AF901">
        <v>0</v>
      </c>
      <c r="AG901">
        <v>3</v>
      </c>
      <c r="AH901">
        <v>0</v>
      </c>
      <c r="AI901">
        <v>0</v>
      </c>
      <c r="AJ901">
        <v>0</v>
      </c>
      <c r="AK901">
        <v>1.6796199999999999</v>
      </c>
      <c r="AL901">
        <v>2</v>
      </c>
      <c r="AM901">
        <v>0</v>
      </c>
      <c r="AN901">
        <v>1364</v>
      </c>
      <c r="AO901">
        <v>18</v>
      </c>
      <c r="AP901">
        <v>0</v>
      </c>
      <c r="AQ901">
        <v>0</v>
      </c>
    </row>
    <row r="902" spans="1:43" x14ac:dyDescent="0.25">
      <c r="A902">
        <v>899</v>
      </c>
      <c r="B902">
        <v>18</v>
      </c>
      <c r="C902">
        <v>18</v>
      </c>
      <c r="D902">
        <v>4</v>
      </c>
      <c r="E902">
        <v>2798</v>
      </c>
      <c r="F902">
        <v>6733</v>
      </c>
      <c r="G902">
        <v>6751</v>
      </c>
      <c r="H902">
        <v>3066</v>
      </c>
      <c r="I902">
        <v>1674</v>
      </c>
      <c r="J902">
        <v>1152</v>
      </c>
      <c r="K902">
        <v>1500</v>
      </c>
      <c r="L902">
        <v>695</v>
      </c>
      <c r="M902">
        <v>313</v>
      </c>
      <c r="N902">
        <v>281</v>
      </c>
      <c r="O902">
        <v>281</v>
      </c>
      <c r="P902">
        <v>225.05583960000001</v>
      </c>
      <c r="Q902">
        <v>50.77740652</v>
      </c>
      <c r="R902">
        <v>0.14539665700000001</v>
      </c>
      <c r="S902">
        <v>796</v>
      </c>
      <c r="T902">
        <v>412</v>
      </c>
      <c r="U902">
        <v>1554</v>
      </c>
      <c r="V902">
        <v>2524</v>
      </c>
      <c r="W902">
        <v>2001</v>
      </c>
      <c r="X902">
        <v>797</v>
      </c>
      <c r="Y902">
        <v>27</v>
      </c>
      <c r="Z902">
        <v>79</v>
      </c>
      <c r="AA902">
        <v>613</v>
      </c>
      <c r="AB902">
        <v>1</v>
      </c>
      <c r="AC902">
        <v>33</v>
      </c>
      <c r="AD902">
        <v>43</v>
      </c>
      <c r="AE902">
        <v>0</v>
      </c>
      <c r="AF902">
        <v>0</v>
      </c>
      <c r="AG902">
        <v>4</v>
      </c>
      <c r="AH902">
        <v>434</v>
      </c>
      <c r="AI902">
        <v>0</v>
      </c>
      <c r="AJ902">
        <v>0</v>
      </c>
      <c r="AK902">
        <v>1.5534300000000001</v>
      </c>
      <c r="AL902">
        <v>3</v>
      </c>
      <c r="AM902">
        <v>0</v>
      </c>
      <c r="AN902">
        <v>2798</v>
      </c>
      <c r="AO902">
        <v>18</v>
      </c>
      <c r="AP902">
        <v>0</v>
      </c>
      <c r="AQ902">
        <v>0</v>
      </c>
    </row>
    <row r="903" spans="1:43" x14ac:dyDescent="0.25">
      <c r="A903">
        <v>900</v>
      </c>
      <c r="B903">
        <v>18</v>
      </c>
      <c r="C903">
        <v>18</v>
      </c>
      <c r="D903">
        <v>4</v>
      </c>
      <c r="E903">
        <v>2068</v>
      </c>
      <c r="F903">
        <v>5570</v>
      </c>
      <c r="G903">
        <v>5645</v>
      </c>
      <c r="H903">
        <v>3127</v>
      </c>
      <c r="I903">
        <v>1347</v>
      </c>
      <c r="J903">
        <v>699</v>
      </c>
      <c r="K903">
        <v>838</v>
      </c>
      <c r="L903">
        <v>551</v>
      </c>
      <c r="M903">
        <v>552</v>
      </c>
      <c r="N903">
        <v>124</v>
      </c>
      <c r="O903">
        <v>269</v>
      </c>
      <c r="P903">
        <v>171.34352150000001</v>
      </c>
      <c r="Q903">
        <v>78.295332579999993</v>
      </c>
      <c r="R903">
        <v>0.133405305</v>
      </c>
      <c r="S903">
        <v>863</v>
      </c>
      <c r="T903">
        <v>358</v>
      </c>
      <c r="U903">
        <v>1329</v>
      </c>
      <c r="V903">
        <v>2284</v>
      </c>
      <c r="W903">
        <v>1710</v>
      </c>
      <c r="X903">
        <v>624</v>
      </c>
      <c r="Y903">
        <v>161</v>
      </c>
      <c r="Z903">
        <v>100</v>
      </c>
      <c r="AA903">
        <v>548</v>
      </c>
      <c r="AB903">
        <v>1</v>
      </c>
      <c r="AC903">
        <v>19</v>
      </c>
      <c r="AD903">
        <v>34</v>
      </c>
      <c r="AE903">
        <v>0</v>
      </c>
      <c r="AF903">
        <v>0</v>
      </c>
      <c r="AG903">
        <v>3</v>
      </c>
      <c r="AH903">
        <v>0</v>
      </c>
      <c r="AI903">
        <v>0</v>
      </c>
      <c r="AJ903">
        <v>0</v>
      </c>
      <c r="AK903">
        <v>1.6302000000000001</v>
      </c>
      <c r="AL903">
        <v>2</v>
      </c>
      <c r="AM903">
        <v>0</v>
      </c>
      <c r="AN903">
        <v>2068</v>
      </c>
      <c r="AO903">
        <v>75</v>
      </c>
      <c r="AP903">
        <v>0</v>
      </c>
      <c r="AQ903">
        <v>0</v>
      </c>
    </row>
    <row r="904" spans="1:43" x14ac:dyDescent="0.25">
      <c r="A904">
        <v>901</v>
      </c>
      <c r="B904">
        <v>18</v>
      </c>
      <c r="C904">
        <v>18</v>
      </c>
      <c r="D904">
        <v>4</v>
      </c>
      <c r="E904">
        <v>1973</v>
      </c>
      <c r="F904">
        <v>4215</v>
      </c>
      <c r="G904">
        <v>4215</v>
      </c>
      <c r="H904">
        <v>2436</v>
      </c>
      <c r="I904">
        <v>1178</v>
      </c>
      <c r="J904">
        <v>769</v>
      </c>
      <c r="K904">
        <v>709</v>
      </c>
      <c r="L904">
        <v>488</v>
      </c>
      <c r="M904">
        <v>278</v>
      </c>
      <c r="N904">
        <v>487</v>
      </c>
      <c r="O904">
        <v>222</v>
      </c>
      <c r="P904">
        <v>174</v>
      </c>
      <c r="Q904">
        <v>27.925469620000001</v>
      </c>
      <c r="R904">
        <v>0.199363492</v>
      </c>
      <c r="S904">
        <v>270</v>
      </c>
      <c r="T904">
        <v>261</v>
      </c>
      <c r="U904">
        <v>697</v>
      </c>
      <c r="V904">
        <v>1420</v>
      </c>
      <c r="W904">
        <v>1203</v>
      </c>
      <c r="X904">
        <v>691</v>
      </c>
      <c r="Y904">
        <v>8</v>
      </c>
      <c r="Z904">
        <v>52</v>
      </c>
      <c r="AA904">
        <v>172</v>
      </c>
      <c r="AB904">
        <v>1</v>
      </c>
      <c r="AC904">
        <v>14</v>
      </c>
      <c r="AD904">
        <v>23</v>
      </c>
      <c r="AE904">
        <v>0</v>
      </c>
      <c r="AF904">
        <v>0</v>
      </c>
      <c r="AG904">
        <v>3</v>
      </c>
      <c r="AH904">
        <v>0</v>
      </c>
      <c r="AI904">
        <v>0</v>
      </c>
      <c r="AJ904">
        <v>0</v>
      </c>
      <c r="AK904">
        <v>1.36087</v>
      </c>
      <c r="AL904">
        <v>1</v>
      </c>
      <c r="AM904">
        <v>0</v>
      </c>
      <c r="AN904">
        <v>1973</v>
      </c>
      <c r="AO904">
        <v>0</v>
      </c>
      <c r="AP904">
        <v>0</v>
      </c>
      <c r="AQ904">
        <v>0</v>
      </c>
    </row>
    <row r="905" spans="1:43" x14ac:dyDescent="0.25">
      <c r="A905">
        <v>902</v>
      </c>
      <c r="B905">
        <v>18</v>
      </c>
      <c r="C905">
        <v>18</v>
      </c>
      <c r="D905">
        <v>4</v>
      </c>
      <c r="E905">
        <v>813</v>
      </c>
      <c r="F905">
        <v>1999</v>
      </c>
      <c r="G905">
        <v>2261</v>
      </c>
      <c r="H905">
        <v>1029</v>
      </c>
      <c r="I905">
        <v>658</v>
      </c>
      <c r="J905">
        <v>129</v>
      </c>
      <c r="K905">
        <v>246</v>
      </c>
      <c r="L905">
        <v>152</v>
      </c>
      <c r="M905">
        <v>179</v>
      </c>
      <c r="N905">
        <v>242</v>
      </c>
      <c r="O905">
        <v>296</v>
      </c>
      <c r="P905">
        <v>143</v>
      </c>
      <c r="Q905">
        <v>153.06679149999999</v>
      </c>
      <c r="R905">
        <v>0.130235832</v>
      </c>
      <c r="S905">
        <v>793</v>
      </c>
      <c r="T905">
        <v>133</v>
      </c>
      <c r="U905">
        <v>746</v>
      </c>
      <c r="V905">
        <v>998</v>
      </c>
      <c r="W905">
        <v>558</v>
      </c>
      <c r="X905">
        <v>324</v>
      </c>
      <c r="Y905">
        <v>48</v>
      </c>
      <c r="Z905">
        <v>47</v>
      </c>
      <c r="AA905">
        <v>655</v>
      </c>
      <c r="AB905">
        <v>1</v>
      </c>
      <c r="AC905">
        <v>15</v>
      </c>
      <c r="AD905">
        <v>27</v>
      </c>
      <c r="AE905">
        <v>0</v>
      </c>
      <c r="AF905">
        <v>0</v>
      </c>
      <c r="AG905">
        <v>4</v>
      </c>
      <c r="AH905">
        <v>0</v>
      </c>
      <c r="AI905">
        <v>688</v>
      </c>
      <c r="AJ905">
        <v>0</v>
      </c>
      <c r="AK905">
        <v>1.0752200000000001</v>
      </c>
      <c r="AL905">
        <v>1</v>
      </c>
      <c r="AM905">
        <v>0</v>
      </c>
      <c r="AN905">
        <v>813</v>
      </c>
      <c r="AO905">
        <v>262</v>
      </c>
      <c r="AP905">
        <v>0</v>
      </c>
      <c r="AQ905">
        <v>0</v>
      </c>
    </row>
    <row r="906" spans="1:43" x14ac:dyDescent="0.25">
      <c r="A906">
        <v>903</v>
      </c>
      <c r="B906">
        <v>18</v>
      </c>
      <c r="C906">
        <v>18</v>
      </c>
      <c r="D906">
        <v>4</v>
      </c>
      <c r="E906">
        <v>1757</v>
      </c>
      <c r="F906">
        <v>4171</v>
      </c>
      <c r="G906">
        <v>4177</v>
      </c>
      <c r="H906">
        <v>2184</v>
      </c>
      <c r="I906">
        <v>1739</v>
      </c>
      <c r="J906">
        <v>55</v>
      </c>
      <c r="K906">
        <v>282</v>
      </c>
      <c r="L906">
        <v>562</v>
      </c>
      <c r="M906">
        <v>357</v>
      </c>
      <c r="N906">
        <v>540</v>
      </c>
      <c r="O906">
        <v>228</v>
      </c>
      <c r="P906">
        <v>212</v>
      </c>
      <c r="Q906">
        <v>16.537442949999999</v>
      </c>
      <c r="R906">
        <v>0.18640868299999999</v>
      </c>
      <c r="S906">
        <v>284</v>
      </c>
      <c r="T906">
        <v>314</v>
      </c>
      <c r="U906">
        <v>579</v>
      </c>
      <c r="V906">
        <v>1480</v>
      </c>
      <c r="W906">
        <v>1125</v>
      </c>
      <c r="X906">
        <v>602</v>
      </c>
      <c r="Y906">
        <v>19</v>
      </c>
      <c r="Z906">
        <v>48</v>
      </c>
      <c r="AA906">
        <v>175</v>
      </c>
      <c r="AB906">
        <v>1</v>
      </c>
      <c r="AC906">
        <v>13</v>
      </c>
      <c r="AD906">
        <v>28</v>
      </c>
      <c r="AE906">
        <v>0</v>
      </c>
      <c r="AF906">
        <v>0</v>
      </c>
      <c r="AG906">
        <v>4</v>
      </c>
      <c r="AH906">
        <v>0</v>
      </c>
      <c r="AI906">
        <v>0</v>
      </c>
      <c r="AJ906">
        <v>0</v>
      </c>
      <c r="AK906">
        <v>1.2685500000000001</v>
      </c>
      <c r="AL906">
        <v>1</v>
      </c>
      <c r="AM906">
        <v>0</v>
      </c>
      <c r="AN906">
        <v>1757</v>
      </c>
      <c r="AO906">
        <v>6</v>
      </c>
      <c r="AP906">
        <v>0</v>
      </c>
      <c r="AQ906">
        <v>0</v>
      </c>
    </row>
    <row r="907" spans="1:43" x14ac:dyDescent="0.25">
      <c r="A907">
        <v>904</v>
      </c>
      <c r="B907">
        <v>18</v>
      </c>
      <c r="C907">
        <v>18</v>
      </c>
      <c r="D907">
        <v>4</v>
      </c>
      <c r="E907">
        <v>2112</v>
      </c>
      <c r="F907">
        <v>5768</v>
      </c>
      <c r="G907">
        <v>5779</v>
      </c>
      <c r="H907">
        <v>3322</v>
      </c>
      <c r="I907">
        <v>1221</v>
      </c>
      <c r="J907">
        <v>932</v>
      </c>
      <c r="K907">
        <v>663</v>
      </c>
      <c r="L907">
        <v>645</v>
      </c>
      <c r="M907">
        <v>471</v>
      </c>
      <c r="N907">
        <v>361</v>
      </c>
      <c r="O907">
        <v>260</v>
      </c>
      <c r="P907">
        <v>221</v>
      </c>
      <c r="Q907">
        <v>31.755769659999999</v>
      </c>
      <c r="R907">
        <v>0.122354395</v>
      </c>
      <c r="S907">
        <v>505</v>
      </c>
      <c r="T907">
        <v>445</v>
      </c>
      <c r="U907">
        <v>1077</v>
      </c>
      <c r="V907">
        <v>3087</v>
      </c>
      <c r="W907">
        <v>1021</v>
      </c>
      <c r="X907">
        <v>645</v>
      </c>
      <c r="Y907">
        <v>14</v>
      </c>
      <c r="Z907">
        <v>48</v>
      </c>
      <c r="AA907">
        <v>379</v>
      </c>
      <c r="AB907">
        <v>1</v>
      </c>
      <c r="AC907">
        <v>18</v>
      </c>
      <c r="AD907">
        <v>45</v>
      </c>
      <c r="AE907">
        <v>127.1570256</v>
      </c>
      <c r="AF907">
        <v>0</v>
      </c>
      <c r="AG907">
        <v>4</v>
      </c>
      <c r="AH907">
        <v>1173</v>
      </c>
      <c r="AI907">
        <v>0</v>
      </c>
      <c r="AJ907">
        <v>0</v>
      </c>
      <c r="AK907">
        <v>1.44052</v>
      </c>
      <c r="AL907">
        <v>1</v>
      </c>
      <c r="AM907">
        <v>0</v>
      </c>
      <c r="AN907">
        <v>2112</v>
      </c>
      <c r="AO907">
        <v>11</v>
      </c>
      <c r="AP907">
        <v>0</v>
      </c>
      <c r="AQ907">
        <v>0</v>
      </c>
    </row>
    <row r="908" spans="1:43" x14ac:dyDescent="0.25">
      <c r="A908">
        <v>905</v>
      </c>
      <c r="B908">
        <v>18</v>
      </c>
      <c r="C908">
        <v>18</v>
      </c>
      <c r="D908">
        <v>4</v>
      </c>
      <c r="E908">
        <v>2652</v>
      </c>
      <c r="F908">
        <v>7555</v>
      </c>
      <c r="G908">
        <v>7563</v>
      </c>
      <c r="H908">
        <v>3571</v>
      </c>
      <c r="I908">
        <v>1624</v>
      </c>
      <c r="J908">
        <v>948</v>
      </c>
      <c r="K908">
        <v>1221</v>
      </c>
      <c r="L908">
        <v>654</v>
      </c>
      <c r="M908">
        <v>371</v>
      </c>
      <c r="N908">
        <v>411</v>
      </c>
      <c r="O908">
        <v>255</v>
      </c>
      <c r="P908">
        <v>223</v>
      </c>
      <c r="Q908">
        <v>31.237499450000001</v>
      </c>
      <c r="R908">
        <v>0.124033773</v>
      </c>
      <c r="S908">
        <v>470</v>
      </c>
      <c r="T908">
        <v>611</v>
      </c>
      <c r="U908">
        <v>1746</v>
      </c>
      <c r="V908">
        <v>3172</v>
      </c>
      <c r="W908">
        <v>1776</v>
      </c>
      <c r="X908">
        <v>832</v>
      </c>
      <c r="Y908">
        <v>22</v>
      </c>
      <c r="Z908">
        <v>59</v>
      </c>
      <c r="AA908">
        <v>333</v>
      </c>
      <c r="AB908">
        <v>0</v>
      </c>
      <c r="AC908">
        <v>17</v>
      </c>
      <c r="AD908">
        <v>39</v>
      </c>
      <c r="AE908">
        <v>0</v>
      </c>
      <c r="AF908">
        <v>0</v>
      </c>
      <c r="AG908">
        <v>3</v>
      </c>
      <c r="AH908">
        <v>0</v>
      </c>
      <c r="AI908">
        <v>0</v>
      </c>
      <c r="AJ908">
        <v>0</v>
      </c>
      <c r="AK908">
        <v>1.4982</v>
      </c>
      <c r="AL908">
        <v>1</v>
      </c>
      <c r="AM908">
        <v>0</v>
      </c>
      <c r="AN908">
        <v>2652</v>
      </c>
      <c r="AO908">
        <v>8</v>
      </c>
      <c r="AP908">
        <v>0</v>
      </c>
      <c r="AQ908">
        <v>0</v>
      </c>
    </row>
    <row r="909" spans="1:43" x14ac:dyDescent="0.25">
      <c r="A909">
        <v>906</v>
      </c>
      <c r="B909">
        <v>18</v>
      </c>
      <c r="C909">
        <v>18</v>
      </c>
      <c r="D909">
        <v>4</v>
      </c>
      <c r="E909">
        <v>2077</v>
      </c>
      <c r="F909">
        <v>5836</v>
      </c>
      <c r="G909">
        <v>5850</v>
      </c>
      <c r="H909">
        <v>2968</v>
      </c>
      <c r="I909">
        <v>1493</v>
      </c>
      <c r="J909">
        <v>688</v>
      </c>
      <c r="K909">
        <v>549</v>
      </c>
      <c r="L909">
        <v>618</v>
      </c>
      <c r="M909">
        <v>557</v>
      </c>
      <c r="N909">
        <v>351</v>
      </c>
      <c r="O909">
        <v>212</v>
      </c>
      <c r="P909">
        <v>171</v>
      </c>
      <c r="Q909">
        <v>20.846182299999999</v>
      </c>
      <c r="R909">
        <v>0.19138987399999999</v>
      </c>
      <c r="S909">
        <v>2210</v>
      </c>
      <c r="T909">
        <v>622</v>
      </c>
      <c r="U909">
        <v>864</v>
      </c>
      <c r="V909">
        <v>2540</v>
      </c>
      <c r="W909">
        <v>984</v>
      </c>
      <c r="X909">
        <v>975</v>
      </c>
      <c r="Y909">
        <v>143</v>
      </c>
      <c r="Z909">
        <v>83</v>
      </c>
      <c r="AA909">
        <v>1883</v>
      </c>
      <c r="AB909">
        <v>1</v>
      </c>
      <c r="AC909">
        <v>47</v>
      </c>
      <c r="AD909">
        <v>53</v>
      </c>
      <c r="AE909">
        <v>0</v>
      </c>
      <c r="AF909">
        <v>6.7817080289999998</v>
      </c>
      <c r="AG909">
        <v>3</v>
      </c>
      <c r="AH909">
        <v>0</v>
      </c>
      <c r="AI909">
        <v>0</v>
      </c>
      <c r="AJ909">
        <v>0</v>
      </c>
      <c r="AK909">
        <v>1.5343800000000001</v>
      </c>
      <c r="AL909">
        <v>2</v>
      </c>
      <c r="AM909">
        <v>0</v>
      </c>
      <c r="AN909">
        <v>2077</v>
      </c>
      <c r="AO909">
        <v>14</v>
      </c>
      <c r="AP909">
        <v>0</v>
      </c>
      <c r="AQ909">
        <v>0</v>
      </c>
    </row>
    <row r="910" spans="1:43" x14ac:dyDescent="0.25">
      <c r="A910">
        <v>907</v>
      </c>
      <c r="B910">
        <v>18</v>
      </c>
      <c r="C910">
        <v>18</v>
      </c>
      <c r="D910">
        <v>4</v>
      </c>
      <c r="E910">
        <v>1399</v>
      </c>
      <c r="F910">
        <v>3170</v>
      </c>
      <c r="G910">
        <v>3181</v>
      </c>
      <c r="H910">
        <v>1828</v>
      </c>
      <c r="I910">
        <v>1044</v>
      </c>
      <c r="J910">
        <v>329</v>
      </c>
      <c r="K910">
        <v>202</v>
      </c>
      <c r="L910">
        <v>359</v>
      </c>
      <c r="M910">
        <v>339</v>
      </c>
      <c r="N910">
        <v>508</v>
      </c>
      <c r="O910">
        <v>302</v>
      </c>
      <c r="P910">
        <v>200.43019720000001</v>
      </c>
      <c r="Q910">
        <v>50.101042270000001</v>
      </c>
      <c r="R910">
        <v>0.19710144900000001</v>
      </c>
      <c r="S910">
        <v>403</v>
      </c>
      <c r="T910">
        <v>125</v>
      </c>
      <c r="U910">
        <v>556</v>
      </c>
      <c r="V910">
        <v>982</v>
      </c>
      <c r="W910">
        <v>897</v>
      </c>
      <c r="X910">
        <v>457</v>
      </c>
      <c r="Y910">
        <v>24</v>
      </c>
      <c r="Z910">
        <v>79</v>
      </c>
      <c r="AA910">
        <v>169</v>
      </c>
      <c r="AB910">
        <v>1</v>
      </c>
      <c r="AC910">
        <v>66</v>
      </c>
      <c r="AD910">
        <v>64</v>
      </c>
      <c r="AE910">
        <v>0</v>
      </c>
      <c r="AF910">
        <v>0</v>
      </c>
      <c r="AG910">
        <v>4</v>
      </c>
      <c r="AH910">
        <v>0</v>
      </c>
      <c r="AI910">
        <v>0</v>
      </c>
      <c r="AJ910">
        <v>0</v>
      </c>
      <c r="AK910">
        <v>1.1514800000000001</v>
      </c>
      <c r="AL910">
        <v>1</v>
      </c>
      <c r="AM910">
        <v>0</v>
      </c>
      <c r="AN910">
        <v>1399</v>
      </c>
      <c r="AO910">
        <v>11</v>
      </c>
      <c r="AP910">
        <v>0</v>
      </c>
      <c r="AQ910">
        <v>0</v>
      </c>
    </row>
    <row r="911" spans="1:43" x14ac:dyDescent="0.25">
      <c r="A911">
        <v>908</v>
      </c>
      <c r="B911">
        <v>18</v>
      </c>
      <c r="C911">
        <v>18</v>
      </c>
      <c r="D911">
        <v>4</v>
      </c>
      <c r="E911">
        <v>1535</v>
      </c>
      <c r="F911">
        <v>3424</v>
      </c>
      <c r="G911">
        <v>3428</v>
      </c>
      <c r="H911">
        <v>2064</v>
      </c>
      <c r="I911">
        <v>889</v>
      </c>
      <c r="J911">
        <v>597</v>
      </c>
      <c r="K911">
        <v>270</v>
      </c>
      <c r="L911">
        <v>322</v>
      </c>
      <c r="M911">
        <v>487</v>
      </c>
      <c r="N911">
        <v>448</v>
      </c>
      <c r="O911">
        <v>217</v>
      </c>
      <c r="P911">
        <v>186</v>
      </c>
      <c r="Q911">
        <v>27.399896680000001</v>
      </c>
      <c r="R911">
        <v>0.23100220299999999</v>
      </c>
      <c r="S911">
        <v>330</v>
      </c>
      <c r="T911">
        <v>162</v>
      </c>
      <c r="U911">
        <v>498</v>
      </c>
      <c r="V911">
        <v>1217</v>
      </c>
      <c r="W911">
        <v>1017</v>
      </c>
      <c r="X911">
        <v>629</v>
      </c>
      <c r="Y911">
        <v>42</v>
      </c>
      <c r="Z911">
        <v>55</v>
      </c>
      <c r="AA911">
        <v>206</v>
      </c>
      <c r="AB911">
        <v>0</v>
      </c>
      <c r="AC911">
        <v>9</v>
      </c>
      <c r="AD911">
        <v>18</v>
      </c>
      <c r="AE911">
        <v>0</v>
      </c>
      <c r="AF911">
        <v>0</v>
      </c>
      <c r="AG911">
        <v>4</v>
      </c>
      <c r="AH911">
        <v>0</v>
      </c>
      <c r="AI911">
        <v>0</v>
      </c>
      <c r="AJ911">
        <v>0</v>
      </c>
      <c r="AK911">
        <v>1.31291</v>
      </c>
      <c r="AL911">
        <v>1</v>
      </c>
      <c r="AM911">
        <v>0</v>
      </c>
      <c r="AN911">
        <v>1535</v>
      </c>
      <c r="AO911">
        <v>4</v>
      </c>
      <c r="AP911">
        <v>0</v>
      </c>
      <c r="AQ911">
        <v>0</v>
      </c>
    </row>
    <row r="912" spans="1:43" x14ac:dyDescent="0.25">
      <c r="A912">
        <v>909</v>
      </c>
      <c r="B912">
        <v>18</v>
      </c>
      <c r="C912">
        <v>18</v>
      </c>
      <c r="D912">
        <v>4</v>
      </c>
      <c r="E912">
        <v>1568</v>
      </c>
      <c r="F912">
        <v>3941</v>
      </c>
      <c r="G912">
        <v>3958</v>
      </c>
      <c r="H912">
        <v>2086</v>
      </c>
      <c r="I912">
        <v>1267</v>
      </c>
      <c r="J912">
        <v>356</v>
      </c>
      <c r="K912">
        <v>176</v>
      </c>
      <c r="L912">
        <v>415</v>
      </c>
      <c r="M912">
        <v>411</v>
      </c>
      <c r="N912">
        <v>584</v>
      </c>
      <c r="O912">
        <v>235</v>
      </c>
      <c r="P912">
        <v>207</v>
      </c>
      <c r="Q912">
        <v>26.247889239999999</v>
      </c>
      <c r="R912">
        <v>0.209562322</v>
      </c>
      <c r="S912">
        <v>490</v>
      </c>
      <c r="T912">
        <v>169</v>
      </c>
      <c r="U912">
        <v>831</v>
      </c>
      <c r="V912">
        <v>1362</v>
      </c>
      <c r="W912">
        <v>953</v>
      </c>
      <c r="X912">
        <v>754</v>
      </c>
      <c r="Y912">
        <v>17</v>
      </c>
      <c r="Z912">
        <v>71</v>
      </c>
      <c r="AA912">
        <v>331</v>
      </c>
      <c r="AB912">
        <v>1</v>
      </c>
      <c r="AC912">
        <v>18</v>
      </c>
      <c r="AD912">
        <v>52</v>
      </c>
      <c r="AE912">
        <v>0</v>
      </c>
      <c r="AF912">
        <v>0</v>
      </c>
      <c r="AG912">
        <v>4</v>
      </c>
      <c r="AH912">
        <v>0</v>
      </c>
      <c r="AI912">
        <v>0</v>
      </c>
      <c r="AJ912">
        <v>0</v>
      </c>
      <c r="AK912">
        <v>1.2290099999999999</v>
      </c>
      <c r="AL912">
        <v>1</v>
      </c>
      <c r="AM912">
        <v>0</v>
      </c>
      <c r="AN912">
        <v>1568</v>
      </c>
      <c r="AO912">
        <v>17</v>
      </c>
      <c r="AP912">
        <v>0</v>
      </c>
      <c r="AQ912">
        <v>0</v>
      </c>
    </row>
    <row r="913" spans="1:43" x14ac:dyDescent="0.25">
      <c r="A913">
        <v>910</v>
      </c>
      <c r="B913">
        <v>18</v>
      </c>
      <c r="C913">
        <v>18</v>
      </c>
      <c r="D913">
        <v>4</v>
      </c>
      <c r="E913">
        <v>2161</v>
      </c>
      <c r="F913">
        <v>5230</v>
      </c>
      <c r="G913">
        <v>5307</v>
      </c>
      <c r="H913">
        <v>3282</v>
      </c>
      <c r="I913">
        <v>1785</v>
      </c>
      <c r="J913">
        <v>494</v>
      </c>
      <c r="K913">
        <v>331</v>
      </c>
      <c r="L913">
        <v>499</v>
      </c>
      <c r="M913">
        <v>488</v>
      </c>
      <c r="N913">
        <v>845</v>
      </c>
      <c r="O913">
        <v>417</v>
      </c>
      <c r="P913">
        <v>357</v>
      </c>
      <c r="Q913">
        <v>60.240774909999999</v>
      </c>
      <c r="R913">
        <v>0.21356877299999999</v>
      </c>
      <c r="S913">
        <v>916</v>
      </c>
      <c r="T913">
        <v>504</v>
      </c>
      <c r="U913">
        <v>440</v>
      </c>
      <c r="V913">
        <v>1772</v>
      </c>
      <c r="W913">
        <v>1576</v>
      </c>
      <c r="X913">
        <v>916</v>
      </c>
      <c r="Y913">
        <v>18</v>
      </c>
      <c r="Z913">
        <v>120</v>
      </c>
      <c r="AA913">
        <v>657</v>
      </c>
      <c r="AB913">
        <v>1</v>
      </c>
      <c r="AC913">
        <v>70</v>
      </c>
      <c r="AD913">
        <v>50</v>
      </c>
      <c r="AE913">
        <v>0</v>
      </c>
      <c r="AF913">
        <v>0</v>
      </c>
      <c r="AG913">
        <v>4</v>
      </c>
      <c r="AH913">
        <v>11</v>
      </c>
      <c r="AI913">
        <v>0</v>
      </c>
      <c r="AJ913">
        <v>0</v>
      </c>
      <c r="AK913">
        <v>1.2367999999999999</v>
      </c>
      <c r="AL913">
        <v>1</v>
      </c>
      <c r="AM913">
        <v>0</v>
      </c>
      <c r="AN913">
        <v>2161</v>
      </c>
      <c r="AO913">
        <v>77</v>
      </c>
      <c r="AP913">
        <v>0</v>
      </c>
      <c r="AQ913">
        <v>0</v>
      </c>
    </row>
    <row r="914" spans="1:43" x14ac:dyDescent="0.25">
      <c r="A914">
        <v>911</v>
      </c>
      <c r="B914">
        <v>18</v>
      </c>
      <c r="C914">
        <v>18</v>
      </c>
      <c r="D914">
        <v>4</v>
      </c>
      <c r="E914">
        <v>1077</v>
      </c>
      <c r="F914">
        <v>2383</v>
      </c>
      <c r="G914">
        <v>2482</v>
      </c>
      <c r="H914">
        <v>1340</v>
      </c>
      <c r="I914">
        <v>995</v>
      </c>
      <c r="J914">
        <v>49</v>
      </c>
      <c r="K914">
        <v>132</v>
      </c>
      <c r="L914">
        <v>208</v>
      </c>
      <c r="M914">
        <v>183</v>
      </c>
      <c r="N914">
        <v>559</v>
      </c>
      <c r="O914">
        <v>463</v>
      </c>
      <c r="P914">
        <v>358</v>
      </c>
      <c r="Q914">
        <v>90</v>
      </c>
      <c r="R914">
        <v>0.28381295000000001</v>
      </c>
      <c r="S914">
        <v>889</v>
      </c>
      <c r="T914">
        <v>147</v>
      </c>
      <c r="U914">
        <v>371</v>
      </c>
      <c r="V914">
        <v>776</v>
      </c>
      <c r="W914">
        <v>740</v>
      </c>
      <c r="X914">
        <v>660</v>
      </c>
      <c r="Y914">
        <v>130</v>
      </c>
      <c r="Z914">
        <v>94</v>
      </c>
      <c r="AA914">
        <v>599</v>
      </c>
      <c r="AB914">
        <v>1</v>
      </c>
      <c r="AC914">
        <v>18</v>
      </c>
      <c r="AD914">
        <v>47</v>
      </c>
      <c r="AE914">
        <v>0</v>
      </c>
      <c r="AF914">
        <v>0</v>
      </c>
      <c r="AG914">
        <v>4</v>
      </c>
      <c r="AH914">
        <v>0</v>
      </c>
      <c r="AI914">
        <v>0</v>
      </c>
      <c r="AJ914">
        <v>0</v>
      </c>
      <c r="AK914">
        <v>2.2327300000000001</v>
      </c>
      <c r="AL914">
        <v>1</v>
      </c>
      <c r="AM914">
        <v>0</v>
      </c>
      <c r="AN914">
        <v>1077</v>
      </c>
      <c r="AO914">
        <v>99</v>
      </c>
      <c r="AP914">
        <v>0</v>
      </c>
      <c r="AQ914">
        <v>0</v>
      </c>
    </row>
    <row r="915" spans="1:43" x14ac:dyDescent="0.25">
      <c r="A915">
        <v>912</v>
      </c>
      <c r="B915">
        <v>18</v>
      </c>
      <c r="C915">
        <v>18</v>
      </c>
      <c r="D915">
        <v>4</v>
      </c>
      <c r="E915">
        <v>1998</v>
      </c>
      <c r="F915">
        <v>5001</v>
      </c>
      <c r="G915">
        <v>5001</v>
      </c>
      <c r="H915">
        <v>2294</v>
      </c>
      <c r="I915">
        <v>1737</v>
      </c>
      <c r="J915">
        <v>173</v>
      </c>
      <c r="K915">
        <v>205</v>
      </c>
      <c r="L915">
        <v>251</v>
      </c>
      <c r="M915">
        <v>359</v>
      </c>
      <c r="N915">
        <v>1189</v>
      </c>
      <c r="O915">
        <v>1215</v>
      </c>
      <c r="P915">
        <v>638.6713843</v>
      </c>
      <c r="Q915">
        <v>27.136887399999999</v>
      </c>
      <c r="R915">
        <v>0.28516102700000001</v>
      </c>
      <c r="S915">
        <v>610</v>
      </c>
      <c r="T915">
        <v>321</v>
      </c>
      <c r="U915">
        <v>672</v>
      </c>
      <c r="V915">
        <v>1140</v>
      </c>
      <c r="W915">
        <v>1484</v>
      </c>
      <c r="X915">
        <v>1144</v>
      </c>
      <c r="Y915">
        <v>28</v>
      </c>
      <c r="Z915">
        <v>141</v>
      </c>
      <c r="AA915">
        <v>322</v>
      </c>
      <c r="AB915">
        <v>2</v>
      </c>
      <c r="AC915">
        <v>41</v>
      </c>
      <c r="AD915">
        <v>76</v>
      </c>
      <c r="AE915">
        <v>0</v>
      </c>
      <c r="AF915">
        <v>0</v>
      </c>
      <c r="AG915">
        <v>4</v>
      </c>
      <c r="AH915">
        <v>0</v>
      </c>
      <c r="AI915">
        <v>0</v>
      </c>
      <c r="AJ915">
        <v>0</v>
      </c>
      <c r="AK915">
        <v>1.06613</v>
      </c>
      <c r="AL915">
        <v>1</v>
      </c>
      <c r="AM915">
        <v>0</v>
      </c>
      <c r="AN915">
        <v>1998</v>
      </c>
      <c r="AO915">
        <v>0</v>
      </c>
      <c r="AP915">
        <v>0</v>
      </c>
      <c r="AQ915">
        <v>0</v>
      </c>
    </row>
    <row r="916" spans="1:43" x14ac:dyDescent="0.25">
      <c r="A916">
        <v>913</v>
      </c>
      <c r="B916">
        <v>18</v>
      </c>
      <c r="C916">
        <v>18</v>
      </c>
      <c r="D916">
        <v>4</v>
      </c>
      <c r="E916">
        <v>2699</v>
      </c>
      <c r="F916">
        <v>6358</v>
      </c>
      <c r="G916">
        <v>6370</v>
      </c>
      <c r="H916">
        <v>3460</v>
      </c>
      <c r="I916">
        <v>2426</v>
      </c>
      <c r="J916">
        <v>116</v>
      </c>
      <c r="K916">
        <v>243</v>
      </c>
      <c r="L916">
        <v>317</v>
      </c>
      <c r="M916">
        <v>492</v>
      </c>
      <c r="N916">
        <v>1640</v>
      </c>
      <c r="O916">
        <v>764</v>
      </c>
      <c r="P916">
        <v>698.31095100000005</v>
      </c>
      <c r="Q916">
        <v>50.927760579999998</v>
      </c>
      <c r="R916">
        <v>0.27825662699999998</v>
      </c>
      <c r="S916">
        <v>1901</v>
      </c>
      <c r="T916">
        <v>502</v>
      </c>
      <c r="U916">
        <v>760</v>
      </c>
      <c r="V916">
        <v>1505</v>
      </c>
      <c r="W916">
        <v>1851</v>
      </c>
      <c r="X916">
        <v>1329</v>
      </c>
      <c r="Y916">
        <v>309</v>
      </c>
      <c r="Z916">
        <v>517</v>
      </c>
      <c r="AA916">
        <v>782</v>
      </c>
      <c r="AB916">
        <v>4</v>
      </c>
      <c r="AC916">
        <v>136</v>
      </c>
      <c r="AD916">
        <v>153</v>
      </c>
      <c r="AE916">
        <v>0</v>
      </c>
      <c r="AF916">
        <v>0</v>
      </c>
      <c r="AG916">
        <v>4</v>
      </c>
      <c r="AH916">
        <v>0</v>
      </c>
      <c r="AI916">
        <v>0</v>
      </c>
      <c r="AJ916">
        <v>0</v>
      </c>
      <c r="AK916">
        <v>1.1609100000000001</v>
      </c>
      <c r="AL916">
        <v>1</v>
      </c>
      <c r="AM916">
        <v>0</v>
      </c>
      <c r="AN916">
        <v>2699</v>
      </c>
      <c r="AO916">
        <v>12</v>
      </c>
      <c r="AP916">
        <v>0</v>
      </c>
      <c r="AQ916">
        <v>0</v>
      </c>
    </row>
    <row r="917" spans="1:43" x14ac:dyDescent="0.25">
      <c r="A917">
        <v>914</v>
      </c>
      <c r="B917">
        <v>18</v>
      </c>
      <c r="C917">
        <v>18</v>
      </c>
      <c r="D917">
        <v>4</v>
      </c>
      <c r="E917">
        <v>2604</v>
      </c>
      <c r="F917">
        <v>6037</v>
      </c>
      <c r="G917">
        <v>6037</v>
      </c>
      <c r="H917">
        <v>3033</v>
      </c>
      <c r="I917">
        <v>2074</v>
      </c>
      <c r="J917">
        <v>407</v>
      </c>
      <c r="K917">
        <v>478</v>
      </c>
      <c r="L917">
        <v>339</v>
      </c>
      <c r="M917">
        <v>426</v>
      </c>
      <c r="N917">
        <v>1368</v>
      </c>
      <c r="O917">
        <v>1007</v>
      </c>
      <c r="P917">
        <v>717</v>
      </c>
      <c r="Q917">
        <v>11.227949280000001</v>
      </c>
      <c r="R917">
        <v>0.239431857</v>
      </c>
      <c r="S917">
        <v>668</v>
      </c>
      <c r="T917">
        <v>241</v>
      </c>
      <c r="U917">
        <v>996</v>
      </c>
      <c r="V917">
        <v>1638</v>
      </c>
      <c r="W917">
        <v>1704</v>
      </c>
      <c r="X917">
        <v>1141</v>
      </c>
      <c r="Y917">
        <v>19</v>
      </c>
      <c r="Z917">
        <v>172</v>
      </c>
      <c r="AA917">
        <v>253</v>
      </c>
      <c r="AB917">
        <v>2</v>
      </c>
      <c r="AC917">
        <v>170</v>
      </c>
      <c r="AD917">
        <v>52</v>
      </c>
      <c r="AE917">
        <v>0</v>
      </c>
      <c r="AF917">
        <v>0</v>
      </c>
      <c r="AG917">
        <v>4</v>
      </c>
      <c r="AH917">
        <v>0</v>
      </c>
      <c r="AI917">
        <v>0</v>
      </c>
      <c r="AJ917">
        <v>0</v>
      </c>
      <c r="AK917">
        <v>1.0356300000000001</v>
      </c>
      <c r="AL917">
        <v>1</v>
      </c>
      <c r="AM917">
        <v>0</v>
      </c>
      <c r="AN917">
        <v>2604</v>
      </c>
      <c r="AO917">
        <v>0</v>
      </c>
      <c r="AP917">
        <v>0</v>
      </c>
      <c r="AQ917">
        <v>0</v>
      </c>
    </row>
    <row r="918" spans="1:43" x14ac:dyDescent="0.25">
      <c r="A918">
        <v>915</v>
      </c>
      <c r="B918">
        <v>18</v>
      </c>
      <c r="C918">
        <v>18</v>
      </c>
      <c r="D918">
        <v>4</v>
      </c>
      <c r="E918">
        <v>1681</v>
      </c>
      <c r="F918">
        <v>3998</v>
      </c>
      <c r="G918">
        <v>4003</v>
      </c>
      <c r="H918">
        <v>2021</v>
      </c>
      <c r="I918">
        <v>1379</v>
      </c>
      <c r="J918">
        <v>329</v>
      </c>
      <c r="K918">
        <v>166</v>
      </c>
      <c r="L918">
        <v>261</v>
      </c>
      <c r="M918">
        <v>274</v>
      </c>
      <c r="N918">
        <v>975</v>
      </c>
      <c r="O918">
        <v>455</v>
      </c>
      <c r="P918">
        <v>331</v>
      </c>
      <c r="Q918">
        <v>28</v>
      </c>
      <c r="R918">
        <v>0.227168074</v>
      </c>
      <c r="S918">
        <v>649</v>
      </c>
      <c r="T918">
        <v>128</v>
      </c>
      <c r="U918">
        <v>715</v>
      </c>
      <c r="V918">
        <v>916</v>
      </c>
      <c r="W918">
        <v>1246</v>
      </c>
      <c r="X918">
        <v>788</v>
      </c>
      <c r="Y918">
        <v>28</v>
      </c>
      <c r="Z918">
        <v>184</v>
      </c>
      <c r="AA918">
        <v>329</v>
      </c>
      <c r="AB918">
        <v>1</v>
      </c>
      <c r="AC918">
        <v>31</v>
      </c>
      <c r="AD918">
        <v>76</v>
      </c>
      <c r="AE918">
        <v>0</v>
      </c>
      <c r="AF918">
        <v>0</v>
      </c>
      <c r="AG918">
        <v>4</v>
      </c>
      <c r="AH918">
        <v>367</v>
      </c>
      <c r="AI918">
        <v>0</v>
      </c>
      <c r="AJ918">
        <v>0</v>
      </c>
      <c r="AK918">
        <v>1.1265700000000001</v>
      </c>
      <c r="AL918">
        <v>1</v>
      </c>
      <c r="AM918">
        <v>0</v>
      </c>
      <c r="AN918">
        <v>1681</v>
      </c>
      <c r="AO918">
        <v>5</v>
      </c>
      <c r="AP918">
        <v>0</v>
      </c>
      <c r="AQ918">
        <v>0</v>
      </c>
    </row>
    <row r="919" spans="1:43" x14ac:dyDescent="0.25">
      <c r="A919">
        <v>916</v>
      </c>
      <c r="B919">
        <v>18</v>
      </c>
      <c r="C919">
        <v>18</v>
      </c>
      <c r="D919">
        <v>4</v>
      </c>
      <c r="E919">
        <v>1774</v>
      </c>
      <c r="F919">
        <v>4175</v>
      </c>
      <c r="G919">
        <v>4276</v>
      </c>
      <c r="H919">
        <v>2208</v>
      </c>
      <c r="I919">
        <v>1389</v>
      </c>
      <c r="J919">
        <v>356</v>
      </c>
      <c r="K919">
        <v>130</v>
      </c>
      <c r="L919">
        <v>260</v>
      </c>
      <c r="M919">
        <v>371</v>
      </c>
      <c r="N919">
        <v>999</v>
      </c>
      <c r="O919">
        <v>668</v>
      </c>
      <c r="P919">
        <v>239.1819864</v>
      </c>
      <c r="Q919">
        <v>59</v>
      </c>
      <c r="R919">
        <v>0.242824074</v>
      </c>
      <c r="S919">
        <v>1469</v>
      </c>
      <c r="T919">
        <v>289</v>
      </c>
      <c r="U919">
        <v>757</v>
      </c>
      <c r="V919">
        <v>1111</v>
      </c>
      <c r="W919">
        <v>1190</v>
      </c>
      <c r="X919">
        <v>854</v>
      </c>
      <c r="Y919">
        <v>336</v>
      </c>
      <c r="Z919">
        <v>162</v>
      </c>
      <c r="AA919">
        <v>862</v>
      </c>
      <c r="AB919">
        <v>2</v>
      </c>
      <c r="AC919">
        <v>54</v>
      </c>
      <c r="AD919">
        <v>53</v>
      </c>
      <c r="AE919">
        <v>0</v>
      </c>
      <c r="AF919">
        <v>0</v>
      </c>
      <c r="AG919">
        <v>4</v>
      </c>
      <c r="AH919">
        <v>121</v>
      </c>
      <c r="AI919">
        <v>0</v>
      </c>
      <c r="AJ919">
        <v>0</v>
      </c>
      <c r="AK919">
        <v>1.3696200000000001</v>
      </c>
      <c r="AL919">
        <v>1</v>
      </c>
      <c r="AM919">
        <v>0</v>
      </c>
      <c r="AN919">
        <v>1774</v>
      </c>
      <c r="AO919">
        <v>101</v>
      </c>
      <c r="AP919">
        <v>0</v>
      </c>
      <c r="AQ919">
        <v>0</v>
      </c>
    </row>
    <row r="920" spans="1:43" x14ac:dyDescent="0.25">
      <c r="A920">
        <v>917</v>
      </c>
      <c r="B920">
        <v>18</v>
      </c>
      <c r="C920">
        <v>18</v>
      </c>
      <c r="D920">
        <v>4</v>
      </c>
      <c r="E920">
        <v>2316</v>
      </c>
      <c r="F920">
        <v>6101</v>
      </c>
      <c r="G920">
        <v>6102</v>
      </c>
      <c r="H920">
        <v>2827</v>
      </c>
      <c r="I920">
        <v>1677</v>
      </c>
      <c r="J920">
        <v>539</v>
      </c>
      <c r="K920">
        <v>336</v>
      </c>
      <c r="L920">
        <v>341</v>
      </c>
      <c r="M920">
        <v>349</v>
      </c>
      <c r="N920">
        <v>1283</v>
      </c>
      <c r="O920">
        <v>334</v>
      </c>
      <c r="P920">
        <v>284</v>
      </c>
      <c r="Q920">
        <v>15.107993540000001</v>
      </c>
      <c r="R920">
        <v>0.23029080499999999</v>
      </c>
      <c r="S920">
        <v>878</v>
      </c>
      <c r="T920">
        <v>361</v>
      </c>
      <c r="U920">
        <v>1246</v>
      </c>
      <c r="V920">
        <v>1331</v>
      </c>
      <c r="W920">
        <v>1694</v>
      </c>
      <c r="X920">
        <v>1149</v>
      </c>
      <c r="Y920">
        <v>110</v>
      </c>
      <c r="Z920">
        <v>192</v>
      </c>
      <c r="AA920">
        <v>332</v>
      </c>
      <c r="AB920">
        <v>4</v>
      </c>
      <c r="AC920">
        <v>41</v>
      </c>
      <c r="AD920">
        <v>199</v>
      </c>
      <c r="AE920">
        <v>0</v>
      </c>
      <c r="AF920">
        <v>0</v>
      </c>
      <c r="AG920">
        <v>4</v>
      </c>
      <c r="AH920">
        <v>0</v>
      </c>
      <c r="AI920">
        <v>0</v>
      </c>
      <c r="AJ920">
        <v>0</v>
      </c>
      <c r="AK920">
        <v>1.3488599999999999</v>
      </c>
      <c r="AL920">
        <v>1</v>
      </c>
      <c r="AM920">
        <v>0</v>
      </c>
      <c r="AN920">
        <v>2316</v>
      </c>
      <c r="AO920">
        <v>1</v>
      </c>
      <c r="AP920">
        <v>0</v>
      </c>
      <c r="AQ920">
        <v>0</v>
      </c>
    </row>
    <row r="921" spans="1:43" x14ac:dyDescent="0.25">
      <c r="A921">
        <v>918</v>
      </c>
      <c r="B921">
        <v>18</v>
      </c>
      <c r="C921">
        <v>18</v>
      </c>
      <c r="D921">
        <v>4</v>
      </c>
      <c r="E921">
        <v>2120</v>
      </c>
      <c r="F921">
        <v>6226</v>
      </c>
      <c r="G921">
        <v>6226</v>
      </c>
      <c r="H921">
        <v>2822</v>
      </c>
      <c r="I921">
        <v>2064</v>
      </c>
      <c r="J921">
        <v>36</v>
      </c>
      <c r="K921">
        <v>58</v>
      </c>
      <c r="L921">
        <v>177</v>
      </c>
      <c r="M921">
        <v>252</v>
      </c>
      <c r="N921">
        <v>1632</v>
      </c>
      <c r="O921">
        <v>729</v>
      </c>
      <c r="P921">
        <v>649</v>
      </c>
      <c r="Q921">
        <v>32</v>
      </c>
      <c r="R921">
        <v>0.26456431499999999</v>
      </c>
      <c r="S921">
        <v>1109</v>
      </c>
      <c r="T921">
        <v>327</v>
      </c>
      <c r="U921">
        <v>1352</v>
      </c>
      <c r="V921">
        <v>1345</v>
      </c>
      <c r="W921">
        <v>1347</v>
      </c>
      <c r="X921">
        <v>1464</v>
      </c>
      <c r="Y921">
        <v>26</v>
      </c>
      <c r="Z921">
        <v>197</v>
      </c>
      <c r="AA921">
        <v>726</v>
      </c>
      <c r="AB921">
        <v>5</v>
      </c>
      <c r="AC921">
        <v>58</v>
      </c>
      <c r="AD921">
        <v>97</v>
      </c>
      <c r="AE921">
        <v>0</v>
      </c>
      <c r="AF921">
        <v>0</v>
      </c>
      <c r="AG921">
        <v>4</v>
      </c>
      <c r="AH921">
        <v>794</v>
      </c>
      <c r="AI921">
        <v>0</v>
      </c>
      <c r="AJ921">
        <v>0</v>
      </c>
      <c r="AK921">
        <v>1.15415</v>
      </c>
      <c r="AL921">
        <v>1</v>
      </c>
      <c r="AM921">
        <v>0</v>
      </c>
      <c r="AN921">
        <v>2120</v>
      </c>
      <c r="AO921">
        <v>0</v>
      </c>
      <c r="AP921">
        <v>0</v>
      </c>
      <c r="AQ921">
        <v>0</v>
      </c>
    </row>
    <row r="922" spans="1:43" x14ac:dyDescent="0.25">
      <c r="A922">
        <v>919</v>
      </c>
      <c r="B922">
        <v>18</v>
      </c>
      <c r="C922">
        <v>18</v>
      </c>
      <c r="D922">
        <v>4</v>
      </c>
      <c r="E922">
        <v>738</v>
      </c>
      <c r="F922">
        <v>1877</v>
      </c>
      <c r="G922">
        <v>1877</v>
      </c>
      <c r="H922">
        <v>1020</v>
      </c>
      <c r="I922">
        <v>684</v>
      </c>
      <c r="J922">
        <v>44</v>
      </c>
      <c r="K922">
        <v>32</v>
      </c>
      <c r="L922">
        <v>81</v>
      </c>
      <c r="M922">
        <v>153</v>
      </c>
      <c r="N922">
        <v>466</v>
      </c>
      <c r="O922">
        <v>262</v>
      </c>
      <c r="P922">
        <v>258</v>
      </c>
      <c r="Q922">
        <v>1</v>
      </c>
      <c r="R922">
        <v>0.25436277099999999</v>
      </c>
      <c r="S922">
        <v>200</v>
      </c>
      <c r="T922">
        <v>80</v>
      </c>
      <c r="U922">
        <v>411</v>
      </c>
      <c r="V922">
        <v>264</v>
      </c>
      <c r="W922">
        <v>661</v>
      </c>
      <c r="X922">
        <v>414</v>
      </c>
      <c r="Y922">
        <v>7</v>
      </c>
      <c r="Z922">
        <v>53</v>
      </c>
      <c r="AA922">
        <v>81</v>
      </c>
      <c r="AB922">
        <v>1</v>
      </c>
      <c r="AC922">
        <v>33</v>
      </c>
      <c r="AD922">
        <v>25</v>
      </c>
      <c r="AE922">
        <v>0</v>
      </c>
      <c r="AF922">
        <v>0</v>
      </c>
      <c r="AG922">
        <v>5</v>
      </c>
      <c r="AH922">
        <v>0</v>
      </c>
      <c r="AI922">
        <v>0</v>
      </c>
      <c r="AJ922">
        <v>0</v>
      </c>
      <c r="AK922">
        <v>1.03379</v>
      </c>
      <c r="AL922">
        <v>1</v>
      </c>
      <c r="AM922">
        <v>0</v>
      </c>
      <c r="AN922">
        <v>738</v>
      </c>
      <c r="AO922">
        <v>0</v>
      </c>
      <c r="AP922">
        <v>0</v>
      </c>
      <c r="AQ922">
        <v>0</v>
      </c>
    </row>
    <row r="923" spans="1:43" x14ac:dyDescent="0.25">
      <c r="A923">
        <v>920</v>
      </c>
      <c r="B923">
        <v>18</v>
      </c>
      <c r="C923">
        <v>18</v>
      </c>
      <c r="D923">
        <v>4</v>
      </c>
      <c r="E923">
        <v>884</v>
      </c>
      <c r="F923">
        <v>2256</v>
      </c>
      <c r="G923">
        <v>2256</v>
      </c>
      <c r="H923">
        <v>1216</v>
      </c>
      <c r="I923">
        <v>869</v>
      </c>
      <c r="J923">
        <v>24</v>
      </c>
      <c r="K923">
        <v>79</v>
      </c>
      <c r="L923">
        <v>102</v>
      </c>
      <c r="M923">
        <v>133</v>
      </c>
      <c r="N923">
        <v>576</v>
      </c>
      <c r="O923">
        <v>304</v>
      </c>
      <c r="P923">
        <v>207</v>
      </c>
      <c r="Q923">
        <v>8.0688491990000006</v>
      </c>
      <c r="R923">
        <v>0.28286491400000002</v>
      </c>
      <c r="S923">
        <v>545</v>
      </c>
      <c r="T923">
        <v>146</v>
      </c>
      <c r="U923">
        <v>281</v>
      </c>
      <c r="V923">
        <v>468</v>
      </c>
      <c r="W923">
        <v>799</v>
      </c>
      <c r="X923">
        <v>444</v>
      </c>
      <c r="Y923">
        <v>18</v>
      </c>
      <c r="Z923">
        <v>56</v>
      </c>
      <c r="AA923">
        <v>336</v>
      </c>
      <c r="AB923">
        <v>1</v>
      </c>
      <c r="AC923">
        <v>104</v>
      </c>
      <c r="AD923">
        <v>30</v>
      </c>
      <c r="AE923">
        <v>0</v>
      </c>
      <c r="AF923">
        <v>0</v>
      </c>
      <c r="AG923">
        <v>4</v>
      </c>
      <c r="AH923">
        <v>398</v>
      </c>
      <c r="AI923">
        <v>0</v>
      </c>
      <c r="AJ923">
        <v>0</v>
      </c>
      <c r="AK923">
        <v>1.1410100000000001</v>
      </c>
      <c r="AL923">
        <v>1</v>
      </c>
      <c r="AM923">
        <v>0</v>
      </c>
      <c r="AN923">
        <v>884</v>
      </c>
      <c r="AO923">
        <v>0</v>
      </c>
      <c r="AP923">
        <v>0</v>
      </c>
      <c r="AQ923">
        <v>0</v>
      </c>
    </row>
    <row r="924" spans="1:43" x14ac:dyDescent="0.25">
      <c r="A924">
        <v>921</v>
      </c>
      <c r="B924">
        <v>18</v>
      </c>
      <c r="C924">
        <v>18</v>
      </c>
      <c r="D924">
        <v>4</v>
      </c>
      <c r="E924">
        <v>1192</v>
      </c>
      <c r="F924">
        <v>2614</v>
      </c>
      <c r="G924">
        <v>2614</v>
      </c>
      <c r="H924">
        <v>1246</v>
      </c>
      <c r="I924">
        <v>643</v>
      </c>
      <c r="J924">
        <v>555</v>
      </c>
      <c r="K924">
        <v>328</v>
      </c>
      <c r="L924">
        <v>269</v>
      </c>
      <c r="M924">
        <v>199</v>
      </c>
      <c r="N924">
        <v>384</v>
      </c>
      <c r="O924">
        <v>153</v>
      </c>
      <c r="P924">
        <v>117.3000129</v>
      </c>
      <c r="Q924">
        <v>15.272773620000001</v>
      </c>
      <c r="R924">
        <v>0.30065597700000002</v>
      </c>
      <c r="S924">
        <v>500</v>
      </c>
      <c r="T924">
        <v>102</v>
      </c>
      <c r="U924">
        <v>453</v>
      </c>
      <c r="V924">
        <v>754</v>
      </c>
      <c r="W924">
        <v>751</v>
      </c>
      <c r="X924">
        <v>600</v>
      </c>
      <c r="Y924">
        <v>16</v>
      </c>
      <c r="Z924">
        <v>106</v>
      </c>
      <c r="AA924">
        <v>303</v>
      </c>
      <c r="AB924">
        <v>1</v>
      </c>
      <c r="AC924">
        <v>33</v>
      </c>
      <c r="AD924">
        <v>41</v>
      </c>
      <c r="AE924">
        <v>0</v>
      </c>
      <c r="AF924">
        <v>0</v>
      </c>
      <c r="AG924">
        <v>4</v>
      </c>
      <c r="AH924">
        <v>0</v>
      </c>
      <c r="AI924">
        <v>0</v>
      </c>
      <c r="AJ924">
        <v>0</v>
      </c>
      <c r="AK924">
        <v>1.45808</v>
      </c>
      <c r="AL924">
        <v>1</v>
      </c>
      <c r="AM924">
        <v>0</v>
      </c>
      <c r="AN924">
        <v>1192</v>
      </c>
      <c r="AO924">
        <v>0</v>
      </c>
      <c r="AP924">
        <v>0</v>
      </c>
      <c r="AQ924">
        <v>0</v>
      </c>
    </row>
    <row r="925" spans="1:43" x14ac:dyDescent="0.25">
      <c r="A925">
        <v>922</v>
      </c>
      <c r="B925">
        <v>18</v>
      </c>
      <c r="C925">
        <v>18</v>
      </c>
      <c r="D925">
        <v>4</v>
      </c>
      <c r="E925">
        <v>2084</v>
      </c>
      <c r="F925">
        <v>4677</v>
      </c>
      <c r="G925">
        <v>4677</v>
      </c>
      <c r="H925">
        <v>2946</v>
      </c>
      <c r="I925">
        <v>1345</v>
      </c>
      <c r="J925">
        <v>700</v>
      </c>
      <c r="K925">
        <v>456</v>
      </c>
      <c r="L925">
        <v>280</v>
      </c>
      <c r="M925">
        <v>553</v>
      </c>
      <c r="N925">
        <v>785</v>
      </c>
      <c r="O925">
        <v>259</v>
      </c>
      <c r="P925">
        <v>207.23309549999999</v>
      </c>
      <c r="Q925">
        <v>19.106107399999999</v>
      </c>
      <c r="R925">
        <v>0.28493687400000001</v>
      </c>
      <c r="S925">
        <v>852</v>
      </c>
      <c r="T925">
        <v>244</v>
      </c>
      <c r="U925">
        <v>561</v>
      </c>
      <c r="V925">
        <v>1445</v>
      </c>
      <c r="W925">
        <v>1296</v>
      </c>
      <c r="X925">
        <v>920</v>
      </c>
      <c r="Y925">
        <v>31</v>
      </c>
      <c r="Z925">
        <v>186</v>
      </c>
      <c r="AA925">
        <v>422</v>
      </c>
      <c r="AB925">
        <v>2</v>
      </c>
      <c r="AC925">
        <v>130</v>
      </c>
      <c r="AD925">
        <v>81</v>
      </c>
      <c r="AE925">
        <v>0</v>
      </c>
      <c r="AF925">
        <v>0</v>
      </c>
      <c r="AG925">
        <v>4</v>
      </c>
      <c r="AH925">
        <v>0</v>
      </c>
      <c r="AI925">
        <v>0</v>
      </c>
      <c r="AJ925">
        <v>0</v>
      </c>
      <c r="AK925">
        <v>1.3462700000000001</v>
      </c>
      <c r="AL925">
        <v>1</v>
      </c>
      <c r="AM925">
        <v>0</v>
      </c>
      <c r="AN925">
        <v>2084</v>
      </c>
      <c r="AO925">
        <v>0</v>
      </c>
      <c r="AP925">
        <v>0</v>
      </c>
      <c r="AQ925">
        <v>0</v>
      </c>
    </row>
    <row r="926" spans="1:43" x14ac:dyDescent="0.25">
      <c r="A926">
        <v>923</v>
      </c>
      <c r="B926">
        <v>18</v>
      </c>
      <c r="C926">
        <v>18</v>
      </c>
      <c r="D926">
        <v>4</v>
      </c>
      <c r="E926">
        <v>2854</v>
      </c>
      <c r="F926">
        <v>6758</v>
      </c>
      <c r="G926">
        <v>6769</v>
      </c>
      <c r="H926">
        <v>3432</v>
      </c>
      <c r="I926">
        <v>1441</v>
      </c>
      <c r="J926">
        <v>1386</v>
      </c>
      <c r="K926">
        <v>1120</v>
      </c>
      <c r="L926">
        <v>846</v>
      </c>
      <c r="M926">
        <v>424</v>
      </c>
      <c r="N926">
        <v>467</v>
      </c>
      <c r="O926">
        <v>288</v>
      </c>
      <c r="P926">
        <v>237</v>
      </c>
      <c r="Q926">
        <v>24.093601880000001</v>
      </c>
      <c r="R926">
        <v>0.17734408099999999</v>
      </c>
      <c r="S926">
        <v>860</v>
      </c>
      <c r="T926">
        <v>333</v>
      </c>
      <c r="U926">
        <v>973</v>
      </c>
      <c r="V926">
        <v>2681</v>
      </c>
      <c r="W926">
        <v>1814</v>
      </c>
      <c r="X926">
        <v>1074</v>
      </c>
      <c r="Y926">
        <v>251</v>
      </c>
      <c r="Z926">
        <v>125</v>
      </c>
      <c r="AA926">
        <v>383</v>
      </c>
      <c r="AB926">
        <v>2</v>
      </c>
      <c r="AC926">
        <v>44</v>
      </c>
      <c r="AD926">
        <v>55</v>
      </c>
      <c r="AE926">
        <v>0</v>
      </c>
      <c r="AF926">
        <v>0</v>
      </c>
      <c r="AG926">
        <v>3</v>
      </c>
      <c r="AH926">
        <v>0</v>
      </c>
      <c r="AI926">
        <v>0</v>
      </c>
      <c r="AJ926">
        <v>0</v>
      </c>
      <c r="AK926">
        <v>1.4992399999999999</v>
      </c>
      <c r="AL926">
        <v>1</v>
      </c>
      <c r="AM926">
        <v>0</v>
      </c>
      <c r="AN926">
        <v>2854</v>
      </c>
      <c r="AO926">
        <v>11</v>
      </c>
      <c r="AP926">
        <v>0</v>
      </c>
      <c r="AQ926">
        <v>0</v>
      </c>
    </row>
    <row r="927" spans="1:43" x14ac:dyDescent="0.25">
      <c r="A927">
        <v>924</v>
      </c>
      <c r="B927">
        <v>18</v>
      </c>
      <c r="C927">
        <v>18</v>
      </c>
      <c r="D927">
        <v>4</v>
      </c>
      <c r="E927">
        <v>2001</v>
      </c>
      <c r="F927">
        <v>5869</v>
      </c>
      <c r="G927">
        <v>5890</v>
      </c>
      <c r="H927">
        <v>3186</v>
      </c>
      <c r="I927">
        <v>963</v>
      </c>
      <c r="J927">
        <v>1060</v>
      </c>
      <c r="K927">
        <v>792</v>
      </c>
      <c r="L927">
        <v>488</v>
      </c>
      <c r="M927">
        <v>457</v>
      </c>
      <c r="N927">
        <v>241</v>
      </c>
      <c r="O927">
        <v>183</v>
      </c>
      <c r="P927">
        <v>137</v>
      </c>
      <c r="Q927">
        <v>42.126796509999998</v>
      </c>
      <c r="R927">
        <v>0.16045580500000001</v>
      </c>
      <c r="S927">
        <v>550</v>
      </c>
      <c r="T927">
        <v>278</v>
      </c>
      <c r="U927">
        <v>1323</v>
      </c>
      <c r="V927">
        <v>2154</v>
      </c>
      <c r="W927">
        <v>1616</v>
      </c>
      <c r="X927">
        <v>912</v>
      </c>
      <c r="Y927">
        <v>120</v>
      </c>
      <c r="Z927">
        <v>46</v>
      </c>
      <c r="AA927">
        <v>341</v>
      </c>
      <c r="AB927">
        <v>0</v>
      </c>
      <c r="AC927">
        <v>11</v>
      </c>
      <c r="AD927">
        <v>32</v>
      </c>
      <c r="AE927">
        <v>0</v>
      </c>
      <c r="AF927">
        <v>0</v>
      </c>
      <c r="AG927">
        <v>3</v>
      </c>
      <c r="AH927">
        <v>601</v>
      </c>
      <c r="AI927">
        <v>0</v>
      </c>
      <c r="AJ927">
        <v>0</v>
      </c>
      <c r="AK927">
        <v>1.6612899999999999</v>
      </c>
      <c r="AL927">
        <v>1</v>
      </c>
      <c r="AM927">
        <v>0</v>
      </c>
      <c r="AN927">
        <v>2001</v>
      </c>
      <c r="AO927">
        <v>21</v>
      </c>
      <c r="AP927">
        <v>0</v>
      </c>
      <c r="AQ927">
        <v>0</v>
      </c>
    </row>
    <row r="928" spans="1:43" x14ac:dyDescent="0.25">
      <c r="A928">
        <v>925</v>
      </c>
      <c r="B928">
        <v>18</v>
      </c>
      <c r="C928">
        <v>18</v>
      </c>
      <c r="D928">
        <v>4</v>
      </c>
      <c r="E928">
        <v>1887</v>
      </c>
      <c r="F928">
        <v>5810</v>
      </c>
      <c r="G928">
        <v>5827</v>
      </c>
      <c r="H928">
        <v>2920</v>
      </c>
      <c r="I928">
        <v>886</v>
      </c>
      <c r="J928">
        <v>1015</v>
      </c>
      <c r="K928">
        <v>807</v>
      </c>
      <c r="L928">
        <v>659</v>
      </c>
      <c r="M928">
        <v>271</v>
      </c>
      <c r="N928">
        <v>141</v>
      </c>
      <c r="O928">
        <v>173</v>
      </c>
      <c r="P928">
        <v>82</v>
      </c>
      <c r="Q928">
        <v>87.013922919999999</v>
      </c>
      <c r="R928">
        <v>0.11524163599999999</v>
      </c>
      <c r="S928">
        <v>978</v>
      </c>
      <c r="T928">
        <v>338</v>
      </c>
      <c r="U928">
        <v>1359</v>
      </c>
      <c r="V928">
        <v>2693</v>
      </c>
      <c r="W928">
        <v>1320</v>
      </c>
      <c r="X928">
        <v>549</v>
      </c>
      <c r="Y928">
        <v>104</v>
      </c>
      <c r="Z928">
        <v>224</v>
      </c>
      <c r="AA928">
        <v>572</v>
      </c>
      <c r="AB928">
        <v>1</v>
      </c>
      <c r="AC928">
        <v>26</v>
      </c>
      <c r="AD928">
        <v>51</v>
      </c>
      <c r="AE928">
        <v>0</v>
      </c>
      <c r="AF928">
        <v>18.649697079999999</v>
      </c>
      <c r="AG928">
        <v>3</v>
      </c>
      <c r="AH928">
        <v>351</v>
      </c>
      <c r="AI928">
        <v>0</v>
      </c>
      <c r="AJ928">
        <v>0</v>
      </c>
      <c r="AK928">
        <v>2.2406999999999999</v>
      </c>
      <c r="AL928">
        <v>3</v>
      </c>
      <c r="AM928">
        <v>0</v>
      </c>
      <c r="AN928">
        <v>1887</v>
      </c>
      <c r="AO928">
        <v>17</v>
      </c>
      <c r="AP928">
        <v>0</v>
      </c>
      <c r="AQ928">
        <v>0</v>
      </c>
    </row>
    <row r="929" spans="1:43" x14ac:dyDescent="0.25">
      <c r="A929">
        <v>926</v>
      </c>
      <c r="B929">
        <v>18</v>
      </c>
      <c r="C929">
        <v>18</v>
      </c>
      <c r="D929">
        <v>4</v>
      </c>
      <c r="E929">
        <v>1872</v>
      </c>
      <c r="F929">
        <v>4433</v>
      </c>
      <c r="G929">
        <v>4794</v>
      </c>
      <c r="H929">
        <v>2340</v>
      </c>
      <c r="I929">
        <v>607</v>
      </c>
      <c r="J929">
        <v>1335</v>
      </c>
      <c r="K929">
        <v>775</v>
      </c>
      <c r="L929">
        <v>565</v>
      </c>
      <c r="M929">
        <v>180</v>
      </c>
      <c r="N929">
        <v>343</v>
      </c>
      <c r="O929">
        <v>465</v>
      </c>
      <c r="P929">
        <v>123.7826115</v>
      </c>
      <c r="Q929">
        <v>348.1263467</v>
      </c>
      <c r="R929">
        <v>0.174399674</v>
      </c>
      <c r="S929">
        <v>3868</v>
      </c>
      <c r="T929">
        <v>300</v>
      </c>
      <c r="U929">
        <v>538</v>
      </c>
      <c r="V929">
        <v>2222</v>
      </c>
      <c r="W929">
        <v>1057</v>
      </c>
      <c r="X929">
        <v>647</v>
      </c>
      <c r="Y929">
        <v>518</v>
      </c>
      <c r="Z929">
        <v>481</v>
      </c>
      <c r="AA929">
        <v>1960</v>
      </c>
      <c r="AB929">
        <v>4</v>
      </c>
      <c r="AC929">
        <v>597</v>
      </c>
      <c r="AD929">
        <v>308</v>
      </c>
      <c r="AE929">
        <v>0</v>
      </c>
      <c r="AF929">
        <v>0</v>
      </c>
      <c r="AG929">
        <v>4</v>
      </c>
      <c r="AH929">
        <v>785</v>
      </c>
      <c r="AI929">
        <v>135</v>
      </c>
      <c r="AJ929">
        <v>70</v>
      </c>
      <c r="AK929">
        <v>1.57816</v>
      </c>
      <c r="AL929">
        <v>3</v>
      </c>
      <c r="AM929">
        <v>0</v>
      </c>
      <c r="AN929">
        <v>1872</v>
      </c>
      <c r="AO929">
        <v>361</v>
      </c>
      <c r="AP929">
        <v>0</v>
      </c>
      <c r="AQ929">
        <v>0</v>
      </c>
    </row>
    <row r="930" spans="1:43" x14ac:dyDescent="0.25">
      <c r="A930">
        <v>927</v>
      </c>
      <c r="B930">
        <v>18</v>
      </c>
      <c r="C930">
        <v>18</v>
      </c>
      <c r="D930">
        <v>4</v>
      </c>
      <c r="E930">
        <v>1400</v>
      </c>
      <c r="F930">
        <v>4159</v>
      </c>
      <c r="G930">
        <v>4159</v>
      </c>
      <c r="H930">
        <v>1957</v>
      </c>
      <c r="I930">
        <v>353</v>
      </c>
      <c r="J930">
        <v>1078</v>
      </c>
      <c r="K930">
        <v>693</v>
      </c>
      <c r="L930">
        <v>439</v>
      </c>
      <c r="M930">
        <v>143</v>
      </c>
      <c r="N930">
        <v>120</v>
      </c>
      <c r="O930">
        <v>97</v>
      </c>
      <c r="P930">
        <v>51</v>
      </c>
      <c r="Q930">
        <v>43.289369190000002</v>
      </c>
      <c r="R930">
        <v>0.17557574500000001</v>
      </c>
      <c r="S930">
        <v>1201</v>
      </c>
      <c r="T930">
        <v>298</v>
      </c>
      <c r="U930">
        <v>733</v>
      </c>
      <c r="V930">
        <v>1956</v>
      </c>
      <c r="W930">
        <v>942</v>
      </c>
      <c r="X930">
        <v>663</v>
      </c>
      <c r="Y930">
        <v>51</v>
      </c>
      <c r="Z930">
        <v>209</v>
      </c>
      <c r="AA930">
        <v>800</v>
      </c>
      <c r="AB930">
        <v>3</v>
      </c>
      <c r="AC930">
        <v>59</v>
      </c>
      <c r="AD930">
        <v>79</v>
      </c>
      <c r="AE930">
        <v>0</v>
      </c>
      <c r="AF930">
        <v>15.258843069999999</v>
      </c>
      <c r="AG930">
        <v>2</v>
      </c>
      <c r="AH930">
        <v>0</v>
      </c>
      <c r="AI930">
        <v>0</v>
      </c>
      <c r="AJ930">
        <v>0</v>
      </c>
      <c r="AK930">
        <v>2.3836599999999999</v>
      </c>
      <c r="AL930">
        <v>2</v>
      </c>
      <c r="AM930">
        <v>0</v>
      </c>
      <c r="AN930">
        <v>1400</v>
      </c>
      <c r="AO930">
        <v>0</v>
      </c>
      <c r="AP930">
        <v>0</v>
      </c>
      <c r="AQ930">
        <v>0</v>
      </c>
    </row>
    <row r="931" spans="1:43" x14ac:dyDescent="0.25">
      <c r="A931">
        <v>928</v>
      </c>
      <c r="B931">
        <v>18</v>
      </c>
      <c r="C931">
        <v>18</v>
      </c>
      <c r="D931">
        <v>4</v>
      </c>
      <c r="E931">
        <v>1554</v>
      </c>
      <c r="F931">
        <v>4674</v>
      </c>
      <c r="G931">
        <v>4692</v>
      </c>
      <c r="H931">
        <v>2237</v>
      </c>
      <c r="I931">
        <v>477</v>
      </c>
      <c r="J931">
        <v>1052</v>
      </c>
      <c r="K931">
        <v>775</v>
      </c>
      <c r="L931">
        <v>524</v>
      </c>
      <c r="M931">
        <v>145</v>
      </c>
      <c r="N931">
        <v>95</v>
      </c>
      <c r="O931">
        <v>99</v>
      </c>
      <c r="P931">
        <v>72.102250909999995</v>
      </c>
      <c r="Q931">
        <v>27.181168639999999</v>
      </c>
      <c r="R931">
        <v>0.103846154</v>
      </c>
      <c r="S931">
        <v>428</v>
      </c>
      <c r="T931">
        <v>253</v>
      </c>
      <c r="U931">
        <v>1056</v>
      </c>
      <c r="V931">
        <v>1873</v>
      </c>
      <c r="W931">
        <v>1198</v>
      </c>
      <c r="X931">
        <v>412</v>
      </c>
      <c r="Y931">
        <v>4</v>
      </c>
      <c r="Z931">
        <v>60</v>
      </c>
      <c r="AA931">
        <v>324</v>
      </c>
      <c r="AB931">
        <v>1</v>
      </c>
      <c r="AC931">
        <v>10</v>
      </c>
      <c r="AD931">
        <v>29</v>
      </c>
      <c r="AE931">
        <v>0</v>
      </c>
      <c r="AF931">
        <v>14.12855839</v>
      </c>
      <c r="AG931">
        <v>2</v>
      </c>
      <c r="AH931">
        <v>0</v>
      </c>
      <c r="AI931">
        <v>0</v>
      </c>
      <c r="AJ931">
        <v>0</v>
      </c>
      <c r="AK931">
        <v>1.8590899999999999</v>
      </c>
      <c r="AL931">
        <v>2</v>
      </c>
      <c r="AM931">
        <v>0</v>
      </c>
      <c r="AN931">
        <v>1554</v>
      </c>
      <c r="AO931">
        <v>18</v>
      </c>
      <c r="AP931">
        <v>0</v>
      </c>
      <c r="AQ931">
        <v>0</v>
      </c>
    </row>
    <row r="932" spans="1:43" x14ac:dyDescent="0.25">
      <c r="A932">
        <v>929</v>
      </c>
      <c r="B932">
        <v>18</v>
      </c>
      <c r="C932">
        <v>18</v>
      </c>
      <c r="D932">
        <v>4</v>
      </c>
      <c r="E932">
        <v>1415</v>
      </c>
      <c r="F932">
        <v>4023</v>
      </c>
      <c r="G932">
        <v>4035</v>
      </c>
      <c r="H932">
        <v>2156</v>
      </c>
      <c r="I932">
        <v>913</v>
      </c>
      <c r="J932">
        <v>507</v>
      </c>
      <c r="K932">
        <v>631</v>
      </c>
      <c r="L932">
        <v>352</v>
      </c>
      <c r="M932">
        <v>216</v>
      </c>
      <c r="N932">
        <v>222</v>
      </c>
      <c r="O932">
        <v>118</v>
      </c>
      <c r="P932">
        <v>117.648323</v>
      </c>
      <c r="Q932">
        <v>2</v>
      </c>
      <c r="R932">
        <v>0.15459579200000001</v>
      </c>
      <c r="S932">
        <v>438</v>
      </c>
      <c r="T932">
        <v>297</v>
      </c>
      <c r="U932">
        <v>835</v>
      </c>
      <c r="V932">
        <v>1818</v>
      </c>
      <c r="W932">
        <v>849</v>
      </c>
      <c r="X932">
        <v>577</v>
      </c>
      <c r="Y932">
        <v>12</v>
      </c>
      <c r="Z932">
        <v>13</v>
      </c>
      <c r="AA932">
        <v>371</v>
      </c>
      <c r="AB932">
        <v>0</v>
      </c>
      <c r="AC932">
        <v>20</v>
      </c>
      <c r="AD932">
        <v>22</v>
      </c>
      <c r="AE932">
        <v>0</v>
      </c>
      <c r="AF932">
        <v>0</v>
      </c>
      <c r="AG932">
        <v>3</v>
      </c>
      <c r="AH932">
        <v>0</v>
      </c>
      <c r="AI932">
        <v>0</v>
      </c>
      <c r="AJ932">
        <v>0</v>
      </c>
      <c r="AK932">
        <v>1.62283</v>
      </c>
      <c r="AL932">
        <v>1</v>
      </c>
      <c r="AM932">
        <v>0</v>
      </c>
      <c r="AN932">
        <v>1415</v>
      </c>
      <c r="AO932">
        <v>12</v>
      </c>
      <c r="AP932">
        <v>0</v>
      </c>
      <c r="AQ932">
        <v>0</v>
      </c>
    </row>
    <row r="933" spans="1:43" x14ac:dyDescent="0.25">
      <c r="A933">
        <v>930</v>
      </c>
      <c r="B933">
        <v>18</v>
      </c>
      <c r="C933">
        <v>18</v>
      </c>
      <c r="D933">
        <v>4</v>
      </c>
      <c r="E933">
        <v>854</v>
      </c>
      <c r="F933">
        <v>2271</v>
      </c>
      <c r="G933">
        <v>2298</v>
      </c>
      <c r="H933">
        <v>1040</v>
      </c>
      <c r="I933">
        <v>391</v>
      </c>
      <c r="J933">
        <v>453</v>
      </c>
      <c r="K933">
        <v>348</v>
      </c>
      <c r="L933">
        <v>225</v>
      </c>
      <c r="M933">
        <v>133</v>
      </c>
      <c r="N933">
        <v>151</v>
      </c>
      <c r="O933">
        <v>138</v>
      </c>
      <c r="P933">
        <v>82</v>
      </c>
      <c r="Q933">
        <v>15.05365434</v>
      </c>
      <c r="R933">
        <v>0.35989222500000001</v>
      </c>
      <c r="S933">
        <v>674</v>
      </c>
      <c r="T933">
        <v>144</v>
      </c>
      <c r="U933">
        <v>373</v>
      </c>
      <c r="V933">
        <v>718</v>
      </c>
      <c r="W933">
        <v>456</v>
      </c>
      <c r="X933">
        <v>834</v>
      </c>
      <c r="Y933">
        <v>7</v>
      </c>
      <c r="Z933">
        <v>26</v>
      </c>
      <c r="AA933">
        <v>610</v>
      </c>
      <c r="AB933">
        <v>0</v>
      </c>
      <c r="AC933">
        <v>6</v>
      </c>
      <c r="AD933">
        <v>25</v>
      </c>
      <c r="AE933">
        <v>0</v>
      </c>
      <c r="AF933">
        <v>0</v>
      </c>
      <c r="AG933">
        <v>3</v>
      </c>
      <c r="AH933">
        <v>0</v>
      </c>
      <c r="AI933">
        <v>0</v>
      </c>
      <c r="AJ933">
        <v>0</v>
      </c>
      <c r="AK933">
        <v>1.5466500000000001</v>
      </c>
      <c r="AL933">
        <v>1</v>
      </c>
      <c r="AM933">
        <v>0</v>
      </c>
      <c r="AN933">
        <v>854</v>
      </c>
      <c r="AO933">
        <v>27</v>
      </c>
      <c r="AP933">
        <v>0</v>
      </c>
      <c r="AQ933">
        <v>0</v>
      </c>
    </row>
    <row r="934" spans="1:43" x14ac:dyDescent="0.25">
      <c r="A934">
        <v>931</v>
      </c>
      <c r="B934">
        <v>18</v>
      </c>
      <c r="C934">
        <v>18</v>
      </c>
      <c r="D934">
        <v>4</v>
      </c>
      <c r="E934">
        <v>1555</v>
      </c>
      <c r="F934">
        <v>3215</v>
      </c>
      <c r="G934">
        <v>3218</v>
      </c>
      <c r="H934">
        <v>2181</v>
      </c>
      <c r="I934">
        <v>557</v>
      </c>
      <c r="J934">
        <v>1013</v>
      </c>
      <c r="K934">
        <v>394</v>
      </c>
      <c r="L934">
        <v>680</v>
      </c>
      <c r="M934">
        <v>314</v>
      </c>
      <c r="N934">
        <v>174</v>
      </c>
      <c r="O934">
        <v>134</v>
      </c>
      <c r="P934">
        <v>107</v>
      </c>
      <c r="Q934">
        <v>25.172031499999999</v>
      </c>
      <c r="R934">
        <v>0.17461669499999999</v>
      </c>
      <c r="S934">
        <v>3139</v>
      </c>
      <c r="T934">
        <v>81</v>
      </c>
      <c r="U934">
        <v>586</v>
      </c>
      <c r="V934">
        <v>1401</v>
      </c>
      <c r="W934">
        <v>1037</v>
      </c>
      <c r="X934">
        <v>291</v>
      </c>
      <c r="Y934">
        <v>11</v>
      </c>
      <c r="Z934">
        <v>65</v>
      </c>
      <c r="AA934">
        <v>3004</v>
      </c>
      <c r="AB934">
        <v>1</v>
      </c>
      <c r="AC934">
        <v>28</v>
      </c>
      <c r="AD934">
        <v>30</v>
      </c>
      <c r="AE934">
        <v>0</v>
      </c>
      <c r="AF934">
        <v>0</v>
      </c>
      <c r="AG934">
        <v>3</v>
      </c>
      <c r="AH934">
        <v>0</v>
      </c>
      <c r="AI934">
        <v>0</v>
      </c>
      <c r="AJ934">
        <v>0</v>
      </c>
      <c r="AK934">
        <v>3.3242099999999999</v>
      </c>
      <c r="AL934">
        <v>1</v>
      </c>
      <c r="AM934">
        <v>0</v>
      </c>
      <c r="AN934">
        <v>1555</v>
      </c>
      <c r="AO934">
        <v>3</v>
      </c>
      <c r="AP934">
        <v>0</v>
      </c>
      <c r="AQ934">
        <v>0</v>
      </c>
    </row>
    <row r="935" spans="1:43" x14ac:dyDescent="0.25">
      <c r="A935">
        <v>932</v>
      </c>
      <c r="B935">
        <v>18</v>
      </c>
      <c r="C935">
        <v>18</v>
      </c>
      <c r="D935">
        <v>4</v>
      </c>
      <c r="E935">
        <v>1405</v>
      </c>
      <c r="F935">
        <v>4031</v>
      </c>
      <c r="G935">
        <v>4031</v>
      </c>
      <c r="H935">
        <v>1924</v>
      </c>
      <c r="I935">
        <v>691</v>
      </c>
      <c r="J935">
        <v>727</v>
      </c>
      <c r="K935">
        <v>561</v>
      </c>
      <c r="L935">
        <v>466</v>
      </c>
      <c r="M935">
        <v>216</v>
      </c>
      <c r="N935">
        <v>161</v>
      </c>
      <c r="O935">
        <v>128</v>
      </c>
      <c r="P935">
        <v>127</v>
      </c>
      <c r="Q935">
        <v>1.5550781490000001</v>
      </c>
      <c r="R935">
        <v>0.119346436</v>
      </c>
      <c r="S935">
        <v>219</v>
      </c>
      <c r="T935">
        <v>224</v>
      </c>
      <c r="U935">
        <v>827</v>
      </c>
      <c r="V935">
        <v>1775</v>
      </c>
      <c r="W935">
        <v>891</v>
      </c>
      <c r="X935">
        <v>391</v>
      </c>
      <c r="Y935">
        <v>6</v>
      </c>
      <c r="Z935">
        <v>17</v>
      </c>
      <c r="AA935">
        <v>164</v>
      </c>
      <c r="AB935">
        <v>0</v>
      </c>
      <c r="AC935">
        <v>18</v>
      </c>
      <c r="AD935">
        <v>14</v>
      </c>
      <c r="AE935">
        <v>0</v>
      </c>
      <c r="AF935">
        <v>0</v>
      </c>
      <c r="AG935">
        <v>3</v>
      </c>
      <c r="AH935">
        <v>0</v>
      </c>
      <c r="AI935">
        <v>0</v>
      </c>
      <c r="AJ935">
        <v>0</v>
      </c>
      <c r="AK935">
        <v>1.52088</v>
      </c>
      <c r="AL935">
        <v>1</v>
      </c>
      <c r="AM935">
        <v>0</v>
      </c>
      <c r="AN935">
        <v>1405</v>
      </c>
      <c r="AO935">
        <v>0</v>
      </c>
      <c r="AP935">
        <v>0</v>
      </c>
      <c r="AQ935">
        <v>0</v>
      </c>
    </row>
    <row r="936" spans="1:43" x14ac:dyDescent="0.25">
      <c r="A936">
        <v>933</v>
      </c>
      <c r="B936">
        <v>18</v>
      </c>
      <c r="C936">
        <v>18</v>
      </c>
      <c r="D936">
        <v>4</v>
      </c>
      <c r="E936">
        <v>2139</v>
      </c>
      <c r="F936">
        <v>6533</v>
      </c>
      <c r="G936">
        <v>6639</v>
      </c>
      <c r="H936">
        <v>3236</v>
      </c>
      <c r="I936">
        <v>1194</v>
      </c>
      <c r="J936">
        <v>1086</v>
      </c>
      <c r="K936">
        <v>955</v>
      </c>
      <c r="L936">
        <v>573</v>
      </c>
      <c r="M936">
        <v>361</v>
      </c>
      <c r="N936">
        <v>217</v>
      </c>
      <c r="O936">
        <v>229</v>
      </c>
      <c r="P936">
        <v>111</v>
      </c>
      <c r="Q936">
        <v>95.611342109999995</v>
      </c>
      <c r="R936">
        <v>0.121958161</v>
      </c>
      <c r="S936">
        <v>699</v>
      </c>
      <c r="T936">
        <v>358</v>
      </c>
      <c r="U936">
        <v>1416</v>
      </c>
      <c r="V936">
        <v>2656</v>
      </c>
      <c r="W936">
        <v>1718</v>
      </c>
      <c r="X936">
        <v>650</v>
      </c>
      <c r="Y936">
        <v>31</v>
      </c>
      <c r="Z936">
        <v>38</v>
      </c>
      <c r="AA936">
        <v>526</v>
      </c>
      <c r="AB936">
        <v>0</v>
      </c>
      <c r="AC936">
        <v>64</v>
      </c>
      <c r="AD936">
        <v>40</v>
      </c>
      <c r="AE936">
        <v>0</v>
      </c>
      <c r="AF936">
        <v>10.172562040000001</v>
      </c>
      <c r="AG936">
        <v>3</v>
      </c>
      <c r="AH936">
        <v>0</v>
      </c>
      <c r="AI936">
        <v>0</v>
      </c>
      <c r="AJ936">
        <v>0</v>
      </c>
      <c r="AK936">
        <v>1.6679900000000001</v>
      </c>
      <c r="AL936">
        <v>1</v>
      </c>
      <c r="AM936">
        <v>0</v>
      </c>
      <c r="AN936">
        <v>2139</v>
      </c>
      <c r="AO936">
        <v>106</v>
      </c>
      <c r="AP936">
        <v>0</v>
      </c>
      <c r="AQ936">
        <v>0</v>
      </c>
    </row>
    <row r="937" spans="1:43" x14ac:dyDescent="0.25">
      <c r="A937">
        <v>934</v>
      </c>
      <c r="B937">
        <v>18</v>
      </c>
      <c r="C937">
        <v>18</v>
      </c>
      <c r="D937">
        <v>4</v>
      </c>
      <c r="E937">
        <v>3515</v>
      </c>
      <c r="F937">
        <v>7608</v>
      </c>
      <c r="G937">
        <v>7624</v>
      </c>
      <c r="H937">
        <v>4378</v>
      </c>
      <c r="I937">
        <v>531</v>
      </c>
      <c r="J937">
        <v>3149</v>
      </c>
      <c r="K937">
        <v>1507</v>
      </c>
      <c r="L937">
        <v>949</v>
      </c>
      <c r="M937">
        <v>618</v>
      </c>
      <c r="N937">
        <v>449</v>
      </c>
      <c r="O937">
        <v>169</v>
      </c>
      <c r="P937">
        <v>132</v>
      </c>
      <c r="Q937">
        <v>32.52593435</v>
      </c>
      <c r="R937">
        <v>0.15489228499999999</v>
      </c>
      <c r="S937">
        <v>1046</v>
      </c>
      <c r="T937">
        <v>309</v>
      </c>
      <c r="U937">
        <v>882</v>
      </c>
      <c r="V937">
        <v>4024</v>
      </c>
      <c r="W937">
        <v>1866</v>
      </c>
      <c r="X937">
        <v>975</v>
      </c>
      <c r="Y937">
        <v>90</v>
      </c>
      <c r="Z937">
        <v>119</v>
      </c>
      <c r="AA937">
        <v>760</v>
      </c>
      <c r="AB937">
        <v>0</v>
      </c>
      <c r="AC937">
        <v>35</v>
      </c>
      <c r="AD937">
        <v>42</v>
      </c>
      <c r="AE937">
        <v>0</v>
      </c>
      <c r="AF937">
        <v>16.95427007</v>
      </c>
      <c r="AG937">
        <v>2</v>
      </c>
      <c r="AH937">
        <v>0</v>
      </c>
      <c r="AI937">
        <v>0</v>
      </c>
      <c r="AJ937">
        <v>0</v>
      </c>
      <c r="AK937">
        <v>2.0516999999999999</v>
      </c>
      <c r="AL937">
        <v>2</v>
      </c>
      <c r="AM937">
        <v>0</v>
      </c>
      <c r="AN937">
        <v>3515</v>
      </c>
      <c r="AO937">
        <v>16</v>
      </c>
      <c r="AP937">
        <v>0</v>
      </c>
      <c r="AQ937">
        <v>0</v>
      </c>
    </row>
    <row r="938" spans="1:43" x14ac:dyDescent="0.25">
      <c r="A938">
        <v>935</v>
      </c>
      <c r="B938">
        <v>18</v>
      </c>
      <c r="C938">
        <v>18</v>
      </c>
      <c r="D938">
        <v>4</v>
      </c>
      <c r="E938">
        <v>1663</v>
      </c>
      <c r="F938">
        <v>3438</v>
      </c>
      <c r="G938">
        <v>3477</v>
      </c>
      <c r="H938">
        <v>2020</v>
      </c>
      <c r="I938">
        <v>513</v>
      </c>
      <c r="J938">
        <v>1183</v>
      </c>
      <c r="K938">
        <v>618</v>
      </c>
      <c r="L938">
        <v>423</v>
      </c>
      <c r="M938">
        <v>307</v>
      </c>
      <c r="N938">
        <v>314</v>
      </c>
      <c r="O938">
        <v>104</v>
      </c>
      <c r="P938">
        <v>99</v>
      </c>
      <c r="Q938">
        <v>1.8963172509999999</v>
      </c>
      <c r="R938">
        <v>0.19943181800000001</v>
      </c>
      <c r="S938">
        <v>328</v>
      </c>
      <c r="T938">
        <v>80</v>
      </c>
      <c r="U938">
        <v>373</v>
      </c>
      <c r="V938">
        <v>1559</v>
      </c>
      <c r="W938">
        <v>818</v>
      </c>
      <c r="X938">
        <v>566</v>
      </c>
      <c r="Y938">
        <v>10</v>
      </c>
      <c r="Z938">
        <v>51</v>
      </c>
      <c r="AA938">
        <v>224</v>
      </c>
      <c r="AB938">
        <v>1</v>
      </c>
      <c r="AC938">
        <v>17</v>
      </c>
      <c r="AD938">
        <v>25</v>
      </c>
      <c r="AE938">
        <v>0</v>
      </c>
      <c r="AF938">
        <v>6.2165656939999998</v>
      </c>
      <c r="AG938">
        <v>3</v>
      </c>
      <c r="AH938">
        <v>0</v>
      </c>
      <c r="AI938">
        <v>0</v>
      </c>
      <c r="AJ938">
        <v>0</v>
      </c>
      <c r="AK938">
        <v>1.65381</v>
      </c>
      <c r="AL938">
        <v>1</v>
      </c>
      <c r="AM938">
        <v>0</v>
      </c>
      <c r="AN938">
        <v>1663</v>
      </c>
      <c r="AO938">
        <v>39</v>
      </c>
      <c r="AP938">
        <v>0</v>
      </c>
      <c r="AQ938">
        <v>0</v>
      </c>
    </row>
    <row r="939" spans="1:43" x14ac:dyDescent="0.25">
      <c r="A939">
        <v>936</v>
      </c>
      <c r="B939">
        <v>18</v>
      </c>
      <c r="C939">
        <v>18</v>
      </c>
      <c r="D939">
        <v>4</v>
      </c>
      <c r="E939">
        <v>1487</v>
      </c>
      <c r="F939">
        <v>2903</v>
      </c>
      <c r="G939">
        <v>2903</v>
      </c>
      <c r="H939">
        <v>2030</v>
      </c>
      <c r="I939">
        <v>456</v>
      </c>
      <c r="J939">
        <v>1128</v>
      </c>
      <c r="K939">
        <v>563</v>
      </c>
      <c r="L939">
        <v>404</v>
      </c>
      <c r="M939">
        <v>230</v>
      </c>
      <c r="N939">
        <v>303</v>
      </c>
      <c r="O939">
        <v>105</v>
      </c>
      <c r="P939">
        <v>98</v>
      </c>
      <c r="Q939">
        <v>5.3826687399999997</v>
      </c>
      <c r="R939">
        <v>0.11807387900000001</v>
      </c>
      <c r="S939">
        <v>216</v>
      </c>
      <c r="T939">
        <v>121</v>
      </c>
      <c r="U939">
        <v>309</v>
      </c>
      <c r="V939">
        <v>1503</v>
      </c>
      <c r="W939">
        <v>775</v>
      </c>
      <c r="X939">
        <v>229</v>
      </c>
      <c r="Y939">
        <v>4</v>
      </c>
      <c r="Z939">
        <v>24</v>
      </c>
      <c r="AA939">
        <v>166</v>
      </c>
      <c r="AB939">
        <v>0</v>
      </c>
      <c r="AC939">
        <v>5</v>
      </c>
      <c r="AD939">
        <v>17</v>
      </c>
      <c r="AE939">
        <v>0</v>
      </c>
      <c r="AF939">
        <v>0</v>
      </c>
      <c r="AG939">
        <v>3</v>
      </c>
      <c r="AH939">
        <v>0</v>
      </c>
      <c r="AI939">
        <v>0</v>
      </c>
      <c r="AJ939">
        <v>0</v>
      </c>
      <c r="AK939">
        <v>1.49007</v>
      </c>
      <c r="AL939">
        <v>1</v>
      </c>
      <c r="AM939">
        <v>0</v>
      </c>
      <c r="AN939">
        <v>1487</v>
      </c>
      <c r="AO939">
        <v>0</v>
      </c>
      <c r="AP939">
        <v>0</v>
      </c>
      <c r="AQ939">
        <v>0</v>
      </c>
    </row>
    <row r="940" spans="1:43" x14ac:dyDescent="0.25">
      <c r="A940">
        <v>937</v>
      </c>
      <c r="B940">
        <v>18</v>
      </c>
      <c r="C940">
        <v>18</v>
      </c>
      <c r="D940">
        <v>4</v>
      </c>
      <c r="E940">
        <v>1687</v>
      </c>
      <c r="F940">
        <v>3768</v>
      </c>
      <c r="G940">
        <v>3771</v>
      </c>
      <c r="H940">
        <v>2364</v>
      </c>
      <c r="I940">
        <v>1154</v>
      </c>
      <c r="J940">
        <v>623</v>
      </c>
      <c r="K940">
        <v>328</v>
      </c>
      <c r="L940">
        <v>199</v>
      </c>
      <c r="M940">
        <v>421</v>
      </c>
      <c r="N940">
        <v>748</v>
      </c>
      <c r="O940">
        <v>207</v>
      </c>
      <c r="P940">
        <v>177</v>
      </c>
      <c r="Q940">
        <v>7.5577795840000004</v>
      </c>
      <c r="R940">
        <v>0.208289054</v>
      </c>
      <c r="S940">
        <v>1124</v>
      </c>
      <c r="T940">
        <v>254</v>
      </c>
      <c r="U940">
        <v>559</v>
      </c>
      <c r="V940">
        <v>1128</v>
      </c>
      <c r="W940">
        <v>1057</v>
      </c>
      <c r="X940">
        <v>652</v>
      </c>
      <c r="Y940">
        <v>221</v>
      </c>
      <c r="Z940">
        <v>223</v>
      </c>
      <c r="AA940">
        <v>439</v>
      </c>
      <c r="AB940">
        <v>3</v>
      </c>
      <c r="AC940">
        <v>86</v>
      </c>
      <c r="AD940">
        <v>152</v>
      </c>
      <c r="AE940">
        <v>0</v>
      </c>
      <c r="AF940">
        <v>0</v>
      </c>
      <c r="AG940">
        <v>4</v>
      </c>
      <c r="AH940">
        <v>0</v>
      </c>
      <c r="AI940">
        <v>0</v>
      </c>
      <c r="AJ940">
        <v>0</v>
      </c>
      <c r="AK940">
        <v>1.39781</v>
      </c>
      <c r="AL940">
        <v>1</v>
      </c>
      <c r="AM940">
        <v>0</v>
      </c>
      <c r="AN940">
        <v>1687</v>
      </c>
      <c r="AO940">
        <v>3</v>
      </c>
      <c r="AP940">
        <v>0</v>
      </c>
      <c r="AQ940">
        <v>0</v>
      </c>
    </row>
    <row r="941" spans="1:43" x14ac:dyDescent="0.25">
      <c r="A941">
        <v>938</v>
      </c>
      <c r="B941">
        <v>18</v>
      </c>
      <c r="C941">
        <v>18</v>
      </c>
      <c r="D941">
        <v>4</v>
      </c>
      <c r="E941">
        <v>1769</v>
      </c>
      <c r="F941">
        <v>4736</v>
      </c>
      <c r="G941">
        <v>4738</v>
      </c>
      <c r="H941">
        <v>2540</v>
      </c>
      <c r="I941">
        <v>1707</v>
      </c>
      <c r="J941">
        <v>29</v>
      </c>
      <c r="K941">
        <v>149</v>
      </c>
      <c r="L941">
        <v>151</v>
      </c>
      <c r="M941">
        <v>246</v>
      </c>
      <c r="N941">
        <v>1221</v>
      </c>
      <c r="O941">
        <v>301</v>
      </c>
      <c r="P941">
        <v>286.10672069999998</v>
      </c>
      <c r="Q941">
        <v>6.1024918340000003</v>
      </c>
      <c r="R941">
        <v>0.25709849200000001</v>
      </c>
      <c r="S941">
        <v>379</v>
      </c>
      <c r="T941">
        <v>232</v>
      </c>
      <c r="U941">
        <v>900</v>
      </c>
      <c r="V941">
        <v>1231</v>
      </c>
      <c r="W941">
        <v>1120</v>
      </c>
      <c r="X941">
        <v>898</v>
      </c>
      <c r="Y941">
        <v>11</v>
      </c>
      <c r="Z941">
        <v>167</v>
      </c>
      <c r="AA941">
        <v>133</v>
      </c>
      <c r="AB941">
        <v>4</v>
      </c>
      <c r="AC941">
        <v>31</v>
      </c>
      <c r="AD941">
        <v>33</v>
      </c>
      <c r="AE941">
        <v>0</v>
      </c>
      <c r="AF941">
        <v>0</v>
      </c>
      <c r="AG941">
        <v>4</v>
      </c>
      <c r="AH941">
        <v>0</v>
      </c>
      <c r="AI941">
        <v>0</v>
      </c>
      <c r="AJ941">
        <v>0</v>
      </c>
      <c r="AK941">
        <v>1.1983200000000001</v>
      </c>
      <c r="AL941">
        <v>1</v>
      </c>
      <c r="AM941">
        <v>0</v>
      </c>
      <c r="AN941">
        <v>1769</v>
      </c>
      <c r="AO941">
        <v>2</v>
      </c>
      <c r="AP941">
        <v>0</v>
      </c>
      <c r="AQ941">
        <v>0</v>
      </c>
    </row>
    <row r="942" spans="1:43" x14ac:dyDescent="0.25">
      <c r="A942">
        <v>939</v>
      </c>
      <c r="B942">
        <v>18</v>
      </c>
      <c r="C942">
        <v>18</v>
      </c>
      <c r="D942">
        <v>4</v>
      </c>
      <c r="E942">
        <v>2070</v>
      </c>
      <c r="F942">
        <v>4134</v>
      </c>
      <c r="G942">
        <v>4138</v>
      </c>
      <c r="H942">
        <v>2595</v>
      </c>
      <c r="I942">
        <v>648</v>
      </c>
      <c r="J942">
        <v>1469</v>
      </c>
      <c r="K942">
        <v>345</v>
      </c>
      <c r="L942">
        <v>342</v>
      </c>
      <c r="M942">
        <v>502</v>
      </c>
      <c r="N942">
        <v>884</v>
      </c>
      <c r="O942">
        <v>168</v>
      </c>
      <c r="P942">
        <v>118</v>
      </c>
      <c r="Q942">
        <v>49.891937239999997</v>
      </c>
      <c r="R942">
        <v>0.18663761800000001</v>
      </c>
      <c r="S942">
        <v>1513</v>
      </c>
      <c r="T942">
        <v>255</v>
      </c>
      <c r="U942">
        <v>406</v>
      </c>
      <c r="V942">
        <v>1805</v>
      </c>
      <c r="W942">
        <v>922</v>
      </c>
      <c r="X942">
        <v>622</v>
      </c>
      <c r="Y942">
        <v>174</v>
      </c>
      <c r="Z942">
        <v>346</v>
      </c>
      <c r="AA942">
        <v>760</v>
      </c>
      <c r="AB942">
        <v>15</v>
      </c>
      <c r="AC942">
        <v>101</v>
      </c>
      <c r="AD942">
        <v>117</v>
      </c>
      <c r="AE942">
        <v>45.211386859999998</v>
      </c>
      <c r="AF942">
        <v>29.952543800000001</v>
      </c>
      <c r="AG942">
        <v>3</v>
      </c>
      <c r="AH942">
        <v>386</v>
      </c>
      <c r="AI942">
        <v>0</v>
      </c>
      <c r="AJ942">
        <v>0</v>
      </c>
      <c r="AK942">
        <v>1.8588</v>
      </c>
      <c r="AL942">
        <v>1</v>
      </c>
      <c r="AM942">
        <v>0</v>
      </c>
      <c r="AN942">
        <v>2070</v>
      </c>
      <c r="AO942">
        <v>4</v>
      </c>
      <c r="AP942">
        <v>0</v>
      </c>
      <c r="AQ942">
        <v>0</v>
      </c>
    </row>
    <row r="943" spans="1:43" x14ac:dyDescent="0.25">
      <c r="A943">
        <v>940</v>
      </c>
      <c r="B943">
        <v>18</v>
      </c>
      <c r="C943">
        <v>18</v>
      </c>
      <c r="D943">
        <v>4</v>
      </c>
      <c r="E943">
        <v>2411</v>
      </c>
      <c r="F943">
        <v>3995</v>
      </c>
      <c r="G943">
        <v>4004</v>
      </c>
      <c r="H943">
        <v>2656</v>
      </c>
      <c r="I943">
        <v>396</v>
      </c>
      <c r="J943">
        <v>2145</v>
      </c>
      <c r="K943">
        <v>559</v>
      </c>
      <c r="L943">
        <v>603</v>
      </c>
      <c r="M943">
        <v>524</v>
      </c>
      <c r="N943">
        <v>723</v>
      </c>
      <c r="O943">
        <v>124</v>
      </c>
      <c r="P943">
        <v>97</v>
      </c>
      <c r="Q943">
        <v>21.801001580000001</v>
      </c>
      <c r="R943">
        <v>0.231384914</v>
      </c>
      <c r="S943">
        <v>618</v>
      </c>
      <c r="T943">
        <v>227</v>
      </c>
      <c r="U943">
        <v>250</v>
      </c>
      <c r="V943">
        <v>1931</v>
      </c>
      <c r="W943">
        <v>867</v>
      </c>
      <c r="X943">
        <v>717</v>
      </c>
      <c r="Y943">
        <v>64</v>
      </c>
      <c r="Z943">
        <v>104</v>
      </c>
      <c r="AA943">
        <v>389</v>
      </c>
      <c r="AB943">
        <v>1</v>
      </c>
      <c r="AC943">
        <v>33</v>
      </c>
      <c r="AD943">
        <v>27</v>
      </c>
      <c r="AE943">
        <v>43.515959860000002</v>
      </c>
      <c r="AF943">
        <v>10.172562040000001</v>
      </c>
      <c r="AG943">
        <v>2</v>
      </c>
      <c r="AH943">
        <v>0</v>
      </c>
      <c r="AI943">
        <v>0</v>
      </c>
      <c r="AJ943">
        <v>0</v>
      </c>
      <c r="AK943">
        <v>1.62514</v>
      </c>
      <c r="AL943">
        <v>1</v>
      </c>
      <c r="AM943">
        <v>0</v>
      </c>
      <c r="AN943">
        <v>2411</v>
      </c>
      <c r="AO943">
        <v>9</v>
      </c>
      <c r="AP943">
        <v>0</v>
      </c>
      <c r="AQ943">
        <v>0</v>
      </c>
    </row>
    <row r="944" spans="1:43" x14ac:dyDescent="0.25">
      <c r="A944">
        <v>941</v>
      </c>
      <c r="B944">
        <v>18</v>
      </c>
      <c r="C944">
        <v>18</v>
      </c>
      <c r="D944">
        <v>4</v>
      </c>
      <c r="E944">
        <v>3115</v>
      </c>
      <c r="F944">
        <v>5245</v>
      </c>
      <c r="G944">
        <v>5262</v>
      </c>
      <c r="H944">
        <v>3597</v>
      </c>
      <c r="I944">
        <v>163</v>
      </c>
      <c r="J944">
        <v>3094</v>
      </c>
      <c r="K944">
        <v>618</v>
      </c>
      <c r="L944">
        <v>1127</v>
      </c>
      <c r="M944">
        <v>760</v>
      </c>
      <c r="N944">
        <v>624</v>
      </c>
      <c r="O944">
        <v>95</v>
      </c>
      <c r="P944">
        <v>93</v>
      </c>
      <c r="Q944">
        <v>2</v>
      </c>
      <c r="R944">
        <v>0.101289134</v>
      </c>
      <c r="S944">
        <v>680</v>
      </c>
      <c r="T944">
        <v>220</v>
      </c>
      <c r="U944">
        <v>386</v>
      </c>
      <c r="V944">
        <v>2754</v>
      </c>
      <c r="W944">
        <v>1441</v>
      </c>
      <c r="X944">
        <v>468</v>
      </c>
      <c r="Y944">
        <v>43</v>
      </c>
      <c r="Z944">
        <v>89</v>
      </c>
      <c r="AA944">
        <v>434</v>
      </c>
      <c r="AB944">
        <v>1</v>
      </c>
      <c r="AC944">
        <v>25</v>
      </c>
      <c r="AD944">
        <v>88</v>
      </c>
      <c r="AE944">
        <v>0</v>
      </c>
      <c r="AF944">
        <v>0</v>
      </c>
      <c r="AG944">
        <v>2</v>
      </c>
      <c r="AH944">
        <v>0</v>
      </c>
      <c r="AI944">
        <v>0</v>
      </c>
      <c r="AJ944">
        <v>0</v>
      </c>
      <c r="AK944">
        <v>1.94811</v>
      </c>
      <c r="AL944">
        <v>1</v>
      </c>
      <c r="AM944">
        <v>0</v>
      </c>
      <c r="AN944">
        <v>3115</v>
      </c>
      <c r="AO944">
        <v>17</v>
      </c>
      <c r="AP944">
        <v>0</v>
      </c>
      <c r="AQ944">
        <v>0</v>
      </c>
    </row>
    <row r="945" spans="1:43" x14ac:dyDescent="0.25">
      <c r="A945">
        <v>942</v>
      </c>
      <c r="B945">
        <v>18</v>
      </c>
      <c r="C945">
        <v>18</v>
      </c>
      <c r="D945">
        <v>4</v>
      </c>
      <c r="E945">
        <v>3068</v>
      </c>
      <c r="F945">
        <v>4973</v>
      </c>
      <c r="G945">
        <v>5006</v>
      </c>
      <c r="H945">
        <v>3436</v>
      </c>
      <c r="I945">
        <v>48</v>
      </c>
      <c r="J945">
        <v>3111</v>
      </c>
      <c r="K945">
        <v>684</v>
      </c>
      <c r="L945">
        <v>986</v>
      </c>
      <c r="M945">
        <v>787</v>
      </c>
      <c r="N945">
        <v>612</v>
      </c>
      <c r="O945">
        <v>91</v>
      </c>
      <c r="P945">
        <v>35.310874269999999</v>
      </c>
      <c r="Q945">
        <v>39.565721879999998</v>
      </c>
      <c r="R945">
        <v>0.201870616</v>
      </c>
      <c r="S945">
        <v>1568</v>
      </c>
      <c r="T945">
        <v>256</v>
      </c>
      <c r="U945">
        <v>199</v>
      </c>
      <c r="V945">
        <v>2826</v>
      </c>
      <c r="W945">
        <v>826</v>
      </c>
      <c r="X945">
        <v>873</v>
      </c>
      <c r="Y945">
        <v>105</v>
      </c>
      <c r="Z945">
        <v>324</v>
      </c>
      <c r="AA945">
        <v>962</v>
      </c>
      <c r="AB945">
        <v>2</v>
      </c>
      <c r="AC945">
        <v>63</v>
      </c>
      <c r="AD945">
        <v>112</v>
      </c>
      <c r="AE945">
        <v>0</v>
      </c>
      <c r="AF945">
        <v>50.86281022</v>
      </c>
      <c r="AG945">
        <v>2</v>
      </c>
      <c r="AH945">
        <v>0</v>
      </c>
      <c r="AI945">
        <v>0</v>
      </c>
      <c r="AJ945">
        <v>0</v>
      </c>
      <c r="AK945">
        <v>2.6654599999999999</v>
      </c>
      <c r="AL945">
        <v>1</v>
      </c>
      <c r="AM945">
        <v>0</v>
      </c>
      <c r="AN945">
        <v>3068</v>
      </c>
      <c r="AO945">
        <v>33</v>
      </c>
      <c r="AP945">
        <v>0</v>
      </c>
      <c r="AQ945">
        <v>0</v>
      </c>
    </row>
    <row r="946" spans="1:43" x14ac:dyDescent="0.25">
      <c r="A946">
        <v>943</v>
      </c>
      <c r="B946">
        <v>18</v>
      </c>
      <c r="C946">
        <v>18</v>
      </c>
      <c r="D946">
        <v>4</v>
      </c>
      <c r="E946">
        <v>2483</v>
      </c>
      <c r="F946">
        <v>4522</v>
      </c>
      <c r="G946">
        <v>4524</v>
      </c>
      <c r="H946">
        <v>3151</v>
      </c>
      <c r="I946">
        <v>620</v>
      </c>
      <c r="J946">
        <v>1995</v>
      </c>
      <c r="K946">
        <v>621</v>
      </c>
      <c r="L946">
        <v>556</v>
      </c>
      <c r="M946">
        <v>709</v>
      </c>
      <c r="N946">
        <v>591</v>
      </c>
      <c r="O946">
        <v>236</v>
      </c>
      <c r="P946">
        <v>205</v>
      </c>
      <c r="Q946">
        <v>6.7465015859999999</v>
      </c>
      <c r="R946">
        <v>0.19282774799999999</v>
      </c>
      <c r="S946">
        <v>749</v>
      </c>
      <c r="T946">
        <v>276</v>
      </c>
      <c r="U946">
        <v>430</v>
      </c>
      <c r="V946">
        <v>2097</v>
      </c>
      <c r="W946">
        <v>1404</v>
      </c>
      <c r="X946">
        <v>729</v>
      </c>
      <c r="Y946">
        <v>31</v>
      </c>
      <c r="Z946">
        <v>125</v>
      </c>
      <c r="AA946">
        <v>468</v>
      </c>
      <c r="AB946">
        <v>2</v>
      </c>
      <c r="AC946">
        <v>67</v>
      </c>
      <c r="AD946">
        <v>56</v>
      </c>
      <c r="AE946">
        <v>81.945638689999996</v>
      </c>
      <c r="AF946">
        <v>0</v>
      </c>
      <c r="AG946">
        <v>3</v>
      </c>
      <c r="AH946">
        <v>1579</v>
      </c>
      <c r="AI946">
        <v>0</v>
      </c>
      <c r="AJ946">
        <v>0</v>
      </c>
      <c r="AK946">
        <v>1.43554</v>
      </c>
      <c r="AL946">
        <v>1</v>
      </c>
      <c r="AM946">
        <v>0</v>
      </c>
      <c r="AN946">
        <v>2483</v>
      </c>
      <c r="AO946">
        <v>2</v>
      </c>
      <c r="AP946">
        <v>0</v>
      </c>
      <c r="AQ946">
        <v>0</v>
      </c>
    </row>
    <row r="947" spans="1:43" x14ac:dyDescent="0.25">
      <c r="A947">
        <v>944</v>
      </c>
      <c r="B947">
        <v>18</v>
      </c>
      <c r="C947">
        <v>18</v>
      </c>
      <c r="D947">
        <v>4</v>
      </c>
      <c r="E947">
        <v>2454</v>
      </c>
      <c r="F947">
        <v>4192</v>
      </c>
      <c r="G947">
        <v>4210</v>
      </c>
      <c r="H947">
        <v>3008</v>
      </c>
      <c r="I947">
        <v>161</v>
      </c>
      <c r="J947">
        <v>2456</v>
      </c>
      <c r="K947">
        <v>857</v>
      </c>
      <c r="L947">
        <v>568</v>
      </c>
      <c r="M947">
        <v>398</v>
      </c>
      <c r="N947">
        <v>644</v>
      </c>
      <c r="O947">
        <v>102</v>
      </c>
      <c r="P947">
        <v>58.641496650000001</v>
      </c>
      <c r="Q947">
        <v>6.2380921499999999</v>
      </c>
      <c r="R947">
        <v>0.20888783299999999</v>
      </c>
      <c r="S947">
        <v>702</v>
      </c>
      <c r="T947">
        <v>144</v>
      </c>
      <c r="U947">
        <v>204</v>
      </c>
      <c r="V947">
        <v>2270</v>
      </c>
      <c r="W947">
        <v>689</v>
      </c>
      <c r="X947">
        <v>775</v>
      </c>
      <c r="Y947">
        <v>115</v>
      </c>
      <c r="Z947">
        <v>96</v>
      </c>
      <c r="AA947">
        <v>444</v>
      </c>
      <c r="AB947">
        <v>1</v>
      </c>
      <c r="AC947">
        <v>17</v>
      </c>
      <c r="AD947">
        <v>29</v>
      </c>
      <c r="AE947">
        <v>0</v>
      </c>
      <c r="AF947">
        <v>42.38567518</v>
      </c>
      <c r="AG947">
        <v>2</v>
      </c>
      <c r="AH947">
        <v>0</v>
      </c>
      <c r="AI947">
        <v>0</v>
      </c>
      <c r="AJ947">
        <v>0</v>
      </c>
      <c r="AK947">
        <v>2.4209100000000001</v>
      </c>
      <c r="AL947">
        <v>2</v>
      </c>
      <c r="AM947">
        <v>0</v>
      </c>
      <c r="AN947">
        <v>2454</v>
      </c>
      <c r="AO947">
        <v>18</v>
      </c>
      <c r="AP947">
        <v>0</v>
      </c>
      <c r="AQ947">
        <v>0</v>
      </c>
    </row>
    <row r="948" spans="1:43" x14ac:dyDescent="0.25">
      <c r="A948">
        <v>945</v>
      </c>
      <c r="B948">
        <v>18</v>
      </c>
      <c r="C948">
        <v>18</v>
      </c>
      <c r="D948">
        <v>4</v>
      </c>
      <c r="E948">
        <v>3807</v>
      </c>
      <c r="F948">
        <v>5355</v>
      </c>
      <c r="G948">
        <v>5469</v>
      </c>
      <c r="H948">
        <v>3274</v>
      </c>
      <c r="I948">
        <v>124</v>
      </c>
      <c r="J948">
        <v>3898</v>
      </c>
      <c r="K948">
        <v>1678</v>
      </c>
      <c r="L948">
        <v>904</v>
      </c>
      <c r="M948">
        <v>567</v>
      </c>
      <c r="N948">
        <v>647</v>
      </c>
      <c r="O948">
        <v>307</v>
      </c>
      <c r="P948">
        <v>46.957629830000002</v>
      </c>
      <c r="Q948">
        <v>55</v>
      </c>
      <c r="R948">
        <v>0.31544117599999999</v>
      </c>
      <c r="S948">
        <v>13296</v>
      </c>
      <c r="T948">
        <v>143</v>
      </c>
      <c r="U948">
        <v>114</v>
      </c>
      <c r="V948">
        <v>2492</v>
      </c>
      <c r="W948">
        <v>1012</v>
      </c>
      <c r="X948">
        <v>1488</v>
      </c>
      <c r="Y948">
        <v>40</v>
      </c>
      <c r="Z948">
        <v>1616</v>
      </c>
      <c r="AA948">
        <v>1703</v>
      </c>
      <c r="AB948">
        <v>4</v>
      </c>
      <c r="AC948">
        <v>3062</v>
      </c>
      <c r="AD948">
        <v>6871</v>
      </c>
      <c r="AE948">
        <v>133.37359119999999</v>
      </c>
      <c r="AF948">
        <v>40.125105840000003</v>
      </c>
      <c r="AG948">
        <v>1</v>
      </c>
      <c r="AH948">
        <v>0</v>
      </c>
      <c r="AI948">
        <v>0</v>
      </c>
      <c r="AJ948">
        <v>0</v>
      </c>
      <c r="AK948">
        <v>4.3206199999999999</v>
      </c>
      <c r="AL948">
        <v>3</v>
      </c>
      <c r="AM948">
        <v>0</v>
      </c>
      <c r="AN948">
        <v>3807</v>
      </c>
      <c r="AO948">
        <v>114</v>
      </c>
      <c r="AP948">
        <v>0</v>
      </c>
      <c r="AQ948">
        <v>0</v>
      </c>
    </row>
    <row r="949" spans="1:43" x14ac:dyDescent="0.25">
      <c r="A949">
        <v>946</v>
      </c>
      <c r="B949">
        <v>18</v>
      </c>
      <c r="C949">
        <v>18</v>
      </c>
      <c r="D949">
        <v>4</v>
      </c>
      <c r="E949">
        <v>2280</v>
      </c>
      <c r="F949">
        <v>4090</v>
      </c>
      <c r="G949">
        <v>4230</v>
      </c>
      <c r="H949">
        <v>2986</v>
      </c>
      <c r="I949">
        <v>432</v>
      </c>
      <c r="J949">
        <v>2070</v>
      </c>
      <c r="K949">
        <v>752</v>
      </c>
      <c r="L949">
        <v>263</v>
      </c>
      <c r="M949">
        <v>596</v>
      </c>
      <c r="N949">
        <v>654</v>
      </c>
      <c r="O949">
        <v>210</v>
      </c>
      <c r="P949">
        <v>75.483150769999995</v>
      </c>
      <c r="Q949">
        <v>133</v>
      </c>
      <c r="R949">
        <v>0.17487460099999999</v>
      </c>
      <c r="S949">
        <v>3027</v>
      </c>
      <c r="T949">
        <v>64</v>
      </c>
      <c r="U949">
        <v>266</v>
      </c>
      <c r="V949">
        <v>2317</v>
      </c>
      <c r="W949">
        <v>1005</v>
      </c>
      <c r="X949">
        <v>604</v>
      </c>
      <c r="Y949">
        <v>128</v>
      </c>
      <c r="Z949">
        <v>287</v>
      </c>
      <c r="AA949">
        <v>1662</v>
      </c>
      <c r="AB949">
        <v>1</v>
      </c>
      <c r="AC949">
        <v>369</v>
      </c>
      <c r="AD949">
        <v>580</v>
      </c>
      <c r="AE949">
        <v>72.903361320000002</v>
      </c>
      <c r="AF949">
        <v>42.38567518</v>
      </c>
      <c r="AG949">
        <v>2</v>
      </c>
      <c r="AH949">
        <v>108</v>
      </c>
      <c r="AI949">
        <v>2273</v>
      </c>
      <c r="AJ949">
        <v>14101</v>
      </c>
      <c r="AK949">
        <v>3.1239599999999998</v>
      </c>
      <c r="AL949">
        <v>3</v>
      </c>
      <c r="AM949">
        <v>0</v>
      </c>
      <c r="AN949">
        <v>2280</v>
      </c>
      <c r="AO949">
        <v>140</v>
      </c>
      <c r="AP949">
        <v>0</v>
      </c>
      <c r="AQ949">
        <v>0</v>
      </c>
    </row>
    <row r="950" spans="1:43" x14ac:dyDescent="0.25">
      <c r="A950">
        <v>947</v>
      </c>
      <c r="B950">
        <v>18</v>
      </c>
      <c r="C950">
        <v>18</v>
      </c>
      <c r="D950">
        <v>4</v>
      </c>
      <c r="E950">
        <v>1892</v>
      </c>
      <c r="F950">
        <v>4402</v>
      </c>
      <c r="G950">
        <v>5260</v>
      </c>
      <c r="H950">
        <v>2477</v>
      </c>
      <c r="I950">
        <v>473</v>
      </c>
      <c r="J950">
        <v>1450</v>
      </c>
      <c r="K950">
        <v>884</v>
      </c>
      <c r="L950">
        <v>435</v>
      </c>
      <c r="M950">
        <v>254</v>
      </c>
      <c r="N950">
        <v>326</v>
      </c>
      <c r="O950">
        <v>436</v>
      </c>
      <c r="P950">
        <v>19.719992860000001</v>
      </c>
      <c r="Q950">
        <v>397.0034397</v>
      </c>
      <c r="R950">
        <v>0.19243697500000001</v>
      </c>
      <c r="S950">
        <v>3971</v>
      </c>
      <c r="T950">
        <v>169</v>
      </c>
      <c r="U950">
        <v>718</v>
      </c>
      <c r="V950">
        <v>1504</v>
      </c>
      <c r="W950">
        <v>1486</v>
      </c>
      <c r="X950">
        <v>740</v>
      </c>
      <c r="Y950">
        <v>362</v>
      </c>
      <c r="Z950">
        <v>586</v>
      </c>
      <c r="AA950">
        <v>1901</v>
      </c>
      <c r="AB950">
        <v>34</v>
      </c>
      <c r="AC950">
        <v>638</v>
      </c>
      <c r="AD950">
        <v>450</v>
      </c>
      <c r="AE950">
        <v>0</v>
      </c>
      <c r="AF950">
        <v>6.2165656939999998</v>
      </c>
      <c r="AG950">
        <v>3</v>
      </c>
      <c r="AH950">
        <v>324</v>
      </c>
      <c r="AI950">
        <v>0</v>
      </c>
      <c r="AJ950">
        <v>0</v>
      </c>
      <c r="AK950">
        <v>1.4623299999999999</v>
      </c>
      <c r="AL950">
        <v>2</v>
      </c>
      <c r="AM950">
        <v>0</v>
      </c>
      <c r="AN950">
        <v>1892</v>
      </c>
      <c r="AO950">
        <v>858</v>
      </c>
      <c r="AP950">
        <v>0</v>
      </c>
      <c r="AQ950">
        <v>0</v>
      </c>
    </row>
    <row r="951" spans="1:43" x14ac:dyDescent="0.25">
      <c r="A951">
        <v>948</v>
      </c>
      <c r="B951">
        <v>18</v>
      </c>
      <c r="C951">
        <v>18</v>
      </c>
      <c r="D951">
        <v>4</v>
      </c>
      <c r="E951">
        <v>1705</v>
      </c>
      <c r="F951">
        <v>4463</v>
      </c>
      <c r="G951">
        <v>5007</v>
      </c>
      <c r="H951">
        <v>2401</v>
      </c>
      <c r="I951">
        <v>908</v>
      </c>
      <c r="J951">
        <v>797</v>
      </c>
      <c r="K951">
        <v>477</v>
      </c>
      <c r="L951">
        <v>344</v>
      </c>
      <c r="M951">
        <v>473</v>
      </c>
      <c r="N951">
        <v>422</v>
      </c>
      <c r="O951">
        <v>391</v>
      </c>
      <c r="P951">
        <v>209.74328439999999</v>
      </c>
      <c r="Q951">
        <v>182</v>
      </c>
      <c r="R951">
        <v>0.12629533700000001</v>
      </c>
      <c r="S951">
        <v>1695</v>
      </c>
      <c r="T951">
        <v>269</v>
      </c>
      <c r="U951">
        <v>935</v>
      </c>
      <c r="V951">
        <v>1550</v>
      </c>
      <c r="W951">
        <v>1235</v>
      </c>
      <c r="X951">
        <v>512</v>
      </c>
      <c r="Y951">
        <v>101</v>
      </c>
      <c r="Z951">
        <v>260</v>
      </c>
      <c r="AA951">
        <v>601</v>
      </c>
      <c r="AB951">
        <v>3</v>
      </c>
      <c r="AC951">
        <v>113</v>
      </c>
      <c r="AD951">
        <v>617</v>
      </c>
      <c r="AE951">
        <v>0</v>
      </c>
      <c r="AF951">
        <v>0</v>
      </c>
      <c r="AG951">
        <v>3</v>
      </c>
      <c r="AH951">
        <v>0</v>
      </c>
      <c r="AI951">
        <v>0</v>
      </c>
      <c r="AJ951">
        <v>0</v>
      </c>
      <c r="AK951">
        <v>1.3628800000000001</v>
      </c>
      <c r="AL951">
        <v>3</v>
      </c>
      <c r="AM951">
        <v>0</v>
      </c>
      <c r="AN951">
        <v>1705</v>
      </c>
      <c r="AO951">
        <v>544</v>
      </c>
      <c r="AP951">
        <v>0</v>
      </c>
      <c r="AQ951">
        <v>0</v>
      </c>
    </row>
    <row r="952" spans="1:43" x14ac:dyDescent="0.25">
      <c r="A952">
        <v>949</v>
      </c>
      <c r="B952">
        <v>18</v>
      </c>
      <c r="C952">
        <v>18</v>
      </c>
      <c r="D952">
        <v>4</v>
      </c>
      <c r="E952">
        <v>1435</v>
      </c>
      <c r="F952">
        <v>4184</v>
      </c>
      <c r="G952">
        <v>4184</v>
      </c>
      <c r="H952">
        <v>2000</v>
      </c>
      <c r="I952">
        <v>1254</v>
      </c>
      <c r="J952">
        <v>186</v>
      </c>
      <c r="K952">
        <v>118</v>
      </c>
      <c r="L952">
        <v>184</v>
      </c>
      <c r="M952">
        <v>315</v>
      </c>
      <c r="N952">
        <v>805</v>
      </c>
      <c r="O952">
        <v>284</v>
      </c>
      <c r="P952">
        <v>232.8274897</v>
      </c>
      <c r="Q952">
        <v>46.581451819999998</v>
      </c>
      <c r="R952">
        <v>0.22501184299999999</v>
      </c>
      <c r="S952">
        <v>1343</v>
      </c>
      <c r="T952">
        <v>305</v>
      </c>
      <c r="U952">
        <v>715</v>
      </c>
      <c r="V952">
        <v>1205</v>
      </c>
      <c r="W952">
        <v>1151</v>
      </c>
      <c r="X952">
        <v>716</v>
      </c>
      <c r="Y952">
        <v>210</v>
      </c>
      <c r="Z952">
        <v>112</v>
      </c>
      <c r="AA952">
        <v>728</v>
      </c>
      <c r="AB952">
        <v>27</v>
      </c>
      <c r="AC952">
        <v>178</v>
      </c>
      <c r="AD952">
        <v>88</v>
      </c>
      <c r="AE952">
        <v>0</v>
      </c>
      <c r="AF952">
        <v>0</v>
      </c>
      <c r="AG952">
        <v>4</v>
      </c>
      <c r="AH952">
        <v>0</v>
      </c>
      <c r="AI952">
        <v>0</v>
      </c>
      <c r="AJ952">
        <v>0</v>
      </c>
      <c r="AK952">
        <v>1.2918000000000001</v>
      </c>
      <c r="AL952">
        <v>3</v>
      </c>
      <c r="AM952">
        <v>0</v>
      </c>
      <c r="AN952">
        <v>1435</v>
      </c>
      <c r="AO952">
        <v>0</v>
      </c>
      <c r="AP952">
        <v>0</v>
      </c>
      <c r="AQ952">
        <v>0</v>
      </c>
    </row>
    <row r="953" spans="1:43" x14ac:dyDescent="0.25">
      <c r="A953">
        <v>950</v>
      </c>
      <c r="B953">
        <v>18</v>
      </c>
      <c r="C953">
        <v>18</v>
      </c>
      <c r="D953">
        <v>4</v>
      </c>
      <c r="E953">
        <v>1921</v>
      </c>
      <c r="F953">
        <v>4871</v>
      </c>
      <c r="G953">
        <v>4871</v>
      </c>
      <c r="H953">
        <v>2697</v>
      </c>
      <c r="I953">
        <v>1238</v>
      </c>
      <c r="J953">
        <v>745</v>
      </c>
      <c r="K953">
        <v>291</v>
      </c>
      <c r="L953">
        <v>375</v>
      </c>
      <c r="M953">
        <v>510</v>
      </c>
      <c r="N953">
        <v>769</v>
      </c>
      <c r="O953">
        <v>246</v>
      </c>
      <c r="P953">
        <v>206.53173799999999</v>
      </c>
      <c r="Q953">
        <v>32.726969230000002</v>
      </c>
      <c r="R953">
        <v>0.20503376300000001</v>
      </c>
      <c r="S953">
        <v>1629</v>
      </c>
      <c r="T953">
        <v>236</v>
      </c>
      <c r="U953">
        <v>955</v>
      </c>
      <c r="V953">
        <v>1312</v>
      </c>
      <c r="W953">
        <v>1360</v>
      </c>
      <c r="X953">
        <v>866</v>
      </c>
      <c r="Y953">
        <v>208</v>
      </c>
      <c r="Z953">
        <v>290</v>
      </c>
      <c r="AA953">
        <v>953</v>
      </c>
      <c r="AB953">
        <v>3</v>
      </c>
      <c r="AC953">
        <v>62</v>
      </c>
      <c r="AD953">
        <v>113</v>
      </c>
      <c r="AE953">
        <v>0</v>
      </c>
      <c r="AF953">
        <v>49.449954380000001</v>
      </c>
      <c r="AG953">
        <v>3</v>
      </c>
      <c r="AH953">
        <v>0</v>
      </c>
      <c r="AI953">
        <v>0</v>
      </c>
      <c r="AJ953">
        <v>0</v>
      </c>
      <c r="AK953">
        <v>1.4693799999999999</v>
      </c>
      <c r="AL953">
        <v>3</v>
      </c>
      <c r="AM953">
        <v>0</v>
      </c>
      <c r="AN953">
        <v>1921</v>
      </c>
      <c r="AO953">
        <v>0</v>
      </c>
      <c r="AP953">
        <v>0</v>
      </c>
      <c r="AQ953">
        <v>0</v>
      </c>
    </row>
    <row r="954" spans="1:43" x14ac:dyDescent="0.25">
      <c r="A954">
        <v>951</v>
      </c>
      <c r="B954">
        <v>18</v>
      </c>
      <c r="C954">
        <v>18</v>
      </c>
      <c r="D954">
        <v>4</v>
      </c>
      <c r="E954">
        <v>2809</v>
      </c>
      <c r="F954">
        <v>6563</v>
      </c>
      <c r="G954">
        <v>6563</v>
      </c>
      <c r="H954">
        <v>3148</v>
      </c>
      <c r="I954">
        <v>2004</v>
      </c>
      <c r="J954">
        <v>780</v>
      </c>
      <c r="K954">
        <v>797</v>
      </c>
      <c r="L954">
        <v>587</v>
      </c>
      <c r="M954">
        <v>550</v>
      </c>
      <c r="N954">
        <v>873</v>
      </c>
      <c r="O954">
        <v>268</v>
      </c>
      <c r="P954">
        <v>222</v>
      </c>
      <c r="Q954">
        <v>21.823216609999999</v>
      </c>
      <c r="R954">
        <v>0.26867059199999999</v>
      </c>
      <c r="S954">
        <v>794</v>
      </c>
      <c r="T954">
        <v>348</v>
      </c>
      <c r="U954">
        <v>1072</v>
      </c>
      <c r="V954">
        <v>1791</v>
      </c>
      <c r="W954">
        <v>1545</v>
      </c>
      <c r="X954">
        <v>1494</v>
      </c>
      <c r="Y954">
        <v>47</v>
      </c>
      <c r="Z954">
        <v>164</v>
      </c>
      <c r="AA954">
        <v>435</v>
      </c>
      <c r="AB954">
        <v>2</v>
      </c>
      <c r="AC954">
        <v>75</v>
      </c>
      <c r="AD954">
        <v>71</v>
      </c>
      <c r="AE954">
        <v>0</v>
      </c>
      <c r="AF954">
        <v>0</v>
      </c>
      <c r="AG954">
        <v>4</v>
      </c>
      <c r="AH954">
        <v>0</v>
      </c>
      <c r="AI954">
        <v>0</v>
      </c>
      <c r="AJ954">
        <v>0</v>
      </c>
      <c r="AK954">
        <v>1.42336</v>
      </c>
      <c r="AL954">
        <v>3</v>
      </c>
      <c r="AM954">
        <v>0</v>
      </c>
      <c r="AN954">
        <v>2809</v>
      </c>
      <c r="AO954">
        <v>0</v>
      </c>
      <c r="AP954">
        <v>0</v>
      </c>
      <c r="AQ954">
        <v>0</v>
      </c>
    </row>
    <row r="955" spans="1:43" x14ac:dyDescent="0.25">
      <c r="A955">
        <v>952</v>
      </c>
      <c r="B955">
        <v>18</v>
      </c>
      <c r="C955">
        <v>18</v>
      </c>
      <c r="D955">
        <v>4</v>
      </c>
      <c r="E955">
        <v>2428</v>
      </c>
      <c r="F955">
        <v>6883</v>
      </c>
      <c r="G955">
        <v>6903</v>
      </c>
      <c r="H955">
        <v>3845</v>
      </c>
      <c r="I955">
        <v>2265</v>
      </c>
      <c r="J955">
        <v>51</v>
      </c>
      <c r="K955">
        <v>186</v>
      </c>
      <c r="L955">
        <v>424</v>
      </c>
      <c r="M955">
        <v>552</v>
      </c>
      <c r="N955">
        <v>1251</v>
      </c>
      <c r="O955">
        <v>977</v>
      </c>
      <c r="P955">
        <v>237</v>
      </c>
      <c r="Q955">
        <v>230.4618566</v>
      </c>
      <c r="R955">
        <v>0.21046786100000001</v>
      </c>
      <c r="S955">
        <v>6588</v>
      </c>
      <c r="T955">
        <v>357</v>
      </c>
      <c r="U955">
        <v>1186</v>
      </c>
      <c r="V955">
        <v>2548</v>
      </c>
      <c r="W955">
        <v>1686</v>
      </c>
      <c r="X955">
        <v>1204</v>
      </c>
      <c r="Y955">
        <v>36</v>
      </c>
      <c r="Z955">
        <v>706</v>
      </c>
      <c r="AA955">
        <v>827</v>
      </c>
      <c r="AB955">
        <v>2</v>
      </c>
      <c r="AC955">
        <v>3480</v>
      </c>
      <c r="AD955">
        <v>1537</v>
      </c>
      <c r="AE955">
        <v>0</v>
      </c>
      <c r="AF955">
        <v>0</v>
      </c>
      <c r="AG955">
        <v>4</v>
      </c>
      <c r="AH955">
        <v>0</v>
      </c>
      <c r="AI955">
        <v>0</v>
      </c>
      <c r="AJ955">
        <v>0</v>
      </c>
      <c r="AK955">
        <v>1.6546700000000001</v>
      </c>
      <c r="AL955">
        <v>3</v>
      </c>
      <c r="AM955">
        <v>0</v>
      </c>
      <c r="AN955">
        <v>2428</v>
      </c>
      <c r="AO955">
        <v>20</v>
      </c>
      <c r="AP955">
        <v>0</v>
      </c>
      <c r="AQ955">
        <v>0</v>
      </c>
    </row>
    <row r="956" spans="1:43" x14ac:dyDescent="0.25">
      <c r="A956">
        <v>953</v>
      </c>
      <c r="B956">
        <v>18</v>
      </c>
      <c r="C956">
        <v>18</v>
      </c>
      <c r="D956">
        <v>4</v>
      </c>
      <c r="E956">
        <v>2607</v>
      </c>
      <c r="F956">
        <v>7182</v>
      </c>
      <c r="G956">
        <v>7190</v>
      </c>
      <c r="H956">
        <v>3506</v>
      </c>
      <c r="I956">
        <v>2410</v>
      </c>
      <c r="J956">
        <v>197</v>
      </c>
      <c r="K956">
        <v>342</v>
      </c>
      <c r="L956">
        <v>222</v>
      </c>
      <c r="M956">
        <v>520</v>
      </c>
      <c r="N956">
        <v>1544</v>
      </c>
      <c r="O956">
        <v>587</v>
      </c>
      <c r="P956">
        <v>506</v>
      </c>
      <c r="Q956">
        <v>18</v>
      </c>
      <c r="R956">
        <v>0.29165479900000002</v>
      </c>
      <c r="S956">
        <v>882</v>
      </c>
      <c r="T956">
        <v>257</v>
      </c>
      <c r="U956">
        <v>1219</v>
      </c>
      <c r="V956">
        <v>1526</v>
      </c>
      <c r="W956">
        <v>2160</v>
      </c>
      <c r="X956">
        <v>1652</v>
      </c>
      <c r="Y956">
        <v>127</v>
      </c>
      <c r="Z956">
        <v>162</v>
      </c>
      <c r="AA956">
        <v>455</v>
      </c>
      <c r="AB956">
        <v>2</v>
      </c>
      <c r="AC956">
        <v>73</v>
      </c>
      <c r="AD956">
        <v>63</v>
      </c>
      <c r="AE956">
        <v>0</v>
      </c>
      <c r="AF956">
        <v>0</v>
      </c>
      <c r="AG956">
        <v>4</v>
      </c>
      <c r="AH956">
        <v>0</v>
      </c>
      <c r="AI956">
        <v>0</v>
      </c>
      <c r="AJ956">
        <v>0</v>
      </c>
      <c r="AK956">
        <v>1.23787</v>
      </c>
      <c r="AL956">
        <v>3</v>
      </c>
      <c r="AM956">
        <v>0</v>
      </c>
      <c r="AN956">
        <v>2607</v>
      </c>
      <c r="AO956">
        <v>8</v>
      </c>
      <c r="AP956">
        <v>0</v>
      </c>
      <c r="AQ956">
        <v>0</v>
      </c>
    </row>
    <row r="957" spans="1:43" x14ac:dyDescent="0.25">
      <c r="A957">
        <v>954</v>
      </c>
      <c r="B957">
        <v>18</v>
      </c>
      <c r="C957">
        <v>18</v>
      </c>
      <c r="D957">
        <v>4</v>
      </c>
      <c r="E957">
        <v>1932</v>
      </c>
      <c r="F957">
        <v>4549</v>
      </c>
      <c r="G957">
        <v>4549</v>
      </c>
      <c r="H957">
        <v>2389</v>
      </c>
      <c r="I957">
        <v>547</v>
      </c>
      <c r="J957">
        <v>1372</v>
      </c>
      <c r="K957">
        <v>547</v>
      </c>
      <c r="L957">
        <v>516</v>
      </c>
      <c r="M957">
        <v>414</v>
      </c>
      <c r="N957">
        <v>417</v>
      </c>
      <c r="O957">
        <v>198</v>
      </c>
      <c r="P957">
        <v>99</v>
      </c>
      <c r="Q957">
        <v>82.966436630000004</v>
      </c>
      <c r="R957">
        <v>0.20458368399999999</v>
      </c>
      <c r="S957">
        <v>1907</v>
      </c>
      <c r="T957">
        <v>264</v>
      </c>
      <c r="U957">
        <v>676</v>
      </c>
      <c r="V957">
        <v>1775</v>
      </c>
      <c r="W957">
        <v>1130</v>
      </c>
      <c r="X957">
        <v>782</v>
      </c>
      <c r="Y957">
        <v>747</v>
      </c>
      <c r="Z957">
        <v>111</v>
      </c>
      <c r="AA957">
        <v>994</v>
      </c>
      <c r="AB957">
        <v>1</v>
      </c>
      <c r="AC957">
        <v>28</v>
      </c>
      <c r="AD957">
        <v>26</v>
      </c>
      <c r="AE957">
        <v>0</v>
      </c>
      <c r="AF957">
        <v>49.449954380000001</v>
      </c>
      <c r="AG957">
        <v>3</v>
      </c>
      <c r="AH957">
        <v>386</v>
      </c>
      <c r="AI957">
        <v>0</v>
      </c>
      <c r="AJ957">
        <v>0</v>
      </c>
      <c r="AK957">
        <v>1.8260799999999999</v>
      </c>
      <c r="AL957">
        <v>3</v>
      </c>
      <c r="AM957">
        <v>0</v>
      </c>
      <c r="AN957">
        <v>1932</v>
      </c>
      <c r="AO957">
        <v>0</v>
      </c>
      <c r="AP957">
        <v>0</v>
      </c>
      <c r="AQ957">
        <v>0</v>
      </c>
    </row>
    <row r="958" spans="1:43" x14ac:dyDescent="0.25">
      <c r="A958">
        <v>955</v>
      </c>
      <c r="B958">
        <v>18</v>
      </c>
      <c r="C958">
        <v>18</v>
      </c>
      <c r="D958">
        <v>4</v>
      </c>
      <c r="E958">
        <v>1314</v>
      </c>
      <c r="F958">
        <v>2936</v>
      </c>
      <c r="G958">
        <v>2936</v>
      </c>
      <c r="H958">
        <v>1471</v>
      </c>
      <c r="I958">
        <v>319</v>
      </c>
      <c r="J958">
        <v>994</v>
      </c>
      <c r="K958">
        <v>338</v>
      </c>
      <c r="L958">
        <v>439</v>
      </c>
      <c r="M958">
        <v>367</v>
      </c>
      <c r="N958">
        <v>166</v>
      </c>
      <c r="O958">
        <v>134</v>
      </c>
      <c r="P958">
        <v>99.481398080000005</v>
      </c>
      <c r="Q958">
        <v>38.337175819999999</v>
      </c>
      <c r="R958">
        <v>0.15485203</v>
      </c>
      <c r="S958">
        <v>2511</v>
      </c>
      <c r="T958">
        <v>329</v>
      </c>
      <c r="U958">
        <v>369</v>
      </c>
      <c r="V958">
        <v>1127</v>
      </c>
      <c r="W958">
        <v>667</v>
      </c>
      <c r="X958">
        <v>322</v>
      </c>
      <c r="Y958">
        <v>84</v>
      </c>
      <c r="Z958">
        <v>116</v>
      </c>
      <c r="AA958">
        <v>1783</v>
      </c>
      <c r="AB958">
        <v>2</v>
      </c>
      <c r="AC958">
        <v>57</v>
      </c>
      <c r="AD958">
        <v>469</v>
      </c>
      <c r="AE958">
        <v>0</v>
      </c>
      <c r="AF958">
        <v>0</v>
      </c>
      <c r="AG958">
        <v>3</v>
      </c>
      <c r="AH958">
        <v>1868</v>
      </c>
      <c r="AI958">
        <v>0</v>
      </c>
      <c r="AJ958">
        <v>0</v>
      </c>
      <c r="AK958">
        <v>2.03674</v>
      </c>
      <c r="AL958">
        <v>3</v>
      </c>
      <c r="AM958">
        <v>0</v>
      </c>
      <c r="AN958">
        <v>1314</v>
      </c>
      <c r="AO958">
        <v>0</v>
      </c>
      <c r="AP958">
        <v>0</v>
      </c>
      <c r="AQ958">
        <v>0</v>
      </c>
    </row>
    <row r="959" spans="1:43" x14ac:dyDescent="0.25">
      <c r="A959">
        <v>956</v>
      </c>
      <c r="B959">
        <v>18</v>
      </c>
      <c r="C959">
        <v>18</v>
      </c>
      <c r="D959">
        <v>4</v>
      </c>
      <c r="E959">
        <v>2082</v>
      </c>
      <c r="F959">
        <v>4588</v>
      </c>
      <c r="G959">
        <v>4614</v>
      </c>
      <c r="H959">
        <v>2638</v>
      </c>
      <c r="I959">
        <v>810</v>
      </c>
      <c r="J959">
        <v>1360</v>
      </c>
      <c r="K959">
        <v>459</v>
      </c>
      <c r="L959">
        <v>558</v>
      </c>
      <c r="M959">
        <v>441</v>
      </c>
      <c r="N959">
        <v>642</v>
      </c>
      <c r="O959">
        <v>219</v>
      </c>
      <c r="P959">
        <v>208</v>
      </c>
      <c r="Q959">
        <v>5.8829338719999997</v>
      </c>
      <c r="R959">
        <v>0.208279983</v>
      </c>
      <c r="S959">
        <v>648</v>
      </c>
      <c r="T959">
        <v>263</v>
      </c>
      <c r="U959">
        <v>656</v>
      </c>
      <c r="V959">
        <v>1411</v>
      </c>
      <c r="W959">
        <v>1503</v>
      </c>
      <c r="X959">
        <v>708</v>
      </c>
      <c r="Y959">
        <v>86</v>
      </c>
      <c r="Z959">
        <v>97</v>
      </c>
      <c r="AA959">
        <v>390</v>
      </c>
      <c r="AB959">
        <v>1</v>
      </c>
      <c r="AC959">
        <v>24</v>
      </c>
      <c r="AD959">
        <v>50</v>
      </c>
      <c r="AE959">
        <v>0</v>
      </c>
      <c r="AF959">
        <v>0</v>
      </c>
      <c r="AG959">
        <v>3</v>
      </c>
      <c r="AH959">
        <v>39</v>
      </c>
      <c r="AI959">
        <v>0</v>
      </c>
      <c r="AJ959">
        <v>0</v>
      </c>
      <c r="AK959">
        <v>1.5272300000000001</v>
      </c>
      <c r="AL959">
        <v>3</v>
      </c>
      <c r="AM959">
        <v>0</v>
      </c>
      <c r="AN959">
        <v>2082</v>
      </c>
      <c r="AO959">
        <v>26</v>
      </c>
      <c r="AP959">
        <v>0</v>
      </c>
      <c r="AQ959">
        <v>0</v>
      </c>
    </row>
    <row r="960" spans="1:43" x14ac:dyDescent="0.25">
      <c r="A960">
        <v>957</v>
      </c>
      <c r="B960">
        <v>18</v>
      </c>
      <c r="C960">
        <v>18</v>
      </c>
      <c r="D960">
        <v>4</v>
      </c>
      <c r="E960">
        <v>1522</v>
      </c>
      <c r="F960">
        <v>3286</v>
      </c>
      <c r="G960">
        <v>3290</v>
      </c>
      <c r="H960">
        <v>1852</v>
      </c>
      <c r="I960">
        <v>378</v>
      </c>
      <c r="J960">
        <v>1240</v>
      </c>
      <c r="K960">
        <v>260</v>
      </c>
      <c r="L960">
        <v>280</v>
      </c>
      <c r="M960">
        <v>450</v>
      </c>
      <c r="N960">
        <v>535</v>
      </c>
      <c r="O960">
        <v>158</v>
      </c>
      <c r="P960">
        <v>117</v>
      </c>
      <c r="Q960">
        <v>16</v>
      </c>
      <c r="R960">
        <v>0.19495549000000001</v>
      </c>
      <c r="S960">
        <v>875</v>
      </c>
      <c r="T960">
        <v>181</v>
      </c>
      <c r="U960">
        <v>444</v>
      </c>
      <c r="V960">
        <v>1376</v>
      </c>
      <c r="W960">
        <v>703</v>
      </c>
      <c r="X960">
        <v>548</v>
      </c>
      <c r="Y960">
        <v>6</v>
      </c>
      <c r="Z960">
        <v>65</v>
      </c>
      <c r="AA960">
        <v>763</v>
      </c>
      <c r="AB960">
        <v>1</v>
      </c>
      <c r="AC960">
        <v>18</v>
      </c>
      <c r="AD960">
        <v>22</v>
      </c>
      <c r="AE960">
        <v>0</v>
      </c>
      <c r="AF960">
        <v>0</v>
      </c>
      <c r="AG960">
        <v>4</v>
      </c>
      <c r="AH960">
        <v>0</v>
      </c>
      <c r="AI960">
        <v>0</v>
      </c>
      <c r="AJ960">
        <v>0</v>
      </c>
      <c r="AK960">
        <v>1.57568</v>
      </c>
      <c r="AL960">
        <v>3</v>
      </c>
      <c r="AM960">
        <v>0</v>
      </c>
      <c r="AN960">
        <v>1522</v>
      </c>
      <c r="AO960">
        <v>4</v>
      </c>
      <c r="AP960">
        <v>0</v>
      </c>
      <c r="AQ960">
        <v>0</v>
      </c>
    </row>
    <row r="961" spans="1:43" x14ac:dyDescent="0.25">
      <c r="A961">
        <v>958</v>
      </c>
      <c r="B961">
        <v>18</v>
      </c>
      <c r="C961">
        <v>18</v>
      </c>
      <c r="D961">
        <v>4</v>
      </c>
      <c r="E961">
        <v>1585</v>
      </c>
      <c r="F961">
        <v>3048</v>
      </c>
      <c r="G961">
        <v>3057</v>
      </c>
      <c r="H961">
        <v>1927</v>
      </c>
      <c r="I961">
        <v>468</v>
      </c>
      <c r="J961">
        <v>1161</v>
      </c>
      <c r="K961">
        <v>255</v>
      </c>
      <c r="L961">
        <v>395</v>
      </c>
      <c r="M961">
        <v>391</v>
      </c>
      <c r="N961">
        <v>526</v>
      </c>
      <c r="O961">
        <v>195</v>
      </c>
      <c r="P961">
        <v>87</v>
      </c>
      <c r="Q961">
        <v>19</v>
      </c>
      <c r="R961">
        <v>0.30059993699999998</v>
      </c>
      <c r="S961">
        <v>417</v>
      </c>
      <c r="T961">
        <v>175</v>
      </c>
      <c r="U961">
        <v>265</v>
      </c>
      <c r="V961">
        <v>970</v>
      </c>
      <c r="W961">
        <v>875</v>
      </c>
      <c r="X961">
        <v>777</v>
      </c>
      <c r="Y961">
        <v>34</v>
      </c>
      <c r="Z961">
        <v>75</v>
      </c>
      <c r="AA961">
        <v>247</v>
      </c>
      <c r="AB961">
        <v>1</v>
      </c>
      <c r="AC961">
        <v>31</v>
      </c>
      <c r="AD961">
        <v>29</v>
      </c>
      <c r="AE961">
        <v>0</v>
      </c>
      <c r="AF961">
        <v>0</v>
      </c>
      <c r="AG961">
        <v>4</v>
      </c>
      <c r="AH961">
        <v>0</v>
      </c>
      <c r="AI961">
        <v>0</v>
      </c>
      <c r="AJ961">
        <v>0</v>
      </c>
      <c r="AK961">
        <v>1.6092900000000001</v>
      </c>
      <c r="AL961">
        <v>3</v>
      </c>
      <c r="AM961">
        <v>0</v>
      </c>
      <c r="AN961">
        <v>1585</v>
      </c>
      <c r="AO961">
        <v>9</v>
      </c>
      <c r="AP961">
        <v>0</v>
      </c>
      <c r="AQ961">
        <v>0</v>
      </c>
    </row>
    <row r="962" spans="1:43" x14ac:dyDescent="0.25">
      <c r="A962">
        <v>959</v>
      </c>
      <c r="B962">
        <v>18</v>
      </c>
      <c r="C962">
        <v>18</v>
      </c>
      <c r="D962">
        <v>4</v>
      </c>
      <c r="E962">
        <v>1853</v>
      </c>
      <c r="F962">
        <v>4272</v>
      </c>
      <c r="G962">
        <v>4273</v>
      </c>
      <c r="H962">
        <v>2394</v>
      </c>
      <c r="I962">
        <v>929</v>
      </c>
      <c r="J962">
        <v>940</v>
      </c>
      <c r="K962">
        <v>587</v>
      </c>
      <c r="L962">
        <v>320</v>
      </c>
      <c r="M962">
        <v>253</v>
      </c>
      <c r="N962">
        <v>724</v>
      </c>
      <c r="O962">
        <v>208</v>
      </c>
      <c r="P962">
        <v>161</v>
      </c>
      <c r="Q962">
        <v>28.262300870000001</v>
      </c>
      <c r="R962">
        <v>0.14019995299999999</v>
      </c>
      <c r="S962">
        <v>724</v>
      </c>
      <c r="T962">
        <v>347</v>
      </c>
      <c r="U962">
        <v>526</v>
      </c>
      <c r="V962">
        <v>1748</v>
      </c>
      <c r="W962">
        <v>1045</v>
      </c>
      <c r="X962">
        <v>496</v>
      </c>
      <c r="Y962">
        <v>177</v>
      </c>
      <c r="Z962">
        <v>98</v>
      </c>
      <c r="AA962">
        <v>386</v>
      </c>
      <c r="AB962">
        <v>1</v>
      </c>
      <c r="AC962">
        <v>21</v>
      </c>
      <c r="AD962">
        <v>41</v>
      </c>
      <c r="AE962">
        <v>0</v>
      </c>
      <c r="AF962">
        <v>0</v>
      </c>
      <c r="AG962">
        <v>4</v>
      </c>
      <c r="AH962">
        <v>0</v>
      </c>
      <c r="AI962">
        <v>0</v>
      </c>
      <c r="AJ962">
        <v>0</v>
      </c>
      <c r="AK962">
        <v>1.53834</v>
      </c>
      <c r="AL962">
        <v>3</v>
      </c>
      <c r="AM962">
        <v>0</v>
      </c>
      <c r="AN962">
        <v>1853</v>
      </c>
      <c r="AO962">
        <v>1</v>
      </c>
      <c r="AP962">
        <v>0</v>
      </c>
      <c r="AQ962">
        <v>0</v>
      </c>
    </row>
    <row r="963" spans="1:43" x14ac:dyDescent="0.25">
      <c r="A963">
        <v>960</v>
      </c>
      <c r="B963">
        <v>18</v>
      </c>
      <c r="C963">
        <v>18</v>
      </c>
      <c r="D963">
        <v>4</v>
      </c>
      <c r="E963">
        <v>2047</v>
      </c>
      <c r="F963">
        <v>5185</v>
      </c>
      <c r="G963">
        <v>5307</v>
      </c>
      <c r="H963">
        <v>2689</v>
      </c>
      <c r="I963">
        <v>1109</v>
      </c>
      <c r="J963">
        <v>865</v>
      </c>
      <c r="K963">
        <v>506</v>
      </c>
      <c r="L963">
        <v>436</v>
      </c>
      <c r="M963">
        <v>377</v>
      </c>
      <c r="N963">
        <v>710</v>
      </c>
      <c r="O963">
        <v>617</v>
      </c>
      <c r="P963">
        <v>177.0467989</v>
      </c>
      <c r="Q963">
        <v>293</v>
      </c>
      <c r="R963">
        <v>0.174980514</v>
      </c>
      <c r="S963">
        <v>2926</v>
      </c>
      <c r="T963">
        <v>225</v>
      </c>
      <c r="U963">
        <v>995</v>
      </c>
      <c r="V963">
        <v>1968</v>
      </c>
      <c r="W963">
        <v>1007</v>
      </c>
      <c r="X963">
        <v>781</v>
      </c>
      <c r="Y963">
        <v>130</v>
      </c>
      <c r="Z963">
        <v>797</v>
      </c>
      <c r="AA963">
        <v>950</v>
      </c>
      <c r="AB963">
        <v>2</v>
      </c>
      <c r="AC963">
        <v>399</v>
      </c>
      <c r="AD963">
        <v>648</v>
      </c>
      <c r="AE963">
        <v>0</v>
      </c>
      <c r="AF963">
        <v>0</v>
      </c>
      <c r="AG963">
        <v>3</v>
      </c>
      <c r="AH963">
        <v>0</v>
      </c>
      <c r="AI963">
        <v>0</v>
      </c>
      <c r="AJ963">
        <v>0</v>
      </c>
      <c r="AK963">
        <v>1.3204</v>
      </c>
      <c r="AL963">
        <v>3</v>
      </c>
      <c r="AM963">
        <v>0</v>
      </c>
      <c r="AN963">
        <v>2047</v>
      </c>
      <c r="AO963">
        <v>122</v>
      </c>
      <c r="AP963">
        <v>0</v>
      </c>
      <c r="AQ963">
        <v>0</v>
      </c>
    </row>
    <row r="964" spans="1:43" x14ac:dyDescent="0.25">
      <c r="A964">
        <v>961</v>
      </c>
      <c r="B964">
        <v>18</v>
      </c>
      <c r="C964">
        <v>18</v>
      </c>
      <c r="D964">
        <v>4</v>
      </c>
      <c r="E964">
        <v>1227</v>
      </c>
      <c r="F964">
        <v>3547</v>
      </c>
      <c r="G964">
        <v>3564</v>
      </c>
      <c r="H964">
        <v>1627</v>
      </c>
      <c r="I964">
        <v>905</v>
      </c>
      <c r="J964">
        <v>495</v>
      </c>
      <c r="K964">
        <v>349</v>
      </c>
      <c r="L964">
        <v>134</v>
      </c>
      <c r="M964">
        <v>161</v>
      </c>
      <c r="N964">
        <v>581</v>
      </c>
      <c r="O964">
        <v>482</v>
      </c>
      <c r="P964">
        <v>44.716227119999999</v>
      </c>
      <c r="Q964">
        <v>474</v>
      </c>
      <c r="R964">
        <v>0.15006747600000001</v>
      </c>
      <c r="S964">
        <v>2211</v>
      </c>
      <c r="T964">
        <v>332</v>
      </c>
      <c r="U964">
        <v>731</v>
      </c>
      <c r="V964">
        <v>1329</v>
      </c>
      <c r="W964">
        <v>730</v>
      </c>
      <c r="X964">
        <v>466</v>
      </c>
      <c r="Y964">
        <v>271</v>
      </c>
      <c r="Z964">
        <v>877</v>
      </c>
      <c r="AA964">
        <v>678</v>
      </c>
      <c r="AB964">
        <v>1</v>
      </c>
      <c r="AC964">
        <v>335</v>
      </c>
      <c r="AD964">
        <v>49</v>
      </c>
      <c r="AE964">
        <v>0</v>
      </c>
      <c r="AF964">
        <v>0</v>
      </c>
      <c r="AG964">
        <v>2</v>
      </c>
      <c r="AH964">
        <v>211</v>
      </c>
      <c r="AI964">
        <v>834</v>
      </c>
      <c r="AJ964">
        <v>9542</v>
      </c>
      <c r="AK964">
        <v>1.13327</v>
      </c>
      <c r="AL964">
        <v>3</v>
      </c>
      <c r="AM964">
        <v>0</v>
      </c>
      <c r="AN964">
        <v>1227</v>
      </c>
      <c r="AO964">
        <v>17</v>
      </c>
      <c r="AP964">
        <v>0</v>
      </c>
      <c r="AQ964">
        <v>0</v>
      </c>
    </row>
    <row r="965" spans="1:43" x14ac:dyDescent="0.25">
      <c r="A965">
        <v>962</v>
      </c>
      <c r="B965">
        <v>18</v>
      </c>
      <c r="C965">
        <v>18</v>
      </c>
      <c r="D965">
        <v>4</v>
      </c>
      <c r="E965">
        <v>1953</v>
      </c>
      <c r="F965">
        <v>4505</v>
      </c>
      <c r="G965">
        <v>4506</v>
      </c>
      <c r="H965">
        <v>2467</v>
      </c>
      <c r="I965">
        <v>413</v>
      </c>
      <c r="J965">
        <v>1588</v>
      </c>
      <c r="K965">
        <v>565</v>
      </c>
      <c r="L965">
        <v>679</v>
      </c>
      <c r="M965">
        <v>446</v>
      </c>
      <c r="N965">
        <v>264</v>
      </c>
      <c r="O965">
        <v>145</v>
      </c>
      <c r="P965">
        <v>92</v>
      </c>
      <c r="Q965">
        <v>54.471021899999997</v>
      </c>
      <c r="R965">
        <v>0.16383112799999999</v>
      </c>
      <c r="S965">
        <v>712</v>
      </c>
      <c r="T965">
        <v>305</v>
      </c>
      <c r="U965">
        <v>627</v>
      </c>
      <c r="V965">
        <v>1992</v>
      </c>
      <c r="W965">
        <v>1189</v>
      </c>
      <c r="X965">
        <v>498</v>
      </c>
      <c r="Y965">
        <v>29</v>
      </c>
      <c r="Z965">
        <v>44</v>
      </c>
      <c r="AA965">
        <v>589</v>
      </c>
      <c r="AB965">
        <v>11</v>
      </c>
      <c r="AC965">
        <v>17</v>
      </c>
      <c r="AD965">
        <v>22</v>
      </c>
      <c r="AE965">
        <v>0</v>
      </c>
      <c r="AF965">
        <v>0</v>
      </c>
      <c r="AG965">
        <v>3</v>
      </c>
      <c r="AH965">
        <v>346</v>
      </c>
      <c r="AI965">
        <v>0</v>
      </c>
      <c r="AJ965">
        <v>0</v>
      </c>
      <c r="AK965">
        <v>1.71529</v>
      </c>
      <c r="AL965">
        <v>3</v>
      </c>
      <c r="AM965">
        <v>0</v>
      </c>
      <c r="AN965">
        <v>1953</v>
      </c>
      <c r="AO965">
        <v>1</v>
      </c>
      <c r="AP965">
        <v>0</v>
      </c>
      <c r="AQ965">
        <v>0</v>
      </c>
    </row>
    <row r="966" spans="1:43" x14ac:dyDescent="0.25">
      <c r="A966">
        <v>963</v>
      </c>
      <c r="B966">
        <v>18</v>
      </c>
      <c r="C966">
        <v>18</v>
      </c>
      <c r="D966">
        <v>4</v>
      </c>
      <c r="E966">
        <v>2264</v>
      </c>
      <c r="F966">
        <v>4948</v>
      </c>
      <c r="G966">
        <v>4948</v>
      </c>
      <c r="H966">
        <v>2998</v>
      </c>
      <c r="I966">
        <v>1126</v>
      </c>
      <c r="J966">
        <v>1147</v>
      </c>
      <c r="K966">
        <v>549</v>
      </c>
      <c r="L966">
        <v>498</v>
      </c>
      <c r="M966">
        <v>516</v>
      </c>
      <c r="N966">
        <v>704</v>
      </c>
      <c r="O966">
        <v>235</v>
      </c>
      <c r="P966">
        <v>138.33061509999999</v>
      </c>
      <c r="Q966">
        <v>87.705987699999994</v>
      </c>
      <c r="R966">
        <v>0.19706290900000001</v>
      </c>
      <c r="S966">
        <v>897</v>
      </c>
      <c r="T966">
        <v>258</v>
      </c>
      <c r="U966">
        <v>596</v>
      </c>
      <c r="V966">
        <v>1922</v>
      </c>
      <c r="W966">
        <v>1372</v>
      </c>
      <c r="X966">
        <v>734</v>
      </c>
      <c r="Y966">
        <v>20</v>
      </c>
      <c r="Z966">
        <v>99</v>
      </c>
      <c r="AA966">
        <v>484</v>
      </c>
      <c r="AB966">
        <v>1</v>
      </c>
      <c r="AC966">
        <v>40</v>
      </c>
      <c r="AD966">
        <v>253</v>
      </c>
      <c r="AE966">
        <v>0</v>
      </c>
      <c r="AF966">
        <v>0</v>
      </c>
      <c r="AG966">
        <v>3</v>
      </c>
      <c r="AH966">
        <v>927</v>
      </c>
      <c r="AI966">
        <v>0</v>
      </c>
      <c r="AJ966">
        <v>0</v>
      </c>
      <c r="AK966">
        <v>1.405</v>
      </c>
      <c r="AL966">
        <v>3</v>
      </c>
      <c r="AM966">
        <v>0</v>
      </c>
      <c r="AN966">
        <v>2264</v>
      </c>
      <c r="AO966">
        <v>0</v>
      </c>
      <c r="AP966">
        <v>0</v>
      </c>
      <c r="AQ966">
        <v>0</v>
      </c>
    </row>
    <row r="967" spans="1:43" x14ac:dyDescent="0.25">
      <c r="A967">
        <v>964</v>
      </c>
      <c r="B967">
        <v>18</v>
      </c>
      <c r="C967">
        <v>18</v>
      </c>
      <c r="D967">
        <v>4</v>
      </c>
      <c r="E967">
        <v>316</v>
      </c>
      <c r="F967">
        <v>881</v>
      </c>
      <c r="G967">
        <v>883</v>
      </c>
      <c r="H967">
        <v>307</v>
      </c>
      <c r="I967">
        <v>37</v>
      </c>
      <c r="J967">
        <v>276</v>
      </c>
      <c r="K967">
        <v>182</v>
      </c>
      <c r="L967">
        <v>95</v>
      </c>
      <c r="M967">
        <v>9</v>
      </c>
      <c r="N967">
        <v>33</v>
      </c>
      <c r="O967">
        <v>1390</v>
      </c>
      <c r="P967">
        <v>45</v>
      </c>
      <c r="Q967">
        <v>1315</v>
      </c>
      <c r="R967">
        <v>0.181543116</v>
      </c>
      <c r="S967">
        <v>1135</v>
      </c>
      <c r="T967">
        <v>180</v>
      </c>
      <c r="U967">
        <v>340</v>
      </c>
      <c r="V967">
        <v>335</v>
      </c>
      <c r="W967">
        <v>269</v>
      </c>
      <c r="X967">
        <v>157</v>
      </c>
      <c r="Y967">
        <v>105</v>
      </c>
      <c r="Z967">
        <v>131</v>
      </c>
      <c r="AA967">
        <v>268</v>
      </c>
      <c r="AB967">
        <v>1</v>
      </c>
      <c r="AC967">
        <v>504</v>
      </c>
      <c r="AD967">
        <v>126</v>
      </c>
      <c r="AE967">
        <v>0</v>
      </c>
      <c r="AF967">
        <v>0</v>
      </c>
      <c r="AG967">
        <v>4</v>
      </c>
      <c r="AH967">
        <v>0</v>
      </c>
      <c r="AI967">
        <v>0</v>
      </c>
      <c r="AJ967">
        <v>0</v>
      </c>
      <c r="AK967">
        <v>0.9425</v>
      </c>
      <c r="AL967">
        <v>3</v>
      </c>
      <c r="AM967">
        <v>0</v>
      </c>
      <c r="AN967">
        <v>316</v>
      </c>
      <c r="AO967">
        <v>2</v>
      </c>
      <c r="AP967">
        <v>0</v>
      </c>
      <c r="AQ967">
        <v>0</v>
      </c>
    </row>
    <row r="968" spans="1:43" x14ac:dyDescent="0.25">
      <c r="A968">
        <v>965</v>
      </c>
      <c r="B968">
        <v>18</v>
      </c>
      <c r="C968">
        <v>18</v>
      </c>
      <c r="D968">
        <v>4</v>
      </c>
      <c r="E968">
        <v>255</v>
      </c>
      <c r="F968">
        <v>565</v>
      </c>
      <c r="G968">
        <v>646</v>
      </c>
      <c r="H968">
        <v>529</v>
      </c>
      <c r="I968">
        <v>141</v>
      </c>
      <c r="J968">
        <v>156</v>
      </c>
      <c r="K968">
        <v>71</v>
      </c>
      <c r="L968">
        <v>43</v>
      </c>
      <c r="M968">
        <v>61</v>
      </c>
      <c r="N968">
        <v>76</v>
      </c>
      <c r="O968">
        <v>1017</v>
      </c>
      <c r="P968">
        <v>408.78652199999999</v>
      </c>
      <c r="Q968">
        <v>874</v>
      </c>
      <c r="R968">
        <v>0.21759999999999999</v>
      </c>
      <c r="S968">
        <v>2690</v>
      </c>
      <c r="T968">
        <v>9</v>
      </c>
      <c r="U968">
        <v>9</v>
      </c>
      <c r="V968">
        <v>335</v>
      </c>
      <c r="W968">
        <v>139</v>
      </c>
      <c r="X968">
        <v>112</v>
      </c>
      <c r="Y968">
        <v>24</v>
      </c>
      <c r="Z968">
        <v>64</v>
      </c>
      <c r="AA968">
        <v>94</v>
      </c>
      <c r="AB968">
        <v>6</v>
      </c>
      <c r="AC968">
        <v>2409</v>
      </c>
      <c r="AD968">
        <v>93</v>
      </c>
      <c r="AE968">
        <v>36.169109489999997</v>
      </c>
      <c r="AF968">
        <v>0</v>
      </c>
      <c r="AG968">
        <v>4</v>
      </c>
      <c r="AH968">
        <v>1</v>
      </c>
      <c r="AI968">
        <v>0</v>
      </c>
      <c r="AJ968">
        <v>0</v>
      </c>
      <c r="AK968">
        <v>0.95179000000000002</v>
      </c>
      <c r="AL968">
        <v>3</v>
      </c>
      <c r="AM968">
        <v>0</v>
      </c>
      <c r="AN968">
        <v>255</v>
      </c>
      <c r="AO968">
        <v>81</v>
      </c>
      <c r="AP968">
        <v>0</v>
      </c>
      <c r="AQ968">
        <v>0</v>
      </c>
    </row>
    <row r="969" spans="1:43" x14ac:dyDescent="0.25">
      <c r="A969">
        <v>966</v>
      </c>
      <c r="B969">
        <v>18</v>
      </c>
      <c r="C969">
        <v>18</v>
      </c>
      <c r="D969">
        <v>4</v>
      </c>
      <c r="E969">
        <v>33</v>
      </c>
      <c r="F969">
        <v>47</v>
      </c>
      <c r="G969">
        <v>81</v>
      </c>
      <c r="H969">
        <v>32</v>
      </c>
      <c r="I969">
        <v>7</v>
      </c>
      <c r="J969">
        <v>23</v>
      </c>
      <c r="K969">
        <v>0</v>
      </c>
      <c r="L969">
        <v>3</v>
      </c>
      <c r="M969">
        <v>21</v>
      </c>
      <c r="N969">
        <v>11</v>
      </c>
      <c r="O969">
        <v>280</v>
      </c>
      <c r="P969">
        <v>8</v>
      </c>
      <c r="Q969">
        <v>268</v>
      </c>
      <c r="R969">
        <v>0.5</v>
      </c>
      <c r="S969">
        <v>1188</v>
      </c>
      <c r="T969">
        <v>0</v>
      </c>
      <c r="U969">
        <v>0</v>
      </c>
      <c r="V969">
        <v>7</v>
      </c>
      <c r="W969">
        <v>21</v>
      </c>
      <c r="X969">
        <v>18</v>
      </c>
      <c r="Y969">
        <v>10</v>
      </c>
      <c r="Z969">
        <v>92</v>
      </c>
      <c r="AA969">
        <v>531</v>
      </c>
      <c r="AB969">
        <v>1</v>
      </c>
      <c r="AC969">
        <v>465</v>
      </c>
      <c r="AD969">
        <v>89</v>
      </c>
      <c r="AE969">
        <v>0</v>
      </c>
      <c r="AF969">
        <v>0</v>
      </c>
      <c r="AG969">
        <v>4</v>
      </c>
      <c r="AH969">
        <v>0</v>
      </c>
      <c r="AI969">
        <v>0</v>
      </c>
      <c r="AJ969">
        <v>0</v>
      </c>
      <c r="AK969">
        <v>1.2439800000000001</v>
      </c>
      <c r="AL969">
        <v>3</v>
      </c>
      <c r="AM969">
        <v>0</v>
      </c>
      <c r="AN969">
        <v>33</v>
      </c>
      <c r="AO969">
        <v>34</v>
      </c>
      <c r="AP969">
        <v>0</v>
      </c>
      <c r="AQ969">
        <v>0</v>
      </c>
    </row>
    <row r="970" spans="1:43" x14ac:dyDescent="0.25">
      <c r="A970">
        <v>967</v>
      </c>
      <c r="B970">
        <v>18</v>
      </c>
      <c r="C970">
        <v>18</v>
      </c>
      <c r="D970">
        <v>4</v>
      </c>
      <c r="E970">
        <v>579</v>
      </c>
      <c r="F970">
        <v>849</v>
      </c>
      <c r="G970">
        <v>888</v>
      </c>
      <c r="H970">
        <v>719</v>
      </c>
      <c r="I970">
        <v>32</v>
      </c>
      <c r="J970">
        <v>558</v>
      </c>
      <c r="K970">
        <v>61</v>
      </c>
      <c r="L970">
        <v>77</v>
      </c>
      <c r="M970">
        <v>177</v>
      </c>
      <c r="N970">
        <v>255</v>
      </c>
      <c r="O970">
        <v>104</v>
      </c>
      <c r="P970">
        <v>8.1306612739999995</v>
      </c>
      <c r="Q970">
        <v>100.0964748</v>
      </c>
      <c r="R970">
        <v>0.124731183</v>
      </c>
      <c r="S970">
        <v>4203</v>
      </c>
      <c r="T970">
        <v>17</v>
      </c>
      <c r="U970">
        <v>9</v>
      </c>
      <c r="V970">
        <v>484</v>
      </c>
      <c r="W970">
        <v>287</v>
      </c>
      <c r="X970">
        <v>99</v>
      </c>
      <c r="Y970">
        <v>397</v>
      </c>
      <c r="Z970">
        <v>869</v>
      </c>
      <c r="AA970">
        <v>1766</v>
      </c>
      <c r="AB970">
        <v>13</v>
      </c>
      <c r="AC970">
        <v>605</v>
      </c>
      <c r="AD970">
        <v>553</v>
      </c>
      <c r="AE970">
        <v>61.035372270000003</v>
      </c>
      <c r="AF970">
        <v>71.773076649999993</v>
      </c>
      <c r="AG970">
        <v>1</v>
      </c>
      <c r="AH970">
        <v>0</v>
      </c>
      <c r="AI970">
        <v>0</v>
      </c>
      <c r="AJ970">
        <v>0</v>
      </c>
      <c r="AK970">
        <v>3.5342099999999999</v>
      </c>
      <c r="AL970">
        <v>3</v>
      </c>
      <c r="AM970">
        <v>0</v>
      </c>
      <c r="AN970">
        <v>579</v>
      </c>
      <c r="AO970">
        <v>39</v>
      </c>
      <c r="AP970">
        <v>0</v>
      </c>
      <c r="AQ970">
        <v>0</v>
      </c>
    </row>
    <row r="971" spans="1:43" x14ac:dyDescent="0.25">
      <c r="A971">
        <v>968</v>
      </c>
      <c r="B971">
        <v>18</v>
      </c>
      <c r="C971">
        <v>18</v>
      </c>
      <c r="D971">
        <v>4</v>
      </c>
      <c r="E971">
        <v>1269</v>
      </c>
      <c r="F971">
        <v>2281</v>
      </c>
      <c r="G971">
        <v>2318</v>
      </c>
      <c r="H971">
        <v>888</v>
      </c>
      <c r="I971">
        <v>20</v>
      </c>
      <c r="J971">
        <v>1519</v>
      </c>
      <c r="K971">
        <v>684</v>
      </c>
      <c r="L971">
        <v>236</v>
      </c>
      <c r="M971">
        <v>207</v>
      </c>
      <c r="N971">
        <v>133</v>
      </c>
      <c r="O971">
        <v>83</v>
      </c>
      <c r="P971">
        <v>10.26666133</v>
      </c>
      <c r="Q971">
        <v>73.985850279999994</v>
      </c>
      <c r="R971">
        <v>0.41168599500000003</v>
      </c>
      <c r="S971">
        <v>13654</v>
      </c>
      <c r="T971">
        <v>46</v>
      </c>
      <c r="U971">
        <v>150</v>
      </c>
      <c r="V971">
        <v>740</v>
      </c>
      <c r="W971">
        <v>421</v>
      </c>
      <c r="X971">
        <v>819</v>
      </c>
      <c r="Y971">
        <v>266</v>
      </c>
      <c r="Z971">
        <v>1378</v>
      </c>
      <c r="AA971">
        <v>3654</v>
      </c>
      <c r="AB971">
        <v>5</v>
      </c>
      <c r="AC971">
        <v>6686</v>
      </c>
      <c r="AD971">
        <v>1665</v>
      </c>
      <c r="AE971">
        <v>126.5918832</v>
      </c>
      <c r="AF971">
        <v>110.7678978</v>
      </c>
      <c r="AG971">
        <v>1</v>
      </c>
      <c r="AH971">
        <v>0</v>
      </c>
      <c r="AI971">
        <v>34</v>
      </c>
      <c r="AJ971">
        <v>50</v>
      </c>
      <c r="AK971">
        <v>4.4853399999999999</v>
      </c>
      <c r="AL971">
        <v>3</v>
      </c>
      <c r="AM971">
        <v>0</v>
      </c>
      <c r="AN971">
        <v>1269</v>
      </c>
      <c r="AO971">
        <v>37</v>
      </c>
      <c r="AP971">
        <v>0</v>
      </c>
      <c r="AQ971">
        <v>0</v>
      </c>
    </row>
    <row r="972" spans="1:43" x14ac:dyDescent="0.25">
      <c r="A972">
        <v>969</v>
      </c>
      <c r="B972">
        <v>18</v>
      </c>
      <c r="C972">
        <v>18</v>
      </c>
      <c r="D972">
        <v>4</v>
      </c>
      <c r="E972">
        <v>1288</v>
      </c>
      <c r="F972">
        <v>2100</v>
      </c>
      <c r="G972">
        <v>2162</v>
      </c>
      <c r="H972">
        <v>1293</v>
      </c>
      <c r="I972">
        <v>49</v>
      </c>
      <c r="J972">
        <v>1435</v>
      </c>
      <c r="K972">
        <v>459</v>
      </c>
      <c r="L972">
        <v>170</v>
      </c>
      <c r="M972">
        <v>319</v>
      </c>
      <c r="N972">
        <v>351</v>
      </c>
      <c r="O972">
        <v>85</v>
      </c>
      <c r="P972">
        <v>16.887265240000001</v>
      </c>
      <c r="Q972">
        <v>54.291300509999999</v>
      </c>
      <c r="R972">
        <v>0.222045995</v>
      </c>
      <c r="S972">
        <v>9859</v>
      </c>
      <c r="T972">
        <v>71</v>
      </c>
      <c r="U972">
        <v>165</v>
      </c>
      <c r="V972">
        <v>1137</v>
      </c>
      <c r="W972">
        <v>628</v>
      </c>
      <c r="X972">
        <v>441</v>
      </c>
      <c r="Y972">
        <v>342</v>
      </c>
      <c r="Z972">
        <v>3908</v>
      </c>
      <c r="AA972">
        <v>2975</v>
      </c>
      <c r="AB972">
        <v>6</v>
      </c>
      <c r="AC972">
        <v>1304</v>
      </c>
      <c r="AD972">
        <v>1324</v>
      </c>
      <c r="AE972">
        <v>135.6341606</v>
      </c>
      <c r="AF972">
        <v>97.769624089999994</v>
      </c>
      <c r="AG972">
        <v>1</v>
      </c>
      <c r="AH972">
        <v>0</v>
      </c>
      <c r="AI972">
        <v>0</v>
      </c>
      <c r="AJ972">
        <v>0</v>
      </c>
      <c r="AK972">
        <v>4.1942000000000004</v>
      </c>
      <c r="AL972">
        <v>3</v>
      </c>
      <c r="AM972">
        <v>0</v>
      </c>
      <c r="AN972">
        <v>1288</v>
      </c>
      <c r="AO972">
        <v>62</v>
      </c>
      <c r="AP972">
        <v>0</v>
      </c>
      <c r="AQ972">
        <v>0</v>
      </c>
    </row>
    <row r="973" spans="1:43" x14ac:dyDescent="0.25">
      <c r="A973">
        <v>970</v>
      </c>
      <c r="B973">
        <v>18</v>
      </c>
      <c r="C973">
        <v>18</v>
      </c>
      <c r="D973">
        <v>4</v>
      </c>
      <c r="E973">
        <v>2727</v>
      </c>
      <c r="F973">
        <v>4745</v>
      </c>
      <c r="G973">
        <v>5127</v>
      </c>
      <c r="H973">
        <v>2534</v>
      </c>
      <c r="I973">
        <v>180</v>
      </c>
      <c r="J973">
        <v>2702</v>
      </c>
      <c r="K973">
        <v>1329</v>
      </c>
      <c r="L973">
        <v>376</v>
      </c>
      <c r="M973">
        <v>506</v>
      </c>
      <c r="N973">
        <v>514</v>
      </c>
      <c r="O973">
        <v>94</v>
      </c>
      <c r="P973">
        <v>25.292774219999998</v>
      </c>
      <c r="Q973">
        <v>74.576681550000004</v>
      </c>
      <c r="R973">
        <v>0.25309358100000001</v>
      </c>
      <c r="S973">
        <v>6425</v>
      </c>
      <c r="T973">
        <v>177</v>
      </c>
      <c r="U973">
        <v>537</v>
      </c>
      <c r="V973">
        <v>2297</v>
      </c>
      <c r="W973">
        <v>924</v>
      </c>
      <c r="X973">
        <v>1082</v>
      </c>
      <c r="Y973">
        <v>75</v>
      </c>
      <c r="Z973">
        <v>917</v>
      </c>
      <c r="AA973">
        <v>1743</v>
      </c>
      <c r="AB973">
        <v>2</v>
      </c>
      <c r="AC973">
        <v>121</v>
      </c>
      <c r="AD973">
        <v>3567</v>
      </c>
      <c r="AE973">
        <v>114.7238942</v>
      </c>
      <c r="AF973">
        <v>98.334766430000002</v>
      </c>
      <c r="AG973">
        <v>1</v>
      </c>
      <c r="AH973">
        <v>464</v>
      </c>
      <c r="AI973">
        <v>0</v>
      </c>
      <c r="AJ973">
        <v>0</v>
      </c>
      <c r="AK973">
        <v>3.7979699999999998</v>
      </c>
      <c r="AL973">
        <v>3</v>
      </c>
      <c r="AM973">
        <v>0</v>
      </c>
      <c r="AN973">
        <v>2727</v>
      </c>
      <c r="AO973">
        <v>382</v>
      </c>
      <c r="AP973">
        <v>0</v>
      </c>
      <c r="AQ973">
        <v>0</v>
      </c>
    </row>
    <row r="974" spans="1:43" x14ac:dyDescent="0.25">
      <c r="A974">
        <v>971</v>
      </c>
      <c r="B974">
        <v>18</v>
      </c>
      <c r="C974">
        <v>18</v>
      </c>
      <c r="D974">
        <v>4</v>
      </c>
      <c r="E974">
        <v>755</v>
      </c>
      <c r="F974">
        <v>967</v>
      </c>
      <c r="G974">
        <v>980</v>
      </c>
      <c r="H974">
        <v>589</v>
      </c>
      <c r="I974">
        <v>0</v>
      </c>
      <c r="J974">
        <v>938</v>
      </c>
      <c r="K974">
        <v>371</v>
      </c>
      <c r="L974">
        <v>114</v>
      </c>
      <c r="M974">
        <v>139</v>
      </c>
      <c r="N974">
        <v>141</v>
      </c>
      <c r="O974">
        <v>96</v>
      </c>
      <c r="P974">
        <v>7.8143540680000001</v>
      </c>
      <c r="Q974">
        <v>91.332991890000002</v>
      </c>
      <c r="R974">
        <v>0.29293893100000001</v>
      </c>
      <c r="S974">
        <v>17646</v>
      </c>
      <c r="T974">
        <v>4</v>
      </c>
      <c r="U974">
        <v>19</v>
      </c>
      <c r="V974">
        <v>605</v>
      </c>
      <c r="W974">
        <v>120</v>
      </c>
      <c r="X974">
        <v>265</v>
      </c>
      <c r="Y974">
        <v>187</v>
      </c>
      <c r="Z974">
        <v>8323</v>
      </c>
      <c r="AA974">
        <v>4515</v>
      </c>
      <c r="AB974">
        <v>10</v>
      </c>
      <c r="AC974">
        <v>832</v>
      </c>
      <c r="AD974">
        <v>3779</v>
      </c>
      <c r="AE974">
        <v>111.3330402</v>
      </c>
      <c r="AF974">
        <v>110.20275549999999</v>
      </c>
      <c r="AG974">
        <v>1</v>
      </c>
      <c r="AH974">
        <v>148</v>
      </c>
      <c r="AI974">
        <v>723</v>
      </c>
      <c r="AJ974">
        <v>37</v>
      </c>
      <c r="AK974">
        <v>4.50082</v>
      </c>
      <c r="AL974">
        <v>3</v>
      </c>
      <c r="AM974">
        <v>0</v>
      </c>
      <c r="AN974">
        <v>755</v>
      </c>
      <c r="AO974">
        <v>13</v>
      </c>
      <c r="AP974">
        <v>0</v>
      </c>
      <c r="AQ974">
        <v>0</v>
      </c>
    </row>
    <row r="975" spans="1:43" x14ac:dyDescent="0.25">
      <c r="A975">
        <v>972</v>
      </c>
      <c r="B975">
        <v>18</v>
      </c>
      <c r="C975">
        <v>18</v>
      </c>
      <c r="D975">
        <v>4</v>
      </c>
      <c r="E975">
        <v>3852</v>
      </c>
      <c r="F975">
        <v>6341</v>
      </c>
      <c r="G975">
        <v>6391</v>
      </c>
      <c r="H975">
        <v>4107</v>
      </c>
      <c r="I975">
        <v>462</v>
      </c>
      <c r="J975">
        <v>3869</v>
      </c>
      <c r="K975">
        <v>1289</v>
      </c>
      <c r="L975">
        <v>778</v>
      </c>
      <c r="M975">
        <v>858</v>
      </c>
      <c r="N975">
        <v>932</v>
      </c>
      <c r="O975">
        <v>206</v>
      </c>
      <c r="P975">
        <v>107.7307995</v>
      </c>
      <c r="Q975">
        <v>99</v>
      </c>
      <c r="R975">
        <v>0.195609387</v>
      </c>
      <c r="S975">
        <v>2987</v>
      </c>
      <c r="T975">
        <v>170</v>
      </c>
      <c r="U975">
        <v>323</v>
      </c>
      <c r="V975">
        <v>3561</v>
      </c>
      <c r="W975">
        <v>1252</v>
      </c>
      <c r="X975">
        <v>1113</v>
      </c>
      <c r="Y975">
        <v>671</v>
      </c>
      <c r="Z975">
        <v>610</v>
      </c>
      <c r="AA975">
        <v>1314</v>
      </c>
      <c r="AB975">
        <v>3</v>
      </c>
      <c r="AC975">
        <v>153</v>
      </c>
      <c r="AD975">
        <v>236</v>
      </c>
      <c r="AE975">
        <v>111.8981825</v>
      </c>
      <c r="AF975">
        <v>45.776529199999999</v>
      </c>
      <c r="AG975">
        <v>2</v>
      </c>
      <c r="AH975">
        <v>0</v>
      </c>
      <c r="AI975">
        <v>0</v>
      </c>
      <c r="AJ975">
        <v>0</v>
      </c>
      <c r="AK975">
        <v>2.0785100000000001</v>
      </c>
      <c r="AL975">
        <v>1</v>
      </c>
      <c r="AM975">
        <v>0</v>
      </c>
      <c r="AN975">
        <v>3852</v>
      </c>
      <c r="AO975">
        <v>50</v>
      </c>
      <c r="AP975">
        <v>0</v>
      </c>
      <c r="AQ975">
        <v>0</v>
      </c>
    </row>
    <row r="976" spans="1:43" x14ac:dyDescent="0.25">
      <c r="A976">
        <v>973</v>
      </c>
      <c r="B976">
        <v>18</v>
      </c>
      <c r="C976">
        <v>18</v>
      </c>
      <c r="D976">
        <v>4</v>
      </c>
      <c r="E976">
        <v>1560</v>
      </c>
      <c r="F976">
        <v>2649</v>
      </c>
      <c r="G976">
        <v>2654</v>
      </c>
      <c r="H976">
        <v>1757</v>
      </c>
      <c r="I976">
        <v>205</v>
      </c>
      <c r="J976">
        <v>1347</v>
      </c>
      <c r="K976">
        <v>418</v>
      </c>
      <c r="L976">
        <v>412</v>
      </c>
      <c r="M976">
        <v>354</v>
      </c>
      <c r="N976">
        <v>367</v>
      </c>
      <c r="O976">
        <v>91</v>
      </c>
      <c r="P976">
        <v>50</v>
      </c>
      <c r="Q976">
        <v>32.001737319999997</v>
      </c>
      <c r="R976">
        <v>0.16435185199999999</v>
      </c>
      <c r="S976">
        <v>7776</v>
      </c>
      <c r="T976">
        <v>86</v>
      </c>
      <c r="U976">
        <v>247</v>
      </c>
      <c r="V976">
        <v>1196</v>
      </c>
      <c r="W976">
        <v>640</v>
      </c>
      <c r="X976">
        <v>364</v>
      </c>
      <c r="Y976">
        <v>42</v>
      </c>
      <c r="Z976">
        <v>157</v>
      </c>
      <c r="AA976">
        <v>7446</v>
      </c>
      <c r="AB976">
        <v>1</v>
      </c>
      <c r="AC976">
        <v>55</v>
      </c>
      <c r="AD976">
        <v>75</v>
      </c>
      <c r="AE976">
        <v>0</v>
      </c>
      <c r="AF976">
        <v>45.776529199999999</v>
      </c>
      <c r="AG976">
        <v>3</v>
      </c>
      <c r="AH976">
        <v>0</v>
      </c>
      <c r="AI976">
        <v>0</v>
      </c>
      <c r="AJ976">
        <v>0</v>
      </c>
      <c r="AK976">
        <v>3.7545999999999999</v>
      </c>
      <c r="AL976">
        <v>1</v>
      </c>
      <c r="AM976">
        <v>0</v>
      </c>
      <c r="AN976">
        <v>1560</v>
      </c>
      <c r="AO976">
        <v>5</v>
      </c>
      <c r="AP976">
        <v>0</v>
      </c>
      <c r="AQ976">
        <v>0</v>
      </c>
    </row>
    <row r="977" spans="1:43" x14ac:dyDescent="0.25">
      <c r="A977">
        <v>974</v>
      </c>
      <c r="B977">
        <v>18</v>
      </c>
      <c r="C977">
        <v>18</v>
      </c>
      <c r="D977">
        <v>4</v>
      </c>
      <c r="E977">
        <v>3164</v>
      </c>
      <c r="F977">
        <v>5133</v>
      </c>
      <c r="G977">
        <v>5145</v>
      </c>
      <c r="H977">
        <v>3388</v>
      </c>
      <c r="I977">
        <v>704</v>
      </c>
      <c r="J977">
        <v>2541</v>
      </c>
      <c r="K977">
        <v>827</v>
      </c>
      <c r="L977">
        <v>667</v>
      </c>
      <c r="M977">
        <v>704</v>
      </c>
      <c r="N977">
        <v>957</v>
      </c>
      <c r="O977">
        <v>198</v>
      </c>
      <c r="P977">
        <v>151</v>
      </c>
      <c r="Q977">
        <v>48.481221470000001</v>
      </c>
      <c r="R977">
        <v>0.25279225599999999</v>
      </c>
      <c r="S977">
        <v>2474</v>
      </c>
      <c r="T977">
        <v>316</v>
      </c>
      <c r="U977">
        <v>259</v>
      </c>
      <c r="V977">
        <v>2332</v>
      </c>
      <c r="W977">
        <v>1062</v>
      </c>
      <c r="X977">
        <v>1231</v>
      </c>
      <c r="Y977">
        <v>384</v>
      </c>
      <c r="Z977">
        <v>358</v>
      </c>
      <c r="AA977">
        <v>1453</v>
      </c>
      <c r="AB977">
        <v>4</v>
      </c>
      <c r="AC977">
        <v>122</v>
      </c>
      <c r="AD977">
        <v>153</v>
      </c>
      <c r="AE977">
        <v>0</v>
      </c>
      <c r="AF977">
        <v>41.255390509999998</v>
      </c>
      <c r="AG977">
        <v>3</v>
      </c>
      <c r="AH977">
        <v>0</v>
      </c>
      <c r="AI977">
        <v>0</v>
      </c>
      <c r="AJ977">
        <v>0</v>
      </c>
      <c r="AK977">
        <v>2.09958</v>
      </c>
      <c r="AL977">
        <v>1</v>
      </c>
      <c r="AM977">
        <v>0</v>
      </c>
      <c r="AN977">
        <v>3164</v>
      </c>
      <c r="AO977">
        <v>12</v>
      </c>
      <c r="AP977">
        <v>0</v>
      </c>
      <c r="AQ977">
        <v>0</v>
      </c>
    </row>
    <row r="978" spans="1:43" x14ac:dyDescent="0.25">
      <c r="A978">
        <v>975</v>
      </c>
      <c r="B978">
        <v>18</v>
      </c>
      <c r="C978">
        <v>18</v>
      </c>
      <c r="D978">
        <v>4</v>
      </c>
      <c r="E978">
        <v>1358</v>
      </c>
      <c r="F978">
        <v>2744</v>
      </c>
      <c r="G978">
        <v>2811</v>
      </c>
      <c r="H978">
        <v>1861</v>
      </c>
      <c r="I978">
        <v>660</v>
      </c>
      <c r="J978">
        <v>651</v>
      </c>
      <c r="K978">
        <v>278</v>
      </c>
      <c r="L978">
        <v>326</v>
      </c>
      <c r="M978">
        <v>224</v>
      </c>
      <c r="N978">
        <v>524</v>
      </c>
      <c r="O978">
        <v>163</v>
      </c>
      <c r="P978">
        <v>119.9040054</v>
      </c>
      <c r="Q978">
        <v>30.771129940000002</v>
      </c>
      <c r="R978">
        <v>0.121023766</v>
      </c>
      <c r="S978">
        <v>807</v>
      </c>
      <c r="T978">
        <v>106</v>
      </c>
      <c r="U978">
        <v>215</v>
      </c>
      <c r="V978">
        <v>1441</v>
      </c>
      <c r="W978">
        <v>613</v>
      </c>
      <c r="X978">
        <v>270</v>
      </c>
      <c r="Y978">
        <v>76</v>
      </c>
      <c r="Z978">
        <v>110</v>
      </c>
      <c r="AA978">
        <v>538</v>
      </c>
      <c r="AB978">
        <v>1</v>
      </c>
      <c r="AC978">
        <v>26</v>
      </c>
      <c r="AD978">
        <v>56</v>
      </c>
      <c r="AE978">
        <v>0</v>
      </c>
      <c r="AF978">
        <v>15.258843069999999</v>
      </c>
      <c r="AG978">
        <v>3</v>
      </c>
      <c r="AH978">
        <v>2082</v>
      </c>
      <c r="AI978">
        <v>0</v>
      </c>
      <c r="AJ978">
        <v>0</v>
      </c>
      <c r="AK978">
        <v>1.41117</v>
      </c>
      <c r="AL978">
        <v>3</v>
      </c>
      <c r="AM978">
        <v>0</v>
      </c>
      <c r="AN978">
        <v>1358</v>
      </c>
      <c r="AO978">
        <v>67</v>
      </c>
      <c r="AP978">
        <v>0</v>
      </c>
      <c r="AQ978">
        <v>0</v>
      </c>
    </row>
    <row r="979" spans="1:43" x14ac:dyDescent="0.25">
      <c r="A979">
        <v>976</v>
      </c>
      <c r="B979">
        <v>18</v>
      </c>
      <c r="C979">
        <v>18</v>
      </c>
      <c r="D979">
        <v>4</v>
      </c>
      <c r="E979">
        <v>2698</v>
      </c>
      <c r="F979">
        <v>5136</v>
      </c>
      <c r="G979">
        <v>5211</v>
      </c>
      <c r="H979">
        <v>3440</v>
      </c>
      <c r="I979">
        <v>645</v>
      </c>
      <c r="J979">
        <v>1977</v>
      </c>
      <c r="K979">
        <v>641</v>
      </c>
      <c r="L979">
        <v>927</v>
      </c>
      <c r="M979">
        <v>531</v>
      </c>
      <c r="N979">
        <v>617</v>
      </c>
      <c r="O979">
        <v>218</v>
      </c>
      <c r="P979">
        <v>58.063460149999997</v>
      </c>
      <c r="Q979">
        <v>67.437242760000004</v>
      </c>
      <c r="R979">
        <v>8.2299269999999994E-2</v>
      </c>
      <c r="S979">
        <v>1949</v>
      </c>
      <c r="T979">
        <v>221</v>
      </c>
      <c r="U979">
        <v>612</v>
      </c>
      <c r="V979">
        <v>2913</v>
      </c>
      <c r="W979">
        <v>1142</v>
      </c>
      <c r="X979">
        <v>412</v>
      </c>
      <c r="Y979">
        <v>261</v>
      </c>
      <c r="Z979">
        <v>352</v>
      </c>
      <c r="AA979">
        <v>970</v>
      </c>
      <c r="AB979">
        <v>3</v>
      </c>
      <c r="AC979">
        <v>141</v>
      </c>
      <c r="AD979">
        <v>222</v>
      </c>
      <c r="AE979">
        <v>0</v>
      </c>
      <c r="AF979">
        <v>40.125105840000003</v>
      </c>
      <c r="AG979">
        <v>3</v>
      </c>
      <c r="AH979">
        <v>0</v>
      </c>
      <c r="AI979">
        <v>597</v>
      </c>
      <c r="AJ979">
        <v>0</v>
      </c>
      <c r="AK979">
        <v>2.2334399999999999</v>
      </c>
      <c r="AL979">
        <v>3</v>
      </c>
      <c r="AM979">
        <v>0</v>
      </c>
      <c r="AN979">
        <v>2698</v>
      </c>
      <c r="AO979">
        <v>75</v>
      </c>
      <c r="AP979">
        <v>0</v>
      </c>
      <c r="AQ979">
        <v>0</v>
      </c>
    </row>
    <row r="980" spans="1:43" x14ac:dyDescent="0.25">
      <c r="A980">
        <v>977</v>
      </c>
      <c r="B980">
        <v>18</v>
      </c>
      <c r="C980">
        <v>18</v>
      </c>
      <c r="D980">
        <v>4</v>
      </c>
      <c r="E980">
        <v>2791</v>
      </c>
      <c r="F980">
        <v>6287</v>
      </c>
      <c r="G980">
        <v>6374</v>
      </c>
      <c r="H980">
        <v>4278</v>
      </c>
      <c r="I980">
        <v>1456</v>
      </c>
      <c r="J980">
        <v>1590</v>
      </c>
      <c r="K980">
        <v>616</v>
      </c>
      <c r="L980">
        <v>467</v>
      </c>
      <c r="M980">
        <v>661</v>
      </c>
      <c r="N980">
        <v>1085</v>
      </c>
      <c r="O980">
        <v>268</v>
      </c>
      <c r="P980">
        <v>183.66724529999999</v>
      </c>
      <c r="Q980">
        <v>71</v>
      </c>
      <c r="R980">
        <v>9.9590916000000002E-2</v>
      </c>
      <c r="S980">
        <v>3009</v>
      </c>
      <c r="T980">
        <v>422</v>
      </c>
      <c r="U980">
        <v>770</v>
      </c>
      <c r="V980">
        <v>3621</v>
      </c>
      <c r="W980">
        <v>1526</v>
      </c>
      <c r="X980">
        <v>511</v>
      </c>
      <c r="Y980">
        <v>47</v>
      </c>
      <c r="Z980">
        <v>223</v>
      </c>
      <c r="AA980">
        <v>2432</v>
      </c>
      <c r="AB980">
        <v>1</v>
      </c>
      <c r="AC980">
        <v>83</v>
      </c>
      <c r="AD980">
        <v>223</v>
      </c>
      <c r="AE980">
        <v>0</v>
      </c>
      <c r="AF980">
        <v>0</v>
      </c>
      <c r="AG980">
        <v>3</v>
      </c>
      <c r="AH980">
        <v>251</v>
      </c>
      <c r="AI980">
        <v>0</v>
      </c>
      <c r="AJ980">
        <v>0</v>
      </c>
      <c r="AK980">
        <v>2.0710199999999999</v>
      </c>
      <c r="AL980">
        <v>3</v>
      </c>
      <c r="AM980">
        <v>0</v>
      </c>
      <c r="AN980">
        <v>2791</v>
      </c>
      <c r="AO980">
        <v>87</v>
      </c>
      <c r="AP980">
        <v>0</v>
      </c>
      <c r="AQ980">
        <v>0</v>
      </c>
    </row>
    <row r="981" spans="1:43" x14ac:dyDescent="0.25">
      <c r="A981">
        <v>978</v>
      </c>
      <c r="B981">
        <v>18</v>
      </c>
      <c r="C981">
        <v>18</v>
      </c>
      <c r="D981">
        <v>4</v>
      </c>
      <c r="E981">
        <v>1750</v>
      </c>
      <c r="F981">
        <v>4666</v>
      </c>
      <c r="G981">
        <v>4965</v>
      </c>
      <c r="H981">
        <v>2781</v>
      </c>
      <c r="I981">
        <v>602</v>
      </c>
      <c r="J981">
        <v>1239</v>
      </c>
      <c r="K981">
        <v>529</v>
      </c>
      <c r="L981">
        <v>552</v>
      </c>
      <c r="M981">
        <v>368</v>
      </c>
      <c r="N981">
        <v>311</v>
      </c>
      <c r="O981">
        <v>187</v>
      </c>
      <c r="P981">
        <v>103</v>
      </c>
      <c r="Q981">
        <v>85.337416579999996</v>
      </c>
      <c r="R981">
        <v>0.10649750099999999</v>
      </c>
      <c r="S981">
        <v>671</v>
      </c>
      <c r="T981">
        <v>283</v>
      </c>
      <c r="U981">
        <v>557</v>
      </c>
      <c r="V981">
        <v>2943</v>
      </c>
      <c r="W981">
        <v>846</v>
      </c>
      <c r="X981">
        <v>382</v>
      </c>
      <c r="Y981">
        <v>46</v>
      </c>
      <c r="Z981">
        <v>77</v>
      </c>
      <c r="AA981">
        <v>370</v>
      </c>
      <c r="AB981">
        <v>1</v>
      </c>
      <c r="AC981">
        <v>68</v>
      </c>
      <c r="AD981">
        <v>109</v>
      </c>
      <c r="AE981">
        <v>0</v>
      </c>
      <c r="AF981">
        <v>0</v>
      </c>
      <c r="AG981">
        <v>3</v>
      </c>
      <c r="AH981">
        <v>2</v>
      </c>
      <c r="AI981">
        <v>0</v>
      </c>
      <c r="AJ981">
        <v>0</v>
      </c>
      <c r="AK981">
        <v>1.4417199999999999</v>
      </c>
      <c r="AL981">
        <v>3</v>
      </c>
      <c r="AM981">
        <v>0</v>
      </c>
      <c r="AN981">
        <v>1750</v>
      </c>
      <c r="AO981">
        <v>299</v>
      </c>
      <c r="AP981">
        <v>0</v>
      </c>
      <c r="AQ981">
        <v>0</v>
      </c>
    </row>
    <row r="982" spans="1:43" x14ac:dyDescent="0.25">
      <c r="A982">
        <v>979</v>
      </c>
      <c r="B982">
        <v>18</v>
      </c>
      <c r="C982">
        <v>18</v>
      </c>
      <c r="D982">
        <v>4</v>
      </c>
      <c r="E982">
        <v>2399</v>
      </c>
      <c r="F982">
        <v>3906</v>
      </c>
      <c r="G982">
        <v>4470</v>
      </c>
      <c r="H982">
        <v>3034</v>
      </c>
      <c r="I982">
        <v>161</v>
      </c>
      <c r="J982">
        <v>2265</v>
      </c>
      <c r="K982">
        <v>691</v>
      </c>
      <c r="L982">
        <v>618</v>
      </c>
      <c r="M982">
        <v>643</v>
      </c>
      <c r="N982">
        <v>450</v>
      </c>
      <c r="O982">
        <v>207</v>
      </c>
      <c r="P982">
        <v>71.609486820000001</v>
      </c>
      <c r="Q982">
        <v>107.77509569999999</v>
      </c>
      <c r="R982">
        <v>0.14681133699999999</v>
      </c>
      <c r="S982">
        <v>5494</v>
      </c>
      <c r="T982">
        <v>146</v>
      </c>
      <c r="U982">
        <v>259</v>
      </c>
      <c r="V982">
        <v>2417</v>
      </c>
      <c r="W982">
        <v>1041</v>
      </c>
      <c r="X982">
        <v>514</v>
      </c>
      <c r="Y982">
        <v>473</v>
      </c>
      <c r="Z982">
        <v>449</v>
      </c>
      <c r="AA982">
        <v>4271</v>
      </c>
      <c r="AB982">
        <v>3</v>
      </c>
      <c r="AC982">
        <v>129</v>
      </c>
      <c r="AD982">
        <v>169</v>
      </c>
      <c r="AE982">
        <v>70.642791970000005</v>
      </c>
      <c r="AF982">
        <v>73.468503650000002</v>
      </c>
      <c r="AG982">
        <v>1</v>
      </c>
      <c r="AH982">
        <v>77</v>
      </c>
      <c r="AI982">
        <v>1785</v>
      </c>
      <c r="AJ982">
        <v>633</v>
      </c>
      <c r="AK982">
        <v>3.5088400000000002</v>
      </c>
      <c r="AL982">
        <v>2</v>
      </c>
      <c r="AM982">
        <v>0</v>
      </c>
      <c r="AN982">
        <v>2399</v>
      </c>
      <c r="AO982">
        <v>564</v>
      </c>
      <c r="AP982">
        <v>0</v>
      </c>
      <c r="AQ982">
        <v>0</v>
      </c>
    </row>
    <row r="983" spans="1:43" x14ac:dyDescent="0.25">
      <c r="A983">
        <v>980</v>
      </c>
      <c r="B983">
        <v>18</v>
      </c>
      <c r="C983">
        <v>18</v>
      </c>
      <c r="D983">
        <v>4</v>
      </c>
      <c r="E983">
        <v>528</v>
      </c>
      <c r="F983">
        <v>1298</v>
      </c>
      <c r="G983">
        <v>1302</v>
      </c>
      <c r="H983">
        <v>734</v>
      </c>
      <c r="I983">
        <v>221</v>
      </c>
      <c r="J983">
        <v>299</v>
      </c>
      <c r="K983">
        <v>143</v>
      </c>
      <c r="L983">
        <v>82</v>
      </c>
      <c r="M983">
        <v>133</v>
      </c>
      <c r="N983">
        <v>156</v>
      </c>
      <c r="O983">
        <v>91</v>
      </c>
      <c r="P983">
        <v>63.112740629999998</v>
      </c>
      <c r="Q983">
        <v>19.594592089999999</v>
      </c>
      <c r="R983">
        <v>0.138869505</v>
      </c>
      <c r="S983">
        <v>144</v>
      </c>
      <c r="T983">
        <v>33</v>
      </c>
      <c r="U983">
        <v>241</v>
      </c>
      <c r="V983">
        <v>691</v>
      </c>
      <c r="W983">
        <v>295</v>
      </c>
      <c r="X983">
        <v>132</v>
      </c>
      <c r="Y983">
        <v>24</v>
      </c>
      <c r="Z983">
        <v>24</v>
      </c>
      <c r="AA983">
        <v>81</v>
      </c>
      <c r="AB983">
        <v>0</v>
      </c>
      <c r="AC983">
        <v>4</v>
      </c>
      <c r="AD983">
        <v>11</v>
      </c>
      <c r="AE983">
        <v>0</v>
      </c>
      <c r="AF983">
        <v>0</v>
      </c>
      <c r="AG983">
        <v>3</v>
      </c>
      <c r="AH983">
        <v>0</v>
      </c>
      <c r="AI983">
        <v>0</v>
      </c>
      <c r="AJ983">
        <v>0</v>
      </c>
      <c r="AK983">
        <v>2.78565</v>
      </c>
      <c r="AL983">
        <v>3</v>
      </c>
      <c r="AM983">
        <v>0</v>
      </c>
      <c r="AN983">
        <v>528</v>
      </c>
      <c r="AO983">
        <v>4</v>
      </c>
      <c r="AP983">
        <v>0</v>
      </c>
      <c r="AQ983">
        <v>0</v>
      </c>
    </row>
    <row r="984" spans="1:43" x14ac:dyDescent="0.25">
      <c r="A984">
        <v>981</v>
      </c>
      <c r="B984">
        <v>18</v>
      </c>
      <c r="C984">
        <v>18</v>
      </c>
      <c r="D984">
        <v>4</v>
      </c>
      <c r="E984">
        <v>351</v>
      </c>
      <c r="F984">
        <v>640</v>
      </c>
      <c r="G984">
        <v>653</v>
      </c>
      <c r="H984">
        <v>311</v>
      </c>
      <c r="I984">
        <v>35</v>
      </c>
      <c r="J984">
        <v>330</v>
      </c>
      <c r="K984">
        <v>214</v>
      </c>
      <c r="L984">
        <v>70</v>
      </c>
      <c r="M984">
        <v>22</v>
      </c>
      <c r="N984">
        <v>45</v>
      </c>
      <c r="O984">
        <v>72</v>
      </c>
      <c r="P984">
        <v>30</v>
      </c>
      <c r="Q984">
        <v>8</v>
      </c>
      <c r="R984">
        <v>0.28789986099999998</v>
      </c>
      <c r="S984">
        <v>271</v>
      </c>
      <c r="T984">
        <v>13</v>
      </c>
      <c r="U984">
        <v>119</v>
      </c>
      <c r="V984">
        <v>227</v>
      </c>
      <c r="W984">
        <v>153</v>
      </c>
      <c r="X984">
        <v>187</v>
      </c>
      <c r="Y984">
        <v>8</v>
      </c>
      <c r="Z984">
        <v>13</v>
      </c>
      <c r="AA984">
        <v>240</v>
      </c>
      <c r="AB984">
        <v>0</v>
      </c>
      <c r="AC984">
        <v>4</v>
      </c>
      <c r="AD984">
        <v>6</v>
      </c>
      <c r="AE984">
        <v>0</v>
      </c>
      <c r="AF984">
        <v>9.0422773729999992</v>
      </c>
      <c r="AG984">
        <v>1</v>
      </c>
      <c r="AH984">
        <v>0</v>
      </c>
      <c r="AI984">
        <v>1550</v>
      </c>
      <c r="AJ984">
        <v>218</v>
      </c>
      <c r="AK984">
        <v>4.0160200000000001</v>
      </c>
      <c r="AL984">
        <v>3</v>
      </c>
      <c r="AM984">
        <v>0</v>
      </c>
      <c r="AN984">
        <v>351</v>
      </c>
      <c r="AO984">
        <v>13</v>
      </c>
      <c r="AP984">
        <v>0</v>
      </c>
      <c r="AQ984">
        <v>0</v>
      </c>
    </row>
    <row r="985" spans="1:43" x14ac:dyDescent="0.25">
      <c r="A985">
        <v>982</v>
      </c>
      <c r="B985">
        <v>18</v>
      </c>
      <c r="C985">
        <v>18</v>
      </c>
      <c r="D985">
        <v>4</v>
      </c>
      <c r="E985">
        <v>800</v>
      </c>
      <c r="F985">
        <v>1908</v>
      </c>
      <c r="G985">
        <v>1912</v>
      </c>
      <c r="H985">
        <v>731</v>
      </c>
      <c r="I985">
        <v>174</v>
      </c>
      <c r="J985">
        <v>642</v>
      </c>
      <c r="K985">
        <v>460</v>
      </c>
      <c r="L985">
        <v>214</v>
      </c>
      <c r="M985">
        <v>95</v>
      </c>
      <c r="N985">
        <v>37</v>
      </c>
      <c r="O985">
        <v>91</v>
      </c>
      <c r="P985">
        <v>57</v>
      </c>
      <c r="Q985">
        <v>13.16793624</v>
      </c>
      <c r="R985">
        <v>0.141791045</v>
      </c>
      <c r="S985">
        <v>471</v>
      </c>
      <c r="T985">
        <v>62</v>
      </c>
      <c r="U985">
        <v>459</v>
      </c>
      <c r="V985">
        <v>771</v>
      </c>
      <c r="W985">
        <v>447</v>
      </c>
      <c r="X985">
        <v>203</v>
      </c>
      <c r="Y985">
        <v>1</v>
      </c>
      <c r="Z985">
        <v>121</v>
      </c>
      <c r="AA985">
        <v>316</v>
      </c>
      <c r="AB985">
        <v>0</v>
      </c>
      <c r="AC985">
        <v>10</v>
      </c>
      <c r="AD985">
        <v>23</v>
      </c>
      <c r="AE985">
        <v>0</v>
      </c>
      <c r="AF985">
        <v>0</v>
      </c>
      <c r="AG985">
        <v>2</v>
      </c>
      <c r="AH985">
        <v>58</v>
      </c>
      <c r="AI985">
        <v>0</v>
      </c>
      <c r="AJ985">
        <v>0</v>
      </c>
      <c r="AK985">
        <v>1.5793600000000001</v>
      </c>
      <c r="AL985">
        <v>3</v>
      </c>
      <c r="AM985">
        <v>0</v>
      </c>
      <c r="AN985">
        <v>800</v>
      </c>
      <c r="AO985">
        <v>4</v>
      </c>
      <c r="AP985">
        <v>0</v>
      </c>
      <c r="AQ985">
        <v>0</v>
      </c>
    </row>
    <row r="986" spans="1:43" x14ac:dyDescent="0.25">
      <c r="A986">
        <v>983</v>
      </c>
      <c r="B986">
        <v>18</v>
      </c>
      <c r="C986">
        <v>18</v>
      </c>
      <c r="D986">
        <v>4</v>
      </c>
      <c r="E986">
        <v>1294</v>
      </c>
      <c r="F986">
        <v>2460</v>
      </c>
      <c r="G986">
        <v>2479</v>
      </c>
      <c r="H986">
        <v>1099</v>
      </c>
      <c r="I986">
        <v>364</v>
      </c>
      <c r="J986">
        <v>905</v>
      </c>
      <c r="K986">
        <v>888</v>
      </c>
      <c r="L986">
        <v>149</v>
      </c>
      <c r="M986">
        <v>131</v>
      </c>
      <c r="N986">
        <v>115</v>
      </c>
      <c r="O986">
        <v>80</v>
      </c>
      <c r="P986">
        <v>60.515760350000001</v>
      </c>
      <c r="Q986">
        <v>9.1010053339999999</v>
      </c>
      <c r="R986">
        <v>0.219977125</v>
      </c>
      <c r="S986">
        <v>282</v>
      </c>
      <c r="T986">
        <v>140</v>
      </c>
      <c r="U986">
        <v>388</v>
      </c>
      <c r="V986">
        <v>868</v>
      </c>
      <c r="W986">
        <v>686</v>
      </c>
      <c r="X986">
        <v>459</v>
      </c>
      <c r="Y986">
        <v>13</v>
      </c>
      <c r="Z986">
        <v>22</v>
      </c>
      <c r="AA986">
        <v>220</v>
      </c>
      <c r="AB986">
        <v>0</v>
      </c>
      <c r="AC986">
        <v>6</v>
      </c>
      <c r="AD986">
        <v>21</v>
      </c>
      <c r="AE986">
        <v>0</v>
      </c>
      <c r="AF986">
        <v>0</v>
      </c>
      <c r="AG986">
        <v>2</v>
      </c>
      <c r="AH986">
        <v>0</v>
      </c>
      <c r="AI986">
        <v>0</v>
      </c>
      <c r="AJ986">
        <v>0</v>
      </c>
      <c r="AK986">
        <v>1.7035899999999999</v>
      </c>
      <c r="AL986">
        <v>3</v>
      </c>
      <c r="AM986">
        <v>0</v>
      </c>
      <c r="AN986">
        <v>1294</v>
      </c>
      <c r="AO986">
        <v>19</v>
      </c>
      <c r="AP986">
        <v>0</v>
      </c>
      <c r="AQ986">
        <v>0</v>
      </c>
    </row>
    <row r="987" spans="1:43" x14ac:dyDescent="0.25">
      <c r="A987">
        <v>984</v>
      </c>
      <c r="B987">
        <v>18</v>
      </c>
      <c r="C987">
        <v>18</v>
      </c>
      <c r="D987">
        <v>4</v>
      </c>
      <c r="E987">
        <v>175</v>
      </c>
      <c r="F987">
        <v>425</v>
      </c>
      <c r="G987">
        <v>449</v>
      </c>
      <c r="H987">
        <v>218</v>
      </c>
      <c r="I987">
        <v>52</v>
      </c>
      <c r="J987">
        <v>117</v>
      </c>
      <c r="K987">
        <v>113</v>
      </c>
      <c r="L987">
        <v>31</v>
      </c>
      <c r="M987">
        <v>10</v>
      </c>
      <c r="N987">
        <v>23</v>
      </c>
      <c r="O987">
        <v>104</v>
      </c>
      <c r="P987">
        <v>30</v>
      </c>
      <c r="Q987">
        <v>51</v>
      </c>
      <c r="R987">
        <v>0.13541666699999999</v>
      </c>
      <c r="S987">
        <v>586</v>
      </c>
      <c r="T987">
        <v>44</v>
      </c>
      <c r="U987">
        <v>106</v>
      </c>
      <c r="V987">
        <v>188</v>
      </c>
      <c r="W987">
        <v>79</v>
      </c>
      <c r="X987">
        <v>53</v>
      </c>
      <c r="Y987">
        <v>5</v>
      </c>
      <c r="Z987">
        <v>51</v>
      </c>
      <c r="AA987">
        <v>256</v>
      </c>
      <c r="AB987">
        <v>0</v>
      </c>
      <c r="AC987">
        <v>196</v>
      </c>
      <c r="AD987">
        <v>78</v>
      </c>
      <c r="AE987">
        <v>0</v>
      </c>
      <c r="AF987">
        <v>0</v>
      </c>
      <c r="AG987">
        <v>2</v>
      </c>
      <c r="AH987">
        <v>0</v>
      </c>
      <c r="AI987">
        <v>0</v>
      </c>
      <c r="AJ987">
        <v>0</v>
      </c>
      <c r="AK987">
        <v>1.3286</v>
      </c>
      <c r="AL987">
        <v>3</v>
      </c>
      <c r="AM987">
        <v>0</v>
      </c>
      <c r="AN987">
        <v>175</v>
      </c>
      <c r="AO987">
        <v>24</v>
      </c>
      <c r="AP987">
        <v>0</v>
      </c>
      <c r="AQ987">
        <v>0</v>
      </c>
    </row>
    <row r="988" spans="1:43" x14ac:dyDescent="0.25">
      <c r="A988">
        <v>985</v>
      </c>
      <c r="B988">
        <v>18</v>
      </c>
      <c r="C988">
        <v>18</v>
      </c>
      <c r="D988">
        <v>4</v>
      </c>
      <c r="E988">
        <v>864</v>
      </c>
      <c r="F988">
        <v>2289</v>
      </c>
      <c r="G988">
        <v>2366</v>
      </c>
      <c r="H988">
        <v>923</v>
      </c>
      <c r="I988">
        <v>275</v>
      </c>
      <c r="J988">
        <v>558</v>
      </c>
      <c r="K988">
        <v>492</v>
      </c>
      <c r="L988">
        <v>161</v>
      </c>
      <c r="M988">
        <v>75</v>
      </c>
      <c r="N988">
        <v>137</v>
      </c>
      <c r="O988">
        <v>68</v>
      </c>
      <c r="P988">
        <v>47.647885279999997</v>
      </c>
      <c r="Q988">
        <v>17</v>
      </c>
      <c r="R988">
        <v>0.118415994</v>
      </c>
      <c r="S988">
        <v>358</v>
      </c>
      <c r="T988">
        <v>206</v>
      </c>
      <c r="U988">
        <v>538</v>
      </c>
      <c r="V988">
        <v>1095</v>
      </c>
      <c r="W988">
        <v>417</v>
      </c>
      <c r="X988">
        <v>254</v>
      </c>
      <c r="Y988">
        <v>20</v>
      </c>
      <c r="Z988">
        <v>7</v>
      </c>
      <c r="AA988">
        <v>229</v>
      </c>
      <c r="AB988">
        <v>0</v>
      </c>
      <c r="AC988">
        <v>96</v>
      </c>
      <c r="AD988">
        <v>6</v>
      </c>
      <c r="AE988">
        <v>0</v>
      </c>
      <c r="AF988">
        <v>0</v>
      </c>
      <c r="AG988">
        <v>2</v>
      </c>
      <c r="AH988">
        <v>0</v>
      </c>
      <c r="AI988">
        <v>0</v>
      </c>
      <c r="AJ988">
        <v>0</v>
      </c>
      <c r="AK988">
        <v>1.5829200000000001</v>
      </c>
      <c r="AL988">
        <v>3</v>
      </c>
      <c r="AM988">
        <v>0</v>
      </c>
      <c r="AN988">
        <v>864</v>
      </c>
      <c r="AO988">
        <v>77</v>
      </c>
      <c r="AP988">
        <v>0</v>
      </c>
      <c r="AQ988">
        <v>0</v>
      </c>
    </row>
    <row r="989" spans="1:43" x14ac:dyDescent="0.25">
      <c r="A989">
        <v>986</v>
      </c>
      <c r="B989">
        <v>18</v>
      </c>
      <c r="C989">
        <v>18</v>
      </c>
      <c r="D989">
        <v>4</v>
      </c>
      <c r="E989">
        <v>725</v>
      </c>
      <c r="F989">
        <v>1546</v>
      </c>
      <c r="G989">
        <v>1711</v>
      </c>
      <c r="H989">
        <v>889</v>
      </c>
      <c r="I989">
        <v>292</v>
      </c>
      <c r="J989">
        <v>483</v>
      </c>
      <c r="K989">
        <v>202</v>
      </c>
      <c r="L989">
        <v>214</v>
      </c>
      <c r="M989">
        <v>168</v>
      </c>
      <c r="N989">
        <v>135</v>
      </c>
      <c r="O989">
        <v>68</v>
      </c>
      <c r="P989">
        <v>41.886439940000002</v>
      </c>
      <c r="Q989">
        <v>27.000455280000001</v>
      </c>
      <c r="R989">
        <v>8.9234311999999996E-2</v>
      </c>
      <c r="S989">
        <v>293</v>
      </c>
      <c r="T989">
        <v>23</v>
      </c>
      <c r="U989">
        <v>264</v>
      </c>
      <c r="V989">
        <v>1004</v>
      </c>
      <c r="W989">
        <v>267</v>
      </c>
      <c r="X989">
        <v>128</v>
      </c>
      <c r="Y989">
        <v>23</v>
      </c>
      <c r="Z989">
        <v>47</v>
      </c>
      <c r="AA989">
        <v>156</v>
      </c>
      <c r="AB989">
        <v>1</v>
      </c>
      <c r="AC989">
        <v>47</v>
      </c>
      <c r="AD989">
        <v>19</v>
      </c>
      <c r="AE989">
        <v>68.382222630000001</v>
      </c>
      <c r="AF989">
        <v>0</v>
      </c>
      <c r="AG989">
        <v>3</v>
      </c>
      <c r="AH989">
        <v>0</v>
      </c>
      <c r="AI989">
        <v>0</v>
      </c>
      <c r="AJ989">
        <v>0</v>
      </c>
      <c r="AK989">
        <v>1.7118899999999999</v>
      </c>
      <c r="AL989">
        <v>3</v>
      </c>
      <c r="AM989">
        <v>0</v>
      </c>
      <c r="AN989">
        <v>725</v>
      </c>
      <c r="AO989">
        <v>165</v>
      </c>
      <c r="AP989">
        <v>0</v>
      </c>
      <c r="AQ989">
        <v>0</v>
      </c>
    </row>
    <row r="990" spans="1:43" x14ac:dyDescent="0.25">
      <c r="A990">
        <v>987</v>
      </c>
      <c r="B990">
        <v>18</v>
      </c>
      <c r="C990">
        <v>18</v>
      </c>
      <c r="D990">
        <v>4</v>
      </c>
      <c r="E990">
        <v>716</v>
      </c>
      <c r="F990">
        <v>1578</v>
      </c>
      <c r="G990">
        <v>1585</v>
      </c>
      <c r="H990">
        <v>917</v>
      </c>
      <c r="I990">
        <v>307</v>
      </c>
      <c r="J990">
        <v>502</v>
      </c>
      <c r="K990">
        <v>217</v>
      </c>
      <c r="L990">
        <v>257</v>
      </c>
      <c r="M990">
        <v>94</v>
      </c>
      <c r="N990">
        <v>146</v>
      </c>
      <c r="O990">
        <v>75</v>
      </c>
      <c r="P990">
        <v>49.055885920000001</v>
      </c>
      <c r="Q990">
        <v>27.109576069999999</v>
      </c>
      <c r="R990">
        <v>9.8888239000000003E-2</v>
      </c>
      <c r="S990">
        <v>230</v>
      </c>
      <c r="T990">
        <v>142</v>
      </c>
      <c r="U990">
        <v>205</v>
      </c>
      <c r="V990">
        <v>876</v>
      </c>
      <c r="W990">
        <v>308</v>
      </c>
      <c r="X990">
        <v>123</v>
      </c>
      <c r="Y990">
        <v>5</v>
      </c>
      <c r="Z990">
        <v>56</v>
      </c>
      <c r="AA990">
        <v>143</v>
      </c>
      <c r="AB990">
        <v>0</v>
      </c>
      <c r="AC990">
        <v>15</v>
      </c>
      <c r="AD990">
        <v>11</v>
      </c>
      <c r="AE990">
        <v>0</v>
      </c>
      <c r="AF990">
        <v>0</v>
      </c>
      <c r="AG990">
        <v>3</v>
      </c>
      <c r="AH990">
        <v>0</v>
      </c>
      <c r="AI990">
        <v>0</v>
      </c>
      <c r="AJ990">
        <v>0</v>
      </c>
      <c r="AK990">
        <v>1.4609700000000001</v>
      </c>
      <c r="AL990">
        <v>3</v>
      </c>
      <c r="AM990">
        <v>0</v>
      </c>
      <c r="AN990">
        <v>716</v>
      </c>
      <c r="AO990">
        <v>7</v>
      </c>
      <c r="AP990">
        <v>0</v>
      </c>
      <c r="AQ990">
        <v>0</v>
      </c>
    </row>
    <row r="991" spans="1:43" x14ac:dyDescent="0.25">
      <c r="A991">
        <v>988</v>
      </c>
      <c r="B991">
        <v>18</v>
      </c>
      <c r="C991">
        <v>18</v>
      </c>
      <c r="D991">
        <v>4</v>
      </c>
      <c r="E991">
        <v>1449</v>
      </c>
      <c r="F991">
        <v>2910</v>
      </c>
      <c r="G991">
        <v>3723</v>
      </c>
      <c r="H991">
        <v>2231</v>
      </c>
      <c r="I991">
        <v>738</v>
      </c>
      <c r="J991">
        <v>882</v>
      </c>
      <c r="K991">
        <v>172</v>
      </c>
      <c r="L991">
        <v>262</v>
      </c>
      <c r="M991">
        <v>501</v>
      </c>
      <c r="N991">
        <v>505</v>
      </c>
      <c r="O991">
        <v>1307</v>
      </c>
      <c r="P991">
        <v>81.563430370000006</v>
      </c>
      <c r="Q991">
        <v>876</v>
      </c>
      <c r="R991">
        <v>5.9586291999999999E-2</v>
      </c>
      <c r="S991">
        <v>4082</v>
      </c>
      <c r="T991">
        <v>86</v>
      </c>
      <c r="U991">
        <v>374</v>
      </c>
      <c r="V991">
        <v>1760</v>
      </c>
      <c r="W991">
        <v>789</v>
      </c>
      <c r="X991">
        <v>122</v>
      </c>
      <c r="Y991">
        <v>1047</v>
      </c>
      <c r="Z991">
        <v>450</v>
      </c>
      <c r="AA991">
        <v>355</v>
      </c>
      <c r="AB991">
        <v>4</v>
      </c>
      <c r="AC991">
        <v>1690</v>
      </c>
      <c r="AD991">
        <v>536</v>
      </c>
      <c r="AE991">
        <v>0</v>
      </c>
      <c r="AF991">
        <v>0</v>
      </c>
      <c r="AG991">
        <v>4</v>
      </c>
      <c r="AH991">
        <v>0</v>
      </c>
      <c r="AI991">
        <v>0</v>
      </c>
      <c r="AJ991">
        <v>0</v>
      </c>
      <c r="AK991">
        <v>1.1153</v>
      </c>
      <c r="AL991">
        <v>3</v>
      </c>
      <c r="AM991">
        <v>0</v>
      </c>
      <c r="AN991">
        <v>1449</v>
      </c>
      <c r="AO991">
        <v>813</v>
      </c>
      <c r="AP991">
        <v>0</v>
      </c>
      <c r="AQ991">
        <v>0</v>
      </c>
    </row>
    <row r="992" spans="1:43" x14ac:dyDescent="0.25">
      <c r="A992">
        <v>989</v>
      </c>
      <c r="B992">
        <v>18</v>
      </c>
      <c r="C992">
        <v>18</v>
      </c>
      <c r="D992">
        <v>4</v>
      </c>
      <c r="E992">
        <v>968</v>
      </c>
      <c r="F992">
        <v>2314</v>
      </c>
      <c r="G992">
        <v>2499</v>
      </c>
      <c r="H992">
        <v>1310</v>
      </c>
      <c r="I992">
        <v>381</v>
      </c>
      <c r="J992">
        <v>613</v>
      </c>
      <c r="K992">
        <v>304</v>
      </c>
      <c r="L992">
        <v>219</v>
      </c>
      <c r="M992">
        <v>137</v>
      </c>
      <c r="N992">
        <v>299</v>
      </c>
      <c r="O992">
        <v>157</v>
      </c>
      <c r="P992">
        <v>19.277862630000001</v>
      </c>
      <c r="Q992">
        <v>139.4742095</v>
      </c>
      <c r="R992">
        <v>7.0578580000000002E-2</v>
      </c>
      <c r="S992">
        <v>1199</v>
      </c>
      <c r="T992">
        <v>81</v>
      </c>
      <c r="U992">
        <v>412</v>
      </c>
      <c r="V992">
        <v>1256</v>
      </c>
      <c r="W992">
        <v>497</v>
      </c>
      <c r="X992">
        <v>121</v>
      </c>
      <c r="Y992">
        <v>38</v>
      </c>
      <c r="Z992">
        <v>133</v>
      </c>
      <c r="AA992">
        <v>319</v>
      </c>
      <c r="AB992">
        <v>2</v>
      </c>
      <c r="AC992">
        <v>417</v>
      </c>
      <c r="AD992">
        <v>290</v>
      </c>
      <c r="AE992">
        <v>0</v>
      </c>
      <c r="AF992">
        <v>0</v>
      </c>
      <c r="AG992">
        <v>3</v>
      </c>
      <c r="AH992">
        <v>273</v>
      </c>
      <c r="AI992">
        <v>0</v>
      </c>
      <c r="AJ992">
        <v>0</v>
      </c>
      <c r="AK992">
        <v>1.42659</v>
      </c>
      <c r="AL992">
        <v>3</v>
      </c>
      <c r="AM992">
        <v>0</v>
      </c>
      <c r="AN992">
        <v>968</v>
      </c>
      <c r="AO992">
        <v>185</v>
      </c>
      <c r="AP992">
        <v>0</v>
      </c>
      <c r="AQ992">
        <v>0</v>
      </c>
    </row>
    <row r="993" spans="1:43" x14ac:dyDescent="0.25">
      <c r="A993">
        <v>990</v>
      </c>
      <c r="B993">
        <v>18</v>
      </c>
      <c r="C993">
        <v>18</v>
      </c>
      <c r="D993">
        <v>4</v>
      </c>
      <c r="E993">
        <v>1254</v>
      </c>
      <c r="F993">
        <v>2639</v>
      </c>
      <c r="G993">
        <v>2686</v>
      </c>
      <c r="H993">
        <v>1586</v>
      </c>
      <c r="I993">
        <v>536</v>
      </c>
      <c r="J993">
        <v>751</v>
      </c>
      <c r="K993">
        <v>538</v>
      </c>
      <c r="L993">
        <v>246</v>
      </c>
      <c r="M993">
        <v>244</v>
      </c>
      <c r="N993">
        <v>218</v>
      </c>
      <c r="O993">
        <v>115</v>
      </c>
      <c r="P993">
        <v>57.058316619999999</v>
      </c>
      <c r="Q993">
        <v>54.922550299999997</v>
      </c>
      <c r="R993">
        <v>9.4643443999999993E-2</v>
      </c>
      <c r="S993">
        <v>687</v>
      </c>
      <c r="T993">
        <v>127</v>
      </c>
      <c r="U993">
        <v>345</v>
      </c>
      <c r="V993">
        <v>1491</v>
      </c>
      <c r="W993">
        <v>816</v>
      </c>
      <c r="X993">
        <v>170</v>
      </c>
      <c r="Y993">
        <v>28</v>
      </c>
      <c r="Z993">
        <v>89</v>
      </c>
      <c r="AA993">
        <v>210</v>
      </c>
      <c r="AB993">
        <v>1</v>
      </c>
      <c r="AC993">
        <v>254</v>
      </c>
      <c r="AD993">
        <v>105</v>
      </c>
      <c r="AE993">
        <v>0</v>
      </c>
      <c r="AF993">
        <v>0</v>
      </c>
      <c r="AG993">
        <v>3</v>
      </c>
      <c r="AH993">
        <v>0</v>
      </c>
      <c r="AI993">
        <v>0</v>
      </c>
      <c r="AJ993">
        <v>0</v>
      </c>
      <c r="AK993">
        <v>1.52169</v>
      </c>
      <c r="AL993">
        <v>3</v>
      </c>
      <c r="AM993">
        <v>0</v>
      </c>
      <c r="AN993">
        <v>1254</v>
      </c>
      <c r="AO993">
        <v>47</v>
      </c>
      <c r="AP993">
        <v>0</v>
      </c>
      <c r="AQ993">
        <v>0</v>
      </c>
    </row>
    <row r="994" spans="1:43" x14ac:dyDescent="0.25">
      <c r="A994">
        <v>991</v>
      </c>
      <c r="B994">
        <v>19</v>
      </c>
      <c r="C994">
        <v>19</v>
      </c>
      <c r="D994">
        <v>4</v>
      </c>
      <c r="E994">
        <v>7004</v>
      </c>
      <c r="F994">
        <v>11576</v>
      </c>
      <c r="G994">
        <v>11691</v>
      </c>
      <c r="H994">
        <v>8239</v>
      </c>
      <c r="I994">
        <v>1052</v>
      </c>
      <c r="J994">
        <v>6246</v>
      </c>
      <c r="K994">
        <v>1612</v>
      </c>
      <c r="L994">
        <v>1687</v>
      </c>
      <c r="M994">
        <v>1538</v>
      </c>
      <c r="N994">
        <v>2143</v>
      </c>
      <c r="O994">
        <v>729</v>
      </c>
      <c r="P994">
        <v>91.016074119999999</v>
      </c>
      <c r="Q994">
        <v>499</v>
      </c>
      <c r="R994">
        <v>0.14054968300000001</v>
      </c>
      <c r="S994">
        <v>17621</v>
      </c>
      <c r="T994">
        <v>423</v>
      </c>
      <c r="U994">
        <v>454</v>
      </c>
      <c r="V994">
        <v>6968</v>
      </c>
      <c r="W994">
        <v>2205</v>
      </c>
      <c r="X994">
        <v>1379</v>
      </c>
      <c r="Y994">
        <v>1334</v>
      </c>
      <c r="Z994">
        <v>5822</v>
      </c>
      <c r="AA994">
        <v>4691</v>
      </c>
      <c r="AB994">
        <v>38</v>
      </c>
      <c r="AC994">
        <v>3004</v>
      </c>
      <c r="AD994">
        <v>2732</v>
      </c>
      <c r="AE994">
        <v>0</v>
      </c>
      <c r="AF994">
        <v>0</v>
      </c>
      <c r="AG994">
        <v>2</v>
      </c>
      <c r="AH994">
        <v>177</v>
      </c>
      <c r="AI994">
        <v>2006</v>
      </c>
      <c r="AJ994">
        <v>44</v>
      </c>
      <c r="AK994">
        <v>2.9576099999999999</v>
      </c>
      <c r="AL994">
        <v>3</v>
      </c>
      <c r="AM994">
        <v>0</v>
      </c>
      <c r="AN994">
        <v>7004</v>
      </c>
      <c r="AO994">
        <v>115</v>
      </c>
      <c r="AP994">
        <v>0</v>
      </c>
      <c r="AQ994">
        <v>0</v>
      </c>
    </row>
    <row r="995" spans="1:43" x14ac:dyDescent="0.25">
      <c r="A995">
        <v>992</v>
      </c>
      <c r="B995">
        <v>19</v>
      </c>
      <c r="C995">
        <v>19</v>
      </c>
      <c r="D995">
        <v>4</v>
      </c>
      <c r="E995">
        <v>1142</v>
      </c>
      <c r="F995">
        <v>2722</v>
      </c>
      <c r="G995">
        <v>2729</v>
      </c>
      <c r="H995">
        <v>1834</v>
      </c>
      <c r="I995">
        <v>527</v>
      </c>
      <c r="J995">
        <v>695</v>
      </c>
      <c r="K995">
        <v>176</v>
      </c>
      <c r="L995">
        <v>389</v>
      </c>
      <c r="M995">
        <v>204</v>
      </c>
      <c r="N995">
        <v>369</v>
      </c>
      <c r="O995">
        <v>102</v>
      </c>
      <c r="P995">
        <v>72.284790619999995</v>
      </c>
      <c r="Q995">
        <v>30.207013839999998</v>
      </c>
      <c r="R995">
        <v>7.0508232000000004E-2</v>
      </c>
      <c r="S995">
        <v>409</v>
      </c>
      <c r="T995">
        <v>185</v>
      </c>
      <c r="U995">
        <v>289</v>
      </c>
      <c r="V995">
        <v>1466</v>
      </c>
      <c r="W995">
        <v>643</v>
      </c>
      <c r="X995">
        <v>134</v>
      </c>
      <c r="Y995">
        <v>12</v>
      </c>
      <c r="Z995">
        <v>58</v>
      </c>
      <c r="AA995">
        <v>156</v>
      </c>
      <c r="AB995">
        <v>1</v>
      </c>
      <c r="AC995">
        <v>57</v>
      </c>
      <c r="AD995">
        <v>125</v>
      </c>
      <c r="AE995">
        <v>163.89127740000001</v>
      </c>
      <c r="AF995">
        <v>0</v>
      </c>
      <c r="AG995">
        <v>4</v>
      </c>
      <c r="AH995">
        <v>0</v>
      </c>
      <c r="AI995">
        <v>0</v>
      </c>
      <c r="AJ995">
        <v>0</v>
      </c>
      <c r="AK995">
        <v>1.51634</v>
      </c>
      <c r="AL995">
        <v>3</v>
      </c>
      <c r="AM995">
        <v>0</v>
      </c>
      <c r="AN995">
        <v>1142</v>
      </c>
      <c r="AO995">
        <v>7</v>
      </c>
      <c r="AP995">
        <v>0</v>
      </c>
      <c r="AQ995">
        <v>0</v>
      </c>
    </row>
    <row r="996" spans="1:43" x14ac:dyDescent="0.25">
      <c r="A996">
        <v>993</v>
      </c>
      <c r="B996">
        <v>19</v>
      </c>
      <c r="C996">
        <v>19</v>
      </c>
      <c r="D996">
        <v>4</v>
      </c>
      <c r="E996">
        <v>2093</v>
      </c>
      <c r="F996">
        <v>4398</v>
      </c>
      <c r="G996">
        <v>4459</v>
      </c>
      <c r="H996">
        <v>2946</v>
      </c>
      <c r="I996">
        <v>855</v>
      </c>
      <c r="J996">
        <v>1209</v>
      </c>
      <c r="K996">
        <v>617</v>
      </c>
      <c r="L996">
        <v>472</v>
      </c>
      <c r="M996">
        <v>418</v>
      </c>
      <c r="N996">
        <v>583</v>
      </c>
      <c r="O996">
        <v>165</v>
      </c>
      <c r="P996">
        <v>95.516334069999999</v>
      </c>
      <c r="Q996">
        <v>69.72578695</v>
      </c>
      <c r="R996">
        <v>0.165473867</v>
      </c>
      <c r="S996">
        <v>1299</v>
      </c>
      <c r="T996">
        <v>146</v>
      </c>
      <c r="U996">
        <v>434</v>
      </c>
      <c r="V996">
        <v>2167</v>
      </c>
      <c r="W996">
        <v>1145</v>
      </c>
      <c r="X996">
        <v>579</v>
      </c>
      <c r="Y996">
        <v>33</v>
      </c>
      <c r="Z996">
        <v>104</v>
      </c>
      <c r="AA996">
        <v>475</v>
      </c>
      <c r="AB996">
        <v>1</v>
      </c>
      <c r="AC996">
        <v>487</v>
      </c>
      <c r="AD996">
        <v>199</v>
      </c>
      <c r="AE996">
        <v>0</v>
      </c>
      <c r="AF996">
        <v>0</v>
      </c>
      <c r="AG996">
        <v>4</v>
      </c>
      <c r="AH996">
        <v>0</v>
      </c>
      <c r="AI996">
        <v>0</v>
      </c>
      <c r="AJ996">
        <v>0</v>
      </c>
      <c r="AK996">
        <v>1.59778</v>
      </c>
      <c r="AL996">
        <v>3</v>
      </c>
      <c r="AM996">
        <v>0</v>
      </c>
      <c r="AN996">
        <v>2093</v>
      </c>
      <c r="AO996">
        <v>61</v>
      </c>
      <c r="AP996">
        <v>0</v>
      </c>
      <c r="AQ996">
        <v>0</v>
      </c>
    </row>
    <row r="997" spans="1:43" x14ac:dyDescent="0.25">
      <c r="A997">
        <v>994</v>
      </c>
      <c r="B997">
        <v>19</v>
      </c>
      <c r="C997">
        <v>19</v>
      </c>
      <c r="D997">
        <v>4</v>
      </c>
      <c r="E997">
        <v>970</v>
      </c>
      <c r="F997">
        <v>2315</v>
      </c>
      <c r="G997">
        <v>2328</v>
      </c>
      <c r="H997">
        <v>1255</v>
      </c>
      <c r="I997">
        <v>526</v>
      </c>
      <c r="J997">
        <v>473</v>
      </c>
      <c r="K997">
        <v>262</v>
      </c>
      <c r="L997">
        <v>229</v>
      </c>
      <c r="M997">
        <v>252</v>
      </c>
      <c r="N997">
        <v>212</v>
      </c>
      <c r="O997">
        <v>75</v>
      </c>
      <c r="P997">
        <v>59.602839959999997</v>
      </c>
      <c r="Q997">
        <v>16.179863210000001</v>
      </c>
      <c r="R997">
        <v>0.16897274600000001</v>
      </c>
      <c r="S997">
        <v>294</v>
      </c>
      <c r="T997">
        <v>166</v>
      </c>
      <c r="U997">
        <v>307</v>
      </c>
      <c r="V997">
        <v>1037</v>
      </c>
      <c r="W997">
        <v>472</v>
      </c>
      <c r="X997">
        <v>310</v>
      </c>
      <c r="Y997">
        <v>13</v>
      </c>
      <c r="Z997">
        <v>47</v>
      </c>
      <c r="AA997">
        <v>191</v>
      </c>
      <c r="AB997">
        <v>1</v>
      </c>
      <c r="AC997">
        <v>14</v>
      </c>
      <c r="AD997">
        <v>28</v>
      </c>
      <c r="AE997">
        <v>0</v>
      </c>
      <c r="AF997">
        <v>0</v>
      </c>
      <c r="AG997">
        <v>4</v>
      </c>
      <c r="AH997">
        <v>0</v>
      </c>
      <c r="AI997">
        <v>0</v>
      </c>
      <c r="AJ997">
        <v>0</v>
      </c>
      <c r="AK997">
        <v>1.44953</v>
      </c>
      <c r="AL997">
        <v>3</v>
      </c>
      <c r="AM997">
        <v>0</v>
      </c>
      <c r="AN997">
        <v>970</v>
      </c>
      <c r="AO997">
        <v>13</v>
      </c>
      <c r="AP997">
        <v>0</v>
      </c>
      <c r="AQ997">
        <v>0</v>
      </c>
    </row>
    <row r="998" spans="1:43" x14ac:dyDescent="0.25">
      <c r="A998">
        <v>995</v>
      </c>
      <c r="B998">
        <v>19</v>
      </c>
      <c r="C998">
        <v>19</v>
      </c>
      <c r="D998">
        <v>4</v>
      </c>
      <c r="E998">
        <v>1451</v>
      </c>
      <c r="F998">
        <v>3456</v>
      </c>
      <c r="G998">
        <v>3647</v>
      </c>
      <c r="H998">
        <v>1837</v>
      </c>
      <c r="I998">
        <v>429</v>
      </c>
      <c r="J998">
        <v>1071</v>
      </c>
      <c r="K998">
        <v>544</v>
      </c>
      <c r="L998">
        <v>280</v>
      </c>
      <c r="M998">
        <v>298</v>
      </c>
      <c r="N998">
        <v>339</v>
      </c>
      <c r="O998">
        <v>120</v>
      </c>
      <c r="P998">
        <v>94.324500290000003</v>
      </c>
      <c r="Q998">
        <v>28.58603463</v>
      </c>
      <c r="R998">
        <v>0.15460526299999999</v>
      </c>
      <c r="S998">
        <v>817</v>
      </c>
      <c r="T998">
        <v>93</v>
      </c>
      <c r="U998">
        <v>592</v>
      </c>
      <c r="V998">
        <v>1658</v>
      </c>
      <c r="W998">
        <v>757</v>
      </c>
      <c r="X998">
        <v>429</v>
      </c>
      <c r="Y998">
        <v>33</v>
      </c>
      <c r="Z998">
        <v>122</v>
      </c>
      <c r="AA998">
        <v>539</v>
      </c>
      <c r="AB998">
        <v>2</v>
      </c>
      <c r="AC998">
        <v>65</v>
      </c>
      <c r="AD998">
        <v>56</v>
      </c>
      <c r="AE998">
        <v>0</v>
      </c>
      <c r="AF998">
        <v>0</v>
      </c>
      <c r="AG998">
        <v>4</v>
      </c>
      <c r="AH998">
        <v>0</v>
      </c>
      <c r="AI998">
        <v>0</v>
      </c>
      <c r="AJ998">
        <v>0</v>
      </c>
      <c r="AK998">
        <v>1.6495899999999999</v>
      </c>
      <c r="AL998">
        <v>2</v>
      </c>
      <c r="AM998">
        <v>0</v>
      </c>
      <c r="AN998">
        <v>1451</v>
      </c>
      <c r="AO998">
        <v>191</v>
      </c>
      <c r="AP998">
        <v>0</v>
      </c>
      <c r="AQ998">
        <v>0</v>
      </c>
    </row>
    <row r="999" spans="1:43" x14ac:dyDescent="0.25">
      <c r="A999">
        <v>996</v>
      </c>
      <c r="B999">
        <v>19</v>
      </c>
      <c r="C999">
        <v>19</v>
      </c>
      <c r="D999">
        <v>4</v>
      </c>
      <c r="E999">
        <v>2116</v>
      </c>
      <c r="F999">
        <v>4683</v>
      </c>
      <c r="G999">
        <v>4693</v>
      </c>
      <c r="H999">
        <v>3178</v>
      </c>
      <c r="I999">
        <v>998</v>
      </c>
      <c r="J999">
        <v>1168</v>
      </c>
      <c r="K999">
        <v>488</v>
      </c>
      <c r="L999">
        <v>572</v>
      </c>
      <c r="M999">
        <v>524</v>
      </c>
      <c r="N999">
        <v>530</v>
      </c>
      <c r="O999">
        <v>202</v>
      </c>
      <c r="P999">
        <v>136.2817556</v>
      </c>
      <c r="Q999">
        <v>60.761002509999997</v>
      </c>
      <c r="R999">
        <v>0.12833781799999999</v>
      </c>
      <c r="S999">
        <v>993</v>
      </c>
      <c r="T999">
        <v>278</v>
      </c>
      <c r="U999">
        <v>622</v>
      </c>
      <c r="V999">
        <v>2156</v>
      </c>
      <c r="W999">
        <v>1168</v>
      </c>
      <c r="X999">
        <v>470</v>
      </c>
      <c r="Y999">
        <v>58</v>
      </c>
      <c r="Z999">
        <v>432</v>
      </c>
      <c r="AA999">
        <v>354</v>
      </c>
      <c r="AB999">
        <v>2</v>
      </c>
      <c r="AC999">
        <v>68</v>
      </c>
      <c r="AD999">
        <v>79</v>
      </c>
      <c r="AE999">
        <v>0</v>
      </c>
      <c r="AF999">
        <v>9.6074197080000001</v>
      </c>
      <c r="AG999">
        <v>3</v>
      </c>
      <c r="AH999">
        <v>127</v>
      </c>
      <c r="AI999">
        <v>0</v>
      </c>
      <c r="AJ999">
        <v>0</v>
      </c>
      <c r="AK999">
        <v>1.60551</v>
      </c>
      <c r="AL999">
        <v>3</v>
      </c>
      <c r="AM999">
        <v>0</v>
      </c>
      <c r="AN999">
        <v>2116</v>
      </c>
      <c r="AO999">
        <v>10</v>
      </c>
      <c r="AP999">
        <v>0</v>
      </c>
      <c r="AQ999">
        <v>0</v>
      </c>
    </row>
    <row r="1000" spans="1:43" x14ac:dyDescent="0.25">
      <c r="A1000">
        <v>997</v>
      </c>
      <c r="B1000">
        <v>19</v>
      </c>
      <c r="C1000">
        <v>19</v>
      </c>
      <c r="D1000">
        <v>4</v>
      </c>
      <c r="E1000">
        <v>727</v>
      </c>
      <c r="F1000">
        <v>1759</v>
      </c>
      <c r="G1000">
        <v>1772</v>
      </c>
      <c r="H1000">
        <v>1113</v>
      </c>
      <c r="I1000">
        <v>420</v>
      </c>
      <c r="J1000">
        <v>312</v>
      </c>
      <c r="K1000">
        <v>111</v>
      </c>
      <c r="L1000">
        <v>102</v>
      </c>
      <c r="M1000">
        <v>214</v>
      </c>
      <c r="N1000">
        <v>294</v>
      </c>
      <c r="O1000">
        <v>78</v>
      </c>
      <c r="P1000">
        <v>60</v>
      </c>
      <c r="Q1000">
        <v>16.529189120000002</v>
      </c>
      <c r="R1000">
        <v>9.3601269000000001E-2</v>
      </c>
      <c r="S1000">
        <v>305</v>
      </c>
      <c r="T1000">
        <v>122</v>
      </c>
      <c r="U1000">
        <v>185</v>
      </c>
      <c r="V1000">
        <v>869</v>
      </c>
      <c r="W1000">
        <v>514</v>
      </c>
      <c r="X1000">
        <v>143</v>
      </c>
      <c r="Y1000">
        <v>11</v>
      </c>
      <c r="Z1000">
        <v>45</v>
      </c>
      <c r="AA1000">
        <v>65</v>
      </c>
      <c r="AB1000">
        <v>0</v>
      </c>
      <c r="AC1000">
        <v>40</v>
      </c>
      <c r="AD1000">
        <v>144</v>
      </c>
      <c r="AE1000">
        <v>0</v>
      </c>
      <c r="AF1000">
        <v>0</v>
      </c>
      <c r="AG1000">
        <v>3</v>
      </c>
      <c r="AH1000">
        <v>0</v>
      </c>
      <c r="AI1000">
        <v>0</v>
      </c>
      <c r="AJ1000">
        <v>0</v>
      </c>
      <c r="AK1000">
        <v>1.4690399999999999</v>
      </c>
      <c r="AL1000">
        <v>2</v>
      </c>
      <c r="AM1000">
        <v>0</v>
      </c>
      <c r="AN1000">
        <v>727</v>
      </c>
      <c r="AO1000">
        <v>13</v>
      </c>
      <c r="AP1000">
        <v>0</v>
      </c>
      <c r="AQ1000">
        <v>0</v>
      </c>
    </row>
    <row r="1001" spans="1:43" x14ac:dyDescent="0.25">
      <c r="A1001">
        <v>998</v>
      </c>
      <c r="B1001">
        <v>19</v>
      </c>
      <c r="C1001">
        <v>19</v>
      </c>
      <c r="D1001">
        <v>4</v>
      </c>
      <c r="E1001">
        <v>2445</v>
      </c>
      <c r="F1001">
        <v>5204</v>
      </c>
      <c r="G1001">
        <v>5264</v>
      </c>
      <c r="H1001">
        <v>3074</v>
      </c>
      <c r="I1001">
        <v>1173</v>
      </c>
      <c r="J1001">
        <v>1332</v>
      </c>
      <c r="K1001">
        <v>426</v>
      </c>
      <c r="L1001">
        <v>497</v>
      </c>
      <c r="M1001">
        <v>415</v>
      </c>
      <c r="N1001">
        <v>1097</v>
      </c>
      <c r="O1001">
        <v>266</v>
      </c>
      <c r="P1001">
        <v>195.3674025</v>
      </c>
      <c r="Q1001">
        <v>39.44449959</v>
      </c>
      <c r="R1001">
        <v>0.19046692600000001</v>
      </c>
      <c r="S1001">
        <v>2354</v>
      </c>
      <c r="T1001">
        <v>121</v>
      </c>
      <c r="U1001">
        <v>841</v>
      </c>
      <c r="V1001">
        <v>1939</v>
      </c>
      <c r="W1001">
        <v>1268</v>
      </c>
      <c r="X1001">
        <v>794</v>
      </c>
      <c r="Y1001">
        <v>250</v>
      </c>
      <c r="Z1001">
        <v>392</v>
      </c>
      <c r="AA1001">
        <v>1300</v>
      </c>
      <c r="AB1001">
        <v>6</v>
      </c>
      <c r="AC1001">
        <v>173</v>
      </c>
      <c r="AD1001">
        <v>233</v>
      </c>
      <c r="AE1001">
        <v>0</v>
      </c>
      <c r="AF1001">
        <v>15.8239854</v>
      </c>
      <c r="AG1001">
        <v>3</v>
      </c>
      <c r="AH1001">
        <v>0</v>
      </c>
      <c r="AI1001">
        <v>0</v>
      </c>
      <c r="AJ1001">
        <v>0</v>
      </c>
      <c r="AK1001">
        <v>1.62381</v>
      </c>
      <c r="AL1001">
        <v>2</v>
      </c>
      <c r="AM1001">
        <v>0</v>
      </c>
      <c r="AN1001">
        <v>2445</v>
      </c>
      <c r="AO1001">
        <v>60</v>
      </c>
      <c r="AP1001">
        <v>0</v>
      </c>
      <c r="AQ1001">
        <v>0</v>
      </c>
    </row>
    <row r="1002" spans="1:43" x14ac:dyDescent="0.25">
      <c r="A1002">
        <v>999</v>
      </c>
      <c r="B1002">
        <v>19</v>
      </c>
      <c r="C1002">
        <v>19</v>
      </c>
      <c r="D1002">
        <v>4</v>
      </c>
      <c r="E1002">
        <v>1052</v>
      </c>
      <c r="F1002">
        <v>2377</v>
      </c>
      <c r="G1002">
        <v>2400</v>
      </c>
      <c r="H1002">
        <v>1354</v>
      </c>
      <c r="I1002">
        <v>666</v>
      </c>
      <c r="J1002">
        <v>375</v>
      </c>
      <c r="K1002">
        <v>113</v>
      </c>
      <c r="L1002">
        <v>144</v>
      </c>
      <c r="M1002">
        <v>200</v>
      </c>
      <c r="N1002">
        <v>585</v>
      </c>
      <c r="O1002">
        <v>161</v>
      </c>
      <c r="P1002">
        <v>113</v>
      </c>
      <c r="Q1002">
        <v>26.706291490000002</v>
      </c>
      <c r="R1002">
        <v>0.29241435599999999</v>
      </c>
      <c r="S1002">
        <v>1351</v>
      </c>
      <c r="T1002">
        <v>177</v>
      </c>
      <c r="U1002">
        <v>230</v>
      </c>
      <c r="V1002">
        <v>840</v>
      </c>
      <c r="W1002">
        <v>539</v>
      </c>
      <c r="X1002">
        <v>582</v>
      </c>
      <c r="Y1002">
        <v>367</v>
      </c>
      <c r="Z1002">
        <v>212</v>
      </c>
      <c r="AA1002">
        <v>667</v>
      </c>
      <c r="AB1002">
        <v>2</v>
      </c>
      <c r="AC1002">
        <v>33</v>
      </c>
      <c r="AD1002">
        <v>70</v>
      </c>
      <c r="AE1002">
        <v>0</v>
      </c>
      <c r="AF1002">
        <v>24.301120439999998</v>
      </c>
      <c r="AG1002">
        <v>3</v>
      </c>
      <c r="AH1002">
        <v>0</v>
      </c>
      <c r="AI1002">
        <v>0</v>
      </c>
      <c r="AJ1002">
        <v>0</v>
      </c>
      <c r="AK1002">
        <v>1.8887400000000001</v>
      </c>
      <c r="AL1002">
        <v>1</v>
      </c>
      <c r="AM1002">
        <v>0</v>
      </c>
      <c r="AN1002">
        <v>1052</v>
      </c>
      <c r="AO1002">
        <v>23</v>
      </c>
      <c r="AP1002">
        <v>0</v>
      </c>
      <c r="AQ1002">
        <v>0</v>
      </c>
    </row>
    <row r="1003" spans="1:43" x14ac:dyDescent="0.25">
      <c r="A1003">
        <v>1000</v>
      </c>
      <c r="B1003">
        <v>19</v>
      </c>
      <c r="C1003">
        <v>19</v>
      </c>
      <c r="D1003">
        <v>4</v>
      </c>
      <c r="E1003">
        <v>1821</v>
      </c>
      <c r="F1003">
        <v>4259</v>
      </c>
      <c r="G1003">
        <v>4269</v>
      </c>
      <c r="H1003">
        <v>2433</v>
      </c>
      <c r="I1003">
        <v>1005</v>
      </c>
      <c r="J1003">
        <v>900</v>
      </c>
      <c r="K1003">
        <v>324</v>
      </c>
      <c r="L1003">
        <v>250</v>
      </c>
      <c r="M1003">
        <v>426</v>
      </c>
      <c r="N1003">
        <v>816</v>
      </c>
      <c r="O1003">
        <v>171</v>
      </c>
      <c r="P1003">
        <v>125.3697031</v>
      </c>
      <c r="Q1003">
        <v>38.628347810000001</v>
      </c>
      <c r="R1003">
        <v>0.16150081599999999</v>
      </c>
      <c r="S1003">
        <v>1109</v>
      </c>
      <c r="T1003">
        <v>322</v>
      </c>
      <c r="U1003">
        <v>590</v>
      </c>
      <c r="V1003">
        <v>1773</v>
      </c>
      <c r="W1003">
        <v>941</v>
      </c>
      <c r="X1003">
        <v>530</v>
      </c>
      <c r="Y1003">
        <v>58</v>
      </c>
      <c r="Z1003">
        <v>196</v>
      </c>
      <c r="AA1003">
        <v>616</v>
      </c>
      <c r="AB1003">
        <v>2</v>
      </c>
      <c r="AC1003">
        <v>118</v>
      </c>
      <c r="AD1003">
        <v>119</v>
      </c>
      <c r="AE1003">
        <v>0</v>
      </c>
      <c r="AF1003">
        <v>6.7817080289999998</v>
      </c>
      <c r="AG1003">
        <v>3</v>
      </c>
      <c r="AH1003">
        <v>0</v>
      </c>
      <c r="AI1003">
        <v>0</v>
      </c>
      <c r="AJ1003">
        <v>0</v>
      </c>
      <c r="AK1003">
        <v>1.57626</v>
      </c>
      <c r="AL1003">
        <v>2</v>
      </c>
      <c r="AM1003">
        <v>0</v>
      </c>
      <c r="AN1003">
        <v>1821</v>
      </c>
      <c r="AO1003">
        <v>10</v>
      </c>
      <c r="AP1003">
        <v>0</v>
      </c>
      <c r="AQ1003">
        <v>0</v>
      </c>
    </row>
    <row r="1004" spans="1:43" x14ac:dyDescent="0.25">
      <c r="A1004">
        <v>1001</v>
      </c>
      <c r="B1004">
        <v>19</v>
      </c>
      <c r="C1004">
        <v>19</v>
      </c>
      <c r="D1004">
        <v>4</v>
      </c>
      <c r="E1004">
        <v>1746</v>
      </c>
      <c r="F1004">
        <v>4320</v>
      </c>
      <c r="G1004">
        <v>4322</v>
      </c>
      <c r="H1004">
        <v>2347</v>
      </c>
      <c r="I1004">
        <v>926</v>
      </c>
      <c r="J1004">
        <v>836</v>
      </c>
      <c r="K1004">
        <v>507</v>
      </c>
      <c r="L1004">
        <v>420</v>
      </c>
      <c r="M1004">
        <v>359</v>
      </c>
      <c r="N1004">
        <v>448</v>
      </c>
      <c r="O1004">
        <v>133</v>
      </c>
      <c r="P1004">
        <v>119</v>
      </c>
      <c r="Q1004">
        <v>10.4484203</v>
      </c>
      <c r="R1004">
        <v>0.18520395200000001</v>
      </c>
      <c r="S1004">
        <v>492</v>
      </c>
      <c r="T1004">
        <v>149</v>
      </c>
      <c r="U1004">
        <v>428</v>
      </c>
      <c r="V1004">
        <v>1999</v>
      </c>
      <c r="W1004">
        <v>623</v>
      </c>
      <c r="X1004">
        <v>618</v>
      </c>
      <c r="Y1004">
        <v>57</v>
      </c>
      <c r="Z1004">
        <v>87</v>
      </c>
      <c r="AA1004">
        <v>286</v>
      </c>
      <c r="AB1004">
        <v>1</v>
      </c>
      <c r="AC1004">
        <v>21</v>
      </c>
      <c r="AD1004">
        <v>40</v>
      </c>
      <c r="AE1004">
        <v>0</v>
      </c>
      <c r="AF1004">
        <v>0</v>
      </c>
      <c r="AG1004">
        <v>3</v>
      </c>
      <c r="AH1004">
        <v>0</v>
      </c>
      <c r="AI1004">
        <v>0</v>
      </c>
      <c r="AJ1004">
        <v>0</v>
      </c>
      <c r="AK1004">
        <v>1.5530299999999999</v>
      </c>
      <c r="AL1004">
        <v>2</v>
      </c>
      <c r="AM1004">
        <v>0</v>
      </c>
      <c r="AN1004">
        <v>1746</v>
      </c>
      <c r="AO1004">
        <v>2</v>
      </c>
      <c r="AP1004">
        <v>0</v>
      </c>
      <c r="AQ1004">
        <v>0</v>
      </c>
    </row>
    <row r="1005" spans="1:43" x14ac:dyDescent="0.25">
      <c r="A1005">
        <v>1002</v>
      </c>
      <c r="B1005">
        <v>19</v>
      </c>
      <c r="C1005">
        <v>19</v>
      </c>
      <c r="D1005">
        <v>4</v>
      </c>
      <c r="E1005">
        <v>860</v>
      </c>
      <c r="F1005">
        <v>1993</v>
      </c>
      <c r="G1005">
        <v>2018</v>
      </c>
      <c r="H1005">
        <v>1231</v>
      </c>
      <c r="I1005">
        <v>387</v>
      </c>
      <c r="J1005">
        <v>498</v>
      </c>
      <c r="K1005">
        <v>254</v>
      </c>
      <c r="L1005">
        <v>178</v>
      </c>
      <c r="M1005">
        <v>166</v>
      </c>
      <c r="N1005">
        <v>271</v>
      </c>
      <c r="O1005">
        <v>93</v>
      </c>
      <c r="P1005">
        <v>41.596681240000002</v>
      </c>
      <c r="Q1005">
        <v>46.542871159999997</v>
      </c>
      <c r="R1005">
        <v>0.20109940400000001</v>
      </c>
      <c r="S1005">
        <v>1050</v>
      </c>
      <c r="T1005">
        <v>58</v>
      </c>
      <c r="U1005">
        <v>255</v>
      </c>
      <c r="V1005">
        <v>1040</v>
      </c>
      <c r="W1005">
        <v>393</v>
      </c>
      <c r="X1005">
        <v>355</v>
      </c>
      <c r="Y1005">
        <v>55</v>
      </c>
      <c r="Z1005">
        <v>250</v>
      </c>
      <c r="AA1005">
        <v>581</v>
      </c>
      <c r="AB1005">
        <v>2</v>
      </c>
      <c r="AC1005">
        <v>37</v>
      </c>
      <c r="AD1005">
        <v>125</v>
      </c>
      <c r="AE1005">
        <v>0</v>
      </c>
      <c r="AF1005">
        <v>0</v>
      </c>
      <c r="AG1005">
        <v>3</v>
      </c>
      <c r="AH1005">
        <v>0</v>
      </c>
      <c r="AI1005">
        <v>0</v>
      </c>
      <c r="AJ1005">
        <v>0</v>
      </c>
      <c r="AK1005">
        <v>1.77366</v>
      </c>
      <c r="AL1005">
        <v>2</v>
      </c>
      <c r="AM1005">
        <v>0</v>
      </c>
      <c r="AN1005">
        <v>860</v>
      </c>
      <c r="AO1005">
        <v>25</v>
      </c>
      <c r="AP1005">
        <v>0</v>
      </c>
      <c r="AQ1005">
        <v>0</v>
      </c>
    </row>
    <row r="1006" spans="1:43" x14ac:dyDescent="0.25">
      <c r="A1006">
        <v>1003</v>
      </c>
      <c r="B1006">
        <v>19</v>
      </c>
      <c r="C1006">
        <v>19</v>
      </c>
      <c r="D1006">
        <v>4</v>
      </c>
      <c r="E1006">
        <v>709</v>
      </c>
      <c r="F1006">
        <v>1466</v>
      </c>
      <c r="G1006">
        <v>1467</v>
      </c>
      <c r="H1006">
        <v>951</v>
      </c>
      <c r="I1006">
        <v>295</v>
      </c>
      <c r="J1006">
        <v>455</v>
      </c>
      <c r="K1006">
        <v>190</v>
      </c>
      <c r="L1006">
        <v>80</v>
      </c>
      <c r="M1006">
        <v>102</v>
      </c>
      <c r="N1006">
        <v>342</v>
      </c>
      <c r="O1006">
        <v>77</v>
      </c>
      <c r="P1006">
        <v>55</v>
      </c>
      <c r="Q1006">
        <v>22.754146970000001</v>
      </c>
      <c r="R1006">
        <v>0.20563741199999999</v>
      </c>
      <c r="S1006">
        <v>3210</v>
      </c>
      <c r="T1006">
        <v>30</v>
      </c>
      <c r="U1006">
        <v>187</v>
      </c>
      <c r="V1006">
        <v>678</v>
      </c>
      <c r="W1006">
        <v>339</v>
      </c>
      <c r="X1006">
        <v>289</v>
      </c>
      <c r="Y1006">
        <v>243</v>
      </c>
      <c r="Z1006">
        <v>169</v>
      </c>
      <c r="AA1006">
        <v>2674</v>
      </c>
      <c r="AB1006">
        <v>2</v>
      </c>
      <c r="AC1006">
        <v>50</v>
      </c>
      <c r="AD1006">
        <v>72</v>
      </c>
      <c r="AE1006">
        <v>134.5038759</v>
      </c>
      <c r="AF1006">
        <v>7.3468503649999999</v>
      </c>
      <c r="AG1006">
        <v>3</v>
      </c>
      <c r="AH1006">
        <v>0</v>
      </c>
      <c r="AI1006">
        <v>0</v>
      </c>
      <c r="AJ1006">
        <v>0</v>
      </c>
      <c r="AK1006">
        <v>3.21387</v>
      </c>
      <c r="AL1006">
        <v>2</v>
      </c>
      <c r="AM1006">
        <v>0</v>
      </c>
      <c r="AN1006">
        <v>709</v>
      </c>
      <c r="AO1006">
        <v>1</v>
      </c>
      <c r="AP1006">
        <v>0</v>
      </c>
      <c r="AQ1006">
        <v>0</v>
      </c>
    </row>
    <row r="1007" spans="1:43" x14ac:dyDescent="0.25">
      <c r="A1007">
        <v>1004</v>
      </c>
      <c r="B1007">
        <v>19</v>
      </c>
      <c r="C1007">
        <v>19</v>
      </c>
      <c r="D1007">
        <v>4</v>
      </c>
      <c r="E1007">
        <v>1448</v>
      </c>
      <c r="F1007">
        <v>3346</v>
      </c>
      <c r="G1007">
        <v>3346</v>
      </c>
      <c r="H1007">
        <v>1537</v>
      </c>
      <c r="I1007">
        <v>945</v>
      </c>
      <c r="J1007">
        <v>446</v>
      </c>
      <c r="K1007">
        <v>202</v>
      </c>
      <c r="L1007">
        <v>189</v>
      </c>
      <c r="M1007">
        <v>268</v>
      </c>
      <c r="N1007">
        <v>785</v>
      </c>
      <c r="O1007">
        <v>258</v>
      </c>
      <c r="P1007">
        <v>246</v>
      </c>
      <c r="Q1007">
        <v>9.8155057610000007</v>
      </c>
      <c r="R1007">
        <v>0.33542976899999999</v>
      </c>
      <c r="S1007">
        <v>855</v>
      </c>
      <c r="T1007">
        <v>192</v>
      </c>
      <c r="U1007">
        <v>374</v>
      </c>
      <c r="V1007">
        <v>955</v>
      </c>
      <c r="W1007">
        <v>872</v>
      </c>
      <c r="X1007">
        <v>856</v>
      </c>
      <c r="Y1007">
        <v>90</v>
      </c>
      <c r="Z1007">
        <v>196</v>
      </c>
      <c r="AA1007">
        <v>358</v>
      </c>
      <c r="AB1007">
        <v>5</v>
      </c>
      <c r="AC1007">
        <v>53</v>
      </c>
      <c r="AD1007">
        <v>153</v>
      </c>
      <c r="AE1007">
        <v>0</v>
      </c>
      <c r="AF1007">
        <v>0</v>
      </c>
      <c r="AG1007">
        <v>4</v>
      </c>
      <c r="AH1007">
        <v>0</v>
      </c>
      <c r="AI1007">
        <v>0</v>
      </c>
      <c r="AJ1007">
        <v>0</v>
      </c>
      <c r="AK1007">
        <v>1.39205</v>
      </c>
      <c r="AL1007">
        <v>1</v>
      </c>
      <c r="AM1007">
        <v>0</v>
      </c>
      <c r="AN1007">
        <v>1448</v>
      </c>
      <c r="AO1007">
        <v>0</v>
      </c>
      <c r="AP1007">
        <v>0</v>
      </c>
      <c r="AQ1007">
        <v>0</v>
      </c>
    </row>
    <row r="1008" spans="1:43" x14ac:dyDescent="0.25">
      <c r="A1008">
        <v>1005</v>
      </c>
      <c r="B1008">
        <v>19</v>
      </c>
      <c r="C1008">
        <v>19</v>
      </c>
      <c r="D1008">
        <v>4</v>
      </c>
      <c r="E1008">
        <v>1376</v>
      </c>
      <c r="F1008">
        <v>3199</v>
      </c>
      <c r="G1008">
        <v>3199</v>
      </c>
      <c r="H1008">
        <v>1502</v>
      </c>
      <c r="I1008">
        <v>1378</v>
      </c>
      <c r="J1008">
        <v>8</v>
      </c>
      <c r="K1008">
        <v>180</v>
      </c>
      <c r="L1008">
        <v>105</v>
      </c>
      <c r="M1008">
        <v>274</v>
      </c>
      <c r="N1008">
        <v>803</v>
      </c>
      <c r="O1008">
        <v>1667</v>
      </c>
      <c r="P1008">
        <v>485.20800389999999</v>
      </c>
      <c r="Q1008">
        <v>565</v>
      </c>
      <c r="R1008">
        <v>0.29387496000000002</v>
      </c>
      <c r="S1008">
        <v>434</v>
      </c>
      <c r="T1008">
        <v>125</v>
      </c>
      <c r="U1008">
        <v>520</v>
      </c>
      <c r="V1008">
        <v>645</v>
      </c>
      <c r="W1008">
        <v>957</v>
      </c>
      <c r="X1008">
        <v>813</v>
      </c>
      <c r="Y1008">
        <v>17</v>
      </c>
      <c r="Z1008">
        <v>125</v>
      </c>
      <c r="AA1008">
        <v>200</v>
      </c>
      <c r="AB1008">
        <v>2</v>
      </c>
      <c r="AC1008">
        <v>30</v>
      </c>
      <c r="AD1008">
        <v>60</v>
      </c>
      <c r="AE1008">
        <v>0</v>
      </c>
      <c r="AF1008">
        <v>0</v>
      </c>
      <c r="AG1008">
        <v>4</v>
      </c>
      <c r="AH1008">
        <v>0</v>
      </c>
      <c r="AI1008">
        <v>0</v>
      </c>
      <c r="AJ1008">
        <v>0</v>
      </c>
      <c r="AK1008">
        <v>0.95796999999999999</v>
      </c>
      <c r="AL1008">
        <v>1</v>
      </c>
      <c r="AM1008">
        <v>0</v>
      </c>
      <c r="AN1008">
        <v>1376</v>
      </c>
      <c r="AO1008">
        <v>0</v>
      </c>
      <c r="AP1008">
        <v>0</v>
      </c>
      <c r="AQ1008">
        <v>0</v>
      </c>
    </row>
    <row r="1009" spans="1:43" x14ac:dyDescent="0.25">
      <c r="A1009">
        <v>1006</v>
      </c>
      <c r="B1009">
        <v>19</v>
      </c>
      <c r="C1009">
        <v>19</v>
      </c>
      <c r="D1009">
        <v>4</v>
      </c>
      <c r="E1009">
        <v>1254</v>
      </c>
      <c r="F1009">
        <v>2759</v>
      </c>
      <c r="G1009">
        <v>3713</v>
      </c>
      <c r="H1009">
        <v>1438</v>
      </c>
      <c r="I1009">
        <v>547</v>
      </c>
      <c r="J1009">
        <v>799</v>
      </c>
      <c r="K1009">
        <v>360</v>
      </c>
      <c r="L1009">
        <v>277</v>
      </c>
      <c r="M1009">
        <v>144</v>
      </c>
      <c r="N1009">
        <v>477</v>
      </c>
      <c r="O1009">
        <v>193</v>
      </c>
      <c r="P1009">
        <v>155</v>
      </c>
      <c r="Q1009">
        <v>38.535839510000002</v>
      </c>
      <c r="R1009">
        <v>0.19273433200000001</v>
      </c>
      <c r="S1009">
        <v>1065</v>
      </c>
      <c r="T1009">
        <v>120</v>
      </c>
      <c r="U1009">
        <v>866</v>
      </c>
      <c r="V1009">
        <v>1363</v>
      </c>
      <c r="W1009">
        <v>602</v>
      </c>
      <c r="X1009">
        <v>540</v>
      </c>
      <c r="Y1009">
        <v>70</v>
      </c>
      <c r="Z1009">
        <v>143</v>
      </c>
      <c r="AA1009">
        <v>713</v>
      </c>
      <c r="AB1009">
        <v>1</v>
      </c>
      <c r="AC1009">
        <v>87</v>
      </c>
      <c r="AD1009">
        <v>51</v>
      </c>
      <c r="AE1009">
        <v>0</v>
      </c>
      <c r="AF1009">
        <v>0</v>
      </c>
      <c r="AG1009">
        <v>4</v>
      </c>
      <c r="AH1009">
        <v>113</v>
      </c>
      <c r="AI1009">
        <v>0</v>
      </c>
      <c r="AJ1009">
        <v>0</v>
      </c>
      <c r="AK1009">
        <v>1.42554</v>
      </c>
      <c r="AL1009">
        <v>1</v>
      </c>
      <c r="AM1009">
        <v>0</v>
      </c>
      <c r="AN1009">
        <v>1254</v>
      </c>
      <c r="AO1009">
        <v>954</v>
      </c>
      <c r="AP1009">
        <v>0</v>
      </c>
      <c r="AQ1009">
        <v>0</v>
      </c>
    </row>
    <row r="1010" spans="1:43" x14ac:dyDescent="0.25">
      <c r="A1010">
        <v>1007</v>
      </c>
      <c r="B1010">
        <v>19</v>
      </c>
      <c r="C1010">
        <v>19</v>
      </c>
      <c r="D1010">
        <v>4</v>
      </c>
      <c r="E1010">
        <v>1036</v>
      </c>
      <c r="F1010">
        <v>2163</v>
      </c>
      <c r="G1010">
        <v>4341</v>
      </c>
      <c r="H1010">
        <v>952</v>
      </c>
      <c r="I1010">
        <v>208</v>
      </c>
      <c r="J1010">
        <v>907</v>
      </c>
      <c r="K1010">
        <v>532</v>
      </c>
      <c r="L1010">
        <v>193</v>
      </c>
      <c r="M1010">
        <v>149</v>
      </c>
      <c r="N1010">
        <v>160</v>
      </c>
      <c r="O1010">
        <v>90</v>
      </c>
      <c r="P1010">
        <v>68</v>
      </c>
      <c r="Q1010">
        <v>22</v>
      </c>
      <c r="R1010">
        <v>3.4561731999999998E-2</v>
      </c>
      <c r="S1010">
        <v>319</v>
      </c>
      <c r="T1010">
        <v>17</v>
      </c>
      <c r="U1010">
        <v>1424</v>
      </c>
      <c r="V1010">
        <v>2739</v>
      </c>
      <c r="W1010">
        <v>330</v>
      </c>
      <c r="X1010">
        <v>127</v>
      </c>
      <c r="Y1010">
        <v>3</v>
      </c>
      <c r="Z1010">
        <v>21</v>
      </c>
      <c r="AA1010">
        <v>263</v>
      </c>
      <c r="AB1010">
        <v>0</v>
      </c>
      <c r="AC1010">
        <v>6</v>
      </c>
      <c r="AD1010">
        <v>26</v>
      </c>
      <c r="AE1010">
        <v>0</v>
      </c>
      <c r="AF1010">
        <v>35.603967150000003</v>
      </c>
      <c r="AG1010">
        <v>2</v>
      </c>
      <c r="AH1010">
        <v>0</v>
      </c>
      <c r="AI1010">
        <v>597</v>
      </c>
      <c r="AJ1010">
        <v>0</v>
      </c>
      <c r="AK1010">
        <v>2.7818100000000001</v>
      </c>
      <c r="AL1010">
        <v>1</v>
      </c>
      <c r="AM1010">
        <v>0</v>
      </c>
      <c r="AN1010">
        <v>1036</v>
      </c>
      <c r="AO1010">
        <v>2178</v>
      </c>
      <c r="AP1010">
        <v>0</v>
      </c>
      <c r="AQ1010">
        <v>0</v>
      </c>
    </row>
    <row r="1011" spans="1:43" x14ac:dyDescent="0.25">
      <c r="A1011">
        <v>1008</v>
      </c>
      <c r="B1011">
        <v>19</v>
      </c>
      <c r="C1011">
        <v>19</v>
      </c>
      <c r="D1011">
        <v>4</v>
      </c>
      <c r="E1011">
        <v>1412</v>
      </c>
      <c r="F1011">
        <v>2610</v>
      </c>
      <c r="G1011">
        <v>9484</v>
      </c>
      <c r="H1011">
        <v>1172</v>
      </c>
      <c r="I1011">
        <v>80</v>
      </c>
      <c r="J1011">
        <v>1608</v>
      </c>
      <c r="K1011">
        <v>999</v>
      </c>
      <c r="L1011">
        <v>283</v>
      </c>
      <c r="M1011">
        <v>95</v>
      </c>
      <c r="N1011">
        <v>31</v>
      </c>
      <c r="O1011">
        <v>103</v>
      </c>
      <c r="P1011">
        <v>64.370336030000004</v>
      </c>
      <c r="Q1011">
        <v>41.954593500000001</v>
      </c>
      <c r="R1011">
        <v>1.1915367E-2</v>
      </c>
      <c r="S1011">
        <v>2049</v>
      </c>
      <c r="T1011">
        <v>0</v>
      </c>
      <c r="U1011">
        <v>4206</v>
      </c>
      <c r="V1011">
        <v>4234</v>
      </c>
      <c r="W1011">
        <v>185</v>
      </c>
      <c r="X1011">
        <v>82</v>
      </c>
      <c r="Y1011">
        <v>317</v>
      </c>
      <c r="Z1011">
        <v>223</v>
      </c>
      <c r="AA1011">
        <v>1366</v>
      </c>
      <c r="AB1011">
        <v>2</v>
      </c>
      <c r="AC1011">
        <v>53</v>
      </c>
      <c r="AD1011">
        <v>88</v>
      </c>
      <c r="AE1011">
        <v>130.54787959999999</v>
      </c>
      <c r="AF1011">
        <v>127.7221679</v>
      </c>
      <c r="AG1011">
        <v>1</v>
      </c>
      <c r="AH1011">
        <v>0</v>
      </c>
      <c r="AI1011">
        <v>4</v>
      </c>
      <c r="AJ1011">
        <v>60</v>
      </c>
      <c r="AK1011">
        <v>3.9493</v>
      </c>
      <c r="AL1011">
        <v>1</v>
      </c>
      <c r="AM1011">
        <v>0</v>
      </c>
      <c r="AN1011">
        <v>1412</v>
      </c>
      <c r="AO1011">
        <v>6874</v>
      </c>
      <c r="AP1011">
        <v>0</v>
      </c>
      <c r="AQ1011">
        <v>0</v>
      </c>
    </row>
    <row r="1012" spans="1:43" x14ac:dyDescent="0.25">
      <c r="A1012">
        <v>1009</v>
      </c>
      <c r="B1012">
        <v>19</v>
      </c>
      <c r="C1012">
        <v>19</v>
      </c>
      <c r="D1012">
        <v>4</v>
      </c>
      <c r="E1012">
        <v>2252</v>
      </c>
      <c r="F1012">
        <v>5713</v>
      </c>
      <c r="G1012">
        <v>5842</v>
      </c>
      <c r="H1012">
        <v>2931</v>
      </c>
      <c r="I1012">
        <v>448</v>
      </c>
      <c r="J1012">
        <v>1987</v>
      </c>
      <c r="K1012">
        <v>990</v>
      </c>
      <c r="L1012">
        <v>648</v>
      </c>
      <c r="M1012">
        <v>246</v>
      </c>
      <c r="N1012">
        <v>369</v>
      </c>
      <c r="O1012">
        <v>99</v>
      </c>
      <c r="P1012">
        <v>80.381255229999994</v>
      </c>
      <c r="Q1012">
        <v>19.253991240000001</v>
      </c>
      <c r="R1012">
        <v>0.103350369</v>
      </c>
      <c r="S1012">
        <v>857</v>
      </c>
      <c r="T1012">
        <v>195</v>
      </c>
      <c r="U1012">
        <v>978</v>
      </c>
      <c r="V1012">
        <v>4580</v>
      </c>
      <c r="W1012">
        <v>386</v>
      </c>
      <c r="X1012">
        <v>671</v>
      </c>
      <c r="Y1012">
        <v>159</v>
      </c>
      <c r="Z1012">
        <v>128</v>
      </c>
      <c r="AA1012">
        <v>474</v>
      </c>
      <c r="AB1012">
        <v>2</v>
      </c>
      <c r="AC1012">
        <v>49</v>
      </c>
      <c r="AD1012">
        <v>45</v>
      </c>
      <c r="AE1012">
        <v>0</v>
      </c>
      <c r="AF1012">
        <v>0</v>
      </c>
      <c r="AG1012">
        <v>2</v>
      </c>
      <c r="AH1012">
        <v>0</v>
      </c>
      <c r="AI1012">
        <v>53</v>
      </c>
      <c r="AJ1012">
        <v>161</v>
      </c>
      <c r="AK1012">
        <v>2.03965</v>
      </c>
      <c r="AL1012">
        <v>2</v>
      </c>
      <c r="AM1012">
        <v>0</v>
      </c>
      <c r="AN1012">
        <v>2252</v>
      </c>
      <c r="AO1012">
        <v>129</v>
      </c>
      <c r="AP1012">
        <v>0</v>
      </c>
      <c r="AQ1012">
        <v>0</v>
      </c>
    </row>
    <row r="1013" spans="1:43" x14ac:dyDescent="0.25">
      <c r="A1013">
        <v>1010</v>
      </c>
      <c r="B1013">
        <v>19</v>
      </c>
      <c r="C1013">
        <v>19</v>
      </c>
      <c r="D1013">
        <v>4</v>
      </c>
      <c r="E1013">
        <v>1218</v>
      </c>
      <c r="F1013">
        <v>2696</v>
      </c>
      <c r="G1013">
        <v>2704</v>
      </c>
      <c r="H1013">
        <v>1639</v>
      </c>
      <c r="I1013">
        <v>499</v>
      </c>
      <c r="J1013">
        <v>759</v>
      </c>
      <c r="K1013">
        <v>235</v>
      </c>
      <c r="L1013">
        <v>226</v>
      </c>
      <c r="M1013">
        <v>273</v>
      </c>
      <c r="N1013">
        <v>486</v>
      </c>
      <c r="O1013">
        <v>128</v>
      </c>
      <c r="P1013">
        <v>94.202005709999995</v>
      </c>
      <c r="Q1013">
        <v>34.359043710000002</v>
      </c>
      <c r="R1013">
        <v>0.27282157699999998</v>
      </c>
      <c r="S1013">
        <v>1583</v>
      </c>
      <c r="T1013">
        <v>58</v>
      </c>
      <c r="U1013">
        <v>282</v>
      </c>
      <c r="V1013">
        <v>1233</v>
      </c>
      <c r="W1013">
        <v>541</v>
      </c>
      <c r="X1013">
        <v>682</v>
      </c>
      <c r="Y1013">
        <v>73</v>
      </c>
      <c r="Z1013">
        <v>290</v>
      </c>
      <c r="AA1013">
        <v>785</v>
      </c>
      <c r="AB1013">
        <v>2</v>
      </c>
      <c r="AC1013">
        <v>78</v>
      </c>
      <c r="AD1013">
        <v>355</v>
      </c>
      <c r="AE1013">
        <v>0</v>
      </c>
      <c r="AF1013">
        <v>5.0862810219999997</v>
      </c>
      <c r="AG1013">
        <v>2</v>
      </c>
      <c r="AH1013">
        <v>0</v>
      </c>
      <c r="AI1013">
        <v>0</v>
      </c>
      <c r="AJ1013">
        <v>0</v>
      </c>
      <c r="AK1013">
        <v>1.65998</v>
      </c>
      <c r="AL1013">
        <v>2</v>
      </c>
      <c r="AM1013">
        <v>0</v>
      </c>
      <c r="AN1013">
        <v>1218</v>
      </c>
      <c r="AO1013">
        <v>8</v>
      </c>
      <c r="AP1013">
        <v>0</v>
      </c>
      <c r="AQ1013">
        <v>0</v>
      </c>
    </row>
    <row r="1014" spans="1:43" x14ac:dyDescent="0.25">
      <c r="A1014">
        <v>1011</v>
      </c>
      <c r="B1014">
        <v>19</v>
      </c>
      <c r="C1014">
        <v>19</v>
      </c>
      <c r="D1014">
        <v>4</v>
      </c>
      <c r="E1014">
        <v>1582</v>
      </c>
      <c r="F1014">
        <v>3275</v>
      </c>
      <c r="G1014">
        <v>3405</v>
      </c>
      <c r="H1014">
        <v>1945</v>
      </c>
      <c r="I1014">
        <v>627</v>
      </c>
      <c r="J1014">
        <v>976</v>
      </c>
      <c r="K1014">
        <v>513</v>
      </c>
      <c r="L1014">
        <v>377</v>
      </c>
      <c r="M1014">
        <v>274</v>
      </c>
      <c r="N1014">
        <v>417</v>
      </c>
      <c r="O1014">
        <v>153</v>
      </c>
      <c r="P1014">
        <v>80.887970249999995</v>
      </c>
      <c r="Q1014">
        <v>70.501023160000003</v>
      </c>
      <c r="R1014">
        <v>0.20028248600000001</v>
      </c>
      <c r="S1014">
        <v>1694</v>
      </c>
      <c r="T1014">
        <v>137</v>
      </c>
      <c r="U1014">
        <v>362</v>
      </c>
      <c r="V1014">
        <v>1678</v>
      </c>
      <c r="W1014">
        <v>607</v>
      </c>
      <c r="X1014">
        <v>658</v>
      </c>
      <c r="Y1014">
        <v>412</v>
      </c>
      <c r="Z1014">
        <v>330</v>
      </c>
      <c r="AA1014">
        <v>775</v>
      </c>
      <c r="AB1014">
        <v>3</v>
      </c>
      <c r="AC1014">
        <v>57</v>
      </c>
      <c r="AD1014">
        <v>117</v>
      </c>
      <c r="AE1014">
        <v>0</v>
      </c>
      <c r="AF1014">
        <v>9.0422773729999992</v>
      </c>
      <c r="AG1014">
        <v>3</v>
      </c>
      <c r="AH1014">
        <v>54</v>
      </c>
      <c r="AI1014">
        <v>87</v>
      </c>
      <c r="AJ1014">
        <v>90</v>
      </c>
      <c r="AK1014">
        <v>1.82812</v>
      </c>
      <c r="AL1014">
        <v>2</v>
      </c>
      <c r="AM1014">
        <v>0</v>
      </c>
      <c r="AN1014">
        <v>1582</v>
      </c>
      <c r="AO1014">
        <v>130</v>
      </c>
      <c r="AP1014">
        <v>0</v>
      </c>
      <c r="AQ1014">
        <v>0</v>
      </c>
    </row>
    <row r="1015" spans="1:43" x14ac:dyDescent="0.25">
      <c r="A1015">
        <v>1012</v>
      </c>
      <c r="B1015">
        <v>19</v>
      </c>
      <c r="C1015">
        <v>19</v>
      </c>
      <c r="D1015">
        <v>4</v>
      </c>
      <c r="E1015">
        <v>2234</v>
      </c>
      <c r="F1015">
        <v>5498</v>
      </c>
      <c r="G1015">
        <v>5512</v>
      </c>
      <c r="H1015">
        <v>3262</v>
      </c>
      <c r="I1015">
        <v>819</v>
      </c>
      <c r="J1015">
        <v>1442</v>
      </c>
      <c r="K1015">
        <v>681</v>
      </c>
      <c r="L1015">
        <v>440</v>
      </c>
      <c r="M1015">
        <v>428</v>
      </c>
      <c r="N1015">
        <v>704</v>
      </c>
      <c r="O1015">
        <v>182</v>
      </c>
      <c r="P1015">
        <v>151.15430979999999</v>
      </c>
      <c r="Q1015">
        <v>31.863479590000001</v>
      </c>
      <c r="R1015">
        <v>0.134029905</v>
      </c>
      <c r="S1015">
        <v>758</v>
      </c>
      <c r="T1015">
        <v>130</v>
      </c>
      <c r="U1015">
        <v>722</v>
      </c>
      <c r="V1015">
        <v>2923</v>
      </c>
      <c r="W1015">
        <v>967</v>
      </c>
      <c r="X1015">
        <v>619</v>
      </c>
      <c r="Y1015">
        <v>17</v>
      </c>
      <c r="Z1015">
        <v>139</v>
      </c>
      <c r="AA1015">
        <v>450</v>
      </c>
      <c r="AB1015">
        <v>1</v>
      </c>
      <c r="AC1015">
        <v>69</v>
      </c>
      <c r="AD1015">
        <v>82</v>
      </c>
      <c r="AE1015">
        <v>0</v>
      </c>
      <c r="AF1015">
        <v>0</v>
      </c>
      <c r="AG1015">
        <v>3</v>
      </c>
      <c r="AH1015">
        <v>0</v>
      </c>
      <c r="AI1015">
        <v>0</v>
      </c>
      <c r="AJ1015">
        <v>0</v>
      </c>
      <c r="AK1015">
        <v>1.5006200000000001</v>
      </c>
      <c r="AL1015">
        <v>2</v>
      </c>
      <c r="AM1015">
        <v>0</v>
      </c>
      <c r="AN1015">
        <v>2234</v>
      </c>
      <c r="AO1015">
        <v>14</v>
      </c>
      <c r="AP1015">
        <v>0</v>
      </c>
      <c r="AQ1015">
        <v>0</v>
      </c>
    </row>
    <row r="1016" spans="1:43" x14ac:dyDescent="0.25">
      <c r="A1016">
        <v>1013</v>
      </c>
      <c r="B1016">
        <v>19</v>
      </c>
      <c r="C1016">
        <v>19</v>
      </c>
      <c r="D1016">
        <v>4</v>
      </c>
      <c r="E1016">
        <v>1477</v>
      </c>
      <c r="F1016">
        <v>3341</v>
      </c>
      <c r="G1016">
        <v>3341</v>
      </c>
      <c r="H1016">
        <v>1703</v>
      </c>
      <c r="I1016">
        <v>1084</v>
      </c>
      <c r="J1016">
        <v>571</v>
      </c>
      <c r="K1016">
        <v>550</v>
      </c>
      <c r="L1016">
        <v>292</v>
      </c>
      <c r="M1016">
        <v>216</v>
      </c>
      <c r="N1016">
        <v>438</v>
      </c>
      <c r="O1016">
        <v>176</v>
      </c>
      <c r="P1016">
        <v>90.68807194</v>
      </c>
      <c r="Q1016">
        <v>68.052324850000005</v>
      </c>
      <c r="R1016">
        <v>0.19879171500000001</v>
      </c>
      <c r="S1016">
        <v>351</v>
      </c>
      <c r="T1016">
        <v>148</v>
      </c>
      <c r="U1016">
        <v>656</v>
      </c>
      <c r="V1016">
        <v>1153</v>
      </c>
      <c r="W1016">
        <v>835</v>
      </c>
      <c r="X1016">
        <v>580</v>
      </c>
      <c r="Y1016">
        <v>18</v>
      </c>
      <c r="Z1016">
        <v>70</v>
      </c>
      <c r="AA1016">
        <v>185</v>
      </c>
      <c r="AB1016">
        <v>1</v>
      </c>
      <c r="AC1016">
        <v>35</v>
      </c>
      <c r="AD1016">
        <v>42</v>
      </c>
      <c r="AE1016">
        <v>0</v>
      </c>
      <c r="AF1016">
        <v>2.2605693429999998</v>
      </c>
      <c r="AG1016">
        <v>3</v>
      </c>
      <c r="AH1016">
        <v>0</v>
      </c>
      <c r="AI1016">
        <v>0</v>
      </c>
      <c r="AJ1016">
        <v>0</v>
      </c>
      <c r="AK1016">
        <v>1.4995000000000001</v>
      </c>
      <c r="AL1016">
        <v>3</v>
      </c>
      <c r="AM1016">
        <v>0</v>
      </c>
      <c r="AN1016">
        <v>1477</v>
      </c>
      <c r="AO1016">
        <v>0</v>
      </c>
      <c r="AP1016">
        <v>0</v>
      </c>
      <c r="AQ1016">
        <v>0</v>
      </c>
    </row>
    <row r="1017" spans="1:43" x14ac:dyDescent="0.25">
      <c r="A1017">
        <v>1014</v>
      </c>
      <c r="B1017">
        <v>19</v>
      </c>
      <c r="C1017">
        <v>19</v>
      </c>
      <c r="D1017">
        <v>4</v>
      </c>
      <c r="E1017">
        <v>1206</v>
      </c>
      <c r="F1017">
        <v>2225</v>
      </c>
      <c r="G1017">
        <v>2817</v>
      </c>
      <c r="H1017">
        <v>1703</v>
      </c>
      <c r="I1017">
        <v>299</v>
      </c>
      <c r="J1017">
        <v>935</v>
      </c>
      <c r="K1017">
        <v>164</v>
      </c>
      <c r="L1017">
        <v>262</v>
      </c>
      <c r="M1017">
        <v>405</v>
      </c>
      <c r="N1017">
        <v>390</v>
      </c>
      <c r="O1017">
        <v>1042</v>
      </c>
      <c r="P1017">
        <v>10.03176453</v>
      </c>
      <c r="Q1017">
        <v>495.75805609999998</v>
      </c>
      <c r="R1017">
        <v>0.20893076599999999</v>
      </c>
      <c r="S1017">
        <v>14103</v>
      </c>
      <c r="T1017">
        <v>134</v>
      </c>
      <c r="U1017">
        <v>169</v>
      </c>
      <c r="V1017">
        <v>1178</v>
      </c>
      <c r="W1017">
        <v>508</v>
      </c>
      <c r="X1017">
        <v>398</v>
      </c>
      <c r="Y1017">
        <v>1736</v>
      </c>
      <c r="Z1017">
        <v>2990</v>
      </c>
      <c r="AA1017">
        <v>3959</v>
      </c>
      <c r="AB1017">
        <v>140</v>
      </c>
      <c r="AC1017">
        <v>3565</v>
      </c>
      <c r="AD1017">
        <v>1713</v>
      </c>
      <c r="AE1017">
        <v>0</v>
      </c>
      <c r="AF1017">
        <v>0</v>
      </c>
      <c r="AG1017">
        <v>2</v>
      </c>
      <c r="AH1017">
        <v>24</v>
      </c>
      <c r="AI1017">
        <v>0</v>
      </c>
      <c r="AJ1017">
        <v>0</v>
      </c>
      <c r="AK1017">
        <v>2.5952600000000001</v>
      </c>
      <c r="AL1017">
        <v>3</v>
      </c>
      <c r="AM1017">
        <v>0</v>
      </c>
      <c r="AN1017">
        <v>1206</v>
      </c>
      <c r="AO1017">
        <v>592</v>
      </c>
      <c r="AP1017">
        <v>0</v>
      </c>
      <c r="AQ1017">
        <v>0</v>
      </c>
    </row>
    <row r="1018" spans="1:43" x14ac:dyDescent="0.25">
      <c r="A1018">
        <v>1015</v>
      </c>
      <c r="B1018">
        <v>19</v>
      </c>
      <c r="C1018">
        <v>19</v>
      </c>
      <c r="D1018">
        <v>4</v>
      </c>
      <c r="E1018">
        <v>1168</v>
      </c>
      <c r="F1018">
        <v>2797</v>
      </c>
      <c r="G1018">
        <v>2824</v>
      </c>
      <c r="H1018">
        <v>1368</v>
      </c>
      <c r="I1018">
        <v>438</v>
      </c>
      <c r="J1018">
        <v>818</v>
      </c>
      <c r="K1018">
        <v>487</v>
      </c>
      <c r="L1018">
        <v>238</v>
      </c>
      <c r="M1018">
        <v>171</v>
      </c>
      <c r="N1018">
        <v>273</v>
      </c>
      <c r="O1018">
        <v>114</v>
      </c>
      <c r="P1018">
        <v>50.323685959999999</v>
      </c>
      <c r="Q1018">
        <v>65.086852759999999</v>
      </c>
      <c r="R1018">
        <v>0.15551115600000001</v>
      </c>
      <c r="S1018">
        <v>999</v>
      </c>
      <c r="T1018">
        <v>74</v>
      </c>
      <c r="U1018">
        <v>489</v>
      </c>
      <c r="V1018">
        <v>1207</v>
      </c>
      <c r="W1018">
        <v>856</v>
      </c>
      <c r="X1018">
        <v>279</v>
      </c>
      <c r="Y1018">
        <v>150</v>
      </c>
      <c r="Z1018">
        <v>121</v>
      </c>
      <c r="AA1018">
        <v>666</v>
      </c>
      <c r="AB1018">
        <v>1</v>
      </c>
      <c r="AC1018">
        <v>21</v>
      </c>
      <c r="AD1018">
        <v>40</v>
      </c>
      <c r="AE1018">
        <v>0</v>
      </c>
      <c r="AF1018">
        <v>1.6954270069999999</v>
      </c>
      <c r="AG1018">
        <v>3</v>
      </c>
      <c r="AH1018">
        <v>0</v>
      </c>
      <c r="AI1018">
        <v>0</v>
      </c>
      <c r="AJ1018">
        <v>0</v>
      </c>
      <c r="AK1018">
        <v>1.8601300000000001</v>
      </c>
      <c r="AL1018">
        <v>3</v>
      </c>
      <c r="AM1018">
        <v>0</v>
      </c>
      <c r="AN1018">
        <v>1168</v>
      </c>
      <c r="AO1018">
        <v>27</v>
      </c>
      <c r="AP1018">
        <v>0</v>
      </c>
      <c r="AQ1018">
        <v>0</v>
      </c>
    </row>
    <row r="1019" spans="1:43" x14ac:dyDescent="0.25">
      <c r="A1019">
        <v>1016</v>
      </c>
      <c r="B1019">
        <v>19</v>
      </c>
      <c r="C1019">
        <v>19</v>
      </c>
      <c r="D1019">
        <v>4</v>
      </c>
      <c r="E1019">
        <v>2097</v>
      </c>
      <c r="F1019">
        <v>4363</v>
      </c>
      <c r="G1019">
        <v>4493</v>
      </c>
      <c r="H1019">
        <v>1793</v>
      </c>
      <c r="I1019">
        <v>805</v>
      </c>
      <c r="J1019">
        <v>1300</v>
      </c>
      <c r="K1019">
        <v>970</v>
      </c>
      <c r="L1019">
        <v>372</v>
      </c>
      <c r="M1019">
        <v>388</v>
      </c>
      <c r="N1019">
        <v>341</v>
      </c>
      <c r="O1019">
        <v>184</v>
      </c>
      <c r="P1019">
        <v>159.05295100000001</v>
      </c>
      <c r="Q1019">
        <v>30</v>
      </c>
      <c r="R1019">
        <v>0.247719298</v>
      </c>
      <c r="S1019">
        <v>942</v>
      </c>
      <c r="T1019">
        <v>227</v>
      </c>
      <c r="U1019">
        <v>626</v>
      </c>
      <c r="V1019">
        <v>1395</v>
      </c>
      <c r="W1019">
        <v>1046</v>
      </c>
      <c r="X1019">
        <v>856</v>
      </c>
      <c r="Y1019">
        <v>93</v>
      </c>
      <c r="Z1019">
        <v>172</v>
      </c>
      <c r="AA1019">
        <v>537</v>
      </c>
      <c r="AB1019">
        <v>1</v>
      </c>
      <c r="AC1019">
        <v>79</v>
      </c>
      <c r="AD1019">
        <v>60</v>
      </c>
      <c r="AE1019">
        <v>0</v>
      </c>
      <c r="AF1019">
        <v>1.6954270069999999</v>
      </c>
      <c r="AG1019">
        <v>3</v>
      </c>
      <c r="AH1019">
        <v>0</v>
      </c>
      <c r="AI1019">
        <v>0</v>
      </c>
      <c r="AJ1019">
        <v>0</v>
      </c>
      <c r="AK1019">
        <v>1.82935</v>
      </c>
      <c r="AL1019">
        <v>2</v>
      </c>
      <c r="AM1019">
        <v>0</v>
      </c>
      <c r="AN1019">
        <v>2097</v>
      </c>
      <c r="AO1019">
        <v>130</v>
      </c>
      <c r="AP1019">
        <v>0</v>
      </c>
      <c r="AQ1019">
        <v>0</v>
      </c>
    </row>
    <row r="1020" spans="1:43" x14ac:dyDescent="0.25">
      <c r="A1020">
        <v>1017</v>
      </c>
      <c r="B1020">
        <v>19</v>
      </c>
      <c r="C1020">
        <v>19</v>
      </c>
      <c r="D1020">
        <v>4</v>
      </c>
      <c r="E1020">
        <v>1916</v>
      </c>
      <c r="F1020">
        <v>4213</v>
      </c>
      <c r="G1020">
        <v>4313</v>
      </c>
      <c r="H1020">
        <v>2637</v>
      </c>
      <c r="I1020">
        <v>846</v>
      </c>
      <c r="J1020">
        <v>1144</v>
      </c>
      <c r="K1020">
        <v>611</v>
      </c>
      <c r="L1020">
        <v>468</v>
      </c>
      <c r="M1020">
        <v>257</v>
      </c>
      <c r="N1020">
        <v>583</v>
      </c>
      <c r="O1020">
        <v>175</v>
      </c>
      <c r="P1020">
        <v>162.06264619999999</v>
      </c>
      <c r="Q1020">
        <v>14.532273180000001</v>
      </c>
      <c r="R1020">
        <v>0.16413166900000001</v>
      </c>
      <c r="S1020">
        <v>1108</v>
      </c>
      <c r="T1020">
        <v>141</v>
      </c>
      <c r="U1020">
        <v>410</v>
      </c>
      <c r="V1020">
        <v>1965</v>
      </c>
      <c r="W1020">
        <v>1183</v>
      </c>
      <c r="X1020">
        <v>577</v>
      </c>
      <c r="Y1020">
        <v>48</v>
      </c>
      <c r="Z1020">
        <v>198</v>
      </c>
      <c r="AA1020">
        <v>736</v>
      </c>
      <c r="AB1020">
        <v>3</v>
      </c>
      <c r="AC1020">
        <v>47</v>
      </c>
      <c r="AD1020">
        <v>76</v>
      </c>
      <c r="AE1020">
        <v>73.468503650000002</v>
      </c>
      <c r="AF1020">
        <v>0</v>
      </c>
      <c r="AG1020">
        <v>3</v>
      </c>
      <c r="AH1020">
        <v>0</v>
      </c>
      <c r="AI1020">
        <v>0</v>
      </c>
      <c r="AJ1020">
        <v>0</v>
      </c>
      <c r="AK1020">
        <v>1.5211699999999999</v>
      </c>
      <c r="AL1020">
        <v>2</v>
      </c>
      <c r="AM1020">
        <v>0</v>
      </c>
      <c r="AN1020">
        <v>1916</v>
      </c>
      <c r="AO1020">
        <v>100</v>
      </c>
      <c r="AP1020">
        <v>0</v>
      </c>
      <c r="AQ1020">
        <v>0</v>
      </c>
    </row>
    <row r="1021" spans="1:43" x14ac:dyDescent="0.25">
      <c r="A1021">
        <v>1018</v>
      </c>
      <c r="B1021">
        <v>19</v>
      </c>
      <c r="C1021">
        <v>19</v>
      </c>
      <c r="D1021">
        <v>4</v>
      </c>
      <c r="E1021">
        <v>2222</v>
      </c>
      <c r="F1021">
        <v>4674</v>
      </c>
      <c r="G1021">
        <v>4984</v>
      </c>
      <c r="H1021">
        <v>2251</v>
      </c>
      <c r="I1021">
        <v>134</v>
      </c>
      <c r="J1021">
        <v>2448</v>
      </c>
      <c r="K1021">
        <v>1136</v>
      </c>
      <c r="L1021">
        <v>580</v>
      </c>
      <c r="M1021">
        <v>346</v>
      </c>
      <c r="N1021">
        <v>158</v>
      </c>
      <c r="O1021">
        <v>134</v>
      </c>
      <c r="P1021">
        <v>57.691763420000001</v>
      </c>
      <c r="Q1021">
        <v>78</v>
      </c>
      <c r="R1021">
        <v>7.8106030000000007E-2</v>
      </c>
      <c r="S1021">
        <v>7385</v>
      </c>
      <c r="T1021">
        <v>45</v>
      </c>
      <c r="U1021">
        <v>723</v>
      </c>
      <c r="V1021">
        <v>3106</v>
      </c>
      <c r="W1021">
        <v>659</v>
      </c>
      <c r="X1021">
        <v>213</v>
      </c>
      <c r="Y1021">
        <v>400</v>
      </c>
      <c r="Z1021">
        <v>1795</v>
      </c>
      <c r="AA1021">
        <v>3664</v>
      </c>
      <c r="AB1021">
        <v>15</v>
      </c>
      <c r="AC1021">
        <v>308</v>
      </c>
      <c r="AD1021">
        <v>1203</v>
      </c>
      <c r="AE1021">
        <v>129.9827372</v>
      </c>
      <c r="AF1021">
        <v>155.97928469999999</v>
      </c>
      <c r="AG1021">
        <v>1</v>
      </c>
      <c r="AH1021">
        <v>3218</v>
      </c>
      <c r="AI1021">
        <v>1391</v>
      </c>
      <c r="AJ1021">
        <v>9898</v>
      </c>
      <c r="AK1021">
        <v>4.00509</v>
      </c>
      <c r="AL1021">
        <v>2</v>
      </c>
      <c r="AM1021">
        <v>0</v>
      </c>
      <c r="AN1021">
        <v>2222</v>
      </c>
      <c r="AO1021">
        <v>310</v>
      </c>
      <c r="AP1021">
        <v>0</v>
      </c>
      <c r="AQ1021">
        <v>0</v>
      </c>
    </row>
    <row r="1022" spans="1:43" x14ac:dyDescent="0.25">
      <c r="A1022">
        <v>1019</v>
      </c>
      <c r="B1022">
        <v>19</v>
      </c>
      <c r="C1022">
        <v>19</v>
      </c>
      <c r="D1022">
        <v>4</v>
      </c>
      <c r="E1022">
        <v>183</v>
      </c>
      <c r="F1022">
        <v>265</v>
      </c>
      <c r="G1022">
        <v>1066</v>
      </c>
      <c r="H1022">
        <v>120</v>
      </c>
      <c r="I1022">
        <v>42</v>
      </c>
      <c r="J1022">
        <v>154</v>
      </c>
      <c r="K1022">
        <v>109</v>
      </c>
      <c r="L1022">
        <v>52</v>
      </c>
      <c r="M1022">
        <v>12</v>
      </c>
      <c r="N1022">
        <v>15</v>
      </c>
      <c r="O1022">
        <v>419</v>
      </c>
      <c r="P1022">
        <v>13</v>
      </c>
      <c r="Q1022">
        <v>406</v>
      </c>
      <c r="R1022">
        <v>2.0168067000000001E-2</v>
      </c>
      <c r="S1022">
        <v>540</v>
      </c>
      <c r="T1022">
        <v>0</v>
      </c>
      <c r="U1022">
        <v>345</v>
      </c>
      <c r="V1022">
        <v>725</v>
      </c>
      <c r="W1022">
        <v>71</v>
      </c>
      <c r="X1022">
        <v>12</v>
      </c>
      <c r="Y1022">
        <v>33</v>
      </c>
      <c r="Z1022">
        <v>150</v>
      </c>
      <c r="AA1022">
        <v>264</v>
      </c>
      <c r="AB1022">
        <v>1</v>
      </c>
      <c r="AC1022">
        <v>23</v>
      </c>
      <c r="AD1022">
        <v>69</v>
      </c>
      <c r="AE1022">
        <v>127.1570256</v>
      </c>
      <c r="AF1022">
        <v>0</v>
      </c>
      <c r="AG1022">
        <v>1</v>
      </c>
      <c r="AH1022">
        <v>0</v>
      </c>
      <c r="AI1022">
        <v>42652</v>
      </c>
      <c r="AJ1022">
        <v>5904</v>
      </c>
      <c r="AK1022">
        <v>3.5831</v>
      </c>
      <c r="AL1022">
        <v>1</v>
      </c>
      <c r="AM1022">
        <v>0</v>
      </c>
      <c r="AN1022">
        <v>183</v>
      </c>
      <c r="AO1022">
        <v>801</v>
      </c>
      <c r="AP1022">
        <v>0</v>
      </c>
      <c r="AQ1022">
        <v>0</v>
      </c>
    </row>
    <row r="1023" spans="1:43" x14ac:dyDescent="0.25">
      <c r="A1023">
        <v>1020</v>
      </c>
      <c r="B1023">
        <v>19</v>
      </c>
      <c r="C1023">
        <v>19</v>
      </c>
      <c r="D1023">
        <v>4</v>
      </c>
      <c r="E1023">
        <v>1981</v>
      </c>
      <c r="F1023">
        <v>3481</v>
      </c>
      <c r="G1023">
        <v>5292</v>
      </c>
      <c r="H1023">
        <v>2290</v>
      </c>
      <c r="I1023">
        <v>379</v>
      </c>
      <c r="J1023">
        <v>1822</v>
      </c>
      <c r="K1023">
        <v>958</v>
      </c>
      <c r="L1023">
        <v>428</v>
      </c>
      <c r="M1023">
        <v>315</v>
      </c>
      <c r="N1023">
        <v>306</v>
      </c>
      <c r="O1023">
        <v>116</v>
      </c>
      <c r="P1023">
        <v>91</v>
      </c>
      <c r="Q1023">
        <v>27.494551820000002</v>
      </c>
      <c r="R1023">
        <v>0.116160587</v>
      </c>
      <c r="S1023">
        <v>525</v>
      </c>
      <c r="T1023">
        <v>82</v>
      </c>
      <c r="U1023">
        <v>782</v>
      </c>
      <c r="V1023">
        <v>2553</v>
      </c>
      <c r="W1023">
        <v>886</v>
      </c>
      <c r="X1023">
        <v>440</v>
      </c>
      <c r="Y1023">
        <v>11</v>
      </c>
      <c r="Z1023">
        <v>122</v>
      </c>
      <c r="AA1023">
        <v>324</v>
      </c>
      <c r="AB1023">
        <v>2</v>
      </c>
      <c r="AC1023">
        <v>25</v>
      </c>
      <c r="AD1023">
        <v>41</v>
      </c>
      <c r="AE1023">
        <v>42.38567518</v>
      </c>
      <c r="AF1023">
        <v>11.86798905</v>
      </c>
      <c r="AG1023">
        <v>1</v>
      </c>
      <c r="AH1023">
        <v>0</v>
      </c>
      <c r="AI1023">
        <v>181</v>
      </c>
      <c r="AJ1023">
        <v>232</v>
      </c>
      <c r="AK1023">
        <v>3.3190900000000001</v>
      </c>
      <c r="AL1023">
        <v>1</v>
      </c>
      <c r="AM1023">
        <v>0</v>
      </c>
      <c r="AN1023">
        <v>1981</v>
      </c>
      <c r="AO1023">
        <v>1811</v>
      </c>
      <c r="AP1023">
        <v>0</v>
      </c>
      <c r="AQ1023">
        <v>0</v>
      </c>
    </row>
    <row r="1024" spans="1:43" x14ac:dyDescent="0.25">
      <c r="A1024">
        <v>1021</v>
      </c>
      <c r="B1024">
        <v>19</v>
      </c>
      <c r="C1024">
        <v>19</v>
      </c>
      <c r="D1024">
        <v>4</v>
      </c>
      <c r="E1024">
        <v>1701</v>
      </c>
      <c r="F1024">
        <v>3694</v>
      </c>
      <c r="G1024">
        <v>3717</v>
      </c>
      <c r="H1024">
        <v>1930</v>
      </c>
      <c r="I1024">
        <v>255</v>
      </c>
      <c r="J1024">
        <v>1629</v>
      </c>
      <c r="K1024">
        <v>625</v>
      </c>
      <c r="L1024">
        <v>442</v>
      </c>
      <c r="M1024">
        <v>224</v>
      </c>
      <c r="N1024">
        <v>422</v>
      </c>
      <c r="O1024">
        <v>115</v>
      </c>
      <c r="P1024">
        <v>49.300991330000002</v>
      </c>
      <c r="Q1024">
        <v>67.331160620000006</v>
      </c>
      <c r="R1024">
        <v>0.13411458300000001</v>
      </c>
      <c r="S1024">
        <v>14894</v>
      </c>
      <c r="T1024">
        <v>146</v>
      </c>
      <c r="U1024">
        <v>83</v>
      </c>
      <c r="V1024">
        <v>2499</v>
      </c>
      <c r="W1024">
        <v>550</v>
      </c>
      <c r="X1024">
        <v>438</v>
      </c>
      <c r="Y1024">
        <v>100</v>
      </c>
      <c r="Z1024">
        <v>375</v>
      </c>
      <c r="AA1024">
        <v>14143</v>
      </c>
      <c r="AB1024">
        <v>2</v>
      </c>
      <c r="AC1024">
        <v>66</v>
      </c>
      <c r="AD1024">
        <v>208</v>
      </c>
      <c r="AE1024">
        <v>103.98618980000001</v>
      </c>
      <c r="AF1024">
        <v>40.125105840000003</v>
      </c>
      <c r="AG1024">
        <v>2</v>
      </c>
      <c r="AH1024">
        <v>76</v>
      </c>
      <c r="AI1024">
        <v>0</v>
      </c>
      <c r="AJ1024">
        <v>0</v>
      </c>
      <c r="AK1024">
        <v>3.4361899999999999</v>
      </c>
      <c r="AL1024">
        <v>2</v>
      </c>
      <c r="AM1024">
        <v>0</v>
      </c>
      <c r="AN1024">
        <v>1701</v>
      </c>
      <c r="AO1024">
        <v>23</v>
      </c>
      <c r="AP1024">
        <v>0</v>
      </c>
      <c r="AQ1024">
        <v>0</v>
      </c>
    </row>
    <row r="1025" spans="1:43" x14ac:dyDescent="0.25">
      <c r="A1025">
        <v>1022</v>
      </c>
      <c r="B1025">
        <v>19</v>
      </c>
      <c r="C1025">
        <v>19</v>
      </c>
      <c r="D1025">
        <v>4</v>
      </c>
      <c r="E1025">
        <v>1672</v>
      </c>
      <c r="F1025">
        <v>3368</v>
      </c>
      <c r="G1025">
        <v>3377</v>
      </c>
      <c r="H1025">
        <v>1655</v>
      </c>
      <c r="I1025">
        <v>629</v>
      </c>
      <c r="J1025">
        <v>1188</v>
      </c>
      <c r="K1025">
        <v>438</v>
      </c>
      <c r="L1025">
        <v>478</v>
      </c>
      <c r="M1025">
        <v>345</v>
      </c>
      <c r="N1025">
        <v>402</v>
      </c>
      <c r="O1025">
        <v>136</v>
      </c>
      <c r="P1025">
        <v>80.001140509999999</v>
      </c>
      <c r="Q1025">
        <v>24.87990357</v>
      </c>
      <c r="R1025">
        <v>0.206298758</v>
      </c>
      <c r="S1025">
        <v>3177</v>
      </c>
      <c r="T1025">
        <v>98</v>
      </c>
      <c r="U1025">
        <v>485</v>
      </c>
      <c r="V1025">
        <v>1431</v>
      </c>
      <c r="W1025">
        <v>698</v>
      </c>
      <c r="X1025">
        <v>648</v>
      </c>
      <c r="Y1025">
        <v>115</v>
      </c>
      <c r="Z1025">
        <v>2605</v>
      </c>
      <c r="AA1025">
        <v>277</v>
      </c>
      <c r="AB1025">
        <v>2</v>
      </c>
      <c r="AC1025">
        <v>130</v>
      </c>
      <c r="AD1025">
        <v>48</v>
      </c>
      <c r="AE1025">
        <v>0</v>
      </c>
      <c r="AF1025">
        <v>2.2605693429999998</v>
      </c>
      <c r="AG1025">
        <v>3</v>
      </c>
      <c r="AH1025">
        <v>0</v>
      </c>
      <c r="AI1025">
        <v>0</v>
      </c>
      <c r="AJ1025">
        <v>0</v>
      </c>
      <c r="AK1025">
        <v>1.71672</v>
      </c>
      <c r="AL1025">
        <v>2</v>
      </c>
      <c r="AM1025">
        <v>0</v>
      </c>
      <c r="AN1025">
        <v>1672</v>
      </c>
      <c r="AO1025">
        <v>9</v>
      </c>
      <c r="AP1025">
        <v>0</v>
      </c>
      <c r="AQ1025">
        <v>0</v>
      </c>
    </row>
    <row r="1026" spans="1:43" x14ac:dyDescent="0.25">
      <c r="A1026">
        <v>1023</v>
      </c>
      <c r="B1026">
        <v>19</v>
      </c>
      <c r="C1026">
        <v>19</v>
      </c>
      <c r="D1026">
        <v>4</v>
      </c>
      <c r="E1026">
        <v>1518</v>
      </c>
      <c r="F1026">
        <v>3334</v>
      </c>
      <c r="G1026">
        <v>3344</v>
      </c>
      <c r="H1026">
        <v>1814</v>
      </c>
      <c r="I1026">
        <v>865</v>
      </c>
      <c r="J1026">
        <v>736</v>
      </c>
      <c r="K1026">
        <v>335</v>
      </c>
      <c r="L1026">
        <v>426</v>
      </c>
      <c r="M1026">
        <v>269</v>
      </c>
      <c r="N1026">
        <v>476</v>
      </c>
      <c r="O1026">
        <v>167</v>
      </c>
      <c r="P1026">
        <v>105.2650009</v>
      </c>
      <c r="Q1026">
        <v>59.712771650000001</v>
      </c>
      <c r="R1026">
        <v>0.147374702</v>
      </c>
      <c r="S1026">
        <v>1141</v>
      </c>
      <c r="T1026">
        <v>124</v>
      </c>
      <c r="U1026">
        <v>601</v>
      </c>
      <c r="V1026">
        <v>1253</v>
      </c>
      <c r="W1026">
        <v>863</v>
      </c>
      <c r="X1026">
        <v>412</v>
      </c>
      <c r="Y1026">
        <v>131</v>
      </c>
      <c r="Z1026">
        <v>90</v>
      </c>
      <c r="AA1026">
        <v>763</v>
      </c>
      <c r="AB1026">
        <v>3</v>
      </c>
      <c r="AC1026">
        <v>65</v>
      </c>
      <c r="AD1026">
        <v>89</v>
      </c>
      <c r="AE1026">
        <v>19.779981750000001</v>
      </c>
      <c r="AF1026">
        <v>1.6954270069999999</v>
      </c>
      <c r="AG1026">
        <v>3</v>
      </c>
      <c r="AH1026">
        <v>0</v>
      </c>
      <c r="AI1026">
        <v>0</v>
      </c>
      <c r="AJ1026">
        <v>0</v>
      </c>
      <c r="AK1026">
        <v>1.4729099999999999</v>
      </c>
      <c r="AL1026">
        <v>2</v>
      </c>
      <c r="AM1026">
        <v>0</v>
      </c>
      <c r="AN1026">
        <v>1518</v>
      </c>
      <c r="AO1026">
        <v>10</v>
      </c>
      <c r="AP1026">
        <v>0</v>
      </c>
      <c r="AQ1026">
        <v>0</v>
      </c>
    </row>
    <row r="1027" spans="1:43" x14ac:dyDescent="0.25">
      <c r="A1027">
        <v>1024</v>
      </c>
      <c r="B1027">
        <v>19</v>
      </c>
      <c r="C1027">
        <v>19</v>
      </c>
      <c r="D1027">
        <v>4</v>
      </c>
      <c r="E1027">
        <v>1355</v>
      </c>
      <c r="F1027">
        <v>3093</v>
      </c>
      <c r="G1027">
        <v>3093</v>
      </c>
      <c r="H1027">
        <v>1798</v>
      </c>
      <c r="I1027">
        <v>725</v>
      </c>
      <c r="J1027">
        <v>636</v>
      </c>
      <c r="K1027">
        <v>316</v>
      </c>
      <c r="L1027">
        <v>295</v>
      </c>
      <c r="M1027">
        <v>324</v>
      </c>
      <c r="N1027">
        <v>429</v>
      </c>
      <c r="O1027">
        <v>136</v>
      </c>
      <c r="P1027">
        <v>81.705890210000007</v>
      </c>
      <c r="Q1027">
        <v>49.160928640000002</v>
      </c>
      <c r="R1027">
        <v>0.20561357699999999</v>
      </c>
      <c r="S1027">
        <v>527</v>
      </c>
      <c r="T1027">
        <v>126</v>
      </c>
      <c r="U1027">
        <v>380</v>
      </c>
      <c r="V1027">
        <v>1046</v>
      </c>
      <c r="W1027">
        <v>870</v>
      </c>
      <c r="X1027">
        <v>549</v>
      </c>
      <c r="Y1027">
        <v>82</v>
      </c>
      <c r="Z1027">
        <v>104</v>
      </c>
      <c r="AA1027">
        <v>240</v>
      </c>
      <c r="AB1027">
        <v>2</v>
      </c>
      <c r="AC1027">
        <v>46</v>
      </c>
      <c r="AD1027">
        <v>53</v>
      </c>
      <c r="AE1027">
        <v>0</v>
      </c>
      <c r="AF1027">
        <v>0</v>
      </c>
      <c r="AG1027">
        <v>3</v>
      </c>
      <c r="AH1027">
        <v>0</v>
      </c>
      <c r="AI1027">
        <v>0</v>
      </c>
      <c r="AJ1027">
        <v>0</v>
      </c>
      <c r="AK1027">
        <v>1.45072</v>
      </c>
      <c r="AL1027">
        <v>3</v>
      </c>
      <c r="AM1027">
        <v>0</v>
      </c>
      <c r="AN1027">
        <v>1355</v>
      </c>
      <c r="AO1027">
        <v>0</v>
      </c>
      <c r="AP1027">
        <v>0</v>
      </c>
      <c r="AQ1027">
        <v>0</v>
      </c>
    </row>
    <row r="1028" spans="1:43" x14ac:dyDescent="0.25">
      <c r="A1028">
        <v>1025</v>
      </c>
      <c r="B1028">
        <v>19</v>
      </c>
      <c r="C1028">
        <v>19</v>
      </c>
      <c r="D1028">
        <v>4</v>
      </c>
      <c r="E1028">
        <v>1764</v>
      </c>
      <c r="F1028">
        <v>4271</v>
      </c>
      <c r="G1028">
        <v>4277</v>
      </c>
      <c r="H1028">
        <v>2470</v>
      </c>
      <c r="I1028">
        <v>1110</v>
      </c>
      <c r="J1028">
        <v>617</v>
      </c>
      <c r="K1028">
        <v>350</v>
      </c>
      <c r="L1028">
        <v>308</v>
      </c>
      <c r="M1028">
        <v>357</v>
      </c>
      <c r="N1028">
        <v>758</v>
      </c>
      <c r="O1028">
        <v>210</v>
      </c>
      <c r="P1028">
        <v>157</v>
      </c>
      <c r="Q1028">
        <v>45.70734109</v>
      </c>
      <c r="R1028">
        <v>0.21119349400000001</v>
      </c>
      <c r="S1028">
        <v>780</v>
      </c>
      <c r="T1028">
        <v>144</v>
      </c>
      <c r="U1028">
        <v>717</v>
      </c>
      <c r="V1028">
        <v>1391</v>
      </c>
      <c r="W1028">
        <v>1129</v>
      </c>
      <c r="X1028">
        <v>688</v>
      </c>
      <c r="Y1028">
        <v>68</v>
      </c>
      <c r="Z1028">
        <v>99</v>
      </c>
      <c r="AA1028">
        <v>463</v>
      </c>
      <c r="AB1028">
        <v>2</v>
      </c>
      <c r="AC1028">
        <v>60</v>
      </c>
      <c r="AD1028">
        <v>88</v>
      </c>
      <c r="AE1028">
        <v>0</v>
      </c>
      <c r="AF1028">
        <v>0</v>
      </c>
      <c r="AG1028">
        <v>4</v>
      </c>
      <c r="AH1028">
        <v>0</v>
      </c>
      <c r="AI1028">
        <v>0</v>
      </c>
      <c r="AJ1028">
        <v>0</v>
      </c>
      <c r="AK1028">
        <v>1.37774</v>
      </c>
      <c r="AL1028">
        <v>2</v>
      </c>
      <c r="AM1028">
        <v>0</v>
      </c>
      <c r="AN1028">
        <v>1764</v>
      </c>
      <c r="AO1028">
        <v>6</v>
      </c>
      <c r="AP1028">
        <v>0</v>
      </c>
      <c r="AQ1028">
        <v>0</v>
      </c>
    </row>
    <row r="1029" spans="1:43" x14ac:dyDescent="0.25">
      <c r="A1029">
        <v>1026</v>
      </c>
      <c r="B1029">
        <v>19</v>
      </c>
      <c r="C1029">
        <v>19</v>
      </c>
      <c r="D1029">
        <v>4</v>
      </c>
      <c r="E1029">
        <v>845</v>
      </c>
      <c r="F1029">
        <v>1898</v>
      </c>
      <c r="G1029">
        <v>1898</v>
      </c>
      <c r="H1029">
        <v>1047</v>
      </c>
      <c r="I1029">
        <v>606</v>
      </c>
      <c r="J1029">
        <v>218</v>
      </c>
      <c r="K1029">
        <v>115</v>
      </c>
      <c r="L1029">
        <v>126</v>
      </c>
      <c r="M1029">
        <v>234</v>
      </c>
      <c r="N1029">
        <v>362</v>
      </c>
      <c r="O1029">
        <v>133</v>
      </c>
      <c r="P1029">
        <v>104</v>
      </c>
      <c r="Q1029">
        <v>29.062144050000001</v>
      </c>
      <c r="R1029">
        <v>0.30131445899999998</v>
      </c>
      <c r="S1029">
        <v>509</v>
      </c>
      <c r="T1029">
        <v>46</v>
      </c>
      <c r="U1029">
        <v>272</v>
      </c>
      <c r="V1029">
        <v>593</v>
      </c>
      <c r="W1029">
        <v>578</v>
      </c>
      <c r="X1029">
        <v>434</v>
      </c>
      <c r="Y1029">
        <v>89</v>
      </c>
      <c r="Z1029">
        <v>64</v>
      </c>
      <c r="AA1029">
        <v>289</v>
      </c>
      <c r="AB1029">
        <v>1</v>
      </c>
      <c r="AC1029">
        <v>25</v>
      </c>
      <c r="AD1029">
        <v>41</v>
      </c>
      <c r="AE1029">
        <v>0</v>
      </c>
      <c r="AF1029">
        <v>0</v>
      </c>
      <c r="AG1029">
        <v>4</v>
      </c>
      <c r="AH1029">
        <v>0</v>
      </c>
      <c r="AI1029">
        <v>0</v>
      </c>
      <c r="AJ1029">
        <v>0</v>
      </c>
      <c r="AK1029">
        <v>1.2936399999999999</v>
      </c>
      <c r="AL1029">
        <v>1</v>
      </c>
      <c r="AM1029">
        <v>0</v>
      </c>
      <c r="AN1029">
        <v>845</v>
      </c>
      <c r="AO1029">
        <v>0</v>
      </c>
      <c r="AP1029">
        <v>0</v>
      </c>
      <c r="AQ1029">
        <v>0</v>
      </c>
    </row>
    <row r="1030" spans="1:43" x14ac:dyDescent="0.25">
      <c r="A1030">
        <v>1027</v>
      </c>
      <c r="B1030">
        <v>19</v>
      </c>
      <c r="C1030">
        <v>19</v>
      </c>
      <c r="D1030">
        <v>4</v>
      </c>
      <c r="E1030">
        <v>1842</v>
      </c>
      <c r="F1030">
        <v>3650</v>
      </c>
      <c r="G1030">
        <v>3661</v>
      </c>
      <c r="H1030">
        <v>1923</v>
      </c>
      <c r="I1030">
        <v>591</v>
      </c>
      <c r="J1030">
        <v>1313</v>
      </c>
      <c r="K1030">
        <v>581</v>
      </c>
      <c r="L1030">
        <v>331</v>
      </c>
      <c r="M1030">
        <v>451</v>
      </c>
      <c r="N1030">
        <v>471</v>
      </c>
      <c r="O1030">
        <v>144</v>
      </c>
      <c r="P1030">
        <v>113</v>
      </c>
      <c r="Q1030">
        <v>26.717653479999999</v>
      </c>
      <c r="R1030">
        <v>0.26005941100000002</v>
      </c>
      <c r="S1030">
        <v>1631</v>
      </c>
      <c r="T1030">
        <v>151</v>
      </c>
      <c r="U1030">
        <v>346</v>
      </c>
      <c r="V1030">
        <v>1545</v>
      </c>
      <c r="W1030">
        <v>666</v>
      </c>
      <c r="X1030">
        <v>884</v>
      </c>
      <c r="Y1030">
        <v>291</v>
      </c>
      <c r="Z1030">
        <v>297</v>
      </c>
      <c r="AA1030">
        <v>855</v>
      </c>
      <c r="AB1030">
        <v>3</v>
      </c>
      <c r="AC1030">
        <v>73</v>
      </c>
      <c r="AD1030">
        <v>112</v>
      </c>
      <c r="AE1030">
        <v>0</v>
      </c>
      <c r="AF1030">
        <v>14.69370073</v>
      </c>
      <c r="AG1030">
        <v>2</v>
      </c>
      <c r="AH1030">
        <v>0</v>
      </c>
      <c r="AI1030">
        <v>0</v>
      </c>
      <c r="AJ1030">
        <v>0</v>
      </c>
      <c r="AK1030">
        <v>3.7606299999999999</v>
      </c>
      <c r="AL1030">
        <v>1</v>
      </c>
      <c r="AM1030">
        <v>0</v>
      </c>
      <c r="AN1030">
        <v>1842</v>
      </c>
      <c r="AO1030">
        <v>11</v>
      </c>
      <c r="AP1030">
        <v>0</v>
      </c>
      <c r="AQ1030">
        <v>0</v>
      </c>
    </row>
    <row r="1031" spans="1:43" x14ac:dyDescent="0.25">
      <c r="A1031">
        <v>1028</v>
      </c>
      <c r="B1031">
        <v>19</v>
      </c>
      <c r="C1031">
        <v>19</v>
      </c>
      <c r="D1031">
        <v>4</v>
      </c>
      <c r="E1031">
        <v>1547</v>
      </c>
      <c r="F1031">
        <v>3945</v>
      </c>
      <c r="G1031">
        <v>3989</v>
      </c>
      <c r="H1031">
        <v>1668</v>
      </c>
      <c r="I1031">
        <v>1386</v>
      </c>
      <c r="J1031">
        <v>243</v>
      </c>
      <c r="K1031">
        <v>185</v>
      </c>
      <c r="L1031">
        <v>171</v>
      </c>
      <c r="M1031">
        <v>289</v>
      </c>
      <c r="N1031">
        <v>892</v>
      </c>
      <c r="O1031">
        <v>349</v>
      </c>
      <c r="P1031">
        <v>313</v>
      </c>
      <c r="Q1031">
        <v>27</v>
      </c>
      <c r="R1031">
        <v>0.28300415800000001</v>
      </c>
      <c r="S1031">
        <v>327</v>
      </c>
      <c r="T1031">
        <v>145</v>
      </c>
      <c r="U1031">
        <v>653</v>
      </c>
      <c r="V1031">
        <v>927</v>
      </c>
      <c r="W1031">
        <v>1063</v>
      </c>
      <c r="X1031">
        <v>943</v>
      </c>
      <c r="Y1031">
        <v>10</v>
      </c>
      <c r="Z1031">
        <v>104</v>
      </c>
      <c r="AA1031">
        <v>123</v>
      </c>
      <c r="AB1031">
        <v>1</v>
      </c>
      <c r="AC1031">
        <v>24</v>
      </c>
      <c r="AD1031">
        <v>65</v>
      </c>
      <c r="AE1031">
        <v>0</v>
      </c>
      <c r="AF1031">
        <v>0</v>
      </c>
      <c r="AG1031">
        <v>4</v>
      </c>
      <c r="AH1031">
        <v>0</v>
      </c>
      <c r="AI1031">
        <v>41</v>
      </c>
      <c r="AJ1031">
        <v>26</v>
      </c>
      <c r="AK1031">
        <v>1.1107199999999999</v>
      </c>
      <c r="AL1031">
        <v>1</v>
      </c>
      <c r="AM1031">
        <v>0</v>
      </c>
      <c r="AN1031">
        <v>1547</v>
      </c>
      <c r="AO1031">
        <v>44</v>
      </c>
      <c r="AP1031">
        <v>0</v>
      </c>
      <c r="AQ1031">
        <v>0</v>
      </c>
    </row>
    <row r="1032" spans="1:43" x14ac:dyDescent="0.25">
      <c r="A1032">
        <v>1029</v>
      </c>
      <c r="B1032">
        <v>19</v>
      </c>
      <c r="C1032">
        <v>19</v>
      </c>
      <c r="D1032">
        <v>4</v>
      </c>
      <c r="E1032">
        <v>1573</v>
      </c>
      <c r="F1032">
        <v>3957</v>
      </c>
      <c r="G1032">
        <v>3994</v>
      </c>
      <c r="H1032">
        <v>1862</v>
      </c>
      <c r="I1032">
        <v>1368</v>
      </c>
      <c r="J1032">
        <v>175</v>
      </c>
      <c r="K1032">
        <v>185</v>
      </c>
      <c r="L1032">
        <v>195</v>
      </c>
      <c r="M1032">
        <v>330</v>
      </c>
      <c r="N1032">
        <v>864</v>
      </c>
      <c r="O1032">
        <v>389</v>
      </c>
      <c r="P1032">
        <v>358</v>
      </c>
      <c r="Q1032">
        <v>9</v>
      </c>
      <c r="R1032">
        <v>0.31178995199999998</v>
      </c>
      <c r="S1032">
        <v>1009</v>
      </c>
      <c r="T1032">
        <v>159</v>
      </c>
      <c r="U1032">
        <v>604</v>
      </c>
      <c r="V1032">
        <v>1054</v>
      </c>
      <c r="W1032">
        <v>1011</v>
      </c>
      <c r="X1032">
        <v>1018</v>
      </c>
      <c r="Y1032">
        <v>16</v>
      </c>
      <c r="Z1032">
        <v>675</v>
      </c>
      <c r="AA1032">
        <v>164</v>
      </c>
      <c r="AB1032">
        <v>2</v>
      </c>
      <c r="AC1032">
        <v>34</v>
      </c>
      <c r="AD1032">
        <v>118</v>
      </c>
      <c r="AE1032">
        <v>0</v>
      </c>
      <c r="AF1032">
        <v>0</v>
      </c>
      <c r="AG1032">
        <v>4</v>
      </c>
      <c r="AH1032">
        <v>0</v>
      </c>
      <c r="AI1032">
        <v>0</v>
      </c>
      <c r="AJ1032">
        <v>0</v>
      </c>
      <c r="AK1032">
        <v>1.10541</v>
      </c>
      <c r="AL1032">
        <v>1</v>
      </c>
      <c r="AM1032">
        <v>0</v>
      </c>
      <c r="AN1032">
        <v>1573</v>
      </c>
      <c r="AO1032">
        <v>37</v>
      </c>
      <c r="AP1032">
        <v>0</v>
      </c>
      <c r="AQ1032">
        <v>0</v>
      </c>
    </row>
    <row r="1033" spans="1:43" x14ac:dyDescent="0.25">
      <c r="A1033">
        <v>1030</v>
      </c>
      <c r="B1033">
        <v>19</v>
      </c>
      <c r="C1033">
        <v>19</v>
      </c>
      <c r="D1033">
        <v>4</v>
      </c>
      <c r="E1033">
        <v>851</v>
      </c>
      <c r="F1033">
        <v>2041</v>
      </c>
      <c r="G1033">
        <v>2049</v>
      </c>
      <c r="H1033">
        <v>1060</v>
      </c>
      <c r="I1033">
        <v>809</v>
      </c>
      <c r="J1033">
        <v>18</v>
      </c>
      <c r="K1033">
        <v>74</v>
      </c>
      <c r="L1033">
        <v>104</v>
      </c>
      <c r="M1033">
        <v>137</v>
      </c>
      <c r="N1033">
        <v>545</v>
      </c>
      <c r="O1033">
        <v>182</v>
      </c>
      <c r="P1033">
        <v>178</v>
      </c>
      <c r="Q1033">
        <v>4</v>
      </c>
      <c r="R1033">
        <v>0.37685318000000001</v>
      </c>
      <c r="S1033">
        <v>345</v>
      </c>
      <c r="T1033">
        <v>49</v>
      </c>
      <c r="U1033">
        <v>264</v>
      </c>
      <c r="V1033">
        <v>409</v>
      </c>
      <c r="W1033">
        <v>681</v>
      </c>
      <c r="X1033">
        <v>614</v>
      </c>
      <c r="Y1033">
        <v>18</v>
      </c>
      <c r="Z1033">
        <v>72</v>
      </c>
      <c r="AA1033">
        <v>194</v>
      </c>
      <c r="AB1033">
        <v>1</v>
      </c>
      <c r="AC1033">
        <v>25</v>
      </c>
      <c r="AD1033">
        <v>35</v>
      </c>
      <c r="AE1033">
        <v>0</v>
      </c>
      <c r="AF1033">
        <v>0</v>
      </c>
      <c r="AG1033">
        <v>4</v>
      </c>
      <c r="AH1033">
        <v>0</v>
      </c>
      <c r="AI1033">
        <v>0</v>
      </c>
      <c r="AJ1033">
        <v>0</v>
      </c>
      <c r="AK1033">
        <v>1.12121</v>
      </c>
      <c r="AL1033">
        <v>1</v>
      </c>
      <c r="AM1033">
        <v>0</v>
      </c>
      <c r="AN1033">
        <v>851</v>
      </c>
      <c r="AO1033">
        <v>8</v>
      </c>
      <c r="AP1033">
        <v>0</v>
      </c>
      <c r="AQ1033">
        <v>0</v>
      </c>
    </row>
    <row r="1034" spans="1:43" x14ac:dyDescent="0.25">
      <c r="A1034">
        <v>1031</v>
      </c>
      <c r="B1034">
        <v>19</v>
      </c>
      <c r="C1034">
        <v>19</v>
      </c>
      <c r="D1034">
        <v>4</v>
      </c>
      <c r="E1034">
        <v>1446</v>
      </c>
      <c r="F1034">
        <v>3600</v>
      </c>
      <c r="G1034">
        <v>3600</v>
      </c>
      <c r="H1034">
        <v>1743</v>
      </c>
      <c r="I1034">
        <v>1415</v>
      </c>
      <c r="J1034">
        <v>17</v>
      </c>
      <c r="K1034">
        <v>64</v>
      </c>
      <c r="L1034">
        <v>249</v>
      </c>
      <c r="M1034">
        <v>244</v>
      </c>
      <c r="N1034">
        <v>906</v>
      </c>
      <c r="O1034">
        <v>313</v>
      </c>
      <c r="P1034">
        <v>302</v>
      </c>
      <c r="Q1034">
        <v>5</v>
      </c>
      <c r="R1034">
        <v>0.405397807</v>
      </c>
      <c r="S1034">
        <v>564</v>
      </c>
      <c r="T1034">
        <v>128</v>
      </c>
      <c r="U1034">
        <v>495</v>
      </c>
      <c r="V1034">
        <v>654</v>
      </c>
      <c r="W1034">
        <v>932</v>
      </c>
      <c r="X1034">
        <v>1226</v>
      </c>
      <c r="Y1034">
        <v>42</v>
      </c>
      <c r="Z1034">
        <v>159</v>
      </c>
      <c r="AA1034">
        <v>242</v>
      </c>
      <c r="AB1034">
        <v>2</v>
      </c>
      <c r="AC1034">
        <v>44</v>
      </c>
      <c r="AD1034">
        <v>75</v>
      </c>
      <c r="AE1034">
        <v>0</v>
      </c>
      <c r="AF1034">
        <v>0</v>
      </c>
      <c r="AG1034">
        <v>4</v>
      </c>
      <c r="AH1034">
        <v>0</v>
      </c>
      <c r="AI1034">
        <v>0</v>
      </c>
      <c r="AJ1034">
        <v>0</v>
      </c>
      <c r="AK1034">
        <v>1.1681299999999999</v>
      </c>
      <c r="AL1034">
        <v>1</v>
      </c>
      <c r="AM1034">
        <v>0</v>
      </c>
      <c r="AN1034">
        <v>1446</v>
      </c>
      <c r="AO1034">
        <v>0</v>
      </c>
      <c r="AP1034">
        <v>0</v>
      </c>
      <c r="AQ1034">
        <v>0</v>
      </c>
    </row>
    <row r="1035" spans="1:43" x14ac:dyDescent="0.25">
      <c r="A1035">
        <v>1032</v>
      </c>
      <c r="B1035">
        <v>19</v>
      </c>
      <c r="C1035">
        <v>19</v>
      </c>
      <c r="D1035">
        <v>4</v>
      </c>
      <c r="E1035">
        <v>636</v>
      </c>
      <c r="F1035">
        <v>1582</v>
      </c>
      <c r="G1035">
        <v>1582</v>
      </c>
      <c r="H1035">
        <v>775</v>
      </c>
      <c r="I1035">
        <v>604</v>
      </c>
      <c r="J1035">
        <v>76</v>
      </c>
      <c r="K1035">
        <v>77</v>
      </c>
      <c r="L1035">
        <v>108</v>
      </c>
      <c r="M1035">
        <v>123</v>
      </c>
      <c r="N1035">
        <v>342</v>
      </c>
      <c r="O1035">
        <v>115</v>
      </c>
      <c r="P1035">
        <v>111</v>
      </c>
      <c r="Q1035">
        <v>3.1314069469999999</v>
      </c>
      <c r="R1035">
        <v>0.44566544600000002</v>
      </c>
      <c r="S1035">
        <v>231</v>
      </c>
      <c r="T1035">
        <v>59</v>
      </c>
      <c r="U1035">
        <v>216</v>
      </c>
      <c r="V1035">
        <v>314</v>
      </c>
      <c r="W1035">
        <v>364</v>
      </c>
      <c r="X1035">
        <v>621</v>
      </c>
      <c r="Y1035">
        <v>6</v>
      </c>
      <c r="Z1035">
        <v>39</v>
      </c>
      <c r="AA1035">
        <v>147</v>
      </c>
      <c r="AB1035">
        <v>1</v>
      </c>
      <c r="AC1035">
        <v>11</v>
      </c>
      <c r="AD1035">
        <v>27</v>
      </c>
      <c r="AE1035">
        <v>0</v>
      </c>
      <c r="AF1035">
        <v>0</v>
      </c>
      <c r="AG1035">
        <v>4</v>
      </c>
      <c r="AH1035">
        <v>0</v>
      </c>
      <c r="AI1035">
        <v>0</v>
      </c>
      <c r="AJ1035">
        <v>0</v>
      </c>
      <c r="AK1035">
        <v>1.22058</v>
      </c>
      <c r="AL1035">
        <v>1</v>
      </c>
      <c r="AM1035">
        <v>0</v>
      </c>
      <c r="AN1035">
        <v>636</v>
      </c>
      <c r="AO1035">
        <v>0</v>
      </c>
      <c r="AP1035">
        <v>0</v>
      </c>
      <c r="AQ1035">
        <v>0</v>
      </c>
    </row>
    <row r="1036" spans="1:43" x14ac:dyDescent="0.25">
      <c r="A1036">
        <v>1033</v>
      </c>
      <c r="B1036">
        <v>19</v>
      </c>
      <c r="C1036">
        <v>19</v>
      </c>
      <c r="D1036">
        <v>4</v>
      </c>
      <c r="E1036">
        <v>1965</v>
      </c>
      <c r="F1036">
        <v>4273</v>
      </c>
      <c r="G1036">
        <v>4273</v>
      </c>
      <c r="H1036">
        <v>2092</v>
      </c>
      <c r="I1036">
        <v>1565</v>
      </c>
      <c r="J1036">
        <v>278</v>
      </c>
      <c r="K1036">
        <v>520</v>
      </c>
      <c r="L1036">
        <v>316</v>
      </c>
      <c r="M1036">
        <v>327</v>
      </c>
      <c r="N1036">
        <v>809</v>
      </c>
      <c r="O1036">
        <v>247</v>
      </c>
      <c r="P1036">
        <v>216</v>
      </c>
      <c r="Q1036">
        <v>33.230677620000002</v>
      </c>
      <c r="R1036">
        <v>0.32984043800000001</v>
      </c>
      <c r="S1036">
        <v>1532</v>
      </c>
      <c r="T1036">
        <v>289</v>
      </c>
      <c r="U1036">
        <v>577</v>
      </c>
      <c r="V1036">
        <v>703</v>
      </c>
      <c r="W1036">
        <v>1292</v>
      </c>
      <c r="X1036">
        <v>1204</v>
      </c>
      <c r="Y1036">
        <v>169</v>
      </c>
      <c r="Z1036">
        <v>368</v>
      </c>
      <c r="AA1036">
        <v>747</v>
      </c>
      <c r="AB1036">
        <v>4</v>
      </c>
      <c r="AC1036">
        <v>126</v>
      </c>
      <c r="AD1036">
        <v>118</v>
      </c>
      <c r="AE1036">
        <v>0</v>
      </c>
      <c r="AF1036">
        <v>0</v>
      </c>
      <c r="AG1036">
        <v>4</v>
      </c>
      <c r="AH1036">
        <v>0</v>
      </c>
      <c r="AI1036">
        <v>0</v>
      </c>
      <c r="AJ1036">
        <v>0</v>
      </c>
      <c r="AK1036">
        <v>1.43834</v>
      </c>
      <c r="AL1036">
        <v>1</v>
      </c>
      <c r="AM1036">
        <v>0</v>
      </c>
      <c r="AN1036">
        <v>1965</v>
      </c>
      <c r="AO1036">
        <v>0</v>
      </c>
      <c r="AP1036">
        <v>0</v>
      </c>
      <c r="AQ1036">
        <v>0</v>
      </c>
    </row>
    <row r="1037" spans="1:43" x14ac:dyDescent="0.25">
      <c r="A1037">
        <v>1034</v>
      </c>
      <c r="B1037">
        <v>19</v>
      </c>
      <c r="C1037">
        <v>19</v>
      </c>
      <c r="D1037">
        <v>4</v>
      </c>
      <c r="E1037">
        <v>1394</v>
      </c>
      <c r="F1037">
        <v>3566</v>
      </c>
      <c r="G1037">
        <v>3575</v>
      </c>
      <c r="H1037">
        <v>1736</v>
      </c>
      <c r="I1037">
        <v>1144</v>
      </c>
      <c r="J1037">
        <v>199</v>
      </c>
      <c r="K1037">
        <v>288</v>
      </c>
      <c r="L1037">
        <v>247</v>
      </c>
      <c r="M1037">
        <v>202</v>
      </c>
      <c r="N1037">
        <v>630</v>
      </c>
      <c r="O1037">
        <v>196</v>
      </c>
      <c r="P1037">
        <v>181</v>
      </c>
      <c r="Q1037">
        <v>13.42627675</v>
      </c>
      <c r="R1037">
        <v>0.22391055000000001</v>
      </c>
      <c r="S1037">
        <v>904</v>
      </c>
      <c r="T1037">
        <v>188</v>
      </c>
      <c r="U1037">
        <v>743</v>
      </c>
      <c r="V1037">
        <v>784</v>
      </c>
      <c r="W1037">
        <v>1068</v>
      </c>
      <c r="X1037">
        <v>606</v>
      </c>
      <c r="Y1037">
        <v>179</v>
      </c>
      <c r="Z1037">
        <v>209</v>
      </c>
      <c r="AA1037">
        <v>355</v>
      </c>
      <c r="AB1037">
        <v>3</v>
      </c>
      <c r="AC1037">
        <v>58</v>
      </c>
      <c r="AD1037">
        <v>100</v>
      </c>
      <c r="AE1037">
        <v>0</v>
      </c>
      <c r="AF1037">
        <v>0</v>
      </c>
      <c r="AG1037">
        <v>4</v>
      </c>
      <c r="AH1037">
        <v>627</v>
      </c>
      <c r="AI1037">
        <v>0</v>
      </c>
      <c r="AJ1037">
        <v>0</v>
      </c>
      <c r="AK1037">
        <v>1.39388</v>
      </c>
      <c r="AL1037">
        <v>1</v>
      </c>
      <c r="AM1037">
        <v>0</v>
      </c>
      <c r="AN1037">
        <v>1394</v>
      </c>
      <c r="AO1037">
        <v>9</v>
      </c>
      <c r="AP1037">
        <v>0</v>
      </c>
      <c r="AQ1037">
        <v>0</v>
      </c>
    </row>
    <row r="1038" spans="1:43" x14ac:dyDescent="0.25">
      <c r="A1038">
        <v>1035</v>
      </c>
      <c r="B1038">
        <v>19</v>
      </c>
      <c r="C1038">
        <v>19</v>
      </c>
      <c r="D1038">
        <v>4</v>
      </c>
      <c r="E1038">
        <v>990</v>
      </c>
      <c r="F1038">
        <v>2546</v>
      </c>
      <c r="G1038">
        <v>2546</v>
      </c>
      <c r="H1038">
        <v>1219</v>
      </c>
      <c r="I1038">
        <v>846</v>
      </c>
      <c r="J1038">
        <v>94</v>
      </c>
      <c r="K1038">
        <v>124</v>
      </c>
      <c r="L1038">
        <v>174</v>
      </c>
      <c r="M1038">
        <v>186</v>
      </c>
      <c r="N1038">
        <v>495</v>
      </c>
      <c r="O1038">
        <v>128</v>
      </c>
      <c r="P1038">
        <v>95</v>
      </c>
      <c r="Q1038">
        <v>19.52021422</v>
      </c>
      <c r="R1038">
        <v>0.221858371</v>
      </c>
      <c r="S1038">
        <v>623</v>
      </c>
      <c r="T1038">
        <v>88</v>
      </c>
      <c r="U1038">
        <v>548</v>
      </c>
      <c r="V1038">
        <v>564</v>
      </c>
      <c r="W1038">
        <v>742</v>
      </c>
      <c r="X1038">
        <v>428</v>
      </c>
      <c r="Y1038">
        <v>27</v>
      </c>
      <c r="Z1038">
        <v>89</v>
      </c>
      <c r="AA1038">
        <v>444</v>
      </c>
      <c r="AB1038">
        <v>1</v>
      </c>
      <c r="AC1038">
        <v>17</v>
      </c>
      <c r="AD1038">
        <v>45</v>
      </c>
      <c r="AE1038">
        <v>0</v>
      </c>
      <c r="AF1038">
        <v>0</v>
      </c>
      <c r="AG1038">
        <v>3</v>
      </c>
      <c r="AH1038">
        <v>1126</v>
      </c>
      <c r="AI1038">
        <v>0</v>
      </c>
      <c r="AJ1038">
        <v>0</v>
      </c>
      <c r="AK1038">
        <v>1.46851</v>
      </c>
      <c r="AL1038">
        <v>2</v>
      </c>
      <c r="AM1038">
        <v>0</v>
      </c>
      <c r="AN1038">
        <v>990</v>
      </c>
      <c r="AO1038">
        <v>0</v>
      </c>
      <c r="AP1038">
        <v>0</v>
      </c>
      <c r="AQ1038">
        <v>0</v>
      </c>
    </row>
    <row r="1039" spans="1:43" x14ac:dyDescent="0.25">
      <c r="A1039">
        <v>1036</v>
      </c>
      <c r="B1039">
        <v>19</v>
      </c>
      <c r="C1039">
        <v>19</v>
      </c>
      <c r="D1039">
        <v>4</v>
      </c>
      <c r="E1039">
        <v>1347</v>
      </c>
      <c r="F1039">
        <v>3263</v>
      </c>
      <c r="G1039">
        <v>3270</v>
      </c>
      <c r="H1039">
        <v>2013</v>
      </c>
      <c r="I1039">
        <v>600</v>
      </c>
      <c r="J1039">
        <v>745</v>
      </c>
      <c r="K1039">
        <v>221</v>
      </c>
      <c r="L1039">
        <v>304</v>
      </c>
      <c r="M1039">
        <v>348</v>
      </c>
      <c r="N1039">
        <v>478</v>
      </c>
      <c r="O1039">
        <v>110</v>
      </c>
      <c r="P1039">
        <v>59</v>
      </c>
      <c r="Q1039">
        <v>50.465993539999999</v>
      </c>
      <c r="R1039">
        <v>0.162442748</v>
      </c>
      <c r="S1039">
        <v>1018</v>
      </c>
      <c r="T1039">
        <v>72</v>
      </c>
      <c r="U1039">
        <v>605</v>
      </c>
      <c r="V1039">
        <v>1201</v>
      </c>
      <c r="W1039">
        <v>843</v>
      </c>
      <c r="X1039">
        <v>459</v>
      </c>
      <c r="Y1039">
        <v>57</v>
      </c>
      <c r="Z1039">
        <v>203</v>
      </c>
      <c r="AA1039">
        <v>576</v>
      </c>
      <c r="AB1039">
        <v>3</v>
      </c>
      <c r="AC1039">
        <v>57</v>
      </c>
      <c r="AD1039">
        <v>122</v>
      </c>
      <c r="AE1039">
        <v>0</v>
      </c>
      <c r="AF1039">
        <v>0</v>
      </c>
      <c r="AG1039">
        <v>3</v>
      </c>
      <c r="AH1039">
        <v>138</v>
      </c>
      <c r="AI1039">
        <v>0</v>
      </c>
      <c r="AJ1039">
        <v>0</v>
      </c>
      <c r="AK1039">
        <v>1.7171400000000001</v>
      </c>
      <c r="AL1039">
        <v>2</v>
      </c>
      <c r="AM1039">
        <v>0</v>
      </c>
      <c r="AN1039">
        <v>1347</v>
      </c>
      <c r="AO1039">
        <v>7</v>
      </c>
      <c r="AP1039">
        <v>0</v>
      </c>
      <c r="AQ1039">
        <v>0</v>
      </c>
    </row>
    <row r="1040" spans="1:43" x14ac:dyDescent="0.25">
      <c r="A1040">
        <v>1037</v>
      </c>
      <c r="B1040">
        <v>19</v>
      </c>
      <c r="C1040">
        <v>19</v>
      </c>
      <c r="D1040">
        <v>4</v>
      </c>
      <c r="E1040">
        <v>996</v>
      </c>
      <c r="F1040">
        <v>2483</v>
      </c>
      <c r="G1040">
        <v>2494</v>
      </c>
      <c r="H1040">
        <v>1327</v>
      </c>
      <c r="I1040">
        <v>688</v>
      </c>
      <c r="J1040">
        <v>321</v>
      </c>
      <c r="K1040">
        <v>182</v>
      </c>
      <c r="L1040">
        <v>255</v>
      </c>
      <c r="M1040">
        <v>211</v>
      </c>
      <c r="N1040">
        <v>360</v>
      </c>
      <c r="O1040">
        <v>94</v>
      </c>
      <c r="P1040">
        <v>56</v>
      </c>
      <c r="Q1040">
        <v>39.521417149999998</v>
      </c>
      <c r="R1040">
        <v>0.153517295</v>
      </c>
      <c r="S1040">
        <v>654</v>
      </c>
      <c r="T1040">
        <v>85</v>
      </c>
      <c r="U1040">
        <v>646</v>
      </c>
      <c r="V1040">
        <v>815</v>
      </c>
      <c r="W1040">
        <v>646</v>
      </c>
      <c r="X1040">
        <v>306</v>
      </c>
      <c r="Y1040">
        <v>116</v>
      </c>
      <c r="Z1040">
        <v>111</v>
      </c>
      <c r="AA1040">
        <v>323</v>
      </c>
      <c r="AB1040">
        <v>2</v>
      </c>
      <c r="AC1040">
        <v>57</v>
      </c>
      <c r="AD1040">
        <v>45</v>
      </c>
      <c r="AE1040">
        <v>0</v>
      </c>
      <c r="AF1040">
        <v>0</v>
      </c>
      <c r="AG1040">
        <v>4</v>
      </c>
      <c r="AH1040">
        <v>0</v>
      </c>
      <c r="AI1040">
        <v>0</v>
      </c>
      <c r="AJ1040">
        <v>0</v>
      </c>
      <c r="AK1040">
        <v>1.65076</v>
      </c>
      <c r="AL1040">
        <v>3</v>
      </c>
      <c r="AM1040">
        <v>0</v>
      </c>
      <c r="AN1040">
        <v>996</v>
      </c>
      <c r="AO1040">
        <v>11</v>
      </c>
      <c r="AP1040">
        <v>0</v>
      </c>
      <c r="AQ1040">
        <v>0</v>
      </c>
    </row>
    <row r="1041" spans="1:43" x14ac:dyDescent="0.25">
      <c r="A1041">
        <v>1038</v>
      </c>
      <c r="B1041">
        <v>19</v>
      </c>
      <c r="C1041">
        <v>19</v>
      </c>
      <c r="D1041">
        <v>4</v>
      </c>
      <c r="E1041">
        <v>1120</v>
      </c>
      <c r="F1041">
        <v>2739</v>
      </c>
      <c r="G1041">
        <v>3931</v>
      </c>
      <c r="H1041">
        <v>1236</v>
      </c>
      <c r="I1041">
        <v>64</v>
      </c>
      <c r="J1041">
        <v>1118</v>
      </c>
      <c r="K1041">
        <v>481</v>
      </c>
      <c r="L1041">
        <v>292</v>
      </c>
      <c r="M1041">
        <v>207</v>
      </c>
      <c r="N1041">
        <v>142</v>
      </c>
      <c r="O1041">
        <v>216</v>
      </c>
      <c r="P1041">
        <v>71</v>
      </c>
      <c r="Q1041">
        <v>114.21905289999999</v>
      </c>
      <c r="R1041">
        <v>4.6426186000000001E-2</v>
      </c>
      <c r="S1041">
        <v>976</v>
      </c>
      <c r="T1041">
        <v>334</v>
      </c>
      <c r="U1041">
        <v>415</v>
      </c>
      <c r="V1041">
        <v>1915</v>
      </c>
      <c r="W1041">
        <v>111</v>
      </c>
      <c r="X1041">
        <v>123</v>
      </c>
      <c r="Y1041">
        <v>275</v>
      </c>
      <c r="Z1041">
        <v>70</v>
      </c>
      <c r="AA1041">
        <v>458</v>
      </c>
      <c r="AB1041">
        <v>9</v>
      </c>
      <c r="AC1041">
        <v>8</v>
      </c>
      <c r="AD1041">
        <v>156</v>
      </c>
      <c r="AE1041">
        <v>0</v>
      </c>
      <c r="AF1041">
        <v>0</v>
      </c>
      <c r="AG1041">
        <v>3</v>
      </c>
      <c r="AH1041">
        <v>0</v>
      </c>
      <c r="AI1041">
        <v>0</v>
      </c>
      <c r="AJ1041">
        <v>0</v>
      </c>
      <c r="AK1041">
        <v>1.7868999999999999</v>
      </c>
      <c r="AL1041">
        <v>2</v>
      </c>
      <c r="AM1041">
        <v>0</v>
      </c>
      <c r="AN1041">
        <v>1120</v>
      </c>
      <c r="AO1041">
        <v>1192</v>
      </c>
      <c r="AP1041">
        <v>0</v>
      </c>
      <c r="AQ1041">
        <v>0</v>
      </c>
    </row>
    <row r="1042" spans="1:43" x14ac:dyDescent="0.25">
      <c r="A1042">
        <v>1039</v>
      </c>
      <c r="B1042">
        <v>19</v>
      </c>
      <c r="C1042">
        <v>19</v>
      </c>
      <c r="D1042">
        <v>4</v>
      </c>
      <c r="E1042">
        <v>2134</v>
      </c>
      <c r="F1042">
        <v>5219</v>
      </c>
      <c r="G1042">
        <v>5227</v>
      </c>
      <c r="H1042">
        <v>2685</v>
      </c>
      <c r="I1042">
        <v>804</v>
      </c>
      <c r="J1042">
        <v>1285</v>
      </c>
      <c r="K1042">
        <v>305</v>
      </c>
      <c r="L1042">
        <v>652</v>
      </c>
      <c r="M1042">
        <v>520</v>
      </c>
      <c r="N1042">
        <v>652</v>
      </c>
      <c r="O1042">
        <v>339</v>
      </c>
      <c r="P1042">
        <v>94.710278860000003</v>
      </c>
      <c r="Q1042">
        <v>16.260002700000001</v>
      </c>
      <c r="R1042">
        <v>0.17599685700000001</v>
      </c>
      <c r="S1042">
        <v>1121</v>
      </c>
      <c r="T1042">
        <v>403</v>
      </c>
      <c r="U1042">
        <v>931</v>
      </c>
      <c r="V1042">
        <v>1690</v>
      </c>
      <c r="W1042">
        <v>1170</v>
      </c>
      <c r="X1042">
        <v>725</v>
      </c>
      <c r="Y1042">
        <v>156</v>
      </c>
      <c r="Z1042">
        <v>141</v>
      </c>
      <c r="AA1042">
        <v>566</v>
      </c>
      <c r="AB1042">
        <v>2</v>
      </c>
      <c r="AC1042">
        <v>74</v>
      </c>
      <c r="AD1042">
        <v>182</v>
      </c>
      <c r="AE1042">
        <v>0</v>
      </c>
      <c r="AF1042">
        <v>0</v>
      </c>
      <c r="AG1042">
        <v>3</v>
      </c>
      <c r="AH1042">
        <v>0</v>
      </c>
      <c r="AI1042">
        <v>0</v>
      </c>
      <c r="AJ1042">
        <v>0</v>
      </c>
      <c r="AK1042">
        <v>2.1147800000000001</v>
      </c>
      <c r="AL1042">
        <v>1</v>
      </c>
      <c r="AM1042">
        <v>0</v>
      </c>
      <c r="AN1042">
        <v>2134</v>
      </c>
      <c r="AO1042">
        <v>8</v>
      </c>
      <c r="AP1042">
        <v>0</v>
      </c>
      <c r="AQ1042">
        <v>0</v>
      </c>
    </row>
    <row r="1043" spans="1:43" x14ac:dyDescent="0.25">
      <c r="A1043">
        <v>1040</v>
      </c>
      <c r="B1043">
        <v>20</v>
      </c>
      <c r="C1043">
        <v>20</v>
      </c>
      <c r="D1043">
        <v>5</v>
      </c>
      <c r="E1043">
        <v>675</v>
      </c>
      <c r="F1043">
        <v>1812</v>
      </c>
      <c r="G1043">
        <v>1823</v>
      </c>
      <c r="H1043">
        <v>993</v>
      </c>
      <c r="I1043">
        <v>224</v>
      </c>
      <c r="J1043">
        <v>503</v>
      </c>
      <c r="K1043">
        <v>218</v>
      </c>
      <c r="L1043">
        <v>208</v>
      </c>
      <c r="M1043">
        <v>203</v>
      </c>
      <c r="N1043">
        <v>44</v>
      </c>
      <c r="O1043">
        <v>60</v>
      </c>
      <c r="P1043">
        <v>31.22933853</v>
      </c>
      <c r="Q1043">
        <v>10</v>
      </c>
      <c r="R1043">
        <v>0.133191263</v>
      </c>
      <c r="S1043">
        <v>300</v>
      </c>
      <c r="T1043">
        <v>145</v>
      </c>
      <c r="U1043">
        <v>216</v>
      </c>
      <c r="V1043">
        <v>883</v>
      </c>
      <c r="W1043">
        <v>406</v>
      </c>
      <c r="X1043">
        <v>202</v>
      </c>
      <c r="Y1043">
        <v>52</v>
      </c>
      <c r="Z1043">
        <v>23</v>
      </c>
      <c r="AA1043">
        <v>206</v>
      </c>
      <c r="AB1043">
        <v>0</v>
      </c>
      <c r="AC1043">
        <v>7</v>
      </c>
      <c r="AD1043">
        <v>12</v>
      </c>
      <c r="AE1043">
        <v>0</v>
      </c>
      <c r="AF1043">
        <v>0</v>
      </c>
      <c r="AG1043">
        <v>4</v>
      </c>
      <c r="AH1043">
        <v>0</v>
      </c>
      <c r="AI1043">
        <v>0</v>
      </c>
      <c r="AJ1043">
        <v>0</v>
      </c>
      <c r="AK1043">
        <v>2.03565</v>
      </c>
      <c r="AL1043">
        <v>2</v>
      </c>
      <c r="AM1043">
        <v>0</v>
      </c>
      <c r="AN1043">
        <v>675</v>
      </c>
      <c r="AO1043">
        <v>11</v>
      </c>
      <c r="AP1043">
        <v>0</v>
      </c>
      <c r="AQ1043">
        <v>0</v>
      </c>
    </row>
    <row r="1044" spans="1:43" x14ac:dyDescent="0.25">
      <c r="A1044">
        <v>1041</v>
      </c>
      <c r="B1044">
        <v>20</v>
      </c>
      <c r="C1044">
        <v>20</v>
      </c>
      <c r="D1044">
        <v>5</v>
      </c>
      <c r="E1044">
        <v>1095</v>
      </c>
      <c r="F1044">
        <v>2569</v>
      </c>
      <c r="G1044">
        <v>2573</v>
      </c>
      <c r="H1044">
        <v>1464</v>
      </c>
      <c r="I1044">
        <v>515</v>
      </c>
      <c r="J1044">
        <v>631</v>
      </c>
      <c r="K1044">
        <v>297</v>
      </c>
      <c r="L1044">
        <v>263</v>
      </c>
      <c r="M1044">
        <v>265</v>
      </c>
      <c r="N1044">
        <v>269</v>
      </c>
      <c r="O1044">
        <v>161</v>
      </c>
      <c r="P1044">
        <v>63.402164740000003</v>
      </c>
      <c r="Q1044">
        <v>58</v>
      </c>
      <c r="R1044">
        <v>0.212627291</v>
      </c>
      <c r="S1044">
        <v>1311</v>
      </c>
      <c r="T1044">
        <v>112</v>
      </c>
      <c r="U1044">
        <v>290</v>
      </c>
      <c r="V1044">
        <v>1037</v>
      </c>
      <c r="W1044">
        <v>546</v>
      </c>
      <c r="X1044">
        <v>440</v>
      </c>
      <c r="Y1044">
        <v>443</v>
      </c>
      <c r="Z1044">
        <v>232</v>
      </c>
      <c r="AA1044">
        <v>573</v>
      </c>
      <c r="AB1044">
        <v>1</v>
      </c>
      <c r="AC1044">
        <v>34</v>
      </c>
      <c r="AD1044">
        <v>28</v>
      </c>
      <c r="AE1044">
        <v>0</v>
      </c>
      <c r="AF1044">
        <v>0</v>
      </c>
      <c r="AG1044">
        <v>3</v>
      </c>
      <c r="AH1044">
        <v>0</v>
      </c>
      <c r="AI1044">
        <v>0</v>
      </c>
      <c r="AJ1044">
        <v>0</v>
      </c>
      <c r="AK1044">
        <v>1.82124</v>
      </c>
      <c r="AL1044">
        <v>2</v>
      </c>
      <c r="AM1044">
        <v>0</v>
      </c>
      <c r="AN1044">
        <v>1095</v>
      </c>
      <c r="AO1044">
        <v>4</v>
      </c>
      <c r="AP1044">
        <v>0</v>
      </c>
      <c r="AQ1044">
        <v>0</v>
      </c>
    </row>
    <row r="1045" spans="1:43" x14ac:dyDescent="0.25">
      <c r="A1045">
        <v>1042</v>
      </c>
      <c r="B1045">
        <v>20</v>
      </c>
      <c r="C1045">
        <v>20</v>
      </c>
      <c r="D1045">
        <v>5</v>
      </c>
      <c r="E1045">
        <v>761</v>
      </c>
      <c r="F1045">
        <v>1781</v>
      </c>
      <c r="G1045">
        <v>1845</v>
      </c>
      <c r="H1045">
        <v>873</v>
      </c>
      <c r="I1045">
        <v>727</v>
      </c>
      <c r="J1045">
        <v>17</v>
      </c>
      <c r="K1045">
        <v>105</v>
      </c>
      <c r="L1045">
        <v>126</v>
      </c>
      <c r="M1045">
        <v>141</v>
      </c>
      <c r="N1045">
        <v>389</v>
      </c>
      <c r="O1045">
        <v>146</v>
      </c>
      <c r="P1045">
        <v>82.088465990000003</v>
      </c>
      <c r="Q1045">
        <v>25</v>
      </c>
      <c r="R1045">
        <v>0.27904261499999999</v>
      </c>
      <c r="S1045">
        <v>395</v>
      </c>
      <c r="T1045">
        <v>67</v>
      </c>
      <c r="U1045">
        <v>219</v>
      </c>
      <c r="V1045">
        <v>471</v>
      </c>
      <c r="W1045">
        <v>527</v>
      </c>
      <c r="X1045">
        <v>412</v>
      </c>
      <c r="Y1045">
        <v>17</v>
      </c>
      <c r="Z1045">
        <v>73</v>
      </c>
      <c r="AA1045">
        <v>252</v>
      </c>
      <c r="AB1045">
        <v>1</v>
      </c>
      <c r="AC1045">
        <v>20</v>
      </c>
      <c r="AD1045">
        <v>32</v>
      </c>
      <c r="AE1045">
        <v>0</v>
      </c>
      <c r="AF1045">
        <v>0</v>
      </c>
      <c r="AG1045">
        <v>4</v>
      </c>
      <c r="AH1045">
        <v>1460</v>
      </c>
      <c r="AI1045">
        <v>0</v>
      </c>
      <c r="AJ1045">
        <v>0</v>
      </c>
      <c r="AK1045">
        <v>1.28874</v>
      </c>
      <c r="AL1045">
        <v>1</v>
      </c>
      <c r="AM1045">
        <v>0</v>
      </c>
      <c r="AN1045">
        <v>761</v>
      </c>
      <c r="AO1045">
        <v>64</v>
      </c>
      <c r="AP1045">
        <v>0</v>
      </c>
      <c r="AQ1045">
        <v>0</v>
      </c>
    </row>
    <row r="1046" spans="1:43" x14ac:dyDescent="0.25">
      <c r="A1046">
        <v>1043</v>
      </c>
      <c r="B1046">
        <v>20</v>
      </c>
      <c r="C1046">
        <v>20</v>
      </c>
      <c r="D1046">
        <v>5</v>
      </c>
      <c r="E1046">
        <v>1146</v>
      </c>
      <c r="F1046">
        <v>2703</v>
      </c>
      <c r="G1046">
        <v>2722</v>
      </c>
      <c r="H1046">
        <v>1229</v>
      </c>
      <c r="I1046">
        <v>1057</v>
      </c>
      <c r="J1046">
        <v>73</v>
      </c>
      <c r="K1046">
        <v>120</v>
      </c>
      <c r="L1046">
        <v>175</v>
      </c>
      <c r="M1046">
        <v>267</v>
      </c>
      <c r="N1046">
        <v>577</v>
      </c>
      <c r="O1046">
        <v>349</v>
      </c>
      <c r="P1046">
        <v>174.17083880000001</v>
      </c>
      <c r="Q1046">
        <v>39</v>
      </c>
      <c r="R1046">
        <v>0.28747663600000001</v>
      </c>
      <c r="S1046">
        <v>814</v>
      </c>
      <c r="T1046">
        <v>70</v>
      </c>
      <c r="U1046">
        <v>581</v>
      </c>
      <c r="V1046">
        <v>591</v>
      </c>
      <c r="W1046">
        <v>784</v>
      </c>
      <c r="X1046">
        <v>622</v>
      </c>
      <c r="Y1046">
        <v>34</v>
      </c>
      <c r="Z1046">
        <v>175</v>
      </c>
      <c r="AA1046">
        <v>448</v>
      </c>
      <c r="AB1046">
        <v>2</v>
      </c>
      <c r="AC1046">
        <v>77</v>
      </c>
      <c r="AD1046">
        <v>78</v>
      </c>
      <c r="AE1046">
        <v>0</v>
      </c>
      <c r="AF1046">
        <v>0</v>
      </c>
      <c r="AG1046">
        <v>4</v>
      </c>
      <c r="AH1046">
        <v>0</v>
      </c>
      <c r="AI1046">
        <v>0</v>
      </c>
      <c r="AJ1046">
        <v>0</v>
      </c>
      <c r="AK1046">
        <v>1.1749000000000001</v>
      </c>
      <c r="AL1046">
        <v>1</v>
      </c>
      <c r="AM1046">
        <v>0</v>
      </c>
      <c r="AN1046">
        <v>1146</v>
      </c>
      <c r="AO1046">
        <v>19</v>
      </c>
      <c r="AP1046">
        <v>0</v>
      </c>
      <c r="AQ1046">
        <v>0</v>
      </c>
    </row>
    <row r="1047" spans="1:43" x14ac:dyDescent="0.25">
      <c r="A1047">
        <v>1044</v>
      </c>
      <c r="B1047">
        <v>20</v>
      </c>
      <c r="C1047">
        <v>20</v>
      </c>
      <c r="D1047">
        <v>5</v>
      </c>
      <c r="E1047">
        <v>950</v>
      </c>
      <c r="F1047">
        <v>2499</v>
      </c>
      <c r="G1047">
        <v>2499</v>
      </c>
      <c r="H1047">
        <v>1192</v>
      </c>
      <c r="I1047">
        <v>972</v>
      </c>
      <c r="J1047">
        <v>39</v>
      </c>
      <c r="K1047">
        <v>72</v>
      </c>
      <c r="L1047">
        <v>181</v>
      </c>
      <c r="M1047">
        <v>177</v>
      </c>
      <c r="N1047">
        <v>517</v>
      </c>
      <c r="O1047">
        <v>213</v>
      </c>
      <c r="P1047">
        <v>144.02443070000001</v>
      </c>
      <c r="Q1047">
        <v>4</v>
      </c>
      <c r="R1047">
        <v>0.28807947</v>
      </c>
      <c r="S1047">
        <v>476</v>
      </c>
      <c r="T1047">
        <v>131</v>
      </c>
      <c r="U1047">
        <v>369</v>
      </c>
      <c r="V1047">
        <v>563</v>
      </c>
      <c r="W1047">
        <v>710</v>
      </c>
      <c r="X1047">
        <v>610</v>
      </c>
      <c r="Y1047">
        <v>22</v>
      </c>
      <c r="Z1047">
        <v>152</v>
      </c>
      <c r="AA1047">
        <v>221</v>
      </c>
      <c r="AB1047">
        <v>1</v>
      </c>
      <c r="AC1047">
        <v>33</v>
      </c>
      <c r="AD1047">
        <v>47</v>
      </c>
      <c r="AE1047">
        <v>0</v>
      </c>
      <c r="AF1047">
        <v>0</v>
      </c>
      <c r="AG1047">
        <v>4</v>
      </c>
      <c r="AH1047">
        <v>0</v>
      </c>
      <c r="AI1047">
        <v>0</v>
      </c>
      <c r="AJ1047">
        <v>0</v>
      </c>
      <c r="AK1047">
        <v>1.27501</v>
      </c>
      <c r="AL1047">
        <v>1</v>
      </c>
      <c r="AM1047">
        <v>0</v>
      </c>
      <c r="AN1047">
        <v>950</v>
      </c>
      <c r="AO1047">
        <v>0</v>
      </c>
      <c r="AP1047">
        <v>0</v>
      </c>
      <c r="AQ1047">
        <v>0</v>
      </c>
    </row>
    <row r="1048" spans="1:43" x14ac:dyDescent="0.25">
      <c r="A1048">
        <v>1045</v>
      </c>
      <c r="B1048">
        <v>20</v>
      </c>
      <c r="C1048">
        <v>20</v>
      </c>
      <c r="D1048">
        <v>5</v>
      </c>
      <c r="E1048">
        <v>1267</v>
      </c>
      <c r="F1048">
        <v>3088</v>
      </c>
      <c r="G1048">
        <v>3088</v>
      </c>
      <c r="H1048">
        <v>1285</v>
      </c>
      <c r="I1048">
        <v>1243</v>
      </c>
      <c r="J1048">
        <v>19</v>
      </c>
      <c r="K1048">
        <v>202</v>
      </c>
      <c r="L1048">
        <v>267</v>
      </c>
      <c r="M1048">
        <v>190</v>
      </c>
      <c r="N1048">
        <v>607</v>
      </c>
      <c r="O1048">
        <v>586</v>
      </c>
      <c r="P1048">
        <v>242.90304939999999</v>
      </c>
      <c r="Q1048">
        <v>49</v>
      </c>
      <c r="R1048">
        <v>0.34504065</v>
      </c>
      <c r="S1048">
        <v>281</v>
      </c>
      <c r="T1048">
        <v>138</v>
      </c>
      <c r="U1048">
        <v>309</v>
      </c>
      <c r="V1048">
        <v>919</v>
      </c>
      <c r="W1048">
        <v>786</v>
      </c>
      <c r="X1048">
        <v>881</v>
      </c>
      <c r="Y1048">
        <v>5</v>
      </c>
      <c r="Z1048">
        <v>58</v>
      </c>
      <c r="AA1048">
        <v>130</v>
      </c>
      <c r="AB1048">
        <v>0</v>
      </c>
      <c r="AC1048">
        <v>37</v>
      </c>
      <c r="AD1048">
        <v>51</v>
      </c>
      <c r="AE1048">
        <v>0</v>
      </c>
      <c r="AF1048">
        <v>0</v>
      </c>
      <c r="AG1048">
        <v>4</v>
      </c>
      <c r="AH1048">
        <v>0</v>
      </c>
      <c r="AI1048">
        <v>0</v>
      </c>
      <c r="AJ1048">
        <v>0</v>
      </c>
      <c r="AK1048">
        <v>1.1080700000000001</v>
      </c>
      <c r="AL1048">
        <v>1</v>
      </c>
      <c r="AM1048">
        <v>0</v>
      </c>
      <c r="AN1048">
        <v>1267</v>
      </c>
      <c r="AO1048">
        <v>0</v>
      </c>
      <c r="AP1048">
        <v>0</v>
      </c>
      <c r="AQ1048">
        <v>0</v>
      </c>
    </row>
    <row r="1049" spans="1:43" x14ac:dyDescent="0.25">
      <c r="A1049">
        <v>1046</v>
      </c>
      <c r="B1049">
        <v>20</v>
      </c>
      <c r="C1049">
        <v>20</v>
      </c>
      <c r="D1049">
        <v>5</v>
      </c>
      <c r="E1049">
        <v>969</v>
      </c>
      <c r="F1049">
        <v>2272</v>
      </c>
      <c r="G1049">
        <v>2272</v>
      </c>
      <c r="H1049">
        <v>1035</v>
      </c>
      <c r="I1049">
        <v>1042</v>
      </c>
      <c r="J1049">
        <v>0</v>
      </c>
      <c r="K1049">
        <v>159</v>
      </c>
      <c r="L1049">
        <v>136</v>
      </c>
      <c r="M1049">
        <v>235</v>
      </c>
      <c r="N1049">
        <v>432</v>
      </c>
      <c r="O1049">
        <v>235</v>
      </c>
      <c r="P1049">
        <v>156.3917549</v>
      </c>
      <c r="Q1049">
        <v>12</v>
      </c>
      <c r="R1049">
        <v>0.34292134800000001</v>
      </c>
      <c r="S1049">
        <v>243</v>
      </c>
      <c r="T1049">
        <v>120</v>
      </c>
      <c r="U1049">
        <v>276</v>
      </c>
      <c r="V1049">
        <v>516</v>
      </c>
      <c r="W1049">
        <v>682</v>
      </c>
      <c r="X1049">
        <v>605</v>
      </c>
      <c r="Y1049">
        <v>5</v>
      </c>
      <c r="Z1049">
        <v>52</v>
      </c>
      <c r="AA1049">
        <v>147</v>
      </c>
      <c r="AB1049">
        <v>1</v>
      </c>
      <c r="AC1049">
        <v>15</v>
      </c>
      <c r="AD1049">
        <v>23</v>
      </c>
      <c r="AE1049">
        <v>0</v>
      </c>
      <c r="AF1049">
        <v>0</v>
      </c>
      <c r="AG1049">
        <v>4</v>
      </c>
      <c r="AH1049">
        <v>0</v>
      </c>
      <c r="AI1049">
        <v>0</v>
      </c>
      <c r="AJ1049">
        <v>0</v>
      </c>
      <c r="AK1049">
        <v>1.17364</v>
      </c>
      <c r="AL1049">
        <v>1</v>
      </c>
      <c r="AM1049">
        <v>0</v>
      </c>
      <c r="AN1049">
        <v>969</v>
      </c>
      <c r="AO1049">
        <v>0</v>
      </c>
      <c r="AP1049">
        <v>0</v>
      </c>
      <c r="AQ1049">
        <v>0</v>
      </c>
    </row>
    <row r="1050" spans="1:43" x14ac:dyDescent="0.25">
      <c r="A1050">
        <v>1047</v>
      </c>
      <c r="B1050">
        <v>20</v>
      </c>
      <c r="C1050">
        <v>20</v>
      </c>
      <c r="D1050">
        <v>5</v>
      </c>
      <c r="E1050">
        <v>1242</v>
      </c>
      <c r="F1050">
        <v>3163</v>
      </c>
      <c r="G1050">
        <v>3172</v>
      </c>
      <c r="H1050">
        <v>1555</v>
      </c>
      <c r="I1050">
        <v>725</v>
      </c>
      <c r="J1050">
        <v>496</v>
      </c>
      <c r="K1050">
        <v>336</v>
      </c>
      <c r="L1050">
        <v>299</v>
      </c>
      <c r="M1050">
        <v>245</v>
      </c>
      <c r="N1050">
        <v>345</v>
      </c>
      <c r="O1050">
        <v>199</v>
      </c>
      <c r="P1050">
        <v>95.563954150000001</v>
      </c>
      <c r="Q1050">
        <v>39</v>
      </c>
      <c r="R1050">
        <v>0.172491909</v>
      </c>
      <c r="S1050">
        <v>649</v>
      </c>
      <c r="T1050">
        <v>223</v>
      </c>
      <c r="U1050">
        <v>487</v>
      </c>
      <c r="V1050">
        <v>1195</v>
      </c>
      <c r="W1050">
        <v>652</v>
      </c>
      <c r="X1050">
        <v>501</v>
      </c>
      <c r="Y1050">
        <v>100</v>
      </c>
      <c r="Z1050">
        <v>87</v>
      </c>
      <c r="AA1050">
        <v>379</v>
      </c>
      <c r="AB1050">
        <v>1</v>
      </c>
      <c r="AC1050">
        <v>22</v>
      </c>
      <c r="AD1050">
        <v>60</v>
      </c>
      <c r="AE1050">
        <v>0</v>
      </c>
      <c r="AF1050">
        <v>0</v>
      </c>
      <c r="AG1050">
        <v>3</v>
      </c>
      <c r="AH1050">
        <v>273</v>
      </c>
      <c r="AI1050">
        <v>0</v>
      </c>
      <c r="AJ1050">
        <v>0</v>
      </c>
      <c r="AK1050">
        <v>1.64079</v>
      </c>
      <c r="AL1050">
        <v>1</v>
      </c>
      <c r="AM1050">
        <v>0</v>
      </c>
      <c r="AN1050">
        <v>1242</v>
      </c>
      <c r="AO1050">
        <v>9</v>
      </c>
      <c r="AP1050">
        <v>0</v>
      </c>
      <c r="AQ1050">
        <v>0</v>
      </c>
    </row>
    <row r="1051" spans="1:43" x14ac:dyDescent="0.25">
      <c r="A1051">
        <v>1048</v>
      </c>
      <c r="B1051">
        <v>20</v>
      </c>
      <c r="C1051">
        <v>20</v>
      </c>
      <c r="D1051">
        <v>5</v>
      </c>
      <c r="E1051">
        <v>1113</v>
      </c>
      <c r="F1051">
        <v>2722</v>
      </c>
      <c r="G1051">
        <v>2741</v>
      </c>
      <c r="H1051">
        <v>1390</v>
      </c>
      <c r="I1051">
        <v>697</v>
      </c>
      <c r="J1051">
        <v>471</v>
      </c>
      <c r="K1051">
        <v>218</v>
      </c>
      <c r="L1051">
        <v>312</v>
      </c>
      <c r="M1051">
        <v>292</v>
      </c>
      <c r="N1051">
        <v>295</v>
      </c>
      <c r="O1051">
        <v>167</v>
      </c>
      <c r="P1051">
        <v>90.877115500000002</v>
      </c>
      <c r="Q1051">
        <v>20</v>
      </c>
      <c r="R1051">
        <v>0.18590925899999999</v>
      </c>
      <c r="S1051">
        <v>599</v>
      </c>
      <c r="T1051">
        <v>113</v>
      </c>
      <c r="U1051">
        <v>492</v>
      </c>
      <c r="V1051">
        <v>1019</v>
      </c>
      <c r="W1051">
        <v>709</v>
      </c>
      <c r="X1051">
        <v>339</v>
      </c>
      <c r="Y1051">
        <v>49</v>
      </c>
      <c r="Z1051">
        <v>152</v>
      </c>
      <c r="AA1051">
        <v>312</v>
      </c>
      <c r="AB1051">
        <v>1</v>
      </c>
      <c r="AC1051">
        <v>41</v>
      </c>
      <c r="AD1051">
        <v>44</v>
      </c>
      <c r="AE1051">
        <v>0</v>
      </c>
      <c r="AF1051">
        <v>0</v>
      </c>
      <c r="AG1051">
        <v>4</v>
      </c>
      <c r="AH1051">
        <v>0</v>
      </c>
      <c r="AI1051">
        <v>0</v>
      </c>
      <c r="AJ1051">
        <v>0</v>
      </c>
      <c r="AK1051">
        <v>1.4626600000000001</v>
      </c>
      <c r="AL1051">
        <v>2</v>
      </c>
      <c r="AM1051">
        <v>0</v>
      </c>
      <c r="AN1051">
        <v>1113</v>
      </c>
      <c r="AO1051">
        <v>19</v>
      </c>
      <c r="AP1051">
        <v>0</v>
      </c>
      <c r="AQ1051">
        <v>0</v>
      </c>
    </row>
    <row r="1052" spans="1:43" x14ac:dyDescent="0.25">
      <c r="A1052">
        <v>1049</v>
      </c>
      <c r="B1052">
        <v>20</v>
      </c>
      <c r="C1052">
        <v>20</v>
      </c>
      <c r="D1052">
        <v>5</v>
      </c>
      <c r="E1052">
        <v>2350</v>
      </c>
      <c r="F1052">
        <v>6091</v>
      </c>
      <c r="G1052">
        <v>6138</v>
      </c>
      <c r="H1052">
        <v>3324</v>
      </c>
      <c r="I1052">
        <v>1426</v>
      </c>
      <c r="J1052">
        <v>836</v>
      </c>
      <c r="K1052">
        <v>774</v>
      </c>
      <c r="L1052">
        <v>491</v>
      </c>
      <c r="M1052">
        <v>538</v>
      </c>
      <c r="N1052">
        <v>552</v>
      </c>
      <c r="O1052">
        <v>326</v>
      </c>
      <c r="P1052">
        <v>169.745237</v>
      </c>
      <c r="Q1052">
        <v>25</v>
      </c>
      <c r="R1052">
        <v>0.202243429</v>
      </c>
      <c r="S1052">
        <v>1095</v>
      </c>
      <c r="T1052">
        <v>710</v>
      </c>
      <c r="U1052">
        <v>566</v>
      </c>
      <c r="V1052">
        <v>2200</v>
      </c>
      <c r="W1052">
        <v>1523</v>
      </c>
      <c r="X1052">
        <v>899</v>
      </c>
      <c r="Y1052">
        <v>261</v>
      </c>
      <c r="Z1052">
        <v>258</v>
      </c>
      <c r="AA1052">
        <v>418</v>
      </c>
      <c r="AB1052">
        <v>1</v>
      </c>
      <c r="AC1052">
        <v>40</v>
      </c>
      <c r="AD1052">
        <v>117</v>
      </c>
      <c r="AE1052">
        <v>0</v>
      </c>
      <c r="AF1052">
        <v>0</v>
      </c>
      <c r="AG1052">
        <v>4</v>
      </c>
      <c r="AH1052">
        <v>0</v>
      </c>
      <c r="AI1052">
        <v>0</v>
      </c>
      <c r="AJ1052">
        <v>0</v>
      </c>
      <c r="AK1052">
        <v>1.6229</v>
      </c>
      <c r="AL1052">
        <v>1</v>
      </c>
      <c r="AM1052">
        <v>0</v>
      </c>
      <c r="AN1052">
        <v>2350</v>
      </c>
      <c r="AO1052">
        <v>47</v>
      </c>
      <c r="AP1052">
        <v>0</v>
      </c>
      <c r="AQ1052">
        <v>0</v>
      </c>
    </row>
    <row r="1053" spans="1:43" x14ac:dyDescent="0.25">
      <c r="A1053">
        <v>1050</v>
      </c>
      <c r="B1053">
        <v>20</v>
      </c>
      <c r="C1053">
        <v>20</v>
      </c>
      <c r="D1053">
        <v>5</v>
      </c>
      <c r="E1053">
        <v>3150</v>
      </c>
      <c r="F1053">
        <v>8272</v>
      </c>
      <c r="G1053">
        <v>8608</v>
      </c>
      <c r="H1053">
        <v>3941</v>
      </c>
      <c r="I1053">
        <v>1649</v>
      </c>
      <c r="J1053">
        <v>1384</v>
      </c>
      <c r="K1053">
        <v>1523</v>
      </c>
      <c r="L1053">
        <v>848</v>
      </c>
      <c r="M1053">
        <v>494</v>
      </c>
      <c r="N1053">
        <v>276</v>
      </c>
      <c r="O1053">
        <v>485</v>
      </c>
      <c r="P1053">
        <v>221.11273109999999</v>
      </c>
      <c r="Q1053">
        <v>107.1632761</v>
      </c>
      <c r="R1053">
        <v>0.186440678</v>
      </c>
      <c r="S1053">
        <v>1194</v>
      </c>
      <c r="T1053">
        <v>241</v>
      </c>
      <c r="U1053">
        <v>1795</v>
      </c>
      <c r="V1053">
        <v>3200</v>
      </c>
      <c r="W1053">
        <v>2084</v>
      </c>
      <c r="X1053">
        <v>1064</v>
      </c>
      <c r="Y1053">
        <v>184</v>
      </c>
      <c r="Z1053">
        <v>238</v>
      </c>
      <c r="AA1053">
        <v>566</v>
      </c>
      <c r="AB1053">
        <v>1</v>
      </c>
      <c r="AC1053">
        <v>108</v>
      </c>
      <c r="AD1053">
        <v>97</v>
      </c>
      <c r="AE1053">
        <v>0</v>
      </c>
      <c r="AF1053">
        <v>0</v>
      </c>
      <c r="AG1053">
        <v>4</v>
      </c>
      <c r="AH1053">
        <v>740</v>
      </c>
      <c r="AI1053">
        <v>0</v>
      </c>
      <c r="AJ1053">
        <v>0</v>
      </c>
      <c r="AK1053">
        <v>1.6167899999999999</v>
      </c>
      <c r="AL1053">
        <v>2</v>
      </c>
      <c r="AM1053">
        <v>0</v>
      </c>
      <c r="AN1053">
        <v>3150</v>
      </c>
      <c r="AO1053">
        <v>336</v>
      </c>
      <c r="AP1053">
        <v>0</v>
      </c>
      <c r="AQ1053">
        <v>0</v>
      </c>
    </row>
    <row r="1054" spans="1:43" x14ac:dyDescent="0.25">
      <c r="A1054">
        <v>1051</v>
      </c>
      <c r="B1054">
        <v>20</v>
      </c>
      <c r="C1054">
        <v>20</v>
      </c>
      <c r="D1054">
        <v>5</v>
      </c>
      <c r="E1054">
        <v>1544</v>
      </c>
      <c r="F1054">
        <v>3800</v>
      </c>
      <c r="G1054">
        <v>3818</v>
      </c>
      <c r="H1054">
        <v>1914</v>
      </c>
      <c r="I1054">
        <v>583</v>
      </c>
      <c r="J1054">
        <v>962</v>
      </c>
      <c r="K1054">
        <v>691</v>
      </c>
      <c r="L1054">
        <v>377</v>
      </c>
      <c r="M1054">
        <v>293</v>
      </c>
      <c r="N1054">
        <v>189</v>
      </c>
      <c r="O1054">
        <v>250</v>
      </c>
      <c r="P1054">
        <v>81.258628659999999</v>
      </c>
      <c r="Q1054">
        <v>89</v>
      </c>
      <c r="R1054">
        <v>0.212351029</v>
      </c>
      <c r="S1054">
        <v>2230</v>
      </c>
      <c r="T1054">
        <v>115</v>
      </c>
      <c r="U1054">
        <v>378</v>
      </c>
      <c r="V1054">
        <v>1751</v>
      </c>
      <c r="W1054">
        <v>811</v>
      </c>
      <c r="X1054">
        <v>604</v>
      </c>
      <c r="Y1054">
        <v>642</v>
      </c>
      <c r="Z1054">
        <v>204</v>
      </c>
      <c r="AA1054">
        <v>1065</v>
      </c>
      <c r="AB1054">
        <v>1</v>
      </c>
      <c r="AC1054">
        <v>32</v>
      </c>
      <c r="AD1054">
        <v>286</v>
      </c>
      <c r="AE1054">
        <v>0</v>
      </c>
      <c r="AF1054">
        <v>0</v>
      </c>
      <c r="AG1054">
        <v>4</v>
      </c>
      <c r="AH1054">
        <v>0</v>
      </c>
      <c r="AI1054">
        <v>0</v>
      </c>
      <c r="AJ1054">
        <v>0</v>
      </c>
      <c r="AK1054">
        <v>1.77146</v>
      </c>
      <c r="AL1054">
        <v>2</v>
      </c>
      <c r="AM1054">
        <v>0</v>
      </c>
      <c r="AN1054">
        <v>1544</v>
      </c>
      <c r="AO1054">
        <v>18</v>
      </c>
      <c r="AP1054">
        <v>0</v>
      </c>
      <c r="AQ1054">
        <v>0</v>
      </c>
    </row>
    <row r="1055" spans="1:43" x14ac:dyDescent="0.25">
      <c r="A1055">
        <v>1052</v>
      </c>
      <c r="B1055">
        <v>20</v>
      </c>
      <c r="C1055">
        <v>20</v>
      </c>
      <c r="D1055">
        <v>5</v>
      </c>
      <c r="E1055">
        <v>567</v>
      </c>
      <c r="F1055">
        <v>1536</v>
      </c>
      <c r="G1055">
        <v>1536</v>
      </c>
      <c r="H1055">
        <v>616</v>
      </c>
      <c r="I1055">
        <v>549</v>
      </c>
      <c r="J1055">
        <v>0</v>
      </c>
      <c r="K1055">
        <v>122</v>
      </c>
      <c r="L1055">
        <v>87</v>
      </c>
      <c r="M1055">
        <v>141</v>
      </c>
      <c r="N1055">
        <v>221</v>
      </c>
      <c r="O1055">
        <v>158</v>
      </c>
      <c r="P1055">
        <v>82</v>
      </c>
      <c r="Q1055">
        <v>25</v>
      </c>
      <c r="R1055">
        <v>0.29440905899999997</v>
      </c>
      <c r="S1055">
        <v>185</v>
      </c>
      <c r="T1055">
        <v>51</v>
      </c>
      <c r="U1055">
        <v>266</v>
      </c>
      <c r="V1055">
        <v>304</v>
      </c>
      <c r="W1055">
        <v>466</v>
      </c>
      <c r="X1055">
        <v>317</v>
      </c>
      <c r="Y1055">
        <v>5</v>
      </c>
      <c r="Z1055">
        <v>42</v>
      </c>
      <c r="AA1055">
        <v>108</v>
      </c>
      <c r="AB1055">
        <v>0</v>
      </c>
      <c r="AC1055">
        <v>11</v>
      </c>
      <c r="AD1055">
        <v>19</v>
      </c>
      <c r="AE1055">
        <v>0</v>
      </c>
      <c r="AF1055">
        <v>0</v>
      </c>
      <c r="AG1055">
        <v>4</v>
      </c>
      <c r="AH1055">
        <v>374</v>
      </c>
      <c r="AI1055">
        <v>0</v>
      </c>
      <c r="AJ1055">
        <v>0</v>
      </c>
      <c r="AK1055">
        <v>1.1079600000000001</v>
      </c>
      <c r="AL1055">
        <v>1</v>
      </c>
      <c r="AM1055">
        <v>0</v>
      </c>
      <c r="AN1055">
        <v>567</v>
      </c>
      <c r="AO1055">
        <v>0</v>
      </c>
      <c r="AP1055">
        <v>0</v>
      </c>
      <c r="AQ1055">
        <v>0</v>
      </c>
    </row>
    <row r="1056" spans="1:43" x14ac:dyDescent="0.25">
      <c r="A1056">
        <v>1053</v>
      </c>
      <c r="B1056">
        <v>20</v>
      </c>
      <c r="C1056">
        <v>20</v>
      </c>
      <c r="D1056">
        <v>5</v>
      </c>
      <c r="E1056">
        <v>1640</v>
      </c>
      <c r="F1056">
        <v>3732</v>
      </c>
      <c r="G1056">
        <v>3734</v>
      </c>
      <c r="H1056">
        <v>1987</v>
      </c>
      <c r="I1056">
        <v>1638</v>
      </c>
      <c r="J1056">
        <v>21</v>
      </c>
      <c r="K1056">
        <v>239</v>
      </c>
      <c r="L1056">
        <v>312</v>
      </c>
      <c r="M1056">
        <v>325</v>
      </c>
      <c r="N1056">
        <v>779</v>
      </c>
      <c r="O1056">
        <v>391</v>
      </c>
      <c r="P1056">
        <v>202.11091920000001</v>
      </c>
      <c r="Q1056">
        <v>16</v>
      </c>
      <c r="R1056">
        <v>0.26623551600000001</v>
      </c>
      <c r="S1056">
        <v>693</v>
      </c>
      <c r="T1056">
        <v>244</v>
      </c>
      <c r="U1056">
        <v>445</v>
      </c>
      <c r="V1056">
        <v>1152</v>
      </c>
      <c r="W1056">
        <v>998</v>
      </c>
      <c r="X1056">
        <v>833</v>
      </c>
      <c r="Y1056">
        <v>19</v>
      </c>
      <c r="Z1056">
        <v>165</v>
      </c>
      <c r="AA1056">
        <v>367</v>
      </c>
      <c r="AB1056">
        <v>2</v>
      </c>
      <c r="AC1056">
        <v>47</v>
      </c>
      <c r="AD1056">
        <v>93</v>
      </c>
      <c r="AE1056">
        <v>0</v>
      </c>
      <c r="AF1056">
        <v>0</v>
      </c>
      <c r="AG1056">
        <v>4</v>
      </c>
      <c r="AH1056">
        <v>0</v>
      </c>
      <c r="AI1056">
        <v>0</v>
      </c>
      <c r="AJ1056">
        <v>0</v>
      </c>
      <c r="AK1056">
        <v>1.2928999999999999</v>
      </c>
      <c r="AL1056">
        <v>1</v>
      </c>
      <c r="AM1056">
        <v>0</v>
      </c>
      <c r="AN1056">
        <v>1640</v>
      </c>
      <c r="AO1056">
        <v>2</v>
      </c>
      <c r="AP1056">
        <v>0</v>
      </c>
      <c r="AQ1056">
        <v>0</v>
      </c>
    </row>
    <row r="1057" spans="1:43" x14ac:dyDescent="0.25">
      <c r="A1057">
        <v>1054</v>
      </c>
      <c r="B1057">
        <v>20</v>
      </c>
      <c r="C1057">
        <v>20</v>
      </c>
      <c r="D1057">
        <v>5</v>
      </c>
      <c r="E1057">
        <v>1164</v>
      </c>
      <c r="F1057">
        <v>3042</v>
      </c>
      <c r="G1057">
        <v>3100</v>
      </c>
      <c r="H1057">
        <v>1702</v>
      </c>
      <c r="I1057">
        <v>1095</v>
      </c>
      <c r="J1057">
        <v>56</v>
      </c>
      <c r="K1057">
        <v>146</v>
      </c>
      <c r="L1057">
        <v>203</v>
      </c>
      <c r="M1057">
        <v>354</v>
      </c>
      <c r="N1057">
        <v>462</v>
      </c>
      <c r="O1057">
        <v>243</v>
      </c>
      <c r="P1057">
        <v>118</v>
      </c>
      <c r="Q1057">
        <v>24</v>
      </c>
      <c r="R1057">
        <v>0.22873602200000001</v>
      </c>
      <c r="S1057">
        <v>447</v>
      </c>
      <c r="T1057">
        <v>180</v>
      </c>
      <c r="U1057">
        <v>382</v>
      </c>
      <c r="V1057">
        <v>1027</v>
      </c>
      <c r="W1057">
        <v>769</v>
      </c>
      <c r="X1057">
        <v>562</v>
      </c>
      <c r="Y1057">
        <v>74</v>
      </c>
      <c r="Z1057">
        <v>55</v>
      </c>
      <c r="AA1057">
        <v>276</v>
      </c>
      <c r="AB1057">
        <v>1</v>
      </c>
      <c r="AC1057">
        <v>13</v>
      </c>
      <c r="AD1057">
        <v>28</v>
      </c>
      <c r="AE1057">
        <v>0</v>
      </c>
      <c r="AF1057">
        <v>0</v>
      </c>
      <c r="AG1057">
        <v>4</v>
      </c>
      <c r="AH1057">
        <v>0</v>
      </c>
      <c r="AI1057">
        <v>0</v>
      </c>
      <c r="AJ1057">
        <v>0</v>
      </c>
      <c r="AK1057">
        <v>1.34731</v>
      </c>
      <c r="AL1057">
        <v>1</v>
      </c>
      <c r="AM1057">
        <v>0</v>
      </c>
      <c r="AN1057">
        <v>1164</v>
      </c>
      <c r="AO1057">
        <v>58</v>
      </c>
      <c r="AP1057">
        <v>0</v>
      </c>
      <c r="AQ1057">
        <v>0</v>
      </c>
    </row>
    <row r="1058" spans="1:43" x14ac:dyDescent="0.25">
      <c r="A1058">
        <v>1055</v>
      </c>
      <c r="B1058">
        <v>20</v>
      </c>
      <c r="C1058">
        <v>20</v>
      </c>
      <c r="D1058">
        <v>5</v>
      </c>
      <c r="E1058">
        <v>2158</v>
      </c>
      <c r="F1058">
        <v>5801</v>
      </c>
      <c r="G1058">
        <v>5866</v>
      </c>
      <c r="H1058">
        <v>3313</v>
      </c>
      <c r="I1058">
        <v>1949</v>
      </c>
      <c r="J1058">
        <v>248</v>
      </c>
      <c r="K1058">
        <v>311</v>
      </c>
      <c r="L1058">
        <v>941</v>
      </c>
      <c r="M1058">
        <v>574</v>
      </c>
      <c r="N1058">
        <v>333</v>
      </c>
      <c r="O1058">
        <v>324</v>
      </c>
      <c r="P1058">
        <v>189</v>
      </c>
      <c r="Q1058">
        <v>24</v>
      </c>
      <c r="R1058">
        <v>0.19944598299999999</v>
      </c>
      <c r="S1058">
        <v>836</v>
      </c>
      <c r="T1058">
        <v>320</v>
      </c>
      <c r="U1058">
        <v>908</v>
      </c>
      <c r="V1058">
        <v>2041</v>
      </c>
      <c r="W1058">
        <v>1488</v>
      </c>
      <c r="X1058">
        <v>940</v>
      </c>
      <c r="Y1058">
        <v>69</v>
      </c>
      <c r="Z1058">
        <v>123</v>
      </c>
      <c r="AA1058">
        <v>557</v>
      </c>
      <c r="AB1058">
        <v>1</v>
      </c>
      <c r="AC1058">
        <v>28</v>
      </c>
      <c r="AD1058">
        <v>58</v>
      </c>
      <c r="AE1058">
        <v>0</v>
      </c>
      <c r="AF1058">
        <v>0</v>
      </c>
      <c r="AG1058">
        <v>4</v>
      </c>
      <c r="AH1058">
        <v>0</v>
      </c>
      <c r="AI1058">
        <v>0</v>
      </c>
      <c r="AJ1058">
        <v>0</v>
      </c>
      <c r="AK1058">
        <v>1.5398000000000001</v>
      </c>
      <c r="AL1058">
        <v>3</v>
      </c>
      <c r="AM1058">
        <v>0</v>
      </c>
      <c r="AN1058">
        <v>2158</v>
      </c>
      <c r="AO1058">
        <v>65</v>
      </c>
      <c r="AP1058">
        <v>0</v>
      </c>
      <c r="AQ1058">
        <v>0</v>
      </c>
    </row>
    <row r="1059" spans="1:43" x14ac:dyDescent="0.25">
      <c r="A1059">
        <v>1056</v>
      </c>
      <c r="B1059">
        <v>20</v>
      </c>
      <c r="C1059">
        <v>20</v>
      </c>
      <c r="D1059">
        <v>5</v>
      </c>
      <c r="E1059">
        <v>1808</v>
      </c>
      <c r="F1059">
        <v>4458</v>
      </c>
      <c r="G1059">
        <v>4461</v>
      </c>
      <c r="H1059">
        <v>2070</v>
      </c>
      <c r="I1059">
        <v>1368</v>
      </c>
      <c r="J1059">
        <v>483</v>
      </c>
      <c r="K1059">
        <v>730</v>
      </c>
      <c r="L1059">
        <v>415</v>
      </c>
      <c r="M1059">
        <v>509</v>
      </c>
      <c r="N1059">
        <v>152</v>
      </c>
      <c r="O1059">
        <v>242</v>
      </c>
      <c r="P1059">
        <v>124</v>
      </c>
      <c r="Q1059">
        <v>41</v>
      </c>
      <c r="R1059">
        <v>0.188606785</v>
      </c>
      <c r="S1059">
        <v>959</v>
      </c>
      <c r="T1059">
        <v>343</v>
      </c>
      <c r="U1059">
        <v>811</v>
      </c>
      <c r="V1059">
        <v>1699</v>
      </c>
      <c r="W1059">
        <v>1049</v>
      </c>
      <c r="X1059">
        <v>733</v>
      </c>
      <c r="Y1059">
        <v>36</v>
      </c>
      <c r="Z1059">
        <v>78</v>
      </c>
      <c r="AA1059">
        <v>448</v>
      </c>
      <c r="AB1059">
        <v>0</v>
      </c>
      <c r="AC1059">
        <v>23</v>
      </c>
      <c r="AD1059">
        <v>374</v>
      </c>
      <c r="AE1059">
        <v>0</v>
      </c>
      <c r="AF1059">
        <v>0</v>
      </c>
      <c r="AG1059">
        <v>4</v>
      </c>
      <c r="AH1059">
        <v>0</v>
      </c>
      <c r="AI1059">
        <v>0</v>
      </c>
      <c r="AJ1059">
        <v>0</v>
      </c>
      <c r="AK1059">
        <v>1.9944999999999999</v>
      </c>
      <c r="AL1059">
        <v>3</v>
      </c>
      <c r="AM1059">
        <v>0</v>
      </c>
      <c r="AN1059">
        <v>1808</v>
      </c>
      <c r="AO1059">
        <v>3</v>
      </c>
      <c r="AP1059">
        <v>0</v>
      </c>
      <c r="AQ1059">
        <v>0</v>
      </c>
    </row>
    <row r="1060" spans="1:43" x14ac:dyDescent="0.25">
      <c r="A1060">
        <v>1057</v>
      </c>
      <c r="B1060">
        <v>20</v>
      </c>
      <c r="C1060">
        <v>20</v>
      </c>
      <c r="D1060">
        <v>5</v>
      </c>
      <c r="E1060">
        <v>1380</v>
      </c>
      <c r="F1060">
        <v>4842</v>
      </c>
      <c r="G1060">
        <v>4856</v>
      </c>
      <c r="H1060">
        <v>2116</v>
      </c>
      <c r="I1060">
        <v>846</v>
      </c>
      <c r="J1060">
        <v>500</v>
      </c>
      <c r="K1060">
        <v>559</v>
      </c>
      <c r="L1060">
        <v>392</v>
      </c>
      <c r="M1060">
        <v>330</v>
      </c>
      <c r="N1060">
        <v>96</v>
      </c>
      <c r="O1060">
        <v>159</v>
      </c>
      <c r="P1060">
        <v>74.956827500000003</v>
      </c>
      <c r="Q1060">
        <v>20</v>
      </c>
      <c r="R1060">
        <v>8.4424208000000001E-2</v>
      </c>
      <c r="S1060">
        <v>246</v>
      </c>
      <c r="T1060">
        <v>260</v>
      </c>
      <c r="U1060">
        <v>1649</v>
      </c>
      <c r="V1060">
        <v>2019</v>
      </c>
      <c r="W1060">
        <v>844</v>
      </c>
      <c r="X1060">
        <v>439</v>
      </c>
      <c r="Y1060">
        <v>39</v>
      </c>
      <c r="Z1060">
        <v>26</v>
      </c>
      <c r="AA1060">
        <v>153</v>
      </c>
      <c r="AB1060">
        <v>0</v>
      </c>
      <c r="AC1060">
        <v>18</v>
      </c>
      <c r="AD1060">
        <v>10</v>
      </c>
      <c r="AE1060">
        <v>0</v>
      </c>
      <c r="AF1060">
        <v>0</v>
      </c>
      <c r="AG1060">
        <v>4</v>
      </c>
      <c r="AH1060">
        <v>0</v>
      </c>
      <c r="AI1060">
        <v>0</v>
      </c>
      <c r="AJ1060">
        <v>0</v>
      </c>
      <c r="AK1060">
        <v>4.3504699999999996</v>
      </c>
      <c r="AL1060">
        <v>3</v>
      </c>
      <c r="AM1060">
        <v>0</v>
      </c>
      <c r="AN1060">
        <v>1380</v>
      </c>
      <c r="AO1060">
        <v>14</v>
      </c>
      <c r="AP1060">
        <v>0</v>
      </c>
      <c r="AQ1060">
        <v>0</v>
      </c>
    </row>
    <row r="1061" spans="1:43" x14ac:dyDescent="0.25">
      <c r="A1061">
        <v>1058</v>
      </c>
      <c r="B1061">
        <v>20</v>
      </c>
      <c r="C1061">
        <v>20</v>
      </c>
      <c r="D1061">
        <v>5</v>
      </c>
      <c r="E1061">
        <v>2269</v>
      </c>
      <c r="F1061">
        <v>6111</v>
      </c>
      <c r="G1061">
        <v>6488</v>
      </c>
      <c r="H1061">
        <v>2604</v>
      </c>
      <c r="I1061">
        <v>1357</v>
      </c>
      <c r="J1061">
        <v>990</v>
      </c>
      <c r="K1061">
        <v>935</v>
      </c>
      <c r="L1061">
        <v>586</v>
      </c>
      <c r="M1061">
        <v>474</v>
      </c>
      <c r="N1061">
        <v>286</v>
      </c>
      <c r="O1061">
        <v>476</v>
      </c>
      <c r="P1061">
        <v>185.54335620000001</v>
      </c>
      <c r="Q1061">
        <v>105</v>
      </c>
      <c r="R1061">
        <v>0.161343284</v>
      </c>
      <c r="S1061">
        <v>1332</v>
      </c>
      <c r="T1061">
        <v>332</v>
      </c>
      <c r="U1061">
        <v>1605</v>
      </c>
      <c r="V1061">
        <v>2443</v>
      </c>
      <c r="W1061">
        <v>1432</v>
      </c>
      <c r="X1061">
        <v>817</v>
      </c>
      <c r="Y1061">
        <v>217</v>
      </c>
      <c r="Z1061">
        <v>177</v>
      </c>
      <c r="AA1061">
        <v>700</v>
      </c>
      <c r="AB1061">
        <v>1</v>
      </c>
      <c r="AC1061">
        <v>122</v>
      </c>
      <c r="AD1061">
        <v>115</v>
      </c>
      <c r="AE1061">
        <v>0</v>
      </c>
      <c r="AF1061">
        <v>0</v>
      </c>
      <c r="AG1061">
        <v>3</v>
      </c>
      <c r="AH1061">
        <v>0</v>
      </c>
      <c r="AI1061">
        <v>0</v>
      </c>
      <c r="AJ1061">
        <v>0</v>
      </c>
      <c r="AK1061">
        <v>1.70791</v>
      </c>
      <c r="AL1061">
        <v>3</v>
      </c>
      <c r="AM1061">
        <v>0</v>
      </c>
      <c r="AN1061">
        <v>2269</v>
      </c>
      <c r="AO1061">
        <v>377</v>
      </c>
      <c r="AP1061">
        <v>0</v>
      </c>
      <c r="AQ1061">
        <v>0</v>
      </c>
    </row>
    <row r="1062" spans="1:43" x14ac:dyDescent="0.25">
      <c r="A1062">
        <v>1059</v>
      </c>
      <c r="B1062">
        <v>20</v>
      </c>
      <c r="C1062">
        <v>20</v>
      </c>
      <c r="D1062">
        <v>5</v>
      </c>
      <c r="E1062">
        <v>3106</v>
      </c>
      <c r="F1062">
        <v>6791</v>
      </c>
      <c r="G1062">
        <v>7165</v>
      </c>
      <c r="H1062">
        <v>3275</v>
      </c>
      <c r="I1062">
        <v>1781</v>
      </c>
      <c r="J1062">
        <v>1388</v>
      </c>
      <c r="K1062">
        <v>951</v>
      </c>
      <c r="L1062">
        <v>687</v>
      </c>
      <c r="M1062">
        <v>764</v>
      </c>
      <c r="N1062">
        <v>693</v>
      </c>
      <c r="O1062">
        <v>3333</v>
      </c>
      <c r="P1062">
        <v>180.23588649999999</v>
      </c>
      <c r="Q1062">
        <v>763.45848960000001</v>
      </c>
      <c r="R1062">
        <v>0.25149230299999997</v>
      </c>
      <c r="S1062">
        <v>6092</v>
      </c>
      <c r="T1062">
        <v>442</v>
      </c>
      <c r="U1062">
        <v>535</v>
      </c>
      <c r="V1062">
        <v>2719</v>
      </c>
      <c r="W1062">
        <v>1420</v>
      </c>
      <c r="X1062">
        <v>1179</v>
      </c>
      <c r="Y1062">
        <v>1306</v>
      </c>
      <c r="Z1062">
        <v>1342</v>
      </c>
      <c r="AA1062">
        <v>1051</v>
      </c>
      <c r="AB1062">
        <v>44</v>
      </c>
      <c r="AC1062">
        <v>1518</v>
      </c>
      <c r="AD1062">
        <v>831</v>
      </c>
      <c r="AE1062">
        <v>0</v>
      </c>
      <c r="AF1062">
        <v>0</v>
      </c>
      <c r="AG1062">
        <v>4</v>
      </c>
      <c r="AH1062">
        <v>333</v>
      </c>
      <c r="AI1062">
        <v>0</v>
      </c>
      <c r="AJ1062">
        <v>0</v>
      </c>
      <c r="AK1062">
        <v>1.2960799999999999</v>
      </c>
      <c r="AL1062">
        <v>3</v>
      </c>
      <c r="AM1062">
        <v>0</v>
      </c>
      <c r="AN1062">
        <v>3106</v>
      </c>
      <c r="AO1062">
        <v>374</v>
      </c>
      <c r="AP1062">
        <v>0</v>
      </c>
      <c r="AQ1062">
        <v>0</v>
      </c>
    </row>
    <row r="1063" spans="1:43" x14ac:dyDescent="0.25">
      <c r="A1063">
        <v>1060</v>
      </c>
      <c r="B1063">
        <v>20</v>
      </c>
      <c r="C1063">
        <v>20</v>
      </c>
      <c r="D1063">
        <v>5</v>
      </c>
      <c r="E1063">
        <v>1976</v>
      </c>
      <c r="F1063">
        <v>7010</v>
      </c>
      <c r="G1063">
        <v>7052</v>
      </c>
      <c r="H1063">
        <v>3168</v>
      </c>
      <c r="I1063">
        <v>1621</v>
      </c>
      <c r="J1063">
        <v>462</v>
      </c>
      <c r="K1063">
        <v>784</v>
      </c>
      <c r="L1063">
        <v>699</v>
      </c>
      <c r="M1063">
        <v>390</v>
      </c>
      <c r="N1063">
        <v>98</v>
      </c>
      <c r="O1063">
        <v>420</v>
      </c>
      <c r="P1063">
        <v>148</v>
      </c>
      <c r="Q1063">
        <v>107.1171995</v>
      </c>
      <c r="R1063">
        <v>9.7782017999999998E-2</v>
      </c>
      <c r="S1063">
        <v>1045</v>
      </c>
      <c r="T1063">
        <v>474</v>
      </c>
      <c r="U1063">
        <v>2530</v>
      </c>
      <c r="V1063">
        <v>2972</v>
      </c>
      <c r="W1063">
        <v>1765</v>
      </c>
      <c r="X1063">
        <v>555</v>
      </c>
      <c r="Y1063">
        <v>21</v>
      </c>
      <c r="Z1063">
        <v>110</v>
      </c>
      <c r="AA1063">
        <v>480</v>
      </c>
      <c r="AB1063">
        <v>4</v>
      </c>
      <c r="AC1063">
        <v>341</v>
      </c>
      <c r="AD1063">
        <v>89</v>
      </c>
      <c r="AE1063">
        <v>0</v>
      </c>
      <c r="AF1063">
        <v>0</v>
      </c>
      <c r="AG1063">
        <v>4</v>
      </c>
      <c r="AH1063">
        <v>0</v>
      </c>
      <c r="AI1063">
        <v>0</v>
      </c>
      <c r="AJ1063">
        <v>0</v>
      </c>
      <c r="AK1063">
        <v>1.5981399999999999</v>
      </c>
      <c r="AL1063">
        <v>3</v>
      </c>
      <c r="AM1063">
        <v>0</v>
      </c>
      <c r="AN1063">
        <v>1976</v>
      </c>
      <c r="AO1063">
        <v>42</v>
      </c>
      <c r="AP1063">
        <v>0</v>
      </c>
      <c r="AQ1063">
        <v>0</v>
      </c>
    </row>
    <row r="1064" spans="1:43" x14ac:dyDescent="0.25">
      <c r="A1064">
        <v>1061</v>
      </c>
      <c r="B1064">
        <v>20</v>
      </c>
      <c r="C1064">
        <v>20</v>
      </c>
      <c r="D1064">
        <v>5</v>
      </c>
      <c r="E1064">
        <v>2632</v>
      </c>
      <c r="F1064">
        <v>7406</v>
      </c>
      <c r="G1064">
        <v>7444</v>
      </c>
      <c r="H1064">
        <v>2654</v>
      </c>
      <c r="I1064">
        <v>1651</v>
      </c>
      <c r="J1064">
        <v>949</v>
      </c>
      <c r="K1064">
        <v>1544</v>
      </c>
      <c r="L1064">
        <v>632</v>
      </c>
      <c r="M1064">
        <v>336</v>
      </c>
      <c r="N1064">
        <v>100</v>
      </c>
      <c r="O1064">
        <v>318</v>
      </c>
      <c r="P1064">
        <v>141.99244920000001</v>
      </c>
      <c r="Q1064">
        <v>79</v>
      </c>
      <c r="R1064">
        <v>0.18553539499999999</v>
      </c>
      <c r="S1064">
        <v>832</v>
      </c>
      <c r="T1064">
        <v>435</v>
      </c>
      <c r="U1064">
        <v>1778</v>
      </c>
      <c r="V1064">
        <v>2299</v>
      </c>
      <c r="W1064">
        <v>2163</v>
      </c>
      <c r="X1064">
        <v>1072</v>
      </c>
      <c r="Y1064">
        <v>128</v>
      </c>
      <c r="Z1064">
        <v>41</v>
      </c>
      <c r="AA1064">
        <v>525</v>
      </c>
      <c r="AB1064">
        <v>0</v>
      </c>
      <c r="AC1064">
        <v>43</v>
      </c>
      <c r="AD1064">
        <v>95</v>
      </c>
      <c r="AE1064">
        <v>0</v>
      </c>
      <c r="AF1064">
        <v>0</v>
      </c>
      <c r="AG1064">
        <v>3</v>
      </c>
      <c r="AH1064">
        <v>746</v>
      </c>
      <c r="AI1064">
        <v>0</v>
      </c>
      <c r="AJ1064">
        <v>0</v>
      </c>
      <c r="AK1064">
        <v>1.7093400000000001</v>
      </c>
      <c r="AL1064">
        <v>3</v>
      </c>
      <c r="AM1064">
        <v>0</v>
      </c>
      <c r="AN1064">
        <v>2632</v>
      </c>
      <c r="AO1064">
        <v>38</v>
      </c>
      <c r="AP1064">
        <v>0</v>
      </c>
      <c r="AQ1064">
        <v>0</v>
      </c>
    </row>
    <row r="1065" spans="1:43" x14ac:dyDescent="0.25">
      <c r="A1065">
        <v>1062</v>
      </c>
      <c r="B1065">
        <v>20</v>
      </c>
      <c r="C1065">
        <v>20</v>
      </c>
      <c r="D1065">
        <v>5</v>
      </c>
      <c r="E1065">
        <v>1909</v>
      </c>
      <c r="F1065">
        <v>3891</v>
      </c>
      <c r="G1065">
        <v>3902</v>
      </c>
      <c r="H1065">
        <v>2215</v>
      </c>
      <c r="I1065">
        <v>1222</v>
      </c>
      <c r="J1065">
        <v>766</v>
      </c>
      <c r="K1065">
        <v>345</v>
      </c>
      <c r="L1065">
        <v>398</v>
      </c>
      <c r="M1065">
        <v>490</v>
      </c>
      <c r="N1065">
        <v>681</v>
      </c>
      <c r="O1065">
        <v>9761</v>
      </c>
      <c r="P1065">
        <v>345.05187310000002</v>
      </c>
      <c r="Q1065">
        <v>2631</v>
      </c>
      <c r="R1065">
        <v>0.28299459700000001</v>
      </c>
      <c r="S1065">
        <v>5900</v>
      </c>
      <c r="T1065">
        <v>204</v>
      </c>
      <c r="U1065">
        <v>297</v>
      </c>
      <c r="V1065">
        <v>1241</v>
      </c>
      <c r="W1065">
        <v>1089</v>
      </c>
      <c r="X1065">
        <v>1010</v>
      </c>
      <c r="Y1065">
        <v>729</v>
      </c>
      <c r="Z1065">
        <v>1120</v>
      </c>
      <c r="AA1065">
        <v>664</v>
      </c>
      <c r="AB1065">
        <v>41</v>
      </c>
      <c r="AC1065">
        <v>2512</v>
      </c>
      <c r="AD1065">
        <v>834</v>
      </c>
      <c r="AE1065">
        <v>0</v>
      </c>
      <c r="AF1065">
        <v>0</v>
      </c>
      <c r="AG1065">
        <v>5</v>
      </c>
      <c r="AH1065">
        <v>0</v>
      </c>
      <c r="AI1065">
        <v>0</v>
      </c>
      <c r="AJ1065">
        <v>0</v>
      </c>
      <c r="AK1065">
        <v>0.98917999999999995</v>
      </c>
      <c r="AL1065">
        <v>1</v>
      </c>
      <c r="AM1065">
        <v>0</v>
      </c>
      <c r="AN1065">
        <v>1909</v>
      </c>
      <c r="AO1065">
        <v>11</v>
      </c>
      <c r="AP1065">
        <v>0</v>
      </c>
      <c r="AQ1065">
        <v>0</v>
      </c>
    </row>
    <row r="1066" spans="1:43" x14ac:dyDescent="0.25">
      <c r="A1066">
        <v>1063</v>
      </c>
      <c r="B1066">
        <v>20</v>
      </c>
      <c r="C1066">
        <v>20</v>
      </c>
      <c r="D1066">
        <v>5</v>
      </c>
      <c r="E1066">
        <v>1791</v>
      </c>
      <c r="F1066">
        <v>5908</v>
      </c>
      <c r="G1066">
        <v>5958</v>
      </c>
      <c r="H1066">
        <v>2646</v>
      </c>
      <c r="I1066">
        <v>1244</v>
      </c>
      <c r="J1066">
        <v>688</v>
      </c>
      <c r="K1066">
        <v>758</v>
      </c>
      <c r="L1066">
        <v>586</v>
      </c>
      <c r="M1066">
        <v>308</v>
      </c>
      <c r="N1066">
        <v>145</v>
      </c>
      <c r="O1066">
        <v>301</v>
      </c>
      <c r="P1066">
        <v>130.1981887</v>
      </c>
      <c r="Q1066">
        <v>54</v>
      </c>
      <c r="R1066">
        <v>7.9410012000000002E-2</v>
      </c>
      <c r="S1066">
        <v>1975</v>
      </c>
      <c r="T1066">
        <v>322</v>
      </c>
      <c r="U1066">
        <v>1741</v>
      </c>
      <c r="V1066">
        <v>2709</v>
      </c>
      <c r="W1066">
        <v>1390</v>
      </c>
      <c r="X1066">
        <v>469</v>
      </c>
      <c r="Y1066">
        <v>31</v>
      </c>
      <c r="Z1066">
        <v>77</v>
      </c>
      <c r="AA1066">
        <v>1755</v>
      </c>
      <c r="AB1066">
        <v>1</v>
      </c>
      <c r="AC1066">
        <v>43</v>
      </c>
      <c r="AD1066">
        <v>68</v>
      </c>
      <c r="AE1066">
        <v>0</v>
      </c>
      <c r="AF1066">
        <v>0</v>
      </c>
      <c r="AG1066">
        <v>3</v>
      </c>
      <c r="AH1066">
        <v>0</v>
      </c>
      <c r="AI1066">
        <v>0</v>
      </c>
      <c r="AJ1066">
        <v>0</v>
      </c>
      <c r="AK1066">
        <v>1.73691</v>
      </c>
      <c r="AL1066">
        <v>3</v>
      </c>
      <c r="AM1066">
        <v>0</v>
      </c>
      <c r="AN1066">
        <v>1791</v>
      </c>
      <c r="AO1066">
        <v>50</v>
      </c>
      <c r="AP1066">
        <v>0</v>
      </c>
      <c r="AQ1066">
        <v>0</v>
      </c>
    </row>
    <row r="1067" spans="1:43" x14ac:dyDescent="0.25">
      <c r="A1067">
        <v>1064</v>
      </c>
      <c r="B1067">
        <v>20</v>
      </c>
      <c r="C1067">
        <v>20</v>
      </c>
      <c r="D1067">
        <v>5</v>
      </c>
      <c r="E1067">
        <v>1381</v>
      </c>
      <c r="F1067">
        <v>4556</v>
      </c>
      <c r="G1067">
        <v>4556</v>
      </c>
      <c r="H1067">
        <v>2175</v>
      </c>
      <c r="I1067">
        <v>1049</v>
      </c>
      <c r="J1067">
        <v>292</v>
      </c>
      <c r="K1067">
        <v>357</v>
      </c>
      <c r="L1067">
        <v>492</v>
      </c>
      <c r="M1067">
        <v>386</v>
      </c>
      <c r="N1067">
        <v>148</v>
      </c>
      <c r="O1067">
        <v>207</v>
      </c>
      <c r="P1067">
        <v>99.054607270000005</v>
      </c>
      <c r="Q1067">
        <v>24.132681609999999</v>
      </c>
      <c r="R1067">
        <v>0.146830825</v>
      </c>
      <c r="S1067">
        <v>293</v>
      </c>
      <c r="T1067">
        <v>188</v>
      </c>
      <c r="U1067">
        <v>1004</v>
      </c>
      <c r="V1067">
        <v>1808</v>
      </c>
      <c r="W1067">
        <v>837</v>
      </c>
      <c r="X1067">
        <v>507</v>
      </c>
      <c r="Y1067">
        <v>35</v>
      </c>
      <c r="Z1067">
        <v>25</v>
      </c>
      <c r="AA1067">
        <v>167</v>
      </c>
      <c r="AB1067">
        <v>0</v>
      </c>
      <c r="AC1067">
        <v>15</v>
      </c>
      <c r="AD1067">
        <v>51</v>
      </c>
      <c r="AE1067">
        <v>0</v>
      </c>
      <c r="AF1067">
        <v>0</v>
      </c>
      <c r="AG1067">
        <v>4</v>
      </c>
      <c r="AH1067">
        <v>0</v>
      </c>
      <c r="AI1067">
        <v>0</v>
      </c>
      <c r="AJ1067">
        <v>0</v>
      </c>
      <c r="AK1067">
        <v>1.5974600000000001</v>
      </c>
      <c r="AL1067">
        <v>3</v>
      </c>
      <c r="AM1067">
        <v>0</v>
      </c>
      <c r="AN1067">
        <v>1381</v>
      </c>
      <c r="AO1067">
        <v>0</v>
      </c>
      <c r="AP1067">
        <v>0</v>
      </c>
      <c r="AQ1067">
        <v>0</v>
      </c>
    </row>
    <row r="1068" spans="1:43" x14ac:dyDescent="0.25">
      <c r="A1068">
        <v>1065</v>
      </c>
      <c r="B1068">
        <v>20</v>
      </c>
      <c r="C1068">
        <v>20</v>
      </c>
      <c r="D1068">
        <v>5</v>
      </c>
      <c r="E1068">
        <v>2487</v>
      </c>
      <c r="F1068">
        <v>7142</v>
      </c>
      <c r="G1068">
        <v>7224</v>
      </c>
      <c r="H1068">
        <v>3951</v>
      </c>
      <c r="I1068">
        <v>2402</v>
      </c>
      <c r="J1068">
        <v>116</v>
      </c>
      <c r="K1068">
        <v>526</v>
      </c>
      <c r="L1068">
        <v>1066</v>
      </c>
      <c r="M1068">
        <v>652</v>
      </c>
      <c r="N1068">
        <v>242</v>
      </c>
      <c r="O1068">
        <v>388</v>
      </c>
      <c r="P1068">
        <v>215</v>
      </c>
      <c r="Q1068">
        <v>54</v>
      </c>
      <c r="R1068">
        <v>0.139027595</v>
      </c>
      <c r="S1068">
        <v>765</v>
      </c>
      <c r="T1068">
        <v>422</v>
      </c>
      <c r="U1068">
        <v>1349</v>
      </c>
      <c r="V1068">
        <v>2824</v>
      </c>
      <c r="W1068">
        <v>2096</v>
      </c>
      <c r="X1068">
        <v>836</v>
      </c>
      <c r="Y1068">
        <v>54</v>
      </c>
      <c r="Z1068">
        <v>104</v>
      </c>
      <c r="AA1068">
        <v>462</v>
      </c>
      <c r="AB1068">
        <v>1</v>
      </c>
      <c r="AC1068">
        <v>75</v>
      </c>
      <c r="AD1068">
        <v>69</v>
      </c>
      <c r="AE1068">
        <v>0</v>
      </c>
      <c r="AF1068">
        <v>0</v>
      </c>
      <c r="AG1068">
        <v>4</v>
      </c>
      <c r="AH1068">
        <v>1693</v>
      </c>
      <c r="AI1068">
        <v>0</v>
      </c>
      <c r="AJ1068">
        <v>0</v>
      </c>
      <c r="AK1068">
        <v>1.48532</v>
      </c>
      <c r="AL1068">
        <v>3</v>
      </c>
      <c r="AM1068">
        <v>0</v>
      </c>
      <c r="AN1068">
        <v>2487</v>
      </c>
      <c r="AO1068">
        <v>82</v>
      </c>
      <c r="AP1068">
        <v>0</v>
      </c>
      <c r="AQ1068">
        <v>0</v>
      </c>
    </row>
    <row r="1069" spans="1:43" x14ac:dyDescent="0.25">
      <c r="A1069">
        <v>1066</v>
      </c>
      <c r="B1069">
        <v>20</v>
      </c>
      <c r="C1069">
        <v>20</v>
      </c>
      <c r="D1069">
        <v>5</v>
      </c>
      <c r="E1069">
        <v>2655</v>
      </c>
      <c r="F1069">
        <v>6590</v>
      </c>
      <c r="G1069">
        <v>6651</v>
      </c>
      <c r="H1069">
        <v>3093</v>
      </c>
      <c r="I1069">
        <v>1226</v>
      </c>
      <c r="J1069">
        <v>1425</v>
      </c>
      <c r="K1069">
        <v>1044</v>
      </c>
      <c r="L1069">
        <v>1112</v>
      </c>
      <c r="M1069">
        <v>431</v>
      </c>
      <c r="N1069">
        <v>86</v>
      </c>
      <c r="O1069">
        <v>401</v>
      </c>
      <c r="P1069">
        <v>126.0753866</v>
      </c>
      <c r="Q1069">
        <v>92.512803689999998</v>
      </c>
      <c r="R1069">
        <v>0.224173132</v>
      </c>
      <c r="S1069">
        <v>2569</v>
      </c>
      <c r="T1069">
        <v>232</v>
      </c>
      <c r="U1069">
        <v>1760</v>
      </c>
      <c r="V1069">
        <v>2262</v>
      </c>
      <c r="W1069">
        <v>1796</v>
      </c>
      <c r="X1069">
        <v>1212</v>
      </c>
      <c r="Y1069">
        <v>502</v>
      </c>
      <c r="Z1069">
        <v>144</v>
      </c>
      <c r="AA1069">
        <v>1700</v>
      </c>
      <c r="AB1069">
        <v>0</v>
      </c>
      <c r="AC1069">
        <v>13</v>
      </c>
      <c r="AD1069">
        <v>210</v>
      </c>
      <c r="AE1069">
        <v>0</v>
      </c>
      <c r="AF1069">
        <v>0</v>
      </c>
      <c r="AG1069">
        <v>4</v>
      </c>
      <c r="AH1069">
        <v>0</v>
      </c>
      <c r="AI1069">
        <v>0</v>
      </c>
      <c r="AJ1069">
        <v>0</v>
      </c>
      <c r="AK1069">
        <v>2.3201000000000001</v>
      </c>
      <c r="AL1069">
        <v>2</v>
      </c>
      <c r="AM1069">
        <v>0</v>
      </c>
      <c r="AN1069">
        <v>2655</v>
      </c>
      <c r="AO1069">
        <v>61</v>
      </c>
      <c r="AP1069">
        <v>0</v>
      </c>
      <c r="AQ1069">
        <v>0</v>
      </c>
    </row>
    <row r="1070" spans="1:43" x14ac:dyDescent="0.25">
      <c r="A1070">
        <v>1067</v>
      </c>
      <c r="B1070">
        <v>20</v>
      </c>
      <c r="C1070">
        <v>20</v>
      </c>
      <c r="D1070">
        <v>5</v>
      </c>
      <c r="E1070">
        <v>2608</v>
      </c>
      <c r="F1070">
        <v>8596</v>
      </c>
      <c r="G1070">
        <v>8613</v>
      </c>
      <c r="H1070">
        <v>3619</v>
      </c>
      <c r="I1070">
        <v>1816</v>
      </c>
      <c r="J1070">
        <v>843</v>
      </c>
      <c r="K1070">
        <v>887</v>
      </c>
      <c r="L1070">
        <v>989</v>
      </c>
      <c r="M1070">
        <v>577</v>
      </c>
      <c r="N1070">
        <v>160</v>
      </c>
      <c r="O1070">
        <v>357</v>
      </c>
      <c r="P1070">
        <v>176.3773554</v>
      </c>
      <c r="Q1070">
        <v>64</v>
      </c>
      <c r="R1070">
        <v>0.10312671399999999</v>
      </c>
      <c r="S1070">
        <v>620</v>
      </c>
      <c r="T1070">
        <v>546</v>
      </c>
      <c r="U1070">
        <v>2347</v>
      </c>
      <c r="V1070">
        <v>3404</v>
      </c>
      <c r="W1070">
        <v>2026</v>
      </c>
      <c r="X1070">
        <v>685</v>
      </c>
      <c r="Y1070">
        <v>57</v>
      </c>
      <c r="Z1070">
        <v>78</v>
      </c>
      <c r="AA1070">
        <v>332</v>
      </c>
      <c r="AB1070">
        <v>0</v>
      </c>
      <c r="AC1070">
        <v>56</v>
      </c>
      <c r="AD1070">
        <v>97</v>
      </c>
      <c r="AE1070">
        <v>0</v>
      </c>
      <c r="AF1070">
        <v>0</v>
      </c>
      <c r="AG1070">
        <v>4</v>
      </c>
      <c r="AH1070">
        <v>0</v>
      </c>
      <c r="AI1070">
        <v>0</v>
      </c>
      <c r="AJ1070">
        <v>0</v>
      </c>
      <c r="AK1070">
        <v>1.65323</v>
      </c>
      <c r="AL1070">
        <v>3</v>
      </c>
      <c r="AM1070">
        <v>0</v>
      </c>
      <c r="AN1070">
        <v>2608</v>
      </c>
      <c r="AO1070">
        <v>17</v>
      </c>
      <c r="AP1070">
        <v>0</v>
      </c>
      <c r="AQ1070">
        <v>0</v>
      </c>
    </row>
    <row r="1071" spans="1:43" x14ac:dyDescent="0.25">
      <c r="A1071">
        <v>1068</v>
      </c>
      <c r="B1071">
        <v>20</v>
      </c>
      <c r="C1071">
        <v>20</v>
      </c>
      <c r="D1071">
        <v>5</v>
      </c>
      <c r="E1071">
        <v>1391</v>
      </c>
      <c r="F1071">
        <v>4943</v>
      </c>
      <c r="G1071">
        <v>5443</v>
      </c>
      <c r="H1071">
        <v>2266</v>
      </c>
      <c r="I1071">
        <v>1318</v>
      </c>
      <c r="J1071">
        <v>176</v>
      </c>
      <c r="K1071">
        <v>415</v>
      </c>
      <c r="L1071">
        <v>483</v>
      </c>
      <c r="M1071">
        <v>340</v>
      </c>
      <c r="N1071">
        <v>154</v>
      </c>
      <c r="O1071">
        <v>3921</v>
      </c>
      <c r="P1071">
        <v>123.2253462</v>
      </c>
      <c r="Q1071">
        <v>618.47659580000004</v>
      </c>
      <c r="R1071">
        <v>0.10926319900000001</v>
      </c>
      <c r="S1071">
        <v>1424</v>
      </c>
      <c r="T1071">
        <v>265</v>
      </c>
      <c r="U1071">
        <v>1496</v>
      </c>
      <c r="V1071">
        <v>1707</v>
      </c>
      <c r="W1071">
        <v>1201</v>
      </c>
      <c r="X1071">
        <v>454</v>
      </c>
      <c r="Y1071">
        <v>65</v>
      </c>
      <c r="Z1071">
        <v>244</v>
      </c>
      <c r="AA1071">
        <v>316</v>
      </c>
      <c r="AB1071">
        <v>1</v>
      </c>
      <c r="AC1071">
        <v>412</v>
      </c>
      <c r="AD1071">
        <v>386</v>
      </c>
      <c r="AE1071">
        <v>0</v>
      </c>
      <c r="AF1071">
        <v>0</v>
      </c>
      <c r="AG1071">
        <v>5</v>
      </c>
      <c r="AH1071">
        <v>0</v>
      </c>
      <c r="AI1071">
        <v>0</v>
      </c>
      <c r="AJ1071">
        <v>0</v>
      </c>
      <c r="AK1071">
        <v>1.10253</v>
      </c>
      <c r="AL1071">
        <v>3</v>
      </c>
      <c r="AM1071">
        <v>0</v>
      </c>
      <c r="AN1071">
        <v>1391</v>
      </c>
      <c r="AO1071">
        <v>500</v>
      </c>
      <c r="AP1071">
        <v>0</v>
      </c>
      <c r="AQ1071">
        <v>0</v>
      </c>
    </row>
    <row r="1072" spans="1:43" x14ac:dyDescent="0.25">
      <c r="A1072">
        <v>1069</v>
      </c>
      <c r="B1072">
        <v>20</v>
      </c>
      <c r="C1072">
        <v>20</v>
      </c>
      <c r="D1072">
        <v>5</v>
      </c>
      <c r="E1072">
        <v>4061</v>
      </c>
      <c r="F1072">
        <v>10500</v>
      </c>
      <c r="G1072">
        <v>10500</v>
      </c>
      <c r="H1072">
        <v>5100</v>
      </c>
      <c r="I1072">
        <v>1942</v>
      </c>
      <c r="J1072">
        <v>2282</v>
      </c>
      <c r="K1072">
        <v>1081</v>
      </c>
      <c r="L1072">
        <v>1460</v>
      </c>
      <c r="M1072">
        <v>848</v>
      </c>
      <c r="N1072">
        <v>678</v>
      </c>
      <c r="O1072">
        <v>7997</v>
      </c>
      <c r="P1072">
        <v>439.07259640000001</v>
      </c>
      <c r="Q1072">
        <v>947.75188509999998</v>
      </c>
      <c r="R1072">
        <v>0.15366866600000001</v>
      </c>
      <c r="S1072">
        <v>7265</v>
      </c>
      <c r="T1072">
        <v>530</v>
      </c>
      <c r="U1072">
        <v>1819</v>
      </c>
      <c r="V1072">
        <v>4574</v>
      </c>
      <c r="W1072">
        <v>2465</v>
      </c>
      <c r="X1072">
        <v>1338</v>
      </c>
      <c r="Y1072">
        <v>800</v>
      </c>
      <c r="Z1072">
        <v>879</v>
      </c>
      <c r="AA1072">
        <v>1327</v>
      </c>
      <c r="AB1072">
        <v>15</v>
      </c>
      <c r="AC1072">
        <v>2574</v>
      </c>
      <c r="AD1072">
        <v>1670</v>
      </c>
      <c r="AE1072">
        <v>0</v>
      </c>
      <c r="AF1072">
        <v>0</v>
      </c>
      <c r="AG1072">
        <v>4</v>
      </c>
      <c r="AH1072">
        <v>1287</v>
      </c>
      <c r="AI1072">
        <v>0</v>
      </c>
      <c r="AJ1072">
        <v>0</v>
      </c>
      <c r="AK1072">
        <v>1.32759</v>
      </c>
      <c r="AL1072">
        <v>1</v>
      </c>
      <c r="AM1072">
        <v>0</v>
      </c>
      <c r="AN1072">
        <v>4061</v>
      </c>
      <c r="AO1072">
        <v>0</v>
      </c>
      <c r="AP1072">
        <v>0</v>
      </c>
      <c r="AQ1072">
        <v>0</v>
      </c>
    </row>
    <row r="1073" spans="1:43" x14ac:dyDescent="0.25">
      <c r="A1073">
        <v>1070</v>
      </c>
      <c r="B1073">
        <v>20</v>
      </c>
      <c r="C1073">
        <v>20</v>
      </c>
      <c r="D1073">
        <v>5</v>
      </c>
      <c r="E1073">
        <v>1284</v>
      </c>
      <c r="F1073">
        <v>4199</v>
      </c>
      <c r="G1073">
        <v>4199</v>
      </c>
      <c r="H1073">
        <v>1953</v>
      </c>
      <c r="I1073">
        <v>962</v>
      </c>
      <c r="J1073">
        <v>332</v>
      </c>
      <c r="K1073">
        <v>405</v>
      </c>
      <c r="L1073">
        <v>395</v>
      </c>
      <c r="M1073">
        <v>320</v>
      </c>
      <c r="N1073">
        <v>164</v>
      </c>
      <c r="O1073">
        <v>245</v>
      </c>
      <c r="P1073">
        <v>152.11087739999999</v>
      </c>
      <c r="Q1073">
        <v>21</v>
      </c>
      <c r="R1073">
        <v>0.104448321</v>
      </c>
      <c r="S1073">
        <v>265</v>
      </c>
      <c r="T1073">
        <v>183</v>
      </c>
      <c r="U1073">
        <v>1184</v>
      </c>
      <c r="V1073">
        <v>1714</v>
      </c>
      <c r="W1073">
        <v>1095</v>
      </c>
      <c r="X1073">
        <v>374</v>
      </c>
      <c r="Y1073">
        <v>25</v>
      </c>
      <c r="Z1073">
        <v>19</v>
      </c>
      <c r="AA1073">
        <v>152</v>
      </c>
      <c r="AB1073">
        <v>0</v>
      </c>
      <c r="AC1073">
        <v>17</v>
      </c>
      <c r="AD1073">
        <v>52</v>
      </c>
      <c r="AE1073">
        <v>0</v>
      </c>
      <c r="AF1073">
        <v>0</v>
      </c>
      <c r="AG1073">
        <v>4</v>
      </c>
      <c r="AH1073">
        <v>0</v>
      </c>
      <c r="AI1073">
        <v>0</v>
      </c>
      <c r="AJ1073">
        <v>0</v>
      </c>
      <c r="AK1073">
        <v>1.4275899999999999</v>
      </c>
      <c r="AL1073">
        <v>1</v>
      </c>
      <c r="AM1073">
        <v>0</v>
      </c>
      <c r="AN1073">
        <v>1284</v>
      </c>
      <c r="AO1073">
        <v>0</v>
      </c>
      <c r="AP1073">
        <v>0</v>
      </c>
      <c r="AQ1073">
        <v>0</v>
      </c>
    </row>
    <row r="1074" spans="1:43" x14ac:dyDescent="0.25">
      <c r="A1074">
        <v>1071</v>
      </c>
      <c r="B1074">
        <v>20</v>
      </c>
      <c r="C1074">
        <v>20</v>
      </c>
      <c r="D1074">
        <v>5</v>
      </c>
      <c r="E1074">
        <v>1836</v>
      </c>
      <c r="F1074">
        <v>6315</v>
      </c>
      <c r="G1074">
        <v>6315</v>
      </c>
      <c r="H1074">
        <v>2688</v>
      </c>
      <c r="I1074">
        <v>1236</v>
      </c>
      <c r="J1074">
        <v>555</v>
      </c>
      <c r="K1074">
        <v>686</v>
      </c>
      <c r="L1074">
        <v>619</v>
      </c>
      <c r="M1074">
        <v>400</v>
      </c>
      <c r="N1074">
        <v>130</v>
      </c>
      <c r="O1074">
        <v>266</v>
      </c>
      <c r="P1074">
        <v>156.16761750000001</v>
      </c>
      <c r="Q1074">
        <v>45</v>
      </c>
      <c r="R1074">
        <v>0.123327516</v>
      </c>
      <c r="S1074">
        <v>481</v>
      </c>
      <c r="T1074">
        <v>447</v>
      </c>
      <c r="U1074">
        <v>1902</v>
      </c>
      <c r="V1074">
        <v>2396</v>
      </c>
      <c r="W1074">
        <v>1427</v>
      </c>
      <c r="X1074">
        <v>621</v>
      </c>
      <c r="Y1074">
        <v>35</v>
      </c>
      <c r="Z1074">
        <v>89</v>
      </c>
      <c r="AA1074">
        <v>228</v>
      </c>
      <c r="AB1074">
        <v>1</v>
      </c>
      <c r="AC1074">
        <v>82</v>
      </c>
      <c r="AD1074">
        <v>46</v>
      </c>
      <c r="AE1074">
        <v>0</v>
      </c>
      <c r="AF1074">
        <v>0</v>
      </c>
      <c r="AG1074">
        <v>4</v>
      </c>
      <c r="AH1074">
        <v>0</v>
      </c>
      <c r="AI1074">
        <v>0</v>
      </c>
      <c r="AJ1074">
        <v>0</v>
      </c>
      <c r="AK1074">
        <v>1.4793099999999999</v>
      </c>
      <c r="AL1074">
        <v>3</v>
      </c>
      <c r="AM1074">
        <v>0</v>
      </c>
      <c r="AN1074">
        <v>1836</v>
      </c>
      <c r="AO1074">
        <v>0</v>
      </c>
      <c r="AP1074">
        <v>0</v>
      </c>
      <c r="AQ1074">
        <v>0</v>
      </c>
    </row>
    <row r="1075" spans="1:43" x14ac:dyDescent="0.25">
      <c r="A1075">
        <v>1072</v>
      </c>
      <c r="B1075">
        <v>20</v>
      </c>
      <c r="C1075">
        <v>20</v>
      </c>
      <c r="D1075">
        <v>5</v>
      </c>
      <c r="E1075">
        <v>1847</v>
      </c>
      <c r="F1075">
        <v>5464</v>
      </c>
      <c r="G1075">
        <v>5464</v>
      </c>
      <c r="H1075">
        <v>2636</v>
      </c>
      <c r="I1075">
        <v>1307</v>
      </c>
      <c r="J1075">
        <v>528</v>
      </c>
      <c r="K1075">
        <v>585</v>
      </c>
      <c r="L1075">
        <v>495</v>
      </c>
      <c r="M1075">
        <v>459</v>
      </c>
      <c r="N1075">
        <v>297</v>
      </c>
      <c r="O1075">
        <v>328</v>
      </c>
      <c r="P1075">
        <v>126.1423138</v>
      </c>
      <c r="Q1075">
        <v>124.24423760000001</v>
      </c>
      <c r="R1075">
        <v>0.117335101</v>
      </c>
      <c r="S1075">
        <v>1273</v>
      </c>
      <c r="T1075">
        <v>139</v>
      </c>
      <c r="U1075">
        <v>1401</v>
      </c>
      <c r="V1075">
        <v>2182</v>
      </c>
      <c r="W1075">
        <v>1727</v>
      </c>
      <c r="X1075">
        <v>530</v>
      </c>
      <c r="Y1075">
        <v>145</v>
      </c>
      <c r="Z1075">
        <v>50</v>
      </c>
      <c r="AA1075">
        <v>969</v>
      </c>
      <c r="AB1075">
        <v>1</v>
      </c>
      <c r="AC1075">
        <v>85</v>
      </c>
      <c r="AD1075">
        <v>23</v>
      </c>
      <c r="AE1075">
        <v>0</v>
      </c>
      <c r="AF1075">
        <v>0</v>
      </c>
      <c r="AG1075">
        <v>4</v>
      </c>
      <c r="AH1075">
        <v>307</v>
      </c>
      <c r="AI1075">
        <v>0</v>
      </c>
      <c r="AJ1075">
        <v>0</v>
      </c>
      <c r="AK1075">
        <v>1.4698199999999999</v>
      </c>
      <c r="AL1075">
        <v>2</v>
      </c>
      <c r="AM1075">
        <v>0</v>
      </c>
      <c r="AN1075">
        <v>1847</v>
      </c>
      <c r="AO1075">
        <v>0</v>
      </c>
      <c r="AP1075">
        <v>0</v>
      </c>
      <c r="AQ1075">
        <v>0</v>
      </c>
    </row>
    <row r="1076" spans="1:43" x14ac:dyDescent="0.25">
      <c r="A1076">
        <v>1073</v>
      </c>
      <c r="B1076">
        <v>20</v>
      </c>
      <c r="C1076">
        <v>20</v>
      </c>
      <c r="D1076">
        <v>5</v>
      </c>
      <c r="E1076">
        <v>2037</v>
      </c>
      <c r="F1076">
        <v>5309</v>
      </c>
      <c r="G1076">
        <v>5336</v>
      </c>
      <c r="H1076">
        <v>2575</v>
      </c>
      <c r="I1076">
        <v>1139</v>
      </c>
      <c r="J1076">
        <v>906</v>
      </c>
      <c r="K1076">
        <v>722</v>
      </c>
      <c r="L1076">
        <v>679</v>
      </c>
      <c r="M1076">
        <v>497</v>
      </c>
      <c r="N1076">
        <v>148</v>
      </c>
      <c r="O1076">
        <v>429</v>
      </c>
      <c r="P1076">
        <v>211</v>
      </c>
      <c r="Q1076">
        <v>81</v>
      </c>
      <c r="R1076">
        <v>0.18785014</v>
      </c>
      <c r="S1076">
        <v>351</v>
      </c>
      <c r="T1076">
        <v>315</v>
      </c>
      <c r="U1076">
        <v>889</v>
      </c>
      <c r="V1076">
        <v>2116</v>
      </c>
      <c r="W1076">
        <v>1416</v>
      </c>
      <c r="X1076">
        <v>915</v>
      </c>
      <c r="Y1076">
        <v>10</v>
      </c>
      <c r="Z1076">
        <v>23</v>
      </c>
      <c r="AA1076">
        <v>283</v>
      </c>
      <c r="AB1076">
        <v>1</v>
      </c>
      <c r="AC1076">
        <v>14</v>
      </c>
      <c r="AD1076">
        <v>20</v>
      </c>
      <c r="AE1076">
        <v>0</v>
      </c>
      <c r="AF1076">
        <v>0</v>
      </c>
      <c r="AG1076">
        <v>4</v>
      </c>
      <c r="AH1076">
        <v>294</v>
      </c>
      <c r="AI1076">
        <v>1805</v>
      </c>
      <c r="AJ1076">
        <v>7816</v>
      </c>
      <c r="AK1076">
        <v>1.2738</v>
      </c>
      <c r="AL1076">
        <v>1</v>
      </c>
      <c r="AM1076">
        <v>0</v>
      </c>
      <c r="AN1076">
        <v>2037</v>
      </c>
      <c r="AO1076">
        <v>27</v>
      </c>
      <c r="AP1076">
        <v>0</v>
      </c>
      <c r="AQ1076">
        <v>0</v>
      </c>
    </row>
    <row r="1077" spans="1:43" x14ac:dyDescent="0.25">
      <c r="A1077">
        <v>1074</v>
      </c>
      <c r="B1077">
        <v>20</v>
      </c>
      <c r="C1077">
        <v>20</v>
      </c>
      <c r="D1077">
        <v>5</v>
      </c>
      <c r="E1077">
        <v>2817</v>
      </c>
      <c r="F1077">
        <v>7789</v>
      </c>
      <c r="G1077">
        <v>7874</v>
      </c>
      <c r="H1077">
        <v>3906</v>
      </c>
      <c r="I1077">
        <v>2077</v>
      </c>
      <c r="J1077">
        <v>785</v>
      </c>
      <c r="K1077">
        <v>473</v>
      </c>
      <c r="L1077">
        <v>1090</v>
      </c>
      <c r="M1077">
        <v>788</v>
      </c>
      <c r="N1077">
        <v>465</v>
      </c>
      <c r="O1077">
        <v>1081</v>
      </c>
      <c r="P1077">
        <v>500.3280421</v>
      </c>
      <c r="Q1077">
        <v>181</v>
      </c>
      <c r="R1077">
        <v>0.28089310899999997</v>
      </c>
      <c r="S1077">
        <v>2396</v>
      </c>
      <c r="T1077">
        <v>246</v>
      </c>
      <c r="U1077">
        <v>859</v>
      </c>
      <c r="V1077">
        <v>2599</v>
      </c>
      <c r="W1077">
        <v>2181</v>
      </c>
      <c r="X1077">
        <v>1826</v>
      </c>
      <c r="Y1077">
        <v>850</v>
      </c>
      <c r="Z1077">
        <v>240</v>
      </c>
      <c r="AA1077">
        <v>1077</v>
      </c>
      <c r="AB1077">
        <v>2</v>
      </c>
      <c r="AC1077">
        <v>65</v>
      </c>
      <c r="AD1077">
        <v>162</v>
      </c>
      <c r="AE1077">
        <v>0</v>
      </c>
      <c r="AF1077">
        <v>0</v>
      </c>
      <c r="AG1077">
        <v>4</v>
      </c>
      <c r="AH1077">
        <v>11</v>
      </c>
      <c r="AI1077">
        <v>0</v>
      </c>
      <c r="AJ1077">
        <v>0</v>
      </c>
      <c r="AK1077">
        <v>1.3019099999999999</v>
      </c>
      <c r="AL1077">
        <v>1</v>
      </c>
      <c r="AM1077">
        <v>0</v>
      </c>
      <c r="AN1077">
        <v>2817</v>
      </c>
      <c r="AO1077">
        <v>85</v>
      </c>
      <c r="AP1077">
        <v>0</v>
      </c>
      <c r="AQ1077">
        <v>0</v>
      </c>
    </row>
    <row r="1078" spans="1:43" x14ac:dyDescent="0.25">
      <c r="A1078">
        <v>1075</v>
      </c>
      <c r="B1078">
        <v>20</v>
      </c>
      <c r="C1078">
        <v>20</v>
      </c>
      <c r="D1078">
        <v>5</v>
      </c>
      <c r="E1078">
        <v>1076</v>
      </c>
      <c r="F1078">
        <v>2899</v>
      </c>
      <c r="G1078">
        <v>2942</v>
      </c>
      <c r="H1078">
        <v>1377</v>
      </c>
      <c r="I1078">
        <v>744</v>
      </c>
      <c r="J1078">
        <v>353</v>
      </c>
      <c r="K1078">
        <v>291</v>
      </c>
      <c r="L1078">
        <v>445</v>
      </c>
      <c r="M1078">
        <v>186</v>
      </c>
      <c r="N1078">
        <v>147</v>
      </c>
      <c r="O1078">
        <v>372</v>
      </c>
      <c r="P1078">
        <v>134.12968989999999</v>
      </c>
      <c r="Q1078">
        <v>58</v>
      </c>
      <c r="R1078">
        <v>0.197766571</v>
      </c>
      <c r="S1078">
        <v>725</v>
      </c>
      <c r="T1078">
        <v>194</v>
      </c>
      <c r="U1078">
        <v>376</v>
      </c>
      <c r="V1078">
        <v>985</v>
      </c>
      <c r="W1078">
        <v>793</v>
      </c>
      <c r="X1078">
        <v>394</v>
      </c>
      <c r="Y1078">
        <v>123</v>
      </c>
      <c r="Z1078">
        <v>123</v>
      </c>
      <c r="AA1078">
        <v>412</v>
      </c>
      <c r="AB1078">
        <v>1</v>
      </c>
      <c r="AC1078">
        <v>16</v>
      </c>
      <c r="AD1078">
        <v>50</v>
      </c>
      <c r="AE1078">
        <v>0</v>
      </c>
      <c r="AF1078">
        <v>0</v>
      </c>
      <c r="AG1078">
        <v>4</v>
      </c>
      <c r="AH1078">
        <v>0</v>
      </c>
      <c r="AI1078">
        <v>0</v>
      </c>
      <c r="AJ1078">
        <v>0</v>
      </c>
      <c r="AK1078">
        <v>1.3101100000000001</v>
      </c>
      <c r="AL1078">
        <v>1</v>
      </c>
      <c r="AM1078">
        <v>0</v>
      </c>
      <c r="AN1078">
        <v>1076</v>
      </c>
      <c r="AO1078">
        <v>43</v>
      </c>
      <c r="AP1078">
        <v>0</v>
      </c>
      <c r="AQ1078">
        <v>0</v>
      </c>
    </row>
    <row r="1079" spans="1:43" x14ac:dyDescent="0.25">
      <c r="A1079">
        <v>1076</v>
      </c>
      <c r="B1079">
        <v>20</v>
      </c>
      <c r="C1079">
        <v>20</v>
      </c>
      <c r="D1079">
        <v>5</v>
      </c>
      <c r="E1079">
        <v>1237</v>
      </c>
      <c r="F1079">
        <v>2692</v>
      </c>
      <c r="G1079">
        <v>2703</v>
      </c>
      <c r="H1079">
        <v>1627</v>
      </c>
      <c r="I1079">
        <v>1259</v>
      </c>
      <c r="J1079">
        <v>39</v>
      </c>
      <c r="K1079">
        <v>281</v>
      </c>
      <c r="L1079">
        <v>288</v>
      </c>
      <c r="M1079">
        <v>371</v>
      </c>
      <c r="N1079">
        <v>283</v>
      </c>
      <c r="O1079">
        <v>331</v>
      </c>
      <c r="P1079">
        <v>181.23798379999999</v>
      </c>
      <c r="Q1079">
        <v>35</v>
      </c>
      <c r="R1079">
        <v>0.306845545</v>
      </c>
      <c r="S1079">
        <v>326</v>
      </c>
      <c r="T1079">
        <v>123</v>
      </c>
      <c r="U1079">
        <v>432</v>
      </c>
      <c r="V1079">
        <v>742</v>
      </c>
      <c r="W1079">
        <v>867</v>
      </c>
      <c r="X1079">
        <v>718</v>
      </c>
      <c r="Y1079">
        <v>5</v>
      </c>
      <c r="Z1079">
        <v>43</v>
      </c>
      <c r="AA1079">
        <v>242</v>
      </c>
      <c r="AB1079">
        <v>0</v>
      </c>
      <c r="AC1079">
        <v>13</v>
      </c>
      <c r="AD1079">
        <v>23</v>
      </c>
      <c r="AE1079">
        <v>0</v>
      </c>
      <c r="AF1079">
        <v>0</v>
      </c>
      <c r="AG1079">
        <v>4</v>
      </c>
      <c r="AH1079">
        <v>5</v>
      </c>
      <c r="AI1079">
        <v>0</v>
      </c>
      <c r="AJ1079">
        <v>0</v>
      </c>
      <c r="AK1079">
        <v>1.2030000000000001</v>
      </c>
      <c r="AL1079">
        <v>1</v>
      </c>
      <c r="AM1079">
        <v>0</v>
      </c>
      <c r="AN1079">
        <v>1237</v>
      </c>
      <c r="AO1079">
        <v>11</v>
      </c>
      <c r="AP1079">
        <v>0</v>
      </c>
      <c r="AQ1079">
        <v>0</v>
      </c>
    </row>
    <row r="1080" spans="1:43" x14ac:dyDescent="0.25">
      <c r="A1080">
        <v>1077</v>
      </c>
      <c r="B1080">
        <v>20</v>
      </c>
      <c r="C1080">
        <v>20</v>
      </c>
      <c r="D1080">
        <v>5</v>
      </c>
      <c r="E1080">
        <v>1966</v>
      </c>
      <c r="F1080">
        <v>5521</v>
      </c>
      <c r="G1080">
        <v>5525</v>
      </c>
      <c r="H1080">
        <v>2716</v>
      </c>
      <c r="I1080">
        <v>1516</v>
      </c>
      <c r="J1080">
        <v>518</v>
      </c>
      <c r="K1080">
        <v>446</v>
      </c>
      <c r="L1080">
        <v>487</v>
      </c>
      <c r="M1080">
        <v>606</v>
      </c>
      <c r="N1080">
        <v>428</v>
      </c>
      <c r="O1080">
        <v>3869</v>
      </c>
      <c r="P1080">
        <v>398.3257969</v>
      </c>
      <c r="Q1080">
        <v>76</v>
      </c>
      <c r="R1080">
        <v>0.214886613</v>
      </c>
      <c r="S1080">
        <v>517</v>
      </c>
      <c r="T1080">
        <v>289</v>
      </c>
      <c r="U1080">
        <v>876</v>
      </c>
      <c r="V1080">
        <v>1818</v>
      </c>
      <c r="W1080">
        <v>1458</v>
      </c>
      <c r="X1080">
        <v>972</v>
      </c>
      <c r="Y1080">
        <v>21</v>
      </c>
      <c r="Z1080">
        <v>87</v>
      </c>
      <c r="AA1080">
        <v>289</v>
      </c>
      <c r="AB1080">
        <v>0</v>
      </c>
      <c r="AC1080">
        <v>17</v>
      </c>
      <c r="AD1080">
        <v>103</v>
      </c>
      <c r="AE1080">
        <v>0</v>
      </c>
      <c r="AF1080">
        <v>0</v>
      </c>
      <c r="AG1080">
        <v>4</v>
      </c>
      <c r="AH1080">
        <v>0</v>
      </c>
      <c r="AI1080">
        <v>0</v>
      </c>
      <c r="AJ1080">
        <v>0</v>
      </c>
      <c r="AK1080">
        <v>1.15238</v>
      </c>
      <c r="AL1080">
        <v>1</v>
      </c>
      <c r="AM1080">
        <v>0</v>
      </c>
      <c r="AN1080">
        <v>1966</v>
      </c>
      <c r="AO1080">
        <v>4</v>
      </c>
      <c r="AP1080">
        <v>0</v>
      </c>
      <c r="AQ1080">
        <v>0</v>
      </c>
    </row>
    <row r="1081" spans="1:43" x14ac:dyDescent="0.25">
      <c r="A1081">
        <v>1078</v>
      </c>
      <c r="B1081">
        <v>20</v>
      </c>
      <c r="C1081">
        <v>20</v>
      </c>
      <c r="D1081">
        <v>5</v>
      </c>
      <c r="E1081">
        <v>1689</v>
      </c>
      <c r="F1081">
        <v>4955</v>
      </c>
      <c r="G1081">
        <v>4977</v>
      </c>
      <c r="H1081">
        <v>2512</v>
      </c>
      <c r="I1081">
        <v>1220</v>
      </c>
      <c r="J1081">
        <v>495</v>
      </c>
      <c r="K1081">
        <v>322</v>
      </c>
      <c r="L1081">
        <v>452</v>
      </c>
      <c r="M1081">
        <v>562</v>
      </c>
      <c r="N1081">
        <v>346</v>
      </c>
      <c r="O1081">
        <v>551</v>
      </c>
      <c r="P1081">
        <v>345.32719680000002</v>
      </c>
      <c r="Q1081">
        <v>93</v>
      </c>
      <c r="R1081">
        <v>0.167398244</v>
      </c>
      <c r="S1081">
        <v>584</v>
      </c>
      <c r="T1081">
        <v>186</v>
      </c>
      <c r="U1081">
        <v>850</v>
      </c>
      <c r="V1081">
        <v>1829</v>
      </c>
      <c r="W1081">
        <v>1430</v>
      </c>
      <c r="X1081">
        <v>673</v>
      </c>
      <c r="Y1081">
        <v>24</v>
      </c>
      <c r="Z1081">
        <v>110</v>
      </c>
      <c r="AA1081">
        <v>377</v>
      </c>
      <c r="AB1081">
        <v>1</v>
      </c>
      <c r="AC1081">
        <v>32</v>
      </c>
      <c r="AD1081">
        <v>40</v>
      </c>
      <c r="AE1081">
        <v>0</v>
      </c>
      <c r="AF1081">
        <v>0</v>
      </c>
      <c r="AG1081">
        <v>4</v>
      </c>
      <c r="AH1081">
        <v>1047</v>
      </c>
      <c r="AI1081">
        <v>0</v>
      </c>
      <c r="AJ1081">
        <v>0</v>
      </c>
      <c r="AK1081">
        <v>1.1837200000000001</v>
      </c>
      <c r="AL1081">
        <v>1</v>
      </c>
      <c r="AM1081">
        <v>0</v>
      </c>
      <c r="AN1081">
        <v>1689</v>
      </c>
      <c r="AO1081">
        <v>22</v>
      </c>
      <c r="AP1081">
        <v>0</v>
      </c>
      <c r="AQ1081">
        <v>0</v>
      </c>
    </row>
    <row r="1082" spans="1:43" x14ac:dyDescent="0.25">
      <c r="A1082">
        <v>1079</v>
      </c>
      <c r="B1082">
        <v>20</v>
      </c>
      <c r="C1082">
        <v>20</v>
      </c>
      <c r="D1082">
        <v>5</v>
      </c>
      <c r="E1082">
        <v>3336</v>
      </c>
      <c r="F1082">
        <v>9034</v>
      </c>
      <c r="G1082">
        <v>9036</v>
      </c>
      <c r="H1082">
        <v>3996</v>
      </c>
      <c r="I1082">
        <v>3148</v>
      </c>
      <c r="J1082">
        <v>158</v>
      </c>
      <c r="K1082">
        <v>773</v>
      </c>
      <c r="L1082">
        <v>663</v>
      </c>
      <c r="M1082">
        <v>944</v>
      </c>
      <c r="N1082">
        <v>961</v>
      </c>
      <c r="O1082">
        <v>2535</v>
      </c>
      <c r="P1082">
        <v>894.37149360000001</v>
      </c>
      <c r="Q1082">
        <v>299</v>
      </c>
      <c r="R1082">
        <v>0.29115675200000002</v>
      </c>
      <c r="S1082">
        <v>1212</v>
      </c>
      <c r="T1082">
        <v>384</v>
      </c>
      <c r="U1082">
        <v>1417</v>
      </c>
      <c r="V1082">
        <v>2617</v>
      </c>
      <c r="W1082">
        <v>2613</v>
      </c>
      <c r="X1082">
        <v>2292</v>
      </c>
      <c r="Y1082">
        <v>206</v>
      </c>
      <c r="Z1082">
        <v>192</v>
      </c>
      <c r="AA1082">
        <v>664</v>
      </c>
      <c r="AB1082">
        <v>1</v>
      </c>
      <c r="AC1082">
        <v>46</v>
      </c>
      <c r="AD1082">
        <v>103</v>
      </c>
      <c r="AE1082">
        <v>0</v>
      </c>
      <c r="AF1082">
        <v>0</v>
      </c>
      <c r="AG1082">
        <v>4</v>
      </c>
      <c r="AH1082">
        <v>1245</v>
      </c>
      <c r="AI1082">
        <v>0</v>
      </c>
      <c r="AJ1082">
        <v>0</v>
      </c>
      <c r="AK1082">
        <v>1.0636099999999999</v>
      </c>
      <c r="AL1082">
        <v>1</v>
      </c>
      <c r="AM1082">
        <v>0</v>
      </c>
      <c r="AN1082">
        <v>3336</v>
      </c>
      <c r="AO1082">
        <v>2</v>
      </c>
      <c r="AP1082">
        <v>0</v>
      </c>
      <c r="AQ1082">
        <v>0</v>
      </c>
    </row>
    <row r="1083" spans="1:43" x14ac:dyDescent="0.25">
      <c r="A1083">
        <v>1080</v>
      </c>
      <c r="B1083">
        <v>20</v>
      </c>
      <c r="C1083">
        <v>20</v>
      </c>
      <c r="D1083">
        <v>5</v>
      </c>
      <c r="E1083">
        <v>1893</v>
      </c>
      <c r="F1083">
        <v>5386</v>
      </c>
      <c r="G1083">
        <v>5402</v>
      </c>
      <c r="H1083">
        <v>2609</v>
      </c>
      <c r="I1083">
        <v>1669</v>
      </c>
      <c r="J1083">
        <v>220</v>
      </c>
      <c r="K1083">
        <v>431</v>
      </c>
      <c r="L1083">
        <v>500</v>
      </c>
      <c r="M1083">
        <v>608</v>
      </c>
      <c r="N1083">
        <v>354</v>
      </c>
      <c r="O1083">
        <v>476</v>
      </c>
      <c r="P1083">
        <v>285</v>
      </c>
      <c r="Q1083">
        <v>48</v>
      </c>
      <c r="R1083">
        <v>0.196638655</v>
      </c>
      <c r="S1083">
        <v>614</v>
      </c>
      <c r="T1083">
        <v>424</v>
      </c>
      <c r="U1083">
        <v>819</v>
      </c>
      <c r="V1083">
        <v>1689</v>
      </c>
      <c r="W1083">
        <v>1564</v>
      </c>
      <c r="X1083">
        <v>801</v>
      </c>
      <c r="Y1083">
        <v>117</v>
      </c>
      <c r="Z1083">
        <v>32</v>
      </c>
      <c r="AA1083">
        <v>422</v>
      </c>
      <c r="AB1083">
        <v>0</v>
      </c>
      <c r="AC1083">
        <v>13</v>
      </c>
      <c r="AD1083">
        <v>30</v>
      </c>
      <c r="AE1083">
        <v>0</v>
      </c>
      <c r="AF1083">
        <v>0</v>
      </c>
      <c r="AG1083">
        <v>4</v>
      </c>
      <c r="AH1083">
        <v>15</v>
      </c>
      <c r="AI1083">
        <v>0</v>
      </c>
      <c r="AJ1083">
        <v>0</v>
      </c>
      <c r="AK1083">
        <v>1.28653</v>
      </c>
      <c r="AL1083">
        <v>1</v>
      </c>
      <c r="AM1083">
        <v>0</v>
      </c>
      <c r="AN1083">
        <v>1893</v>
      </c>
      <c r="AO1083">
        <v>16</v>
      </c>
      <c r="AP1083">
        <v>0</v>
      </c>
      <c r="AQ1083">
        <v>0</v>
      </c>
    </row>
    <row r="1084" spans="1:43" x14ac:dyDescent="0.25">
      <c r="A1084">
        <v>1081</v>
      </c>
      <c r="B1084">
        <v>20</v>
      </c>
      <c r="C1084">
        <v>20</v>
      </c>
      <c r="D1084">
        <v>5</v>
      </c>
      <c r="E1084">
        <v>1468</v>
      </c>
      <c r="F1084">
        <v>4603</v>
      </c>
      <c r="G1084">
        <v>4625</v>
      </c>
      <c r="H1084">
        <v>2397</v>
      </c>
      <c r="I1084">
        <v>1559</v>
      </c>
      <c r="J1084">
        <v>0</v>
      </c>
      <c r="K1084">
        <v>256</v>
      </c>
      <c r="L1084">
        <v>427</v>
      </c>
      <c r="M1084">
        <v>462</v>
      </c>
      <c r="N1084">
        <v>322</v>
      </c>
      <c r="O1084">
        <v>486</v>
      </c>
      <c r="P1084">
        <v>149</v>
      </c>
      <c r="Q1084">
        <v>18</v>
      </c>
      <c r="R1084">
        <v>0.215828877</v>
      </c>
      <c r="S1084">
        <v>215</v>
      </c>
      <c r="T1084">
        <v>70</v>
      </c>
      <c r="U1084">
        <v>713</v>
      </c>
      <c r="V1084">
        <v>1785</v>
      </c>
      <c r="W1084">
        <v>1192</v>
      </c>
      <c r="X1084">
        <v>868</v>
      </c>
      <c r="Y1084">
        <v>3</v>
      </c>
      <c r="Z1084">
        <v>23</v>
      </c>
      <c r="AA1084">
        <v>144</v>
      </c>
      <c r="AB1084">
        <v>0</v>
      </c>
      <c r="AC1084">
        <v>20</v>
      </c>
      <c r="AD1084">
        <v>25</v>
      </c>
      <c r="AE1084">
        <v>0</v>
      </c>
      <c r="AF1084">
        <v>0</v>
      </c>
      <c r="AG1084">
        <v>4</v>
      </c>
      <c r="AH1084">
        <v>0</v>
      </c>
      <c r="AI1084">
        <v>0</v>
      </c>
      <c r="AJ1084">
        <v>0</v>
      </c>
      <c r="AK1084">
        <v>1.3613999999999999</v>
      </c>
      <c r="AL1084">
        <v>1</v>
      </c>
      <c r="AM1084">
        <v>0</v>
      </c>
      <c r="AN1084">
        <v>1468</v>
      </c>
      <c r="AO1084">
        <v>22</v>
      </c>
      <c r="AP1084">
        <v>0</v>
      </c>
      <c r="AQ1084">
        <v>0</v>
      </c>
    </row>
    <row r="1085" spans="1:43" x14ac:dyDescent="0.25">
      <c r="A1085">
        <v>1082</v>
      </c>
      <c r="B1085">
        <v>20</v>
      </c>
      <c r="C1085">
        <v>20</v>
      </c>
      <c r="D1085">
        <v>5</v>
      </c>
      <c r="E1085">
        <v>1863</v>
      </c>
      <c r="F1085">
        <v>4822</v>
      </c>
      <c r="G1085">
        <v>4867</v>
      </c>
      <c r="H1085">
        <v>2395</v>
      </c>
      <c r="I1085">
        <v>1460</v>
      </c>
      <c r="J1085">
        <v>425</v>
      </c>
      <c r="K1085">
        <v>473</v>
      </c>
      <c r="L1085">
        <v>460</v>
      </c>
      <c r="M1085">
        <v>600</v>
      </c>
      <c r="N1085">
        <v>325</v>
      </c>
      <c r="O1085">
        <v>509</v>
      </c>
      <c r="P1085">
        <v>259.11840810000001</v>
      </c>
      <c r="Q1085">
        <v>73</v>
      </c>
      <c r="R1085">
        <v>0.212544239</v>
      </c>
      <c r="S1085">
        <v>1008</v>
      </c>
      <c r="T1085">
        <v>277</v>
      </c>
      <c r="U1085">
        <v>766</v>
      </c>
      <c r="V1085">
        <v>1832</v>
      </c>
      <c r="W1085">
        <v>1245</v>
      </c>
      <c r="X1085">
        <v>904</v>
      </c>
      <c r="Y1085">
        <v>43</v>
      </c>
      <c r="Z1085">
        <v>213</v>
      </c>
      <c r="AA1085">
        <v>536</v>
      </c>
      <c r="AB1085">
        <v>1</v>
      </c>
      <c r="AC1085">
        <v>153</v>
      </c>
      <c r="AD1085">
        <v>62</v>
      </c>
      <c r="AE1085">
        <v>0</v>
      </c>
      <c r="AF1085">
        <v>0</v>
      </c>
      <c r="AG1085">
        <v>4</v>
      </c>
      <c r="AH1085">
        <v>0</v>
      </c>
      <c r="AI1085">
        <v>0</v>
      </c>
      <c r="AJ1085">
        <v>0</v>
      </c>
      <c r="AK1085">
        <v>1.3549599999999999</v>
      </c>
      <c r="AL1085">
        <v>1</v>
      </c>
      <c r="AM1085">
        <v>0</v>
      </c>
      <c r="AN1085">
        <v>1863</v>
      </c>
      <c r="AO1085">
        <v>45</v>
      </c>
      <c r="AP1085">
        <v>0</v>
      </c>
      <c r="AQ1085">
        <v>0</v>
      </c>
    </row>
    <row r="1086" spans="1:43" x14ac:dyDescent="0.25">
      <c r="A1086">
        <v>1083</v>
      </c>
      <c r="B1086">
        <v>20</v>
      </c>
      <c r="C1086">
        <v>20</v>
      </c>
      <c r="D1086">
        <v>5</v>
      </c>
      <c r="E1086">
        <v>6181</v>
      </c>
      <c r="F1086">
        <v>16181</v>
      </c>
      <c r="G1086">
        <v>16203</v>
      </c>
      <c r="H1086">
        <v>8487</v>
      </c>
      <c r="I1086">
        <v>4825</v>
      </c>
      <c r="J1086">
        <v>1410</v>
      </c>
      <c r="K1086">
        <v>1467</v>
      </c>
      <c r="L1086">
        <v>1446</v>
      </c>
      <c r="M1086">
        <v>1469</v>
      </c>
      <c r="N1086">
        <v>1808</v>
      </c>
      <c r="O1086">
        <v>13462</v>
      </c>
      <c r="P1086">
        <v>698.28302680000002</v>
      </c>
      <c r="Q1086">
        <v>113.74745969999999</v>
      </c>
      <c r="R1086">
        <v>0.19218104499999999</v>
      </c>
      <c r="S1086">
        <v>4321</v>
      </c>
      <c r="T1086">
        <v>730</v>
      </c>
      <c r="U1086">
        <v>2942</v>
      </c>
      <c r="V1086">
        <v>5566</v>
      </c>
      <c r="W1086">
        <v>4750</v>
      </c>
      <c r="X1086">
        <v>2533</v>
      </c>
      <c r="Y1086">
        <v>223</v>
      </c>
      <c r="Z1086">
        <v>1236</v>
      </c>
      <c r="AA1086">
        <v>1737</v>
      </c>
      <c r="AB1086">
        <v>5</v>
      </c>
      <c r="AC1086">
        <v>737</v>
      </c>
      <c r="AD1086">
        <v>383</v>
      </c>
      <c r="AE1086">
        <v>0</v>
      </c>
      <c r="AF1086">
        <v>0</v>
      </c>
      <c r="AG1086">
        <v>4</v>
      </c>
      <c r="AH1086">
        <v>7</v>
      </c>
      <c r="AI1086">
        <v>0</v>
      </c>
      <c r="AJ1086">
        <v>0</v>
      </c>
      <c r="AK1086">
        <v>1.50482</v>
      </c>
      <c r="AL1086">
        <v>1</v>
      </c>
      <c r="AM1086">
        <v>0</v>
      </c>
      <c r="AN1086">
        <v>6181</v>
      </c>
      <c r="AO1086">
        <v>22</v>
      </c>
      <c r="AP1086">
        <v>0</v>
      </c>
      <c r="AQ1086">
        <v>0</v>
      </c>
    </row>
    <row r="1087" spans="1:43" x14ac:dyDescent="0.25">
      <c r="A1087">
        <v>1084</v>
      </c>
      <c r="B1087">
        <v>20</v>
      </c>
      <c r="C1087">
        <v>20</v>
      </c>
      <c r="D1087">
        <v>5</v>
      </c>
      <c r="E1087">
        <v>2313</v>
      </c>
      <c r="F1087">
        <v>6297</v>
      </c>
      <c r="G1087">
        <v>6329</v>
      </c>
      <c r="H1087">
        <v>3064</v>
      </c>
      <c r="I1087">
        <v>2191</v>
      </c>
      <c r="J1087">
        <v>101</v>
      </c>
      <c r="K1087">
        <v>257</v>
      </c>
      <c r="L1087">
        <v>693</v>
      </c>
      <c r="M1087">
        <v>608</v>
      </c>
      <c r="N1087">
        <v>749</v>
      </c>
      <c r="O1087">
        <v>2464</v>
      </c>
      <c r="P1087">
        <v>628.18289700000003</v>
      </c>
      <c r="Q1087">
        <v>47</v>
      </c>
      <c r="R1087">
        <v>0.33414411700000002</v>
      </c>
      <c r="S1087">
        <v>816</v>
      </c>
      <c r="T1087">
        <v>346</v>
      </c>
      <c r="U1087">
        <v>934</v>
      </c>
      <c r="V1087">
        <v>1814</v>
      </c>
      <c r="W1087">
        <v>1528</v>
      </c>
      <c r="X1087">
        <v>1892</v>
      </c>
      <c r="Y1087">
        <v>68</v>
      </c>
      <c r="Z1087">
        <v>169</v>
      </c>
      <c r="AA1087">
        <v>453</v>
      </c>
      <c r="AB1087">
        <v>2</v>
      </c>
      <c r="AC1087">
        <v>38</v>
      </c>
      <c r="AD1087">
        <v>86</v>
      </c>
      <c r="AE1087">
        <v>0</v>
      </c>
      <c r="AF1087">
        <v>0</v>
      </c>
      <c r="AG1087">
        <v>4</v>
      </c>
      <c r="AH1087">
        <v>0</v>
      </c>
      <c r="AI1087">
        <v>0</v>
      </c>
      <c r="AJ1087">
        <v>0</v>
      </c>
      <c r="AK1087">
        <v>1.0914600000000001</v>
      </c>
      <c r="AL1087">
        <v>1</v>
      </c>
      <c r="AM1087">
        <v>0</v>
      </c>
      <c r="AN1087">
        <v>2313</v>
      </c>
      <c r="AO1087">
        <v>32</v>
      </c>
      <c r="AP1087">
        <v>0</v>
      </c>
      <c r="AQ1087">
        <v>0</v>
      </c>
    </row>
    <row r="1088" spans="1:43" x14ac:dyDescent="0.25">
      <c r="A1088">
        <v>1085</v>
      </c>
      <c r="B1088">
        <v>20</v>
      </c>
      <c r="C1088">
        <v>20</v>
      </c>
      <c r="D1088">
        <v>5</v>
      </c>
      <c r="E1088">
        <v>1458</v>
      </c>
      <c r="F1088">
        <v>4190</v>
      </c>
      <c r="G1088">
        <v>4202</v>
      </c>
      <c r="H1088">
        <v>2078</v>
      </c>
      <c r="I1088">
        <v>1298</v>
      </c>
      <c r="J1088">
        <v>122</v>
      </c>
      <c r="K1088">
        <v>287</v>
      </c>
      <c r="L1088">
        <v>309</v>
      </c>
      <c r="M1088">
        <v>433</v>
      </c>
      <c r="N1088">
        <v>425</v>
      </c>
      <c r="O1088">
        <v>679</v>
      </c>
      <c r="P1088">
        <v>352</v>
      </c>
      <c r="Q1088">
        <v>21</v>
      </c>
      <c r="R1088">
        <v>0.31916409400000001</v>
      </c>
      <c r="S1088">
        <v>669</v>
      </c>
      <c r="T1088">
        <v>157</v>
      </c>
      <c r="U1088">
        <v>494</v>
      </c>
      <c r="V1088">
        <v>1201</v>
      </c>
      <c r="W1088">
        <v>1207</v>
      </c>
      <c r="X1088">
        <v>1109</v>
      </c>
      <c r="Y1088">
        <v>110</v>
      </c>
      <c r="Z1088">
        <v>66</v>
      </c>
      <c r="AA1088">
        <v>424</v>
      </c>
      <c r="AB1088">
        <v>1</v>
      </c>
      <c r="AC1088">
        <v>16</v>
      </c>
      <c r="AD1088">
        <v>52</v>
      </c>
      <c r="AE1088">
        <v>0</v>
      </c>
      <c r="AF1088">
        <v>0</v>
      </c>
      <c r="AG1088">
        <v>4</v>
      </c>
      <c r="AH1088">
        <v>0</v>
      </c>
      <c r="AI1088">
        <v>0</v>
      </c>
      <c r="AJ1088">
        <v>0</v>
      </c>
      <c r="AK1088">
        <v>1.17519</v>
      </c>
      <c r="AL1088">
        <v>1</v>
      </c>
      <c r="AM1088">
        <v>0</v>
      </c>
      <c r="AN1088">
        <v>1458</v>
      </c>
      <c r="AO1088">
        <v>12</v>
      </c>
      <c r="AP1088">
        <v>0</v>
      </c>
      <c r="AQ1088">
        <v>0</v>
      </c>
    </row>
    <row r="1089" spans="1:43" x14ac:dyDescent="0.25">
      <c r="A1089">
        <v>1086</v>
      </c>
      <c r="B1089">
        <v>20</v>
      </c>
      <c r="C1089">
        <v>20</v>
      </c>
      <c r="D1089">
        <v>5</v>
      </c>
      <c r="E1089">
        <v>2345</v>
      </c>
      <c r="F1089">
        <v>6847</v>
      </c>
      <c r="G1089">
        <v>6872</v>
      </c>
      <c r="H1089">
        <v>3511</v>
      </c>
      <c r="I1089">
        <v>2130</v>
      </c>
      <c r="J1089">
        <v>216</v>
      </c>
      <c r="K1089">
        <v>401</v>
      </c>
      <c r="L1089">
        <v>567</v>
      </c>
      <c r="M1089">
        <v>614</v>
      </c>
      <c r="N1089">
        <v>768</v>
      </c>
      <c r="O1089">
        <v>950</v>
      </c>
      <c r="P1089">
        <v>515</v>
      </c>
      <c r="Q1089">
        <v>69</v>
      </c>
      <c r="R1089">
        <v>0.21353239299999999</v>
      </c>
      <c r="S1089">
        <v>756</v>
      </c>
      <c r="T1089">
        <v>262</v>
      </c>
      <c r="U1089">
        <v>1284</v>
      </c>
      <c r="V1089">
        <v>2368</v>
      </c>
      <c r="W1089">
        <v>1961</v>
      </c>
      <c r="X1089">
        <v>1342</v>
      </c>
      <c r="Y1089">
        <v>206</v>
      </c>
      <c r="Z1089">
        <v>69</v>
      </c>
      <c r="AA1089">
        <v>356</v>
      </c>
      <c r="AB1089">
        <v>0</v>
      </c>
      <c r="AC1089">
        <v>13</v>
      </c>
      <c r="AD1089">
        <v>112</v>
      </c>
      <c r="AE1089">
        <v>0</v>
      </c>
      <c r="AF1089">
        <v>0</v>
      </c>
      <c r="AG1089">
        <v>4</v>
      </c>
      <c r="AH1089">
        <v>767</v>
      </c>
      <c r="AI1089">
        <v>0</v>
      </c>
      <c r="AJ1089">
        <v>0</v>
      </c>
      <c r="AK1089">
        <v>1.1983200000000001</v>
      </c>
      <c r="AL1089">
        <v>1</v>
      </c>
      <c r="AM1089">
        <v>0</v>
      </c>
      <c r="AN1089">
        <v>2345</v>
      </c>
      <c r="AO1089">
        <v>25</v>
      </c>
      <c r="AP1089">
        <v>0</v>
      </c>
      <c r="AQ1089">
        <v>0</v>
      </c>
    </row>
    <row r="1090" spans="1:43" x14ac:dyDescent="0.25">
      <c r="A1090">
        <v>1087</v>
      </c>
      <c r="B1090">
        <v>20</v>
      </c>
      <c r="C1090">
        <v>20</v>
      </c>
      <c r="D1090">
        <v>5</v>
      </c>
      <c r="E1090">
        <v>2227</v>
      </c>
      <c r="F1090">
        <v>6182</v>
      </c>
      <c r="G1090">
        <v>6186</v>
      </c>
      <c r="H1090">
        <v>3108</v>
      </c>
      <c r="I1090">
        <v>2031</v>
      </c>
      <c r="J1090">
        <v>277</v>
      </c>
      <c r="K1090">
        <v>447</v>
      </c>
      <c r="L1090">
        <v>368</v>
      </c>
      <c r="M1090">
        <v>536</v>
      </c>
      <c r="N1090">
        <v>872</v>
      </c>
      <c r="O1090">
        <v>27663</v>
      </c>
      <c r="P1090">
        <v>1223.0584429999999</v>
      </c>
      <c r="Q1090">
        <v>637.16818160000003</v>
      </c>
      <c r="R1090">
        <v>0.26401446699999997</v>
      </c>
      <c r="S1090">
        <v>319</v>
      </c>
      <c r="T1090">
        <v>184</v>
      </c>
      <c r="U1090">
        <v>981</v>
      </c>
      <c r="V1090">
        <v>1729</v>
      </c>
      <c r="W1090">
        <v>1833</v>
      </c>
      <c r="X1090">
        <v>1290</v>
      </c>
      <c r="Y1090">
        <v>6</v>
      </c>
      <c r="Z1090">
        <v>75</v>
      </c>
      <c r="AA1090">
        <v>146</v>
      </c>
      <c r="AB1090">
        <v>13</v>
      </c>
      <c r="AC1090">
        <v>28</v>
      </c>
      <c r="AD1090">
        <v>51</v>
      </c>
      <c r="AE1090">
        <v>0</v>
      </c>
      <c r="AF1090">
        <v>0</v>
      </c>
      <c r="AG1090">
        <v>5</v>
      </c>
      <c r="AH1090">
        <v>0</v>
      </c>
      <c r="AI1090">
        <v>0</v>
      </c>
      <c r="AJ1090">
        <v>0</v>
      </c>
      <c r="AK1090">
        <v>0.99102999999999997</v>
      </c>
      <c r="AL1090">
        <v>1</v>
      </c>
      <c r="AM1090">
        <v>0</v>
      </c>
      <c r="AN1090">
        <v>2227</v>
      </c>
      <c r="AO1090">
        <v>4</v>
      </c>
      <c r="AP1090">
        <v>0</v>
      </c>
      <c r="AQ1090">
        <v>0</v>
      </c>
    </row>
    <row r="1091" spans="1:43" x14ac:dyDescent="0.25">
      <c r="A1091">
        <v>1088</v>
      </c>
      <c r="B1091">
        <v>20</v>
      </c>
      <c r="C1091">
        <v>20</v>
      </c>
      <c r="D1091">
        <v>5</v>
      </c>
      <c r="E1091">
        <v>1193</v>
      </c>
      <c r="F1091">
        <v>3703</v>
      </c>
      <c r="G1091">
        <v>3722</v>
      </c>
      <c r="H1091">
        <v>1698</v>
      </c>
      <c r="I1091">
        <v>1092</v>
      </c>
      <c r="J1091">
        <v>96</v>
      </c>
      <c r="K1091">
        <v>220</v>
      </c>
      <c r="L1091">
        <v>302</v>
      </c>
      <c r="M1091">
        <v>333</v>
      </c>
      <c r="N1091">
        <v>351</v>
      </c>
      <c r="O1091">
        <v>3913</v>
      </c>
      <c r="P1091">
        <v>351</v>
      </c>
      <c r="Q1091">
        <v>130.17267240000001</v>
      </c>
      <c r="R1091">
        <v>0.203393939</v>
      </c>
      <c r="S1091">
        <v>254</v>
      </c>
      <c r="T1091">
        <v>190</v>
      </c>
      <c r="U1091">
        <v>651</v>
      </c>
      <c r="V1091">
        <v>1529</v>
      </c>
      <c r="W1091">
        <v>974</v>
      </c>
      <c r="X1091">
        <v>735</v>
      </c>
      <c r="Y1091">
        <v>1</v>
      </c>
      <c r="Z1091">
        <v>30</v>
      </c>
      <c r="AA1091">
        <v>64</v>
      </c>
      <c r="AB1091">
        <v>0</v>
      </c>
      <c r="AC1091">
        <v>155</v>
      </c>
      <c r="AD1091">
        <v>4</v>
      </c>
      <c r="AE1091">
        <v>0</v>
      </c>
      <c r="AF1091">
        <v>0</v>
      </c>
      <c r="AG1091">
        <v>4</v>
      </c>
      <c r="AH1091">
        <v>0</v>
      </c>
      <c r="AI1091">
        <v>0</v>
      </c>
      <c r="AJ1091">
        <v>0</v>
      </c>
      <c r="AK1091">
        <v>1.0863499999999999</v>
      </c>
      <c r="AL1091">
        <v>1</v>
      </c>
      <c r="AM1091">
        <v>0</v>
      </c>
      <c r="AN1091">
        <v>1193</v>
      </c>
      <c r="AO1091">
        <v>19</v>
      </c>
      <c r="AP1091">
        <v>0</v>
      </c>
      <c r="AQ1091">
        <v>0</v>
      </c>
    </row>
    <row r="1092" spans="1:43" x14ac:dyDescent="0.25">
      <c r="A1092">
        <v>1089</v>
      </c>
      <c r="B1092">
        <v>20</v>
      </c>
      <c r="C1092">
        <v>20</v>
      </c>
      <c r="D1092">
        <v>5</v>
      </c>
      <c r="E1092">
        <v>2206</v>
      </c>
      <c r="F1092">
        <v>5343</v>
      </c>
      <c r="G1092">
        <v>5563</v>
      </c>
      <c r="H1092">
        <v>2603</v>
      </c>
      <c r="I1092">
        <v>1649</v>
      </c>
      <c r="J1092">
        <v>561</v>
      </c>
      <c r="K1092">
        <v>950</v>
      </c>
      <c r="L1092">
        <v>552</v>
      </c>
      <c r="M1092">
        <v>474</v>
      </c>
      <c r="N1092">
        <v>237</v>
      </c>
      <c r="O1092">
        <v>1767</v>
      </c>
      <c r="P1092">
        <v>225.44426179999999</v>
      </c>
      <c r="Q1092">
        <v>642.14781330000005</v>
      </c>
      <c r="R1092">
        <v>0.188227123</v>
      </c>
      <c r="S1092">
        <v>1049</v>
      </c>
      <c r="T1092">
        <v>370</v>
      </c>
      <c r="U1092">
        <v>1108</v>
      </c>
      <c r="V1092">
        <v>2042</v>
      </c>
      <c r="W1092">
        <v>1305</v>
      </c>
      <c r="X1092">
        <v>870</v>
      </c>
      <c r="Y1092">
        <v>47</v>
      </c>
      <c r="Z1092">
        <v>84</v>
      </c>
      <c r="AA1092">
        <v>414</v>
      </c>
      <c r="AB1092">
        <v>1</v>
      </c>
      <c r="AC1092">
        <v>444</v>
      </c>
      <c r="AD1092">
        <v>59</v>
      </c>
      <c r="AE1092">
        <v>0</v>
      </c>
      <c r="AF1092">
        <v>0</v>
      </c>
      <c r="AG1092">
        <v>4</v>
      </c>
      <c r="AH1092">
        <v>0</v>
      </c>
      <c r="AI1092">
        <v>0</v>
      </c>
      <c r="AJ1092">
        <v>0</v>
      </c>
      <c r="AK1092">
        <v>1.0993999999999999</v>
      </c>
      <c r="AL1092">
        <v>1</v>
      </c>
      <c r="AM1092">
        <v>0</v>
      </c>
      <c r="AN1092">
        <v>2206</v>
      </c>
      <c r="AO1092">
        <v>220</v>
      </c>
      <c r="AP1092">
        <v>0</v>
      </c>
      <c r="AQ1092">
        <v>0</v>
      </c>
    </row>
    <row r="1093" spans="1:43" x14ac:dyDescent="0.25">
      <c r="A1093">
        <v>1090</v>
      </c>
      <c r="B1093">
        <v>20</v>
      </c>
      <c r="C1093">
        <v>20</v>
      </c>
      <c r="D1093">
        <v>5</v>
      </c>
      <c r="E1093">
        <v>1646</v>
      </c>
      <c r="F1093">
        <v>3380</v>
      </c>
      <c r="G1093">
        <v>3380</v>
      </c>
      <c r="H1093">
        <v>1798</v>
      </c>
      <c r="I1093">
        <v>1299</v>
      </c>
      <c r="J1093">
        <v>354</v>
      </c>
      <c r="K1093">
        <v>437</v>
      </c>
      <c r="L1093">
        <v>496</v>
      </c>
      <c r="M1093">
        <v>366</v>
      </c>
      <c r="N1093">
        <v>354</v>
      </c>
      <c r="O1093">
        <v>3364</v>
      </c>
      <c r="P1093">
        <v>305</v>
      </c>
      <c r="Q1093">
        <v>63</v>
      </c>
      <c r="R1093">
        <v>0.300173511</v>
      </c>
      <c r="S1093">
        <v>873</v>
      </c>
      <c r="T1093">
        <v>65</v>
      </c>
      <c r="U1093">
        <v>400</v>
      </c>
      <c r="V1093">
        <v>976</v>
      </c>
      <c r="W1093">
        <v>1195</v>
      </c>
      <c r="X1093">
        <v>783</v>
      </c>
      <c r="Y1093">
        <v>41</v>
      </c>
      <c r="Z1093">
        <v>117</v>
      </c>
      <c r="AA1093">
        <v>209</v>
      </c>
      <c r="AB1093">
        <v>0</v>
      </c>
      <c r="AC1093">
        <v>397</v>
      </c>
      <c r="AD1093">
        <v>109</v>
      </c>
      <c r="AE1093">
        <v>0</v>
      </c>
      <c r="AF1093">
        <v>0</v>
      </c>
      <c r="AG1093">
        <v>4</v>
      </c>
      <c r="AH1093">
        <v>377</v>
      </c>
      <c r="AI1093">
        <v>0</v>
      </c>
      <c r="AJ1093">
        <v>0</v>
      </c>
      <c r="AK1093">
        <v>1.2194199999999999</v>
      </c>
      <c r="AL1093">
        <v>1</v>
      </c>
      <c r="AM1093">
        <v>0</v>
      </c>
      <c r="AN1093">
        <v>1646</v>
      </c>
      <c r="AO1093">
        <v>0</v>
      </c>
      <c r="AP1093">
        <v>0</v>
      </c>
      <c r="AQ1093">
        <v>0</v>
      </c>
    </row>
    <row r="1094" spans="1:43" x14ac:dyDescent="0.25">
      <c r="A1094">
        <v>1091</v>
      </c>
      <c r="B1094">
        <v>21</v>
      </c>
      <c r="C1094">
        <v>21</v>
      </c>
      <c r="D1094">
        <v>5</v>
      </c>
      <c r="E1094">
        <v>1454</v>
      </c>
      <c r="F1094">
        <v>3407</v>
      </c>
      <c r="G1094">
        <v>3407</v>
      </c>
      <c r="H1094">
        <v>1599</v>
      </c>
      <c r="I1094">
        <v>1050</v>
      </c>
      <c r="J1094">
        <v>408</v>
      </c>
      <c r="K1094">
        <v>423</v>
      </c>
      <c r="L1094">
        <v>377</v>
      </c>
      <c r="M1094">
        <v>264</v>
      </c>
      <c r="N1094">
        <v>390</v>
      </c>
      <c r="O1094">
        <v>3240</v>
      </c>
      <c r="P1094">
        <v>261.24283259999999</v>
      </c>
      <c r="Q1094">
        <v>196</v>
      </c>
      <c r="R1094">
        <v>0.22789214299999999</v>
      </c>
      <c r="S1094">
        <v>4571</v>
      </c>
      <c r="T1094">
        <v>170</v>
      </c>
      <c r="U1094">
        <v>498</v>
      </c>
      <c r="V1094">
        <v>1131</v>
      </c>
      <c r="W1094">
        <v>943</v>
      </c>
      <c r="X1094">
        <v>671</v>
      </c>
      <c r="Y1094">
        <v>156</v>
      </c>
      <c r="Z1094">
        <v>91</v>
      </c>
      <c r="AA1094">
        <v>4229</v>
      </c>
      <c r="AB1094">
        <v>1</v>
      </c>
      <c r="AC1094">
        <v>54</v>
      </c>
      <c r="AD1094">
        <v>40</v>
      </c>
      <c r="AE1094">
        <v>0</v>
      </c>
      <c r="AF1094">
        <v>0</v>
      </c>
      <c r="AG1094">
        <v>4</v>
      </c>
      <c r="AH1094">
        <v>1028</v>
      </c>
      <c r="AI1094">
        <v>0</v>
      </c>
      <c r="AJ1094">
        <v>0</v>
      </c>
      <c r="AK1094">
        <v>1.4975799999999999</v>
      </c>
      <c r="AL1094">
        <v>1</v>
      </c>
      <c r="AM1094">
        <v>0</v>
      </c>
      <c r="AN1094">
        <v>1454</v>
      </c>
      <c r="AO1094">
        <v>0</v>
      </c>
      <c r="AP1094">
        <v>0</v>
      </c>
      <c r="AQ1094">
        <v>0</v>
      </c>
    </row>
    <row r="1095" spans="1:43" x14ac:dyDescent="0.25">
      <c r="A1095">
        <v>1092</v>
      </c>
      <c r="B1095">
        <v>21</v>
      </c>
      <c r="C1095">
        <v>21</v>
      </c>
      <c r="D1095">
        <v>5</v>
      </c>
      <c r="E1095">
        <v>573</v>
      </c>
      <c r="F1095">
        <v>939</v>
      </c>
      <c r="G1095">
        <v>1093</v>
      </c>
      <c r="H1095">
        <v>385</v>
      </c>
      <c r="I1095">
        <v>269</v>
      </c>
      <c r="J1095">
        <v>294</v>
      </c>
      <c r="K1095">
        <v>292</v>
      </c>
      <c r="L1095">
        <v>186</v>
      </c>
      <c r="M1095">
        <v>69</v>
      </c>
      <c r="N1095">
        <v>25</v>
      </c>
      <c r="O1095">
        <v>723</v>
      </c>
      <c r="P1095">
        <v>22.03115356</v>
      </c>
      <c r="Q1095">
        <v>47</v>
      </c>
      <c r="R1095">
        <v>0.25449640299999998</v>
      </c>
      <c r="S1095">
        <v>1928</v>
      </c>
      <c r="T1095">
        <v>47</v>
      </c>
      <c r="U1095">
        <v>119</v>
      </c>
      <c r="V1095">
        <v>458</v>
      </c>
      <c r="W1095">
        <v>280</v>
      </c>
      <c r="X1095">
        <v>195</v>
      </c>
      <c r="Y1095">
        <v>60</v>
      </c>
      <c r="Z1095">
        <v>247</v>
      </c>
      <c r="AA1095">
        <v>727</v>
      </c>
      <c r="AB1095">
        <v>334</v>
      </c>
      <c r="AC1095">
        <v>61</v>
      </c>
      <c r="AD1095">
        <v>499</v>
      </c>
      <c r="AE1095">
        <v>0</v>
      </c>
      <c r="AF1095">
        <v>0</v>
      </c>
      <c r="AG1095">
        <v>3</v>
      </c>
      <c r="AH1095">
        <v>0</v>
      </c>
      <c r="AI1095">
        <v>0</v>
      </c>
      <c r="AJ1095">
        <v>0</v>
      </c>
      <c r="AK1095">
        <v>3.1418400000000002</v>
      </c>
      <c r="AL1095">
        <v>2</v>
      </c>
      <c r="AM1095">
        <v>0</v>
      </c>
      <c r="AN1095">
        <v>573</v>
      </c>
      <c r="AO1095">
        <v>154</v>
      </c>
      <c r="AP1095">
        <v>0</v>
      </c>
      <c r="AQ1095">
        <v>0</v>
      </c>
    </row>
    <row r="1096" spans="1:43" x14ac:dyDescent="0.25">
      <c r="A1096">
        <v>1093</v>
      </c>
      <c r="B1096">
        <v>21</v>
      </c>
      <c r="C1096">
        <v>21</v>
      </c>
      <c r="D1096">
        <v>5</v>
      </c>
      <c r="E1096">
        <v>987</v>
      </c>
      <c r="F1096">
        <v>1972</v>
      </c>
      <c r="G1096">
        <v>1985</v>
      </c>
      <c r="H1096">
        <v>983</v>
      </c>
      <c r="I1096">
        <v>580</v>
      </c>
      <c r="J1096">
        <v>469</v>
      </c>
      <c r="K1096">
        <v>426</v>
      </c>
      <c r="L1096">
        <v>204</v>
      </c>
      <c r="M1096">
        <v>216</v>
      </c>
      <c r="N1096">
        <v>136</v>
      </c>
      <c r="O1096">
        <v>395</v>
      </c>
      <c r="P1096">
        <v>66</v>
      </c>
      <c r="Q1096">
        <v>26</v>
      </c>
      <c r="R1096">
        <v>0.25025853199999998</v>
      </c>
      <c r="S1096">
        <v>3486</v>
      </c>
      <c r="T1096">
        <v>175</v>
      </c>
      <c r="U1096">
        <v>269</v>
      </c>
      <c r="V1096">
        <v>696</v>
      </c>
      <c r="W1096">
        <v>377</v>
      </c>
      <c r="X1096">
        <v>407</v>
      </c>
      <c r="Y1096">
        <v>10</v>
      </c>
      <c r="Z1096">
        <v>83</v>
      </c>
      <c r="AA1096">
        <v>269</v>
      </c>
      <c r="AB1096">
        <v>0</v>
      </c>
      <c r="AC1096">
        <v>14</v>
      </c>
      <c r="AD1096">
        <v>3110</v>
      </c>
      <c r="AE1096">
        <v>0</v>
      </c>
      <c r="AF1096">
        <v>0</v>
      </c>
      <c r="AG1096">
        <v>4</v>
      </c>
      <c r="AH1096">
        <v>92</v>
      </c>
      <c r="AI1096">
        <v>0</v>
      </c>
      <c r="AJ1096">
        <v>0</v>
      </c>
      <c r="AK1096">
        <v>2.2980800000000001</v>
      </c>
      <c r="AL1096">
        <v>1</v>
      </c>
      <c r="AM1096">
        <v>0</v>
      </c>
      <c r="AN1096">
        <v>987</v>
      </c>
      <c r="AO1096">
        <v>13</v>
      </c>
      <c r="AP1096">
        <v>0</v>
      </c>
      <c r="AQ1096">
        <v>0</v>
      </c>
    </row>
    <row r="1097" spans="1:43" x14ac:dyDescent="0.25">
      <c r="A1097">
        <v>1094</v>
      </c>
      <c r="B1097">
        <v>21</v>
      </c>
      <c r="C1097">
        <v>21</v>
      </c>
      <c r="D1097">
        <v>5</v>
      </c>
      <c r="E1097">
        <v>3219</v>
      </c>
      <c r="F1097">
        <v>8568</v>
      </c>
      <c r="G1097">
        <v>8582</v>
      </c>
      <c r="H1097">
        <v>4489</v>
      </c>
      <c r="I1097">
        <v>2520</v>
      </c>
      <c r="J1097">
        <v>740</v>
      </c>
      <c r="K1097">
        <v>540</v>
      </c>
      <c r="L1097">
        <v>805</v>
      </c>
      <c r="M1097">
        <v>1072</v>
      </c>
      <c r="N1097">
        <v>807</v>
      </c>
      <c r="O1097">
        <v>768</v>
      </c>
      <c r="P1097">
        <v>431.98742879999998</v>
      </c>
      <c r="Q1097">
        <v>112</v>
      </c>
      <c r="R1097">
        <v>0.16118102600000001</v>
      </c>
      <c r="S1097">
        <v>3068</v>
      </c>
      <c r="T1097">
        <v>616</v>
      </c>
      <c r="U1097">
        <v>1485</v>
      </c>
      <c r="V1097">
        <v>2668</v>
      </c>
      <c r="W1097">
        <v>2478</v>
      </c>
      <c r="X1097">
        <v>940</v>
      </c>
      <c r="Y1097">
        <v>34</v>
      </c>
      <c r="Z1097">
        <v>156</v>
      </c>
      <c r="AA1097">
        <v>281</v>
      </c>
      <c r="AB1097">
        <v>1</v>
      </c>
      <c r="AC1097">
        <v>112</v>
      </c>
      <c r="AD1097">
        <v>2484</v>
      </c>
      <c r="AE1097">
        <v>0</v>
      </c>
      <c r="AF1097">
        <v>0</v>
      </c>
      <c r="AG1097">
        <v>4</v>
      </c>
      <c r="AH1097">
        <v>0</v>
      </c>
      <c r="AI1097">
        <v>0</v>
      </c>
      <c r="AJ1097">
        <v>0</v>
      </c>
      <c r="AK1097">
        <v>1.33188</v>
      </c>
      <c r="AL1097">
        <v>1</v>
      </c>
      <c r="AM1097">
        <v>0</v>
      </c>
      <c r="AN1097">
        <v>3219</v>
      </c>
      <c r="AO1097">
        <v>14</v>
      </c>
      <c r="AP1097">
        <v>0</v>
      </c>
      <c r="AQ1097">
        <v>0</v>
      </c>
    </row>
    <row r="1098" spans="1:43" x14ac:dyDescent="0.25">
      <c r="A1098">
        <v>1095</v>
      </c>
      <c r="B1098">
        <v>21</v>
      </c>
      <c r="C1098">
        <v>21</v>
      </c>
      <c r="D1098">
        <v>5</v>
      </c>
      <c r="E1098">
        <v>1044</v>
      </c>
      <c r="F1098">
        <v>2845</v>
      </c>
      <c r="G1098">
        <v>2866</v>
      </c>
      <c r="H1098">
        <v>1417</v>
      </c>
      <c r="I1098">
        <v>973</v>
      </c>
      <c r="J1098">
        <v>124</v>
      </c>
      <c r="K1098">
        <v>162</v>
      </c>
      <c r="L1098">
        <v>371</v>
      </c>
      <c r="M1098">
        <v>296</v>
      </c>
      <c r="N1098">
        <v>209</v>
      </c>
      <c r="O1098">
        <v>4241</v>
      </c>
      <c r="P1098">
        <v>316</v>
      </c>
      <c r="Q1098">
        <v>707.31214620000003</v>
      </c>
      <c r="R1098">
        <v>0.141935484</v>
      </c>
      <c r="S1098">
        <v>3142</v>
      </c>
      <c r="T1098">
        <v>112</v>
      </c>
      <c r="U1098">
        <v>608</v>
      </c>
      <c r="V1098">
        <v>1015</v>
      </c>
      <c r="W1098">
        <v>1032</v>
      </c>
      <c r="X1098">
        <v>304</v>
      </c>
      <c r="Y1098">
        <v>136</v>
      </c>
      <c r="Z1098">
        <v>466</v>
      </c>
      <c r="AA1098">
        <v>216</v>
      </c>
      <c r="AB1098">
        <v>1</v>
      </c>
      <c r="AC1098">
        <v>875</v>
      </c>
      <c r="AD1098">
        <v>1448</v>
      </c>
      <c r="AE1098">
        <v>0</v>
      </c>
      <c r="AF1098">
        <v>0</v>
      </c>
      <c r="AG1098">
        <v>5</v>
      </c>
      <c r="AH1098">
        <v>0</v>
      </c>
      <c r="AI1098">
        <v>0</v>
      </c>
      <c r="AJ1098">
        <v>0</v>
      </c>
      <c r="AK1098">
        <v>1.15127</v>
      </c>
      <c r="AL1098">
        <v>1</v>
      </c>
      <c r="AM1098">
        <v>0</v>
      </c>
      <c r="AN1098">
        <v>1044</v>
      </c>
      <c r="AO1098">
        <v>21</v>
      </c>
      <c r="AP1098">
        <v>0</v>
      </c>
      <c r="AQ1098">
        <v>0</v>
      </c>
    </row>
    <row r="1099" spans="1:43" x14ac:dyDescent="0.25">
      <c r="A1099">
        <v>1096</v>
      </c>
      <c r="B1099">
        <v>21</v>
      </c>
      <c r="C1099">
        <v>21</v>
      </c>
      <c r="D1099">
        <v>5</v>
      </c>
      <c r="E1099">
        <v>3765</v>
      </c>
      <c r="F1099">
        <v>10009</v>
      </c>
      <c r="G1099">
        <v>10052</v>
      </c>
      <c r="H1099">
        <v>5008</v>
      </c>
      <c r="I1099">
        <v>3068</v>
      </c>
      <c r="J1099">
        <v>656</v>
      </c>
      <c r="K1099">
        <v>500</v>
      </c>
      <c r="L1099">
        <v>1034</v>
      </c>
      <c r="M1099">
        <v>946</v>
      </c>
      <c r="N1099">
        <v>1301</v>
      </c>
      <c r="O1099">
        <v>2107</v>
      </c>
      <c r="P1099">
        <v>665.66452100000004</v>
      </c>
      <c r="Q1099">
        <v>625.94815149999999</v>
      </c>
      <c r="R1099">
        <v>0.192725018</v>
      </c>
      <c r="S1099">
        <v>3532</v>
      </c>
      <c r="T1099">
        <v>995</v>
      </c>
      <c r="U1099">
        <v>1364</v>
      </c>
      <c r="V1099">
        <v>3534</v>
      </c>
      <c r="W1099">
        <v>2402</v>
      </c>
      <c r="X1099">
        <v>1280</v>
      </c>
      <c r="Y1099">
        <v>644</v>
      </c>
      <c r="Z1099">
        <v>587</v>
      </c>
      <c r="AA1099">
        <v>710</v>
      </c>
      <c r="AB1099">
        <v>2</v>
      </c>
      <c r="AC1099">
        <v>567</v>
      </c>
      <c r="AD1099">
        <v>1022</v>
      </c>
      <c r="AE1099">
        <v>0</v>
      </c>
      <c r="AF1099">
        <v>0</v>
      </c>
      <c r="AG1099">
        <v>4</v>
      </c>
      <c r="AH1099">
        <v>0</v>
      </c>
      <c r="AI1099">
        <v>0</v>
      </c>
      <c r="AJ1099">
        <v>0</v>
      </c>
      <c r="AK1099">
        <v>1.2421500000000001</v>
      </c>
      <c r="AL1099">
        <v>1</v>
      </c>
      <c r="AM1099">
        <v>0</v>
      </c>
      <c r="AN1099">
        <v>3765</v>
      </c>
      <c r="AO1099">
        <v>43</v>
      </c>
      <c r="AP1099">
        <v>0</v>
      </c>
      <c r="AQ1099">
        <v>0</v>
      </c>
    </row>
    <row r="1100" spans="1:43" x14ac:dyDescent="0.25">
      <c r="A1100">
        <v>1097</v>
      </c>
      <c r="B1100">
        <v>21</v>
      </c>
      <c r="C1100">
        <v>21</v>
      </c>
      <c r="D1100">
        <v>5</v>
      </c>
      <c r="E1100">
        <v>1203</v>
      </c>
      <c r="F1100">
        <v>3547</v>
      </c>
      <c r="G1100">
        <v>3580</v>
      </c>
      <c r="H1100">
        <v>1865</v>
      </c>
      <c r="I1100">
        <v>1148</v>
      </c>
      <c r="J1100">
        <v>28</v>
      </c>
      <c r="K1100">
        <v>160</v>
      </c>
      <c r="L1100">
        <v>522</v>
      </c>
      <c r="M1100">
        <v>231</v>
      </c>
      <c r="N1100">
        <v>291</v>
      </c>
      <c r="O1100">
        <v>11096</v>
      </c>
      <c r="P1100">
        <v>292.11774709999997</v>
      </c>
      <c r="Q1100">
        <v>935.33515499999999</v>
      </c>
      <c r="R1100">
        <v>0.135034556</v>
      </c>
      <c r="S1100">
        <v>10161</v>
      </c>
      <c r="T1100">
        <v>263</v>
      </c>
      <c r="U1100">
        <v>464</v>
      </c>
      <c r="V1100">
        <v>1682</v>
      </c>
      <c r="W1100">
        <v>886</v>
      </c>
      <c r="X1100">
        <v>428</v>
      </c>
      <c r="Y1100">
        <v>551</v>
      </c>
      <c r="Z1100">
        <v>2148</v>
      </c>
      <c r="AA1100">
        <v>1303</v>
      </c>
      <c r="AB1100">
        <v>3</v>
      </c>
      <c r="AC1100">
        <v>2062</v>
      </c>
      <c r="AD1100">
        <v>4094</v>
      </c>
      <c r="AE1100">
        <v>0</v>
      </c>
      <c r="AF1100">
        <v>0</v>
      </c>
      <c r="AG1100">
        <v>4</v>
      </c>
      <c r="AH1100">
        <v>0</v>
      </c>
      <c r="AI1100">
        <v>0</v>
      </c>
      <c r="AJ1100">
        <v>0</v>
      </c>
      <c r="AK1100">
        <v>1.3641300000000001</v>
      </c>
      <c r="AL1100">
        <v>2</v>
      </c>
      <c r="AM1100">
        <v>0</v>
      </c>
      <c r="AN1100">
        <v>1203</v>
      </c>
      <c r="AO1100">
        <v>33</v>
      </c>
      <c r="AP1100">
        <v>0</v>
      </c>
      <c r="AQ1100">
        <v>0</v>
      </c>
    </row>
    <row r="1101" spans="1:43" x14ac:dyDescent="0.25">
      <c r="A1101">
        <v>1098</v>
      </c>
      <c r="B1101">
        <v>21</v>
      </c>
      <c r="C1101">
        <v>21</v>
      </c>
      <c r="D1101">
        <v>5</v>
      </c>
      <c r="E1101">
        <v>3519</v>
      </c>
      <c r="F1101">
        <v>11415</v>
      </c>
      <c r="G1101">
        <v>11415</v>
      </c>
      <c r="H1101">
        <v>5929</v>
      </c>
      <c r="I1101">
        <v>3023</v>
      </c>
      <c r="J1101">
        <v>692</v>
      </c>
      <c r="K1101">
        <v>406</v>
      </c>
      <c r="L1101">
        <v>680</v>
      </c>
      <c r="M1101">
        <v>1267</v>
      </c>
      <c r="N1101">
        <v>1165</v>
      </c>
      <c r="O1101">
        <v>7517</v>
      </c>
      <c r="P1101">
        <v>661.5581717</v>
      </c>
      <c r="Q1101">
        <v>5418.591805</v>
      </c>
      <c r="R1101">
        <v>0.143282348</v>
      </c>
      <c r="S1101">
        <v>699</v>
      </c>
      <c r="T1101">
        <v>1014</v>
      </c>
      <c r="U1101">
        <v>2059</v>
      </c>
      <c r="V1101">
        <v>4547</v>
      </c>
      <c r="W1101">
        <v>3060</v>
      </c>
      <c r="X1101">
        <v>1296</v>
      </c>
      <c r="Y1101">
        <v>248</v>
      </c>
      <c r="Z1101">
        <v>112</v>
      </c>
      <c r="AA1101">
        <v>263</v>
      </c>
      <c r="AB1101">
        <v>0</v>
      </c>
      <c r="AC1101">
        <v>31</v>
      </c>
      <c r="AD1101">
        <v>45</v>
      </c>
      <c r="AE1101">
        <v>0</v>
      </c>
      <c r="AF1101">
        <v>0</v>
      </c>
      <c r="AG1101">
        <v>5</v>
      </c>
      <c r="AH1101">
        <v>0</v>
      </c>
      <c r="AI1101">
        <v>0</v>
      </c>
      <c r="AJ1101">
        <v>0</v>
      </c>
      <c r="AK1101">
        <v>0.93271000000000004</v>
      </c>
      <c r="AL1101">
        <v>1</v>
      </c>
      <c r="AM1101">
        <v>0</v>
      </c>
      <c r="AN1101">
        <v>3519</v>
      </c>
      <c r="AO1101">
        <v>0</v>
      </c>
      <c r="AP1101">
        <v>0</v>
      </c>
      <c r="AQ1101">
        <v>0</v>
      </c>
    </row>
    <row r="1102" spans="1:43" x14ac:dyDescent="0.25">
      <c r="A1102">
        <v>1099</v>
      </c>
      <c r="B1102">
        <v>21</v>
      </c>
      <c r="C1102">
        <v>21</v>
      </c>
      <c r="D1102">
        <v>5</v>
      </c>
      <c r="E1102">
        <v>3088</v>
      </c>
      <c r="F1102">
        <v>8166</v>
      </c>
      <c r="G1102">
        <v>8207</v>
      </c>
      <c r="H1102">
        <v>3984</v>
      </c>
      <c r="I1102">
        <v>2411</v>
      </c>
      <c r="J1102">
        <v>603</v>
      </c>
      <c r="K1102">
        <v>548</v>
      </c>
      <c r="L1102">
        <v>809</v>
      </c>
      <c r="M1102">
        <v>932</v>
      </c>
      <c r="N1102">
        <v>797</v>
      </c>
      <c r="O1102">
        <v>988</v>
      </c>
      <c r="P1102">
        <v>625.5088356</v>
      </c>
      <c r="Q1102">
        <v>220.40344769999999</v>
      </c>
      <c r="R1102">
        <v>0.23116313099999999</v>
      </c>
      <c r="S1102">
        <v>1128</v>
      </c>
      <c r="T1102">
        <v>406</v>
      </c>
      <c r="U1102">
        <v>1290</v>
      </c>
      <c r="V1102">
        <v>2371</v>
      </c>
      <c r="W1102">
        <v>2502</v>
      </c>
      <c r="X1102">
        <v>1542</v>
      </c>
      <c r="Y1102">
        <v>44</v>
      </c>
      <c r="Z1102">
        <v>517</v>
      </c>
      <c r="AA1102">
        <v>367</v>
      </c>
      <c r="AB1102">
        <v>1</v>
      </c>
      <c r="AC1102">
        <v>68</v>
      </c>
      <c r="AD1102">
        <v>131</v>
      </c>
      <c r="AE1102">
        <v>0</v>
      </c>
      <c r="AF1102">
        <v>0</v>
      </c>
      <c r="AG1102">
        <v>4</v>
      </c>
      <c r="AH1102">
        <v>0</v>
      </c>
      <c r="AI1102">
        <v>0</v>
      </c>
      <c r="AJ1102">
        <v>0</v>
      </c>
      <c r="AK1102">
        <v>1.12642</v>
      </c>
      <c r="AL1102">
        <v>2</v>
      </c>
      <c r="AM1102">
        <v>0</v>
      </c>
      <c r="AN1102">
        <v>3088</v>
      </c>
      <c r="AO1102">
        <v>41</v>
      </c>
      <c r="AP1102">
        <v>0</v>
      </c>
      <c r="AQ1102">
        <v>0</v>
      </c>
    </row>
    <row r="1103" spans="1:43" x14ac:dyDescent="0.25">
      <c r="A1103">
        <v>1100</v>
      </c>
      <c r="B1103">
        <v>21</v>
      </c>
      <c r="C1103">
        <v>21</v>
      </c>
      <c r="D1103">
        <v>5</v>
      </c>
      <c r="E1103">
        <v>2998</v>
      </c>
      <c r="F1103">
        <v>8132</v>
      </c>
      <c r="G1103">
        <v>8155</v>
      </c>
      <c r="H1103">
        <v>3505</v>
      </c>
      <c r="I1103">
        <v>2710</v>
      </c>
      <c r="J1103">
        <v>334</v>
      </c>
      <c r="K1103">
        <v>414</v>
      </c>
      <c r="L1103">
        <v>602</v>
      </c>
      <c r="M1103">
        <v>806</v>
      </c>
      <c r="N1103">
        <v>1180</v>
      </c>
      <c r="O1103">
        <v>2632</v>
      </c>
      <c r="P1103">
        <v>820.72323429999994</v>
      </c>
      <c r="Q1103">
        <v>21</v>
      </c>
      <c r="R1103">
        <v>0.20240480999999999</v>
      </c>
      <c r="S1103">
        <v>1202</v>
      </c>
      <c r="T1103">
        <v>331</v>
      </c>
      <c r="U1103">
        <v>1760</v>
      </c>
      <c r="V1103">
        <v>2019</v>
      </c>
      <c r="W1103">
        <v>2629</v>
      </c>
      <c r="X1103">
        <v>1161</v>
      </c>
      <c r="Y1103">
        <v>253</v>
      </c>
      <c r="Z1103">
        <v>113</v>
      </c>
      <c r="AA1103">
        <v>705</v>
      </c>
      <c r="AB1103">
        <v>7</v>
      </c>
      <c r="AC1103">
        <v>33</v>
      </c>
      <c r="AD1103">
        <v>91</v>
      </c>
      <c r="AE1103">
        <v>0</v>
      </c>
      <c r="AF1103">
        <v>0</v>
      </c>
      <c r="AG1103">
        <v>4</v>
      </c>
      <c r="AH1103">
        <v>0</v>
      </c>
      <c r="AI1103">
        <v>0</v>
      </c>
      <c r="AJ1103">
        <v>0</v>
      </c>
      <c r="AK1103">
        <v>1.1770099999999999</v>
      </c>
      <c r="AL1103">
        <v>1</v>
      </c>
      <c r="AM1103">
        <v>0</v>
      </c>
      <c r="AN1103">
        <v>2998</v>
      </c>
      <c r="AO1103">
        <v>23</v>
      </c>
      <c r="AP1103">
        <v>0</v>
      </c>
      <c r="AQ1103">
        <v>0</v>
      </c>
    </row>
    <row r="1104" spans="1:43" x14ac:dyDescent="0.25">
      <c r="A1104">
        <v>1101</v>
      </c>
      <c r="B1104">
        <v>21</v>
      </c>
      <c r="C1104">
        <v>21</v>
      </c>
      <c r="D1104">
        <v>5</v>
      </c>
      <c r="E1104">
        <v>1371</v>
      </c>
      <c r="F1104">
        <v>3962</v>
      </c>
      <c r="G1104">
        <v>3962</v>
      </c>
      <c r="H1104">
        <v>1614</v>
      </c>
      <c r="I1104">
        <v>1316</v>
      </c>
      <c r="J1104">
        <v>0</v>
      </c>
      <c r="K1104">
        <v>177</v>
      </c>
      <c r="L1104">
        <v>246</v>
      </c>
      <c r="M1104">
        <v>394</v>
      </c>
      <c r="N1104">
        <v>549</v>
      </c>
      <c r="O1104">
        <v>695</v>
      </c>
      <c r="P1104">
        <v>476</v>
      </c>
      <c r="Q1104">
        <v>48</v>
      </c>
      <c r="R1104">
        <v>0.25097630799999998</v>
      </c>
      <c r="S1104">
        <v>517</v>
      </c>
      <c r="T1104">
        <v>119</v>
      </c>
      <c r="U1104">
        <v>840</v>
      </c>
      <c r="V1104">
        <v>936</v>
      </c>
      <c r="W1104">
        <v>1129</v>
      </c>
      <c r="X1104">
        <v>772</v>
      </c>
      <c r="Y1104">
        <v>39</v>
      </c>
      <c r="Z1104">
        <v>163</v>
      </c>
      <c r="AA1104">
        <v>197</v>
      </c>
      <c r="AB1104">
        <v>1</v>
      </c>
      <c r="AC1104">
        <v>34</v>
      </c>
      <c r="AD1104">
        <v>83</v>
      </c>
      <c r="AE1104">
        <v>0</v>
      </c>
      <c r="AF1104">
        <v>0</v>
      </c>
      <c r="AG1104">
        <v>4</v>
      </c>
      <c r="AH1104">
        <v>0</v>
      </c>
      <c r="AI1104">
        <v>0</v>
      </c>
      <c r="AJ1104">
        <v>0</v>
      </c>
      <c r="AK1104">
        <v>1.0650299999999999</v>
      </c>
      <c r="AL1104">
        <v>1</v>
      </c>
      <c r="AM1104">
        <v>0</v>
      </c>
      <c r="AN1104">
        <v>1371</v>
      </c>
      <c r="AO1104">
        <v>0</v>
      </c>
      <c r="AP1104">
        <v>0</v>
      </c>
      <c r="AQ1104">
        <v>0</v>
      </c>
    </row>
    <row r="1105" spans="1:43" x14ac:dyDescent="0.25">
      <c r="A1105">
        <v>1102</v>
      </c>
      <c r="B1105">
        <v>21</v>
      </c>
      <c r="C1105">
        <v>21</v>
      </c>
      <c r="D1105">
        <v>5</v>
      </c>
      <c r="E1105">
        <v>267</v>
      </c>
      <c r="F1105">
        <v>760</v>
      </c>
      <c r="G1105">
        <v>760</v>
      </c>
      <c r="H1105">
        <v>381</v>
      </c>
      <c r="I1105">
        <v>255</v>
      </c>
      <c r="J1105">
        <v>0</v>
      </c>
      <c r="K1105">
        <v>46</v>
      </c>
      <c r="L1105">
        <v>59</v>
      </c>
      <c r="M1105">
        <v>63</v>
      </c>
      <c r="N1105">
        <v>99</v>
      </c>
      <c r="O1105">
        <v>15377</v>
      </c>
      <c r="P1105">
        <v>430.67467959999999</v>
      </c>
      <c r="Q1105">
        <v>36.565464339999998</v>
      </c>
      <c r="R1105">
        <v>0.26375176299999997</v>
      </c>
      <c r="S1105">
        <v>124</v>
      </c>
      <c r="T1105">
        <v>0</v>
      </c>
      <c r="U1105">
        <v>222</v>
      </c>
      <c r="V1105">
        <v>135</v>
      </c>
      <c r="W1105">
        <v>161</v>
      </c>
      <c r="X1105">
        <v>187</v>
      </c>
      <c r="Y1105">
        <v>2</v>
      </c>
      <c r="Z1105">
        <v>20</v>
      </c>
      <c r="AA1105">
        <v>18</v>
      </c>
      <c r="AB1105">
        <v>39</v>
      </c>
      <c r="AC1105">
        <v>4</v>
      </c>
      <c r="AD1105">
        <v>41</v>
      </c>
      <c r="AE1105">
        <v>0</v>
      </c>
      <c r="AF1105">
        <v>0</v>
      </c>
      <c r="AG1105">
        <v>4</v>
      </c>
      <c r="AH1105">
        <v>0</v>
      </c>
      <c r="AI1105">
        <v>0</v>
      </c>
      <c r="AJ1105">
        <v>0</v>
      </c>
      <c r="AK1105">
        <v>0.94196000000000002</v>
      </c>
      <c r="AL1105">
        <v>1</v>
      </c>
      <c r="AM1105">
        <v>0</v>
      </c>
      <c r="AN1105">
        <v>267</v>
      </c>
      <c r="AO1105">
        <v>0</v>
      </c>
      <c r="AP1105">
        <v>0</v>
      </c>
      <c r="AQ1105">
        <v>0</v>
      </c>
    </row>
    <row r="1106" spans="1:43" x14ac:dyDescent="0.25">
      <c r="A1106">
        <v>1103</v>
      </c>
      <c r="B1106">
        <v>21</v>
      </c>
      <c r="C1106">
        <v>21</v>
      </c>
      <c r="D1106">
        <v>5</v>
      </c>
      <c r="E1106">
        <v>2810</v>
      </c>
      <c r="F1106">
        <v>7830</v>
      </c>
      <c r="G1106">
        <v>7841</v>
      </c>
      <c r="H1106">
        <v>3887</v>
      </c>
      <c r="I1106">
        <v>2582</v>
      </c>
      <c r="J1106">
        <v>195</v>
      </c>
      <c r="K1106">
        <v>537</v>
      </c>
      <c r="L1106">
        <v>509</v>
      </c>
      <c r="M1106">
        <v>733</v>
      </c>
      <c r="N1106">
        <v>1018</v>
      </c>
      <c r="O1106">
        <v>2289</v>
      </c>
      <c r="P1106">
        <v>978.38641129999996</v>
      </c>
      <c r="Q1106">
        <v>464</v>
      </c>
      <c r="R1106">
        <v>0.23004866199999999</v>
      </c>
      <c r="S1106">
        <v>1193</v>
      </c>
      <c r="T1106">
        <v>494</v>
      </c>
      <c r="U1106">
        <v>1082</v>
      </c>
      <c r="V1106">
        <v>2808</v>
      </c>
      <c r="W1106">
        <v>2281</v>
      </c>
      <c r="X1106">
        <v>1481</v>
      </c>
      <c r="Y1106">
        <v>197</v>
      </c>
      <c r="Z1106">
        <v>206</v>
      </c>
      <c r="AA1106">
        <v>559</v>
      </c>
      <c r="AB1106">
        <v>1</v>
      </c>
      <c r="AC1106">
        <v>47</v>
      </c>
      <c r="AD1106">
        <v>183</v>
      </c>
      <c r="AE1106">
        <v>0</v>
      </c>
      <c r="AF1106">
        <v>0</v>
      </c>
      <c r="AG1106">
        <v>4</v>
      </c>
      <c r="AH1106">
        <v>0</v>
      </c>
      <c r="AI1106">
        <v>0</v>
      </c>
      <c r="AJ1106">
        <v>0</v>
      </c>
      <c r="AK1106">
        <v>1.01522</v>
      </c>
      <c r="AL1106">
        <v>1</v>
      </c>
      <c r="AM1106">
        <v>0</v>
      </c>
      <c r="AN1106">
        <v>2810</v>
      </c>
      <c r="AO1106">
        <v>11</v>
      </c>
      <c r="AP1106">
        <v>0</v>
      </c>
      <c r="AQ1106">
        <v>0</v>
      </c>
    </row>
    <row r="1107" spans="1:43" x14ac:dyDescent="0.25">
      <c r="A1107">
        <v>1104</v>
      </c>
      <c r="B1107">
        <v>21</v>
      </c>
      <c r="C1107">
        <v>21</v>
      </c>
      <c r="D1107">
        <v>5</v>
      </c>
      <c r="E1107">
        <v>1210</v>
      </c>
      <c r="F1107">
        <v>3454</v>
      </c>
      <c r="G1107">
        <v>3454</v>
      </c>
      <c r="H1107">
        <v>1696</v>
      </c>
      <c r="I1107">
        <v>1154</v>
      </c>
      <c r="J1107">
        <v>10</v>
      </c>
      <c r="K1107">
        <v>175</v>
      </c>
      <c r="L1107">
        <v>127</v>
      </c>
      <c r="M1107">
        <v>336</v>
      </c>
      <c r="N1107">
        <v>566</v>
      </c>
      <c r="O1107">
        <v>345</v>
      </c>
      <c r="P1107">
        <v>196</v>
      </c>
      <c r="Q1107">
        <v>47</v>
      </c>
      <c r="R1107">
        <v>0.20466242800000001</v>
      </c>
      <c r="S1107">
        <v>273</v>
      </c>
      <c r="T1107">
        <v>166</v>
      </c>
      <c r="U1107">
        <v>725</v>
      </c>
      <c r="V1107">
        <v>765</v>
      </c>
      <c r="W1107">
        <v>1046</v>
      </c>
      <c r="X1107">
        <v>571</v>
      </c>
      <c r="Y1107">
        <v>6</v>
      </c>
      <c r="Z1107">
        <v>88</v>
      </c>
      <c r="AA1107">
        <v>135</v>
      </c>
      <c r="AB1107">
        <v>1</v>
      </c>
      <c r="AC1107">
        <v>17</v>
      </c>
      <c r="AD1107">
        <v>26</v>
      </c>
      <c r="AE1107">
        <v>0</v>
      </c>
      <c r="AF1107">
        <v>0</v>
      </c>
      <c r="AG1107">
        <v>4</v>
      </c>
      <c r="AH1107">
        <v>0</v>
      </c>
      <c r="AI1107">
        <v>0</v>
      </c>
      <c r="AJ1107">
        <v>0</v>
      </c>
      <c r="AK1107">
        <v>1.23126</v>
      </c>
      <c r="AL1107">
        <v>1</v>
      </c>
      <c r="AM1107">
        <v>0</v>
      </c>
      <c r="AN1107">
        <v>1210</v>
      </c>
      <c r="AO1107">
        <v>0</v>
      </c>
      <c r="AP1107">
        <v>0</v>
      </c>
      <c r="AQ1107">
        <v>0</v>
      </c>
    </row>
    <row r="1108" spans="1:43" x14ac:dyDescent="0.25">
      <c r="A1108">
        <v>1105</v>
      </c>
      <c r="B1108">
        <v>21</v>
      </c>
      <c r="C1108">
        <v>21</v>
      </c>
      <c r="D1108">
        <v>5</v>
      </c>
      <c r="E1108">
        <v>475</v>
      </c>
      <c r="F1108">
        <v>1395</v>
      </c>
      <c r="G1108">
        <v>1395</v>
      </c>
      <c r="H1108">
        <v>529</v>
      </c>
      <c r="I1108">
        <v>320</v>
      </c>
      <c r="J1108">
        <v>142</v>
      </c>
      <c r="K1108">
        <v>74</v>
      </c>
      <c r="L1108">
        <v>89</v>
      </c>
      <c r="M1108">
        <v>219</v>
      </c>
      <c r="N1108">
        <v>99</v>
      </c>
      <c r="O1108">
        <v>111</v>
      </c>
      <c r="P1108">
        <v>84</v>
      </c>
      <c r="Q1108">
        <v>2</v>
      </c>
      <c r="R1108">
        <v>0.203781513</v>
      </c>
      <c r="S1108">
        <v>86</v>
      </c>
      <c r="T1108">
        <v>114</v>
      </c>
      <c r="U1108">
        <v>288</v>
      </c>
      <c r="V1108">
        <v>540</v>
      </c>
      <c r="W1108">
        <v>226</v>
      </c>
      <c r="X1108">
        <v>240</v>
      </c>
      <c r="Y1108">
        <v>2</v>
      </c>
      <c r="Z1108">
        <v>17</v>
      </c>
      <c r="AA1108">
        <v>47</v>
      </c>
      <c r="AB1108">
        <v>0</v>
      </c>
      <c r="AC1108">
        <v>4</v>
      </c>
      <c r="AD1108">
        <v>16</v>
      </c>
      <c r="AE1108">
        <v>0</v>
      </c>
      <c r="AF1108">
        <v>0</v>
      </c>
      <c r="AG1108">
        <v>4</v>
      </c>
      <c r="AH1108">
        <v>0</v>
      </c>
      <c r="AI1108">
        <v>0</v>
      </c>
      <c r="AJ1108">
        <v>0</v>
      </c>
      <c r="AK1108">
        <v>1.1019699999999999</v>
      </c>
      <c r="AL1108">
        <v>1</v>
      </c>
      <c r="AM1108">
        <v>0</v>
      </c>
      <c r="AN1108">
        <v>475</v>
      </c>
      <c r="AO1108">
        <v>0</v>
      </c>
      <c r="AP1108">
        <v>0</v>
      </c>
      <c r="AQ1108">
        <v>0</v>
      </c>
    </row>
    <row r="1109" spans="1:43" x14ac:dyDescent="0.25">
      <c r="A1109">
        <v>1106</v>
      </c>
      <c r="B1109">
        <v>21</v>
      </c>
      <c r="C1109">
        <v>21</v>
      </c>
      <c r="D1109">
        <v>5</v>
      </c>
      <c r="E1109">
        <v>3547</v>
      </c>
      <c r="F1109">
        <v>7398</v>
      </c>
      <c r="G1109">
        <v>7606</v>
      </c>
      <c r="H1109">
        <v>3733</v>
      </c>
      <c r="I1109">
        <v>1949</v>
      </c>
      <c r="J1109">
        <v>1514</v>
      </c>
      <c r="K1109">
        <v>1075</v>
      </c>
      <c r="L1109">
        <v>626</v>
      </c>
      <c r="M1109">
        <v>1076</v>
      </c>
      <c r="N1109">
        <v>772</v>
      </c>
      <c r="O1109">
        <v>629</v>
      </c>
      <c r="P1109">
        <v>256.50141150000002</v>
      </c>
      <c r="Q1109">
        <v>82.838516029999994</v>
      </c>
      <c r="R1109">
        <v>0.24549084400000001</v>
      </c>
      <c r="S1109">
        <v>1650</v>
      </c>
      <c r="T1109">
        <v>522</v>
      </c>
      <c r="U1109">
        <v>723</v>
      </c>
      <c r="V1109">
        <v>2462</v>
      </c>
      <c r="W1109">
        <v>2041</v>
      </c>
      <c r="X1109">
        <v>1442</v>
      </c>
      <c r="Y1109">
        <v>142</v>
      </c>
      <c r="Z1109">
        <v>271</v>
      </c>
      <c r="AA1109">
        <v>1044</v>
      </c>
      <c r="AB1109">
        <v>20</v>
      </c>
      <c r="AC1109">
        <v>46</v>
      </c>
      <c r="AD1109">
        <v>127</v>
      </c>
      <c r="AE1109">
        <v>0</v>
      </c>
      <c r="AF1109">
        <v>0</v>
      </c>
      <c r="AG1109">
        <v>4</v>
      </c>
      <c r="AH1109">
        <v>2373</v>
      </c>
      <c r="AI1109">
        <v>0</v>
      </c>
      <c r="AJ1109">
        <v>0</v>
      </c>
      <c r="AK1109">
        <v>1.5415099999999999</v>
      </c>
      <c r="AL1109">
        <v>2</v>
      </c>
      <c r="AM1109">
        <v>0</v>
      </c>
      <c r="AN1109">
        <v>3547</v>
      </c>
      <c r="AO1109">
        <v>208</v>
      </c>
      <c r="AP1109">
        <v>0</v>
      </c>
      <c r="AQ1109">
        <v>0</v>
      </c>
    </row>
    <row r="1110" spans="1:43" x14ac:dyDescent="0.25">
      <c r="A1110">
        <v>1107</v>
      </c>
      <c r="B1110">
        <v>21</v>
      </c>
      <c r="C1110">
        <v>21</v>
      </c>
      <c r="D1110">
        <v>5</v>
      </c>
      <c r="E1110">
        <v>1390</v>
      </c>
      <c r="F1110">
        <v>3756</v>
      </c>
      <c r="G1110">
        <v>3775</v>
      </c>
      <c r="H1110">
        <v>1760</v>
      </c>
      <c r="I1110">
        <v>1067</v>
      </c>
      <c r="J1110">
        <v>389</v>
      </c>
      <c r="K1110">
        <v>378</v>
      </c>
      <c r="L1110">
        <v>338</v>
      </c>
      <c r="M1110">
        <v>391</v>
      </c>
      <c r="N1110">
        <v>289</v>
      </c>
      <c r="O1110">
        <v>320</v>
      </c>
      <c r="P1110">
        <v>180.2945986</v>
      </c>
      <c r="Q1110">
        <v>53.280453700000002</v>
      </c>
      <c r="R1110">
        <v>0.23310202999999999</v>
      </c>
      <c r="S1110">
        <v>490</v>
      </c>
      <c r="T1110">
        <v>204</v>
      </c>
      <c r="U1110">
        <v>564</v>
      </c>
      <c r="V1110">
        <v>1400</v>
      </c>
      <c r="W1110">
        <v>1013</v>
      </c>
      <c r="X1110">
        <v>671</v>
      </c>
      <c r="Y1110">
        <v>21</v>
      </c>
      <c r="Z1110">
        <v>119</v>
      </c>
      <c r="AA1110">
        <v>294</v>
      </c>
      <c r="AB1110">
        <v>1</v>
      </c>
      <c r="AC1110">
        <v>16</v>
      </c>
      <c r="AD1110">
        <v>39</v>
      </c>
      <c r="AE1110">
        <v>0</v>
      </c>
      <c r="AF1110">
        <v>0</v>
      </c>
      <c r="AG1110">
        <v>4</v>
      </c>
      <c r="AH1110">
        <v>0</v>
      </c>
      <c r="AI1110">
        <v>0</v>
      </c>
      <c r="AJ1110">
        <v>0</v>
      </c>
      <c r="AK1110">
        <v>1.3181099999999999</v>
      </c>
      <c r="AL1110">
        <v>2</v>
      </c>
      <c r="AM1110">
        <v>0</v>
      </c>
      <c r="AN1110">
        <v>1390</v>
      </c>
      <c r="AO1110">
        <v>19</v>
      </c>
      <c r="AP1110">
        <v>0</v>
      </c>
      <c r="AQ1110">
        <v>0</v>
      </c>
    </row>
    <row r="1111" spans="1:43" x14ac:dyDescent="0.25">
      <c r="A1111">
        <v>1108</v>
      </c>
      <c r="B1111">
        <v>21</v>
      </c>
      <c r="C1111">
        <v>21</v>
      </c>
      <c r="D1111">
        <v>5</v>
      </c>
      <c r="E1111">
        <v>2132</v>
      </c>
      <c r="F1111">
        <v>5542</v>
      </c>
      <c r="G1111">
        <v>5590</v>
      </c>
      <c r="H1111">
        <v>2852</v>
      </c>
      <c r="I1111">
        <v>1791</v>
      </c>
      <c r="J1111">
        <v>274</v>
      </c>
      <c r="K1111">
        <v>231</v>
      </c>
      <c r="L1111">
        <v>666</v>
      </c>
      <c r="M1111">
        <v>546</v>
      </c>
      <c r="N1111">
        <v>690</v>
      </c>
      <c r="O1111">
        <v>601</v>
      </c>
      <c r="P1111">
        <v>387</v>
      </c>
      <c r="Q1111">
        <v>82</v>
      </c>
      <c r="R1111">
        <v>0.22263893600000001</v>
      </c>
      <c r="S1111">
        <v>987</v>
      </c>
      <c r="T1111">
        <v>277</v>
      </c>
      <c r="U1111">
        <v>1009</v>
      </c>
      <c r="V1111">
        <v>1962</v>
      </c>
      <c r="W1111">
        <v>1426</v>
      </c>
      <c r="X1111">
        <v>1132</v>
      </c>
      <c r="Y1111">
        <v>472</v>
      </c>
      <c r="Z1111">
        <v>81</v>
      </c>
      <c r="AA1111">
        <v>335</v>
      </c>
      <c r="AB1111">
        <v>0</v>
      </c>
      <c r="AC1111">
        <v>39</v>
      </c>
      <c r="AD1111">
        <v>60</v>
      </c>
      <c r="AE1111">
        <v>0</v>
      </c>
      <c r="AF1111">
        <v>0</v>
      </c>
      <c r="AG1111">
        <v>4</v>
      </c>
      <c r="AH1111">
        <v>0</v>
      </c>
      <c r="AI1111">
        <v>0</v>
      </c>
      <c r="AJ1111">
        <v>0</v>
      </c>
      <c r="AK1111">
        <v>1.23081</v>
      </c>
      <c r="AL1111">
        <v>3</v>
      </c>
      <c r="AM1111">
        <v>0</v>
      </c>
      <c r="AN1111">
        <v>2132</v>
      </c>
      <c r="AO1111">
        <v>48</v>
      </c>
      <c r="AP1111">
        <v>0</v>
      </c>
      <c r="AQ1111">
        <v>0</v>
      </c>
    </row>
    <row r="1112" spans="1:43" x14ac:dyDescent="0.25">
      <c r="A1112">
        <v>1109</v>
      </c>
      <c r="B1112">
        <v>21</v>
      </c>
      <c r="C1112">
        <v>21</v>
      </c>
      <c r="D1112">
        <v>5</v>
      </c>
      <c r="E1112">
        <v>2866</v>
      </c>
      <c r="F1112">
        <v>8053</v>
      </c>
      <c r="G1112">
        <v>8082</v>
      </c>
      <c r="H1112">
        <v>4141</v>
      </c>
      <c r="I1112">
        <v>2487</v>
      </c>
      <c r="J1112">
        <v>406</v>
      </c>
      <c r="K1112">
        <v>481</v>
      </c>
      <c r="L1112">
        <v>718</v>
      </c>
      <c r="M1112">
        <v>831</v>
      </c>
      <c r="N1112">
        <v>841</v>
      </c>
      <c r="O1112">
        <v>778</v>
      </c>
      <c r="P1112">
        <v>331.3916299</v>
      </c>
      <c r="Q1112">
        <v>308</v>
      </c>
      <c r="R1112">
        <v>0.21337890600000001</v>
      </c>
      <c r="S1112">
        <v>1602</v>
      </c>
      <c r="T1112">
        <v>414</v>
      </c>
      <c r="U1112">
        <v>1608</v>
      </c>
      <c r="V1112">
        <v>2635</v>
      </c>
      <c r="W1112">
        <v>2121</v>
      </c>
      <c r="X1112">
        <v>1331</v>
      </c>
      <c r="Y1112">
        <v>4</v>
      </c>
      <c r="Z1112">
        <v>58</v>
      </c>
      <c r="AA1112">
        <v>1385</v>
      </c>
      <c r="AB1112">
        <v>0</v>
      </c>
      <c r="AC1112">
        <v>67</v>
      </c>
      <c r="AD1112">
        <v>88</v>
      </c>
      <c r="AE1112">
        <v>0</v>
      </c>
      <c r="AF1112">
        <v>0</v>
      </c>
      <c r="AG1112">
        <v>4</v>
      </c>
      <c r="AH1112">
        <v>1137</v>
      </c>
      <c r="AI1112">
        <v>0</v>
      </c>
      <c r="AJ1112">
        <v>0</v>
      </c>
      <c r="AK1112">
        <v>1.21346</v>
      </c>
      <c r="AL1112">
        <v>3</v>
      </c>
      <c r="AM1112">
        <v>0</v>
      </c>
      <c r="AN1112">
        <v>2866</v>
      </c>
      <c r="AO1112">
        <v>29</v>
      </c>
      <c r="AP1112">
        <v>0</v>
      </c>
      <c r="AQ1112">
        <v>0</v>
      </c>
    </row>
    <row r="1113" spans="1:43" x14ac:dyDescent="0.25">
      <c r="A1113">
        <v>1110</v>
      </c>
      <c r="B1113">
        <v>21</v>
      </c>
      <c r="C1113">
        <v>21</v>
      </c>
      <c r="D1113">
        <v>5</v>
      </c>
      <c r="E1113">
        <v>2854</v>
      </c>
      <c r="F1113">
        <v>7207</v>
      </c>
      <c r="G1113">
        <v>7249</v>
      </c>
      <c r="H1113">
        <v>3481</v>
      </c>
      <c r="I1113">
        <v>1884</v>
      </c>
      <c r="J1113">
        <v>966</v>
      </c>
      <c r="K1113">
        <v>961</v>
      </c>
      <c r="L1113">
        <v>531</v>
      </c>
      <c r="M1113">
        <v>641</v>
      </c>
      <c r="N1113">
        <v>722</v>
      </c>
      <c r="O1113">
        <v>712</v>
      </c>
      <c r="P1113">
        <v>515.88185920000001</v>
      </c>
      <c r="Q1113">
        <v>66</v>
      </c>
      <c r="R1113">
        <v>0.19434035399999999</v>
      </c>
      <c r="S1113">
        <v>1588</v>
      </c>
      <c r="T1113">
        <v>487</v>
      </c>
      <c r="U1113">
        <v>1141</v>
      </c>
      <c r="V1113">
        <v>2788</v>
      </c>
      <c r="W1113">
        <v>1921</v>
      </c>
      <c r="X1113">
        <v>1306</v>
      </c>
      <c r="Y1113">
        <v>340</v>
      </c>
      <c r="Z1113">
        <v>342</v>
      </c>
      <c r="AA1113">
        <v>732</v>
      </c>
      <c r="AB1113">
        <v>29</v>
      </c>
      <c r="AC1113">
        <v>61</v>
      </c>
      <c r="AD1113">
        <v>84</v>
      </c>
      <c r="AE1113">
        <v>0</v>
      </c>
      <c r="AF1113">
        <v>0</v>
      </c>
      <c r="AG1113">
        <v>4</v>
      </c>
      <c r="AH1113">
        <v>29</v>
      </c>
      <c r="AI1113">
        <v>0</v>
      </c>
      <c r="AJ1113">
        <v>0</v>
      </c>
      <c r="AK1113">
        <v>1.26529</v>
      </c>
      <c r="AL1113">
        <v>3</v>
      </c>
      <c r="AM1113">
        <v>0</v>
      </c>
      <c r="AN1113">
        <v>2854</v>
      </c>
      <c r="AO1113">
        <v>42</v>
      </c>
      <c r="AP1113">
        <v>0</v>
      </c>
      <c r="AQ1113">
        <v>0</v>
      </c>
    </row>
    <row r="1114" spans="1:43" x14ac:dyDescent="0.25">
      <c r="A1114">
        <v>1111</v>
      </c>
      <c r="B1114">
        <v>21</v>
      </c>
      <c r="C1114">
        <v>21</v>
      </c>
      <c r="D1114">
        <v>5</v>
      </c>
      <c r="E1114">
        <v>2134</v>
      </c>
      <c r="F1114">
        <v>5801</v>
      </c>
      <c r="G1114">
        <v>5822</v>
      </c>
      <c r="H1114">
        <v>3086</v>
      </c>
      <c r="I1114">
        <v>2034</v>
      </c>
      <c r="J1114">
        <v>18</v>
      </c>
      <c r="K1114">
        <v>379</v>
      </c>
      <c r="L1114">
        <v>477</v>
      </c>
      <c r="M1114">
        <v>809</v>
      </c>
      <c r="N1114">
        <v>455</v>
      </c>
      <c r="O1114">
        <v>541</v>
      </c>
      <c r="P1114">
        <v>248.02222979999999</v>
      </c>
      <c r="Q1114">
        <v>159</v>
      </c>
      <c r="R1114">
        <v>0.219601677</v>
      </c>
      <c r="S1114">
        <v>778</v>
      </c>
      <c r="T1114">
        <v>277</v>
      </c>
      <c r="U1114">
        <v>824</v>
      </c>
      <c r="V1114">
        <v>2043</v>
      </c>
      <c r="W1114">
        <v>1581</v>
      </c>
      <c r="X1114">
        <v>936</v>
      </c>
      <c r="Y1114">
        <v>7</v>
      </c>
      <c r="Z1114">
        <v>84</v>
      </c>
      <c r="AA1114">
        <v>410</v>
      </c>
      <c r="AB1114">
        <v>1</v>
      </c>
      <c r="AC1114">
        <v>17</v>
      </c>
      <c r="AD1114">
        <v>259</v>
      </c>
      <c r="AE1114">
        <v>0</v>
      </c>
      <c r="AF1114">
        <v>0</v>
      </c>
      <c r="AG1114">
        <v>4</v>
      </c>
      <c r="AH1114">
        <v>245</v>
      </c>
      <c r="AI1114">
        <v>0</v>
      </c>
      <c r="AJ1114">
        <v>0</v>
      </c>
      <c r="AK1114">
        <v>1.2690300000000001</v>
      </c>
      <c r="AL1114">
        <v>2</v>
      </c>
      <c r="AM1114">
        <v>0</v>
      </c>
      <c r="AN1114">
        <v>2134</v>
      </c>
      <c r="AO1114">
        <v>21</v>
      </c>
      <c r="AP1114">
        <v>0</v>
      </c>
      <c r="AQ1114">
        <v>0</v>
      </c>
    </row>
    <row r="1115" spans="1:43" x14ac:dyDescent="0.25">
      <c r="A1115">
        <v>1112</v>
      </c>
      <c r="B1115">
        <v>21</v>
      </c>
      <c r="C1115">
        <v>21</v>
      </c>
      <c r="D1115">
        <v>5</v>
      </c>
      <c r="E1115">
        <v>2081</v>
      </c>
      <c r="F1115">
        <v>5536</v>
      </c>
      <c r="G1115">
        <v>5655</v>
      </c>
      <c r="H1115">
        <v>2984</v>
      </c>
      <c r="I1115">
        <v>1726</v>
      </c>
      <c r="J1115">
        <v>278</v>
      </c>
      <c r="K1115">
        <v>524</v>
      </c>
      <c r="L1115">
        <v>508</v>
      </c>
      <c r="M1115">
        <v>482</v>
      </c>
      <c r="N1115">
        <v>571</v>
      </c>
      <c r="O1115">
        <v>621</v>
      </c>
      <c r="P1115">
        <v>308.54857629999998</v>
      </c>
      <c r="Q1115">
        <v>145.3935974</v>
      </c>
      <c r="R1115">
        <v>0.20577617300000001</v>
      </c>
      <c r="S1115">
        <v>1699</v>
      </c>
      <c r="T1115">
        <v>633</v>
      </c>
      <c r="U1115">
        <v>1000</v>
      </c>
      <c r="V1115">
        <v>1945</v>
      </c>
      <c r="W1115">
        <v>1688</v>
      </c>
      <c r="X1115">
        <v>1032</v>
      </c>
      <c r="Y1115">
        <v>63</v>
      </c>
      <c r="Z1115">
        <v>341</v>
      </c>
      <c r="AA1115">
        <v>1157</v>
      </c>
      <c r="AB1115">
        <v>1</v>
      </c>
      <c r="AC1115">
        <v>44</v>
      </c>
      <c r="AD1115">
        <v>93</v>
      </c>
      <c r="AE1115">
        <v>0</v>
      </c>
      <c r="AF1115">
        <v>0</v>
      </c>
      <c r="AG1115">
        <v>4</v>
      </c>
      <c r="AH1115">
        <v>1415</v>
      </c>
      <c r="AI1115">
        <v>0</v>
      </c>
      <c r="AJ1115">
        <v>0</v>
      </c>
      <c r="AK1115">
        <v>1.41771</v>
      </c>
      <c r="AL1115">
        <v>2</v>
      </c>
      <c r="AM1115">
        <v>0</v>
      </c>
      <c r="AN1115">
        <v>2081</v>
      </c>
      <c r="AO1115">
        <v>119</v>
      </c>
      <c r="AP1115">
        <v>0</v>
      </c>
      <c r="AQ1115">
        <v>0</v>
      </c>
    </row>
    <row r="1116" spans="1:43" x14ac:dyDescent="0.25">
      <c r="A1116">
        <v>1113</v>
      </c>
      <c r="B1116">
        <v>21</v>
      </c>
      <c r="C1116">
        <v>21</v>
      </c>
      <c r="D1116">
        <v>5</v>
      </c>
      <c r="E1116">
        <v>1442</v>
      </c>
      <c r="F1116">
        <v>2184</v>
      </c>
      <c r="G1116">
        <v>2219</v>
      </c>
      <c r="H1116">
        <v>1215</v>
      </c>
      <c r="I1116">
        <v>134</v>
      </c>
      <c r="J1116">
        <v>1332</v>
      </c>
      <c r="K1116">
        <v>715</v>
      </c>
      <c r="L1116">
        <v>379</v>
      </c>
      <c r="M1116">
        <v>309</v>
      </c>
      <c r="N1116">
        <v>40</v>
      </c>
      <c r="O1116">
        <v>263</v>
      </c>
      <c r="P1116">
        <v>39.466922650000001</v>
      </c>
      <c r="Q1116">
        <v>134</v>
      </c>
      <c r="R1116">
        <v>0.36919739699999998</v>
      </c>
      <c r="S1116">
        <v>8944</v>
      </c>
      <c r="T1116">
        <v>77</v>
      </c>
      <c r="U1116">
        <v>64</v>
      </c>
      <c r="V1116">
        <v>875</v>
      </c>
      <c r="W1116">
        <v>541</v>
      </c>
      <c r="X1116">
        <v>727</v>
      </c>
      <c r="Y1116">
        <v>879</v>
      </c>
      <c r="Z1116">
        <v>4255</v>
      </c>
      <c r="AA1116">
        <v>3016</v>
      </c>
      <c r="AB1116">
        <v>3</v>
      </c>
      <c r="AC1116">
        <v>258</v>
      </c>
      <c r="AD1116">
        <v>533</v>
      </c>
      <c r="AE1116">
        <v>0</v>
      </c>
      <c r="AF1116">
        <v>0</v>
      </c>
      <c r="AG1116">
        <v>2</v>
      </c>
      <c r="AH1116">
        <v>38</v>
      </c>
      <c r="AI1116">
        <v>341</v>
      </c>
      <c r="AJ1116">
        <v>0</v>
      </c>
      <c r="AK1116">
        <v>3.2885800000000001</v>
      </c>
      <c r="AL1116">
        <v>3</v>
      </c>
      <c r="AM1116">
        <v>0</v>
      </c>
      <c r="AN1116">
        <v>1442</v>
      </c>
      <c r="AO1116">
        <v>35</v>
      </c>
      <c r="AP1116">
        <v>0</v>
      </c>
      <c r="AQ1116">
        <v>0</v>
      </c>
    </row>
    <row r="1117" spans="1:43" x14ac:dyDescent="0.25">
      <c r="A1117">
        <v>1114</v>
      </c>
      <c r="B1117">
        <v>21</v>
      </c>
      <c r="C1117">
        <v>21</v>
      </c>
      <c r="D1117">
        <v>5</v>
      </c>
      <c r="E1117">
        <v>2741</v>
      </c>
      <c r="F1117">
        <v>7511</v>
      </c>
      <c r="G1117">
        <v>7511</v>
      </c>
      <c r="H1117">
        <v>3531</v>
      </c>
      <c r="I1117">
        <v>419</v>
      </c>
      <c r="J1117">
        <v>2265</v>
      </c>
      <c r="K1117">
        <v>989</v>
      </c>
      <c r="L1117">
        <v>962</v>
      </c>
      <c r="M1117">
        <v>629</v>
      </c>
      <c r="N1117">
        <v>155</v>
      </c>
      <c r="O1117">
        <v>160</v>
      </c>
      <c r="P1117">
        <v>99</v>
      </c>
      <c r="Q1117">
        <v>23.69202688</v>
      </c>
      <c r="R1117">
        <v>6.0397244000000003E-2</v>
      </c>
      <c r="S1117">
        <v>402</v>
      </c>
      <c r="T1117">
        <v>864</v>
      </c>
      <c r="U1117">
        <v>1472</v>
      </c>
      <c r="V1117">
        <v>3602</v>
      </c>
      <c r="W1117">
        <v>1082</v>
      </c>
      <c r="X1117">
        <v>297</v>
      </c>
      <c r="Y1117">
        <v>133</v>
      </c>
      <c r="Z1117">
        <v>49</v>
      </c>
      <c r="AA1117">
        <v>167</v>
      </c>
      <c r="AB1117">
        <v>0</v>
      </c>
      <c r="AC1117">
        <v>19</v>
      </c>
      <c r="AD1117">
        <v>34</v>
      </c>
      <c r="AE1117">
        <v>0</v>
      </c>
      <c r="AF1117">
        <v>0</v>
      </c>
      <c r="AG1117">
        <v>3</v>
      </c>
      <c r="AH1117">
        <v>0</v>
      </c>
      <c r="AI1117">
        <v>0</v>
      </c>
      <c r="AJ1117">
        <v>0</v>
      </c>
      <c r="AK1117">
        <v>2.0689299999999999</v>
      </c>
      <c r="AL1117">
        <v>3</v>
      </c>
      <c r="AM1117">
        <v>0</v>
      </c>
      <c r="AN1117">
        <v>2741</v>
      </c>
      <c r="AO1117">
        <v>0</v>
      </c>
      <c r="AP1117">
        <v>0</v>
      </c>
      <c r="AQ1117">
        <v>0</v>
      </c>
    </row>
    <row r="1118" spans="1:43" x14ac:dyDescent="0.25">
      <c r="A1118">
        <v>1115</v>
      </c>
      <c r="B1118">
        <v>21</v>
      </c>
      <c r="C1118">
        <v>21</v>
      </c>
      <c r="D1118">
        <v>5</v>
      </c>
      <c r="E1118">
        <v>1649</v>
      </c>
      <c r="F1118">
        <v>4370</v>
      </c>
      <c r="G1118">
        <v>4370</v>
      </c>
      <c r="H1118">
        <v>2530</v>
      </c>
      <c r="I1118">
        <v>291</v>
      </c>
      <c r="J1118">
        <v>1294</v>
      </c>
      <c r="K1118">
        <v>522</v>
      </c>
      <c r="L1118">
        <v>579</v>
      </c>
      <c r="M1118">
        <v>327</v>
      </c>
      <c r="N1118">
        <v>214</v>
      </c>
      <c r="O1118">
        <v>166</v>
      </c>
      <c r="P1118">
        <v>58.05077404</v>
      </c>
      <c r="Q1118">
        <v>57</v>
      </c>
      <c r="R1118">
        <v>0.100270392</v>
      </c>
      <c r="S1118">
        <v>486</v>
      </c>
      <c r="T1118">
        <v>186</v>
      </c>
      <c r="U1118">
        <v>958</v>
      </c>
      <c r="V1118">
        <v>2074</v>
      </c>
      <c r="W1118">
        <v>904</v>
      </c>
      <c r="X1118">
        <v>265</v>
      </c>
      <c r="Y1118">
        <v>164</v>
      </c>
      <c r="Z1118">
        <v>39</v>
      </c>
      <c r="AA1118">
        <v>174</v>
      </c>
      <c r="AB1118">
        <v>0</v>
      </c>
      <c r="AC1118">
        <v>39</v>
      </c>
      <c r="AD1118">
        <v>70</v>
      </c>
      <c r="AE1118">
        <v>0</v>
      </c>
      <c r="AF1118">
        <v>0</v>
      </c>
      <c r="AG1118">
        <v>3</v>
      </c>
      <c r="AH1118">
        <v>0</v>
      </c>
      <c r="AI1118">
        <v>0</v>
      </c>
      <c r="AJ1118">
        <v>0</v>
      </c>
      <c r="AK1118">
        <v>1.8293299999999999</v>
      </c>
      <c r="AL1118">
        <v>3</v>
      </c>
      <c r="AM1118">
        <v>0</v>
      </c>
      <c r="AN1118">
        <v>1649</v>
      </c>
      <c r="AO1118">
        <v>0</v>
      </c>
      <c r="AP1118">
        <v>0</v>
      </c>
      <c r="AQ1118">
        <v>0</v>
      </c>
    </row>
    <row r="1119" spans="1:43" x14ac:dyDescent="0.25">
      <c r="A1119">
        <v>1116</v>
      </c>
      <c r="B1119">
        <v>21</v>
      </c>
      <c r="C1119">
        <v>21</v>
      </c>
      <c r="D1119">
        <v>5</v>
      </c>
      <c r="E1119">
        <v>1177</v>
      </c>
      <c r="F1119">
        <v>3318</v>
      </c>
      <c r="G1119">
        <v>3371</v>
      </c>
      <c r="H1119">
        <v>1756</v>
      </c>
      <c r="I1119">
        <v>1158</v>
      </c>
      <c r="J1119">
        <v>41</v>
      </c>
      <c r="K1119">
        <v>213</v>
      </c>
      <c r="L1119">
        <v>234</v>
      </c>
      <c r="M1119">
        <v>291</v>
      </c>
      <c r="N1119">
        <v>438</v>
      </c>
      <c r="O1119">
        <v>436</v>
      </c>
      <c r="P1119">
        <v>237</v>
      </c>
      <c r="Q1119">
        <v>69</v>
      </c>
      <c r="R1119">
        <v>0.13898117400000001</v>
      </c>
      <c r="S1119">
        <v>2016</v>
      </c>
      <c r="T1119">
        <v>396</v>
      </c>
      <c r="U1119">
        <v>452</v>
      </c>
      <c r="V1119">
        <v>1355</v>
      </c>
      <c r="W1119">
        <v>930</v>
      </c>
      <c r="X1119">
        <v>441</v>
      </c>
      <c r="Y1119">
        <v>34</v>
      </c>
      <c r="Z1119">
        <v>1234</v>
      </c>
      <c r="AA1119">
        <v>573</v>
      </c>
      <c r="AB1119">
        <v>0</v>
      </c>
      <c r="AC1119">
        <v>34</v>
      </c>
      <c r="AD1119">
        <v>141</v>
      </c>
      <c r="AE1119">
        <v>0</v>
      </c>
      <c r="AF1119">
        <v>0</v>
      </c>
      <c r="AG1119">
        <v>5</v>
      </c>
      <c r="AH1119">
        <v>0</v>
      </c>
      <c r="AI1119">
        <v>109</v>
      </c>
      <c r="AJ1119">
        <v>122</v>
      </c>
      <c r="AK1119">
        <v>1.1960599999999999</v>
      </c>
      <c r="AL1119">
        <v>3</v>
      </c>
      <c r="AM1119">
        <v>0</v>
      </c>
      <c r="AN1119">
        <v>1177</v>
      </c>
      <c r="AO1119">
        <v>53</v>
      </c>
      <c r="AP1119">
        <v>0</v>
      </c>
      <c r="AQ1119">
        <v>0</v>
      </c>
    </row>
    <row r="1120" spans="1:43" x14ac:dyDescent="0.25">
      <c r="A1120">
        <v>1117</v>
      </c>
      <c r="B1120">
        <v>21</v>
      </c>
      <c r="C1120">
        <v>21</v>
      </c>
      <c r="D1120">
        <v>5</v>
      </c>
      <c r="E1120">
        <v>1198</v>
      </c>
      <c r="F1120">
        <v>3127</v>
      </c>
      <c r="G1120">
        <v>3149</v>
      </c>
      <c r="H1120">
        <v>1713</v>
      </c>
      <c r="I1120">
        <v>919</v>
      </c>
      <c r="J1120">
        <v>232</v>
      </c>
      <c r="K1120">
        <v>201</v>
      </c>
      <c r="L1120">
        <v>314</v>
      </c>
      <c r="M1120">
        <v>213</v>
      </c>
      <c r="N1120">
        <v>457</v>
      </c>
      <c r="O1120">
        <v>687</v>
      </c>
      <c r="P1120">
        <v>394.61289970000001</v>
      </c>
      <c r="Q1120">
        <v>33</v>
      </c>
      <c r="R1120">
        <v>0.29139072799999999</v>
      </c>
      <c r="S1120">
        <v>408</v>
      </c>
      <c r="T1120">
        <v>97</v>
      </c>
      <c r="U1120">
        <v>550</v>
      </c>
      <c r="V1120">
        <v>834</v>
      </c>
      <c r="W1120">
        <v>895</v>
      </c>
      <c r="X1120">
        <v>757</v>
      </c>
      <c r="Y1120">
        <v>11</v>
      </c>
      <c r="Z1120">
        <v>145</v>
      </c>
      <c r="AA1120">
        <v>176</v>
      </c>
      <c r="AB1120">
        <v>1</v>
      </c>
      <c r="AC1120">
        <v>21</v>
      </c>
      <c r="AD1120">
        <v>54</v>
      </c>
      <c r="AE1120">
        <v>0</v>
      </c>
      <c r="AF1120">
        <v>0</v>
      </c>
      <c r="AG1120">
        <v>4</v>
      </c>
      <c r="AH1120">
        <v>0</v>
      </c>
      <c r="AI1120">
        <v>0</v>
      </c>
      <c r="AJ1120">
        <v>0</v>
      </c>
      <c r="AK1120">
        <v>1.0985499999999999</v>
      </c>
      <c r="AL1120">
        <v>1</v>
      </c>
      <c r="AM1120">
        <v>0</v>
      </c>
      <c r="AN1120">
        <v>1198</v>
      </c>
      <c r="AO1120">
        <v>22</v>
      </c>
      <c r="AP1120">
        <v>0</v>
      </c>
      <c r="AQ1120">
        <v>0</v>
      </c>
    </row>
    <row r="1121" spans="1:43" x14ac:dyDescent="0.25">
      <c r="A1121">
        <v>1118</v>
      </c>
      <c r="B1121">
        <v>21</v>
      </c>
      <c r="C1121">
        <v>21</v>
      </c>
      <c r="D1121">
        <v>5</v>
      </c>
      <c r="E1121">
        <v>3267</v>
      </c>
      <c r="F1121">
        <v>8423</v>
      </c>
      <c r="G1121">
        <v>8445</v>
      </c>
      <c r="H1121">
        <v>4192</v>
      </c>
      <c r="I1121">
        <v>2095</v>
      </c>
      <c r="J1121">
        <v>1058</v>
      </c>
      <c r="K1121">
        <v>1143</v>
      </c>
      <c r="L1121">
        <v>859</v>
      </c>
      <c r="M1121">
        <v>677</v>
      </c>
      <c r="N1121">
        <v>598</v>
      </c>
      <c r="O1121">
        <v>792</v>
      </c>
      <c r="P1121">
        <v>484.24885870000003</v>
      </c>
      <c r="Q1121">
        <v>245</v>
      </c>
      <c r="R1121">
        <v>0.239731575</v>
      </c>
      <c r="S1121">
        <v>3782</v>
      </c>
      <c r="T1121">
        <v>622</v>
      </c>
      <c r="U1121">
        <v>922</v>
      </c>
      <c r="V1121">
        <v>2953</v>
      </c>
      <c r="W1121">
        <v>2464</v>
      </c>
      <c r="X1121">
        <v>1594</v>
      </c>
      <c r="Y1121">
        <v>793</v>
      </c>
      <c r="Z1121">
        <v>650</v>
      </c>
      <c r="AA1121">
        <v>1263</v>
      </c>
      <c r="AB1121">
        <v>4</v>
      </c>
      <c r="AC1121">
        <v>263</v>
      </c>
      <c r="AD1121">
        <v>809</v>
      </c>
      <c r="AE1121">
        <v>0</v>
      </c>
      <c r="AF1121">
        <v>0</v>
      </c>
      <c r="AG1121">
        <v>4</v>
      </c>
      <c r="AH1121">
        <v>15</v>
      </c>
      <c r="AI1121">
        <v>0</v>
      </c>
      <c r="AJ1121">
        <v>0</v>
      </c>
      <c r="AK1121">
        <v>1.35223</v>
      </c>
      <c r="AL1121">
        <v>3</v>
      </c>
      <c r="AM1121">
        <v>0</v>
      </c>
      <c r="AN1121">
        <v>3267</v>
      </c>
      <c r="AO1121">
        <v>22</v>
      </c>
      <c r="AP1121">
        <v>0</v>
      </c>
      <c r="AQ1121">
        <v>0</v>
      </c>
    </row>
    <row r="1122" spans="1:43" x14ac:dyDescent="0.25">
      <c r="A1122">
        <v>1119</v>
      </c>
      <c r="B1122">
        <v>21</v>
      </c>
      <c r="C1122">
        <v>21</v>
      </c>
      <c r="D1122">
        <v>5</v>
      </c>
      <c r="E1122">
        <v>3164</v>
      </c>
      <c r="F1122">
        <v>8696</v>
      </c>
      <c r="G1122">
        <v>8716</v>
      </c>
      <c r="H1122">
        <v>4294</v>
      </c>
      <c r="I1122">
        <v>2078</v>
      </c>
      <c r="J1122">
        <v>1012</v>
      </c>
      <c r="K1122">
        <v>657</v>
      </c>
      <c r="L1122">
        <v>1133</v>
      </c>
      <c r="M1122">
        <v>671</v>
      </c>
      <c r="N1122">
        <v>707</v>
      </c>
      <c r="O1122">
        <v>691</v>
      </c>
      <c r="P1122">
        <v>504.17906140000002</v>
      </c>
      <c r="Q1122">
        <v>40.562269520000001</v>
      </c>
      <c r="R1122">
        <v>0.18805561900000001</v>
      </c>
      <c r="S1122">
        <v>1214</v>
      </c>
      <c r="T1122">
        <v>605</v>
      </c>
      <c r="U1122">
        <v>1537</v>
      </c>
      <c r="V1122">
        <v>3170</v>
      </c>
      <c r="W1122">
        <v>2020</v>
      </c>
      <c r="X1122">
        <v>1363</v>
      </c>
      <c r="Y1122">
        <v>186</v>
      </c>
      <c r="Z1122">
        <v>193</v>
      </c>
      <c r="AA1122">
        <v>589</v>
      </c>
      <c r="AB1122">
        <v>2</v>
      </c>
      <c r="AC1122">
        <v>72</v>
      </c>
      <c r="AD1122">
        <v>172</v>
      </c>
      <c r="AE1122">
        <v>0</v>
      </c>
      <c r="AF1122">
        <v>0</v>
      </c>
      <c r="AG1122">
        <v>4</v>
      </c>
      <c r="AH1122">
        <v>0</v>
      </c>
      <c r="AI1122">
        <v>0</v>
      </c>
      <c r="AJ1122">
        <v>0</v>
      </c>
      <c r="AK1122">
        <v>1.2752600000000001</v>
      </c>
      <c r="AL1122">
        <v>3</v>
      </c>
      <c r="AM1122">
        <v>0</v>
      </c>
      <c r="AN1122">
        <v>3164</v>
      </c>
      <c r="AO1122">
        <v>20</v>
      </c>
      <c r="AP1122">
        <v>0</v>
      </c>
      <c r="AQ1122">
        <v>0</v>
      </c>
    </row>
    <row r="1123" spans="1:43" x14ac:dyDescent="0.25">
      <c r="A1123">
        <v>1120</v>
      </c>
      <c r="B1123">
        <v>21</v>
      </c>
      <c r="C1123">
        <v>21</v>
      </c>
      <c r="D1123">
        <v>5</v>
      </c>
      <c r="E1123">
        <v>3161</v>
      </c>
      <c r="F1123">
        <v>9116</v>
      </c>
      <c r="G1123">
        <v>9161</v>
      </c>
      <c r="H1123">
        <v>4349</v>
      </c>
      <c r="I1123">
        <v>1638</v>
      </c>
      <c r="J1123">
        <v>1480</v>
      </c>
      <c r="K1123">
        <v>1115</v>
      </c>
      <c r="L1123">
        <v>941</v>
      </c>
      <c r="M1123">
        <v>763</v>
      </c>
      <c r="N1123">
        <v>342</v>
      </c>
      <c r="O1123">
        <v>497</v>
      </c>
      <c r="P1123">
        <v>293</v>
      </c>
      <c r="Q1123">
        <v>105.7061348</v>
      </c>
      <c r="R1123">
        <v>0.11780271</v>
      </c>
      <c r="S1123">
        <v>904</v>
      </c>
      <c r="T1123">
        <v>713</v>
      </c>
      <c r="U1123">
        <v>1762</v>
      </c>
      <c r="V1123">
        <v>3932</v>
      </c>
      <c r="W1123">
        <v>2049</v>
      </c>
      <c r="X1123">
        <v>879</v>
      </c>
      <c r="Y1123">
        <v>245</v>
      </c>
      <c r="Z1123">
        <v>150</v>
      </c>
      <c r="AA1123">
        <v>402</v>
      </c>
      <c r="AB1123">
        <v>1</v>
      </c>
      <c r="AC1123">
        <v>34</v>
      </c>
      <c r="AD1123">
        <v>72</v>
      </c>
      <c r="AE1123">
        <v>0</v>
      </c>
      <c r="AF1123">
        <v>0</v>
      </c>
      <c r="AG1123">
        <v>4</v>
      </c>
      <c r="AH1123">
        <v>0</v>
      </c>
      <c r="AI1123">
        <v>0</v>
      </c>
      <c r="AJ1123">
        <v>0</v>
      </c>
      <c r="AK1123">
        <v>1.4942299999999999</v>
      </c>
      <c r="AL1123">
        <v>3</v>
      </c>
      <c r="AM1123">
        <v>0</v>
      </c>
      <c r="AN1123">
        <v>3161</v>
      </c>
      <c r="AO1123">
        <v>45</v>
      </c>
      <c r="AP1123">
        <v>0</v>
      </c>
      <c r="AQ1123">
        <v>0</v>
      </c>
    </row>
    <row r="1124" spans="1:43" x14ac:dyDescent="0.25">
      <c r="A1124">
        <v>1121</v>
      </c>
      <c r="B1124">
        <v>21</v>
      </c>
      <c r="C1124">
        <v>21</v>
      </c>
      <c r="D1124">
        <v>5</v>
      </c>
      <c r="E1124">
        <v>5751</v>
      </c>
      <c r="F1124">
        <v>10824</v>
      </c>
      <c r="G1124">
        <v>10880</v>
      </c>
      <c r="H1124">
        <v>6717</v>
      </c>
      <c r="I1124">
        <v>1512</v>
      </c>
      <c r="J1124">
        <v>4396</v>
      </c>
      <c r="K1124">
        <v>1376</v>
      </c>
      <c r="L1124">
        <v>1531</v>
      </c>
      <c r="M1124">
        <v>1316</v>
      </c>
      <c r="N1124">
        <v>1517</v>
      </c>
      <c r="O1124">
        <v>866</v>
      </c>
      <c r="P1124">
        <v>400.88889970000002</v>
      </c>
      <c r="Q1124">
        <v>231</v>
      </c>
      <c r="R1124">
        <v>0.18147519300000001</v>
      </c>
      <c r="S1124">
        <v>9915</v>
      </c>
      <c r="T1124">
        <v>509</v>
      </c>
      <c r="U1124">
        <v>937</v>
      </c>
      <c r="V1124">
        <v>4980</v>
      </c>
      <c r="W1124">
        <v>2530</v>
      </c>
      <c r="X1124">
        <v>1550</v>
      </c>
      <c r="Y1124">
        <v>1221</v>
      </c>
      <c r="Z1124">
        <v>4036</v>
      </c>
      <c r="AA1124">
        <v>3396</v>
      </c>
      <c r="AB1124">
        <v>6</v>
      </c>
      <c r="AC1124">
        <v>376</v>
      </c>
      <c r="AD1124">
        <v>880</v>
      </c>
      <c r="AE1124">
        <v>162.19585040000001</v>
      </c>
      <c r="AF1124">
        <v>0</v>
      </c>
      <c r="AG1124">
        <v>4</v>
      </c>
      <c r="AH1124">
        <v>33</v>
      </c>
      <c r="AI1124">
        <v>348</v>
      </c>
      <c r="AJ1124">
        <v>0</v>
      </c>
      <c r="AK1124">
        <v>2.2636500000000002</v>
      </c>
      <c r="AL1124">
        <v>3</v>
      </c>
      <c r="AM1124">
        <v>0</v>
      </c>
      <c r="AN1124">
        <v>5751</v>
      </c>
      <c r="AO1124">
        <v>56</v>
      </c>
      <c r="AP1124">
        <v>0</v>
      </c>
      <c r="AQ1124">
        <v>0</v>
      </c>
    </row>
    <row r="1125" spans="1:43" x14ac:dyDescent="0.25">
      <c r="A1125">
        <v>1122</v>
      </c>
      <c r="B1125">
        <v>21</v>
      </c>
      <c r="C1125">
        <v>21</v>
      </c>
      <c r="D1125">
        <v>5</v>
      </c>
      <c r="E1125">
        <v>2768</v>
      </c>
      <c r="F1125">
        <v>7343</v>
      </c>
      <c r="G1125">
        <v>7547</v>
      </c>
      <c r="H1125">
        <v>3667</v>
      </c>
      <c r="I1125">
        <v>2069</v>
      </c>
      <c r="J1125">
        <v>634</v>
      </c>
      <c r="K1125">
        <v>725</v>
      </c>
      <c r="L1125">
        <v>1005</v>
      </c>
      <c r="M1125">
        <v>632</v>
      </c>
      <c r="N1125">
        <v>415</v>
      </c>
      <c r="O1125">
        <v>2022</v>
      </c>
      <c r="P1125">
        <v>471.2850608</v>
      </c>
      <c r="Q1125">
        <v>1147</v>
      </c>
      <c r="R1125">
        <v>0.18725868700000001</v>
      </c>
      <c r="S1125">
        <v>15010</v>
      </c>
      <c r="T1125">
        <v>543</v>
      </c>
      <c r="U1125">
        <v>783</v>
      </c>
      <c r="V1125">
        <v>2672</v>
      </c>
      <c r="W1125">
        <v>2137</v>
      </c>
      <c r="X1125">
        <v>1026</v>
      </c>
      <c r="Y1125">
        <v>3426</v>
      </c>
      <c r="Z1125">
        <v>3209</v>
      </c>
      <c r="AA1125">
        <v>5331</v>
      </c>
      <c r="AB1125">
        <v>8</v>
      </c>
      <c r="AC1125">
        <v>1507</v>
      </c>
      <c r="AD1125">
        <v>1529</v>
      </c>
      <c r="AE1125">
        <v>113.02846719999999</v>
      </c>
      <c r="AF1125">
        <v>0</v>
      </c>
      <c r="AG1125">
        <v>4</v>
      </c>
      <c r="AH1125">
        <v>65</v>
      </c>
      <c r="AI1125">
        <v>0</v>
      </c>
      <c r="AJ1125">
        <v>0</v>
      </c>
      <c r="AK1125">
        <v>1.47539</v>
      </c>
      <c r="AL1125">
        <v>3</v>
      </c>
      <c r="AM1125">
        <v>0</v>
      </c>
      <c r="AN1125">
        <v>2768</v>
      </c>
      <c r="AO1125">
        <v>204</v>
      </c>
      <c r="AP1125">
        <v>0</v>
      </c>
      <c r="AQ1125">
        <v>0</v>
      </c>
    </row>
    <row r="1126" spans="1:43" x14ac:dyDescent="0.25">
      <c r="A1126">
        <v>1123</v>
      </c>
      <c r="B1126">
        <v>21</v>
      </c>
      <c r="C1126">
        <v>21</v>
      </c>
      <c r="D1126">
        <v>5</v>
      </c>
      <c r="E1126">
        <v>2389</v>
      </c>
      <c r="F1126">
        <v>5824</v>
      </c>
      <c r="G1126">
        <v>5875</v>
      </c>
      <c r="H1126">
        <v>3093</v>
      </c>
      <c r="I1126">
        <v>1274</v>
      </c>
      <c r="J1126">
        <v>1187</v>
      </c>
      <c r="K1126">
        <v>571</v>
      </c>
      <c r="L1126">
        <v>594</v>
      </c>
      <c r="M1126">
        <v>768</v>
      </c>
      <c r="N1126">
        <v>466</v>
      </c>
      <c r="O1126">
        <v>566</v>
      </c>
      <c r="P1126">
        <v>171.4460747</v>
      </c>
      <c r="Q1126">
        <v>171.14222710000001</v>
      </c>
      <c r="R1126">
        <v>0.139245014</v>
      </c>
      <c r="S1126">
        <v>2270</v>
      </c>
      <c r="T1126">
        <v>221</v>
      </c>
      <c r="U1126">
        <v>1025</v>
      </c>
      <c r="V1126">
        <v>2164</v>
      </c>
      <c r="W1126">
        <v>1443</v>
      </c>
      <c r="X1126">
        <v>706</v>
      </c>
      <c r="Y1126">
        <v>714</v>
      </c>
      <c r="Z1126">
        <v>397</v>
      </c>
      <c r="AA1126">
        <v>877</v>
      </c>
      <c r="AB1126">
        <v>1</v>
      </c>
      <c r="AC1126">
        <v>70</v>
      </c>
      <c r="AD1126">
        <v>211</v>
      </c>
      <c r="AE1126">
        <v>0</v>
      </c>
      <c r="AF1126">
        <v>0</v>
      </c>
      <c r="AG1126">
        <v>4</v>
      </c>
      <c r="AH1126">
        <v>0</v>
      </c>
      <c r="AI1126">
        <v>0</v>
      </c>
      <c r="AJ1126">
        <v>0</v>
      </c>
      <c r="AK1126">
        <v>1.5632999999999999</v>
      </c>
      <c r="AL1126">
        <v>1</v>
      </c>
      <c r="AM1126">
        <v>0</v>
      </c>
      <c r="AN1126">
        <v>2389</v>
      </c>
      <c r="AO1126">
        <v>51</v>
      </c>
      <c r="AP1126">
        <v>0</v>
      </c>
      <c r="AQ1126">
        <v>0</v>
      </c>
    </row>
    <row r="1127" spans="1:43" x14ac:dyDescent="0.25">
      <c r="A1127">
        <v>1124</v>
      </c>
      <c r="B1127">
        <v>21</v>
      </c>
      <c r="C1127">
        <v>21</v>
      </c>
      <c r="D1127">
        <v>5</v>
      </c>
      <c r="E1127">
        <v>2556</v>
      </c>
      <c r="F1127">
        <v>6847</v>
      </c>
      <c r="G1127">
        <v>6847</v>
      </c>
      <c r="H1127">
        <v>3569</v>
      </c>
      <c r="I1127">
        <v>2250</v>
      </c>
      <c r="J1127">
        <v>296</v>
      </c>
      <c r="K1127">
        <v>303</v>
      </c>
      <c r="L1127">
        <v>541</v>
      </c>
      <c r="M1127">
        <v>812</v>
      </c>
      <c r="N1127">
        <v>894</v>
      </c>
      <c r="O1127">
        <v>1055</v>
      </c>
      <c r="P1127">
        <v>643.83151840000005</v>
      </c>
      <c r="Q1127">
        <v>81</v>
      </c>
      <c r="R1127">
        <v>0.20288377499999999</v>
      </c>
      <c r="S1127">
        <v>3385</v>
      </c>
      <c r="T1127">
        <v>462</v>
      </c>
      <c r="U1127">
        <v>1127</v>
      </c>
      <c r="V1127">
        <v>2341</v>
      </c>
      <c r="W1127">
        <v>1624</v>
      </c>
      <c r="X1127">
        <v>1238</v>
      </c>
      <c r="Y1127">
        <v>127</v>
      </c>
      <c r="Z1127">
        <v>318</v>
      </c>
      <c r="AA1127">
        <v>2642</v>
      </c>
      <c r="AB1127">
        <v>1</v>
      </c>
      <c r="AC1127">
        <v>27</v>
      </c>
      <c r="AD1127">
        <v>270</v>
      </c>
      <c r="AE1127">
        <v>0</v>
      </c>
      <c r="AF1127">
        <v>0</v>
      </c>
      <c r="AG1127">
        <v>4</v>
      </c>
      <c r="AH1127">
        <v>38</v>
      </c>
      <c r="AI1127">
        <v>0</v>
      </c>
      <c r="AJ1127">
        <v>0</v>
      </c>
      <c r="AK1127">
        <v>1.4654799999999999</v>
      </c>
      <c r="AL1127">
        <v>1</v>
      </c>
      <c r="AM1127">
        <v>0</v>
      </c>
      <c r="AN1127">
        <v>2556</v>
      </c>
      <c r="AO1127">
        <v>0</v>
      </c>
      <c r="AP1127">
        <v>0</v>
      </c>
      <c r="AQ1127">
        <v>0</v>
      </c>
    </row>
    <row r="1128" spans="1:43" x14ac:dyDescent="0.25">
      <c r="A1128">
        <v>1125</v>
      </c>
      <c r="B1128">
        <v>21</v>
      </c>
      <c r="C1128">
        <v>21</v>
      </c>
      <c r="D1128">
        <v>5</v>
      </c>
      <c r="E1128">
        <v>1834</v>
      </c>
      <c r="F1128">
        <v>4845</v>
      </c>
      <c r="G1128">
        <v>4845</v>
      </c>
      <c r="H1128">
        <v>2246</v>
      </c>
      <c r="I1128">
        <v>1654</v>
      </c>
      <c r="J1128">
        <v>217</v>
      </c>
      <c r="K1128">
        <v>248</v>
      </c>
      <c r="L1128">
        <v>350</v>
      </c>
      <c r="M1128">
        <v>411</v>
      </c>
      <c r="N1128">
        <v>819</v>
      </c>
      <c r="O1128">
        <v>1291</v>
      </c>
      <c r="P1128">
        <v>800</v>
      </c>
      <c r="Q1128">
        <v>35</v>
      </c>
      <c r="R1128">
        <v>0.26508344</v>
      </c>
      <c r="S1128">
        <v>615</v>
      </c>
      <c r="T1128">
        <v>197</v>
      </c>
      <c r="U1128">
        <v>827</v>
      </c>
      <c r="V1128">
        <v>1079</v>
      </c>
      <c r="W1128">
        <v>1570</v>
      </c>
      <c r="X1128">
        <v>947</v>
      </c>
      <c r="Y1128">
        <v>174</v>
      </c>
      <c r="Z1128">
        <v>78</v>
      </c>
      <c r="AA1128">
        <v>254</v>
      </c>
      <c r="AB1128">
        <v>1</v>
      </c>
      <c r="AC1128">
        <v>38</v>
      </c>
      <c r="AD1128">
        <v>70</v>
      </c>
      <c r="AE1128">
        <v>0</v>
      </c>
      <c r="AF1128">
        <v>0</v>
      </c>
      <c r="AG1128">
        <v>4</v>
      </c>
      <c r="AH1128">
        <v>0</v>
      </c>
      <c r="AI1128">
        <v>0</v>
      </c>
      <c r="AJ1128">
        <v>0</v>
      </c>
      <c r="AK1128">
        <v>1.0113700000000001</v>
      </c>
      <c r="AL1128">
        <v>1</v>
      </c>
      <c r="AM1128">
        <v>0</v>
      </c>
      <c r="AN1128">
        <v>1834</v>
      </c>
      <c r="AO1128">
        <v>0</v>
      </c>
      <c r="AP1128">
        <v>0</v>
      </c>
      <c r="AQ1128">
        <v>0</v>
      </c>
    </row>
    <row r="1129" spans="1:43" x14ac:dyDescent="0.25">
      <c r="A1129">
        <v>1126</v>
      </c>
      <c r="B1129">
        <v>21</v>
      </c>
      <c r="C1129">
        <v>21</v>
      </c>
      <c r="D1129">
        <v>5</v>
      </c>
      <c r="E1129">
        <v>2650</v>
      </c>
      <c r="F1129">
        <v>6386</v>
      </c>
      <c r="G1129">
        <v>6401</v>
      </c>
      <c r="H1129">
        <v>2997</v>
      </c>
      <c r="I1129">
        <v>2410</v>
      </c>
      <c r="J1129">
        <v>193</v>
      </c>
      <c r="K1129">
        <v>510</v>
      </c>
      <c r="L1129">
        <v>548</v>
      </c>
      <c r="M1129">
        <v>685</v>
      </c>
      <c r="N1129">
        <v>909</v>
      </c>
      <c r="O1129">
        <v>1338</v>
      </c>
      <c r="P1129">
        <v>705.02818909999996</v>
      </c>
      <c r="Q1129">
        <v>64</v>
      </c>
      <c r="R1129">
        <v>0.27559685900000003</v>
      </c>
      <c r="S1129">
        <v>657</v>
      </c>
      <c r="T1129">
        <v>260</v>
      </c>
      <c r="U1129">
        <v>973</v>
      </c>
      <c r="V1129">
        <v>1366</v>
      </c>
      <c r="W1129">
        <v>2144</v>
      </c>
      <c r="X1129">
        <v>1426</v>
      </c>
      <c r="Y1129">
        <v>28</v>
      </c>
      <c r="Z1129">
        <v>167</v>
      </c>
      <c r="AA1129">
        <v>368</v>
      </c>
      <c r="AB1129">
        <v>1</v>
      </c>
      <c r="AC1129">
        <v>32</v>
      </c>
      <c r="AD1129">
        <v>61</v>
      </c>
      <c r="AE1129">
        <v>0</v>
      </c>
      <c r="AF1129">
        <v>0</v>
      </c>
      <c r="AG1129">
        <v>4</v>
      </c>
      <c r="AH1129">
        <v>0</v>
      </c>
      <c r="AI1129">
        <v>0</v>
      </c>
      <c r="AJ1129">
        <v>0</v>
      </c>
      <c r="AK1129">
        <v>1.0878399999999999</v>
      </c>
      <c r="AL1129">
        <v>1</v>
      </c>
      <c r="AM1129">
        <v>0</v>
      </c>
      <c r="AN1129">
        <v>2650</v>
      </c>
      <c r="AO1129">
        <v>15</v>
      </c>
      <c r="AP1129">
        <v>0</v>
      </c>
      <c r="AQ1129">
        <v>0</v>
      </c>
    </row>
    <row r="1130" spans="1:43" x14ac:dyDescent="0.25">
      <c r="A1130">
        <v>1127</v>
      </c>
      <c r="B1130">
        <v>21</v>
      </c>
      <c r="C1130">
        <v>21</v>
      </c>
      <c r="D1130">
        <v>5</v>
      </c>
      <c r="E1130">
        <v>2498</v>
      </c>
      <c r="F1130">
        <v>6725</v>
      </c>
      <c r="G1130">
        <v>6745</v>
      </c>
      <c r="H1130">
        <v>3232</v>
      </c>
      <c r="I1130">
        <v>2092</v>
      </c>
      <c r="J1130">
        <v>311</v>
      </c>
      <c r="K1130">
        <v>581</v>
      </c>
      <c r="L1130">
        <v>336</v>
      </c>
      <c r="M1130">
        <v>489</v>
      </c>
      <c r="N1130">
        <v>1097</v>
      </c>
      <c r="O1130">
        <v>1072</v>
      </c>
      <c r="P1130">
        <v>435.81535680000002</v>
      </c>
      <c r="Q1130">
        <v>278</v>
      </c>
      <c r="R1130">
        <v>0.23263734599999999</v>
      </c>
      <c r="S1130">
        <v>3277</v>
      </c>
      <c r="T1130">
        <v>265</v>
      </c>
      <c r="U1130">
        <v>1294</v>
      </c>
      <c r="V1130">
        <v>1875</v>
      </c>
      <c r="W1130">
        <v>1891</v>
      </c>
      <c r="X1130">
        <v>1367</v>
      </c>
      <c r="Y1130">
        <v>74</v>
      </c>
      <c r="Z1130">
        <v>448</v>
      </c>
      <c r="AA1130">
        <v>2575</v>
      </c>
      <c r="AB1130">
        <v>2</v>
      </c>
      <c r="AC1130">
        <v>50</v>
      </c>
      <c r="AD1130">
        <v>128</v>
      </c>
      <c r="AE1130">
        <v>0</v>
      </c>
      <c r="AF1130">
        <v>0</v>
      </c>
      <c r="AG1130">
        <v>4</v>
      </c>
      <c r="AH1130">
        <v>1948</v>
      </c>
      <c r="AI1130">
        <v>7644</v>
      </c>
      <c r="AJ1130">
        <v>17649</v>
      </c>
      <c r="AK1130">
        <v>1.19198</v>
      </c>
      <c r="AL1130">
        <v>1</v>
      </c>
      <c r="AM1130">
        <v>0</v>
      </c>
      <c r="AN1130">
        <v>2498</v>
      </c>
      <c r="AO1130">
        <v>20</v>
      </c>
      <c r="AP1130">
        <v>0</v>
      </c>
      <c r="AQ1130">
        <v>0</v>
      </c>
    </row>
    <row r="1131" spans="1:43" x14ac:dyDescent="0.25">
      <c r="A1131">
        <v>1128</v>
      </c>
      <c r="B1131">
        <v>21</v>
      </c>
      <c r="C1131">
        <v>21</v>
      </c>
      <c r="D1131">
        <v>5</v>
      </c>
      <c r="E1131">
        <v>1753</v>
      </c>
      <c r="F1131">
        <v>4708</v>
      </c>
      <c r="G1131">
        <v>4777</v>
      </c>
      <c r="H1131">
        <v>2384</v>
      </c>
      <c r="I1131">
        <v>1445</v>
      </c>
      <c r="J1131">
        <v>246</v>
      </c>
      <c r="K1131">
        <v>201</v>
      </c>
      <c r="L1131">
        <v>414</v>
      </c>
      <c r="M1131">
        <v>596</v>
      </c>
      <c r="N1131">
        <v>552</v>
      </c>
      <c r="O1131">
        <v>473</v>
      </c>
      <c r="P1131">
        <v>304</v>
      </c>
      <c r="Q1131">
        <v>46</v>
      </c>
      <c r="R1131">
        <v>0.18473118299999999</v>
      </c>
      <c r="S1131">
        <v>1040</v>
      </c>
      <c r="T1131">
        <v>178</v>
      </c>
      <c r="U1131">
        <v>1177</v>
      </c>
      <c r="V1131">
        <v>1262</v>
      </c>
      <c r="W1131">
        <v>1259</v>
      </c>
      <c r="X1131">
        <v>723</v>
      </c>
      <c r="Y1131">
        <v>63</v>
      </c>
      <c r="Z1131">
        <v>187</v>
      </c>
      <c r="AA1131">
        <v>534</v>
      </c>
      <c r="AB1131">
        <v>1</v>
      </c>
      <c r="AC1131">
        <v>100</v>
      </c>
      <c r="AD1131">
        <v>155</v>
      </c>
      <c r="AE1131">
        <v>0</v>
      </c>
      <c r="AF1131">
        <v>0</v>
      </c>
      <c r="AG1131">
        <v>4</v>
      </c>
      <c r="AH1131">
        <v>0</v>
      </c>
      <c r="AI1131">
        <v>0</v>
      </c>
      <c r="AJ1131">
        <v>0</v>
      </c>
      <c r="AK1131">
        <v>1.2889699999999999</v>
      </c>
      <c r="AL1131">
        <v>2</v>
      </c>
      <c r="AM1131">
        <v>0</v>
      </c>
      <c r="AN1131">
        <v>1753</v>
      </c>
      <c r="AO1131">
        <v>69</v>
      </c>
      <c r="AP1131">
        <v>0</v>
      </c>
      <c r="AQ1131">
        <v>0</v>
      </c>
    </row>
    <row r="1132" spans="1:43" x14ac:dyDescent="0.25">
      <c r="A1132">
        <v>1129</v>
      </c>
      <c r="B1132">
        <v>21</v>
      </c>
      <c r="C1132">
        <v>21</v>
      </c>
      <c r="D1132">
        <v>5</v>
      </c>
      <c r="E1132">
        <v>2314</v>
      </c>
      <c r="F1132">
        <v>5924</v>
      </c>
      <c r="G1132">
        <v>6049</v>
      </c>
      <c r="H1132">
        <v>2941</v>
      </c>
      <c r="I1132">
        <v>1815</v>
      </c>
      <c r="J1132">
        <v>505</v>
      </c>
      <c r="K1132">
        <v>387</v>
      </c>
      <c r="L1132">
        <v>389</v>
      </c>
      <c r="M1132">
        <v>813</v>
      </c>
      <c r="N1132">
        <v>746</v>
      </c>
      <c r="O1132">
        <v>712</v>
      </c>
      <c r="P1132">
        <v>476.7590821</v>
      </c>
      <c r="Q1132">
        <v>84</v>
      </c>
      <c r="R1132">
        <v>0.24151309400000001</v>
      </c>
      <c r="S1132">
        <v>1926</v>
      </c>
      <c r="T1132">
        <v>441</v>
      </c>
      <c r="U1132">
        <v>781</v>
      </c>
      <c r="V1132">
        <v>2027</v>
      </c>
      <c r="W1132">
        <v>1506</v>
      </c>
      <c r="X1132">
        <v>1366</v>
      </c>
      <c r="Y1132">
        <v>117</v>
      </c>
      <c r="Z1132">
        <v>226</v>
      </c>
      <c r="AA1132">
        <v>1055</v>
      </c>
      <c r="AB1132">
        <v>1</v>
      </c>
      <c r="AC1132">
        <v>36</v>
      </c>
      <c r="AD1132">
        <v>491</v>
      </c>
      <c r="AE1132">
        <v>0</v>
      </c>
      <c r="AF1132">
        <v>0</v>
      </c>
      <c r="AG1132">
        <v>4</v>
      </c>
      <c r="AH1132">
        <v>152</v>
      </c>
      <c r="AI1132">
        <v>0</v>
      </c>
      <c r="AJ1132">
        <v>0</v>
      </c>
      <c r="AK1132">
        <v>1.29149</v>
      </c>
      <c r="AL1132">
        <v>2</v>
      </c>
      <c r="AM1132">
        <v>0</v>
      </c>
      <c r="AN1132">
        <v>2314</v>
      </c>
      <c r="AO1132">
        <v>125</v>
      </c>
      <c r="AP1132">
        <v>0</v>
      </c>
      <c r="AQ1132">
        <v>0</v>
      </c>
    </row>
    <row r="1133" spans="1:43" x14ac:dyDescent="0.25">
      <c r="A1133">
        <v>1130</v>
      </c>
      <c r="B1133">
        <v>21</v>
      </c>
      <c r="C1133">
        <v>21</v>
      </c>
      <c r="D1133">
        <v>5</v>
      </c>
      <c r="E1133">
        <v>1447</v>
      </c>
      <c r="F1133">
        <v>3878</v>
      </c>
      <c r="G1133">
        <v>3886</v>
      </c>
      <c r="H1133">
        <v>1628</v>
      </c>
      <c r="I1133">
        <v>1307</v>
      </c>
      <c r="J1133">
        <v>124</v>
      </c>
      <c r="K1133">
        <v>288</v>
      </c>
      <c r="L1133">
        <v>246</v>
      </c>
      <c r="M1133">
        <v>374</v>
      </c>
      <c r="N1133">
        <v>525</v>
      </c>
      <c r="O1133">
        <v>552</v>
      </c>
      <c r="P1133">
        <v>408.27724439999997</v>
      </c>
      <c r="Q1133">
        <v>15</v>
      </c>
      <c r="R1133">
        <v>0.30695245900000001</v>
      </c>
      <c r="S1133">
        <v>438</v>
      </c>
      <c r="T1133">
        <v>197</v>
      </c>
      <c r="U1133">
        <v>650</v>
      </c>
      <c r="V1133">
        <v>803</v>
      </c>
      <c r="W1133">
        <v>1040</v>
      </c>
      <c r="X1133">
        <v>905</v>
      </c>
      <c r="Y1133">
        <v>14</v>
      </c>
      <c r="Z1133">
        <v>118</v>
      </c>
      <c r="AA1133">
        <v>244</v>
      </c>
      <c r="AB1133">
        <v>1</v>
      </c>
      <c r="AC1133">
        <v>23</v>
      </c>
      <c r="AD1133">
        <v>38</v>
      </c>
      <c r="AE1133">
        <v>0</v>
      </c>
      <c r="AF1133">
        <v>0</v>
      </c>
      <c r="AG1133">
        <v>4</v>
      </c>
      <c r="AH1133">
        <v>38</v>
      </c>
      <c r="AI1133">
        <v>0</v>
      </c>
      <c r="AJ1133">
        <v>0</v>
      </c>
      <c r="AK1133">
        <v>1.0709200000000001</v>
      </c>
      <c r="AL1133">
        <v>1</v>
      </c>
      <c r="AM1133">
        <v>0</v>
      </c>
      <c r="AN1133">
        <v>1447</v>
      </c>
      <c r="AO1133">
        <v>8</v>
      </c>
      <c r="AP1133">
        <v>0</v>
      </c>
      <c r="AQ1133">
        <v>0</v>
      </c>
    </row>
    <row r="1134" spans="1:43" x14ac:dyDescent="0.25">
      <c r="A1134">
        <v>1131</v>
      </c>
      <c r="B1134">
        <v>21</v>
      </c>
      <c r="C1134">
        <v>21</v>
      </c>
      <c r="D1134">
        <v>5</v>
      </c>
      <c r="E1134">
        <v>2211</v>
      </c>
      <c r="F1134">
        <v>6710</v>
      </c>
      <c r="G1134">
        <v>6711</v>
      </c>
      <c r="H1134">
        <v>3103</v>
      </c>
      <c r="I1134">
        <v>2187</v>
      </c>
      <c r="J1134">
        <v>34</v>
      </c>
      <c r="K1134">
        <v>185</v>
      </c>
      <c r="L1134">
        <v>213</v>
      </c>
      <c r="M1134">
        <v>304</v>
      </c>
      <c r="N1134">
        <v>1506</v>
      </c>
      <c r="O1134">
        <v>6489</v>
      </c>
      <c r="P1134">
        <v>1547.1889650000001</v>
      </c>
      <c r="Q1134">
        <v>56</v>
      </c>
      <c r="R1134">
        <v>0.24770220600000001</v>
      </c>
      <c r="S1134">
        <v>591</v>
      </c>
      <c r="T1134">
        <v>188</v>
      </c>
      <c r="U1134">
        <v>1461</v>
      </c>
      <c r="V1134">
        <v>1197</v>
      </c>
      <c r="W1134">
        <v>2295</v>
      </c>
      <c r="X1134">
        <v>1309</v>
      </c>
      <c r="Y1134">
        <v>23</v>
      </c>
      <c r="Z1134">
        <v>218</v>
      </c>
      <c r="AA1134">
        <v>183</v>
      </c>
      <c r="AB1134">
        <v>7</v>
      </c>
      <c r="AC1134">
        <v>45</v>
      </c>
      <c r="AD1134">
        <v>115</v>
      </c>
      <c r="AE1134">
        <v>0</v>
      </c>
      <c r="AF1134">
        <v>0</v>
      </c>
      <c r="AG1134">
        <v>5</v>
      </c>
      <c r="AH1134">
        <v>0</v>
      </c>
      <c r="AI1134">
        <v>0</v>
      </c>
      <c r="AJ1134">
        <v>0</v>
      </c>
      <c r="AK1134">
        <v>0.97552000000000005</v>
      </c>
      <c r="AL1134">
        <v>1</v>
      </c>
      <c r="AM1134">
        <v>0</v>
      </c>
      <c r="AN1134">
        <v>2211</v>
      </c>
      <c r="AO1134">
        <v>1</v>
      </c>
      <c r="AP1134">
        <v>0</v>
      </c>
      <c r="AQ1134">
        <v>0</v>
      </c>
    </row>
    <row r="1135" spans="1:43" x14ac:dyDescent="0.25">
      <c r="A1135">
        <v>1132</v>
      </c>
      <c r="B1135">
        <v>22</v>
      </c>
      <c r="C1135">
        <v>22</v>
      </c>
      <c r="D1135">
        <v>5</v>
      </c>
      <c r="E1135">
        <v>1573</v>
      </c>
      <c r="F1135">
        <v>4834</v>
      </c>
      <c r="G1135">
        <v>4865</v>
      </c>
      <c r="H1135">
        <v>2023</v>
      </c>
      <c r="I1135">
        <v>1578</v>
      </c>
      <c r="J1135">
        <v>0</v>
      </c>
      <c r="K1135">
        <v>149</v>
      </c>
      <c r="L1135">
        <v>147</v>
      </c>
      <c r="M1135">
        <v>166</v>
      </c>
      <c r="N1135">
        <v>1100</v>
      </c>
      <c r="O1135">
        <v>2461</v>
      </c>
      <c r="P1135">
        <v>1605.249849</v>
      </c>
      <c r="Q1135">
        <v>42</v>
      </c>
      <c r="R1135">
        <v>0.23870027099999999</v>
      </c>
      <c r="S1135">
        <v>1069</v>
      </c>
      <c r="T1135">
        <v>275</v>
      </c>
      <c r="U1135">
        <v>1177</v>
      </c>
      <c r="V1135">
        <v>851</v>
      </c>
      <c r="W1135">
        <v>1492</v>
      </c>
      <c r="X1135">
        <v>961</v>
      </c>
      <c r="Y1135">
        <v>28</v>
      </c>
      <c r="Z1135">
        <v>222</v>
      </c>
      <c r="AA1135">
        <v>653</v>
      </c>
      <c r="AB1135">
        <v>11</v>
      </c>
      <c r="AC1135">
        <v>47</v>
      </c>
      <c r="AD1135">
        <v>108</v>
      </c>
      <c r="AE1135">
        <v>0</v>
      </c>
      <c r="AF1135">
        <v>0</v>
      </c>
      <c r="AG1135">
        <v>5</v>
      </c>
      <c r="AH1135">
        <v>1542</v>
      </c>
      <c r="AI1135">
        <v>0</v>
      </c>
      <c r="AJ1135">
        <v>0</v>
      </c>
      <c r="AK1135">
        <v>0.96562999999999999</v>
      </c>
      <c r="AL1135">
        <v>1</v>
      </c>
      <c r="AM1135">
        <v>0</v>
      </c>
      <c r="AN1135">
        <v>1573</v>
      </c>
      <c r="AO1135">
        <v>31</v>
      </c>
      <c r="AP1135">
        <v>0</v>
      </c>
      <c r="AQ1135">
        <v>0</v>
      </c>
    </row>
    <row r="1136" spans="1:43" x14ac:dyDescent="0.25">
      <c r="A1136">
        <v>1133</v>
      </c>
      <c r="B1136">
        <v>22</v>
      </c>
      <c r="C1136">
        <v>22</v>
      </c>
      <c r="D1136">
        <v>5</v>
      </c>
      <c r="E1136">
        <v>3162</v>
      </c>
      <c r="F1136">
        <v>7797</v>
      </c>
      <c r="G1136">
        <v>7861</v>
      </c>
      <c r="H1136">
        <v>3552</v>
      </c>
      <c r="I1136">
        <v>2873</v>
      </c>
      <c r="J1136">
        <v>169</v>
      </c>
      <c r="K1136">
        <v>674</v>
      </c>
      <c r="L1136">
        <v>483</v>
      </c>
      <c r="M1136">
        <v>587</v>
      </c>
      <c r="N1136">
        <v>1408</v>
      </c>
      <c r="O1136">
        <v>1611</v>
      </c>
      <c r="P1136">
        <v>1126.2297390000001</v>
      </c>
      <c r="Q1136">
        <v>74.920101770000002</v>
      </c>
      <c r="R1136">
        <v>0.26795508000000001</v>
      </c>
      <c r="S1136">
        <v>1675</v>
      </c>
      <c r="T1136">
        <v>472</v>
      </c>
      <c r="U1136">
        <v>1104</v>
      </c>
      <c r="V1136">
        <v>2023</v>
      </c>
      <c r="W1136">
        <v>2262</v>
      </c>
      <c r="X1136">
        <v>1727</v>
      </c>
      <c r="Y1136">
        <v>144</v>
      </c>
      <c r="Z1136">
        <v>521</v>
      </c>
      <c r="AA1136">
        <v>574</v>
      </c>
      <c r="AB1136">
        <v>3</v>
      </c>
      <c r="AC1136">
        <v>147</v>
      </c>
      <c r="AD1136">
        <v>286</v>
      </c>
      <c r="AE1136">
        <v>0</v>
      </c>
      <c r="AF1136">
        <v>0</v>
      </c>
      <c r="AG1136">
        <v>4</v>
      </c>
      <c r="AH1136">
        <v>75</v>
      </c>
      <c r="AI1136">
        <v>0</v>
      </c>
      <c r="AJ1136">
        <v>0</v>
      </c>
      <c r="AK1136">
        <v>1.0559099999999999</v>
      </c>
      <c r="AL1136">
        <v>1</v>
      </c>
      <c r="AM1136">
        <v>0</v>
      </c>
      <c r="AN1136">
        <v>3162</v>
      </c>
      <c r="AO1136">
        <v>64</v>
      </c>
      <c r="AP1136">
        <v>0</v>
      </c>
      <c r="AQ1136">
        <v>0</v>
      </c>
    </row>
    <row r="1137" spans="1:43" x14ac:dyDescent="0.25">
      <c r="A1137">
        <v>1134</v>
      </c>
      <c r="B1137">
        <v>22</v>
      </c>
      <c r="C1137">
        <v>22</v>
      </c>
      <c r="D1137">
        <v>5</v>
      </c>
      <c r="E1137">
        <v>2251</v>
      </c>
      <c r="F1137">
        <v>5705</v>
      </c>
      <c r="G1137">
        <v>5746</v>
      </c>
      <c r="H1137">
        <v>2946</v>
      </c>
      <c r="I1137">
        <v>1526</v>
      </c>
      <c r="J1137">
        <v>821</v>
      </c>
      <c r="K1137">
        <v>554</v>
      </c>
      <c r="L1137">
        <v>456</v>
      </c>
      <c r="M1137">
        <v>388</v>
      </c>
      <c r="N1137">
        <v>863</v>
      </c>
      <c r="O1137">
        <v>656</v>
      </c>
      <c r="P1137">
        <v>327.00119100000001</v>
      </c>
      <c r="Q1137">
        <v>102</v>
      </c>
      <c r="R1137">
        <v>0.16280978199999999</v>
      </c>
      <c r="S1137">
        <v>2551</v>
      </c>
      <c r="T1137">
        <v>493</v>
      </c>
      <c r="U1137">
        <v>1032</v>
      </c>
      <c r="V1137">
        <v>2314</v>
      </c>
      <c r="W1137">
        <v>1464</v>
      </c>
      <c r="X1137">
        <v>734</v>
      </c>
      <c r="Y1137">
        <v>509</v>
      </c>
      <c r="Z1137">
        <v>517</v>
      </c>
      <c r="AA1137">
        <v>1027</v>
      </c>
      <c r="AB1137">
        <v>13</v>
      </c>
      <c r="AC1137">
        <v>202</v>
      </c>
      <c r="AD1137">
        <v>283</v>
      </c>
      <c r="AE1137">
        <v>0</v>
      </c>
      <c r="AF1137">
        <v>0</v>
      </c>
      <c r="AG1137">
        <v>4</v>
      </c>
      <c r="AH1137">
        <v>14</v>
      </c>
      <c r="AI1137">
        <v>0</v>
      </c>
      <c r="AJ1137">
        <v>0</v>
      </c>
      <c r="AK1137">
        <v>1.4132</v>
      </c>
      <c r="AL1137">
        <v>2</v>
      </c>
      <c r="AM1137">
        <v>0</v>
      </c>
      <c r="AN1137">
        <v>2251</v>
      </c>
      <c r="AO1137">
        <v>41</v>
      </c>
      <c r="AP1137">
        <v>0</v>
      </c>
      <c r="AQ1137">
        <v>0</v>
      </c>
    </row>
    <row r="1138" spans="1:43" x14ac:dyDescent="0.25">
      <c r="A1138">
        <v>1135</v>
      </c>
      <c r="B1138">
        <v>22</v>
      </c>
      <c r="C1138">
        <v>22</v>
      </c>
      <c r="D1138">
        <v>5</v>
      </c>
      <c r="E1138">
        <v>2965</v>
      </c>
      <c r="F1138">
        <v>6430</v>
      </c>
      <c r="G1138">
        <v>6445</v>
      </c>
      <c r="H1138">
        <v>3887</v>
      </c>
      <c r="I1138">
        <v>1530</v>
      </c>
      <c r="J1138">
        <v>1461</v>
      </c>
      <c r="K1138">
        <v>574</v>
      </c>
      <c r="L1138">
        <v>542</v>
      </c>
      <c r="M1138">
        <v>891</v>
      </c>
      <c r="N1138">
        <v>965</v>
      </c>
      <c r="O1138">
        <v>651</v>
      </c>
      <c r="P1138">
        <v>344.55640959999999</v>
      </c>
      <c r="Q1138">
        <v>24</v>
      </c>
      <c r="R1138">
        <v>0.27992929500000002</v>
      </c>
      <c r="S1138">
        <v>1132</v>
      </c>
      <c r="T1138">
        <v>302</v>
      </c>
      <c r="U1138">
        <v>694</v>
      </c>
      <c r="V1138">
        <v>2280</v>
      </c>
      <c r="W1138">
        <v>1440</v>
      </c>
      <c r="X1138">
        <v>1437</v>
      </c>
      <c r="Y1138">
        <v>36</v>
      </c>
      <c r="Z1138">
        <v>332</v>
      </c>
      <c r="AA1138">
        <v>608</v>
      </c>
      <c r="AB1138">
        <v>2</v>
      </c>
      <c r="AC1138">
        <v>53</v>
      </c>
      <c r="AD1138">
        <v>101</v>
      </c>
      <c r="AE1138">
        <v>0</v>
      </c>
      <c r="AF1138">
        <v>0</v>
      </c>
      <c r="AG1138">
        <v>4</v>
      </c>
      <c r="AH1138">
        <v>0</v>
      </c>
      <c r="AI1138">
        <v>0</v>
      </c>
      <c r="AJ1138">
        <v>0</v>
      </c>
      <c r="AK1138">
        <v>1.2923500000000001</v>
      </c>
      <c r="AL1138">
        <v>1</v>
      </c>
      <c r="AM1138">
        <v>0</v>
      </c>
      <c r="AN1138">
        <v>2965</v>
      </c>
      <c r="AO1138">
        <v>15</v>
      </c>
      <c r="AP1138">
        <v>0</v>
      </c>
      <c r="AQ1138">
        <v>0</v>
      </c>
    </row>
    <row r="1139" spans="1:43" x14ac:dyDescent="0.25">
      <c r="A1139">
        <v>1136</v>
      </c>
      <c r="B1139">
        <v>22</v>
      </c>
      <c r="C1139">
        <v>22</v>
      </c>
      <c r="D1139">
        <v>5</v>
      </c>
      <c r="E1139">
        <v>2818</v>
      </c>
      <c r="F1139">
        <v>5998</v>
      </c>
      <c r="G1139">
        <v>6014</v>
      </c>
      <c r="H1139">
        <v>3541</v>
      </c>
      <c r="I1139">
        <v>1186</v>
      </c>
      <c r="J1139">
        <v>1562</v>
      </c>
      <c r="K1139">
        <v>397</v>
      </c>
      <c r="L1139">
        <v>468</v>
      </c>
      <c r="M1139">
        <v>1023</v>
      </c>
      <c r="N1139">
        <v>934</v>
      </c>
      <c r="O1139">
        <v>400.3</v>
      </c>
      <c r="P1139">
        <v>275.27886649999999</v>
      </c>
      <c r="Q1139">
        <v>54</v>
      </c>
      <c r="R1139">
        <v>0.15185950400000001</v>
      </c>
      <c r="S1139">
        <v>2769</v>
      </c>
      <c r="T1139">
        <v>319</v>
      </c>
      <c r="U1139">
        <v>429</v>
      </c>
      <c r="V1139">
        <v>2980</v>
      </c>
      <c r="W1139">
        <v>1334</v>
      </c>
      <c r="X1139">
        <v>681</v>
      </c>
      <c r="Y1139">
        <v>23</v>
      </c>
      <c r="Z1139">
        <v>1088</v>
      </c>
      <c r="AA1139">
        <v>1149</v>
      </c>
      <c r="AB1139">
        <v>1</v>
      </c>
      <c r="AC1139">
        <v>47</v>
      </c>
      <c r="AD1139">
        <v>461</v>
      </c>
      <c r="AE1139">
        <v>0</v>
      </c>
      <c r="AF1139">
        <v>0</v>
      </c>
      <c r="AG1139">
        <v>4</v>
      </c>
      <c r="AH1139">
        <v>0</v>
      </c>
      <c r="AI1139">
        <v>0</v>
      </c>
      <c r="AJ1139">
        <v>0</v>
      </c>
      <c r="AK1139">
        <v>1.47115</v>
      </c>
      <c r="AL1139">
        <v>3</v>
      </c>
      <c r="AM1139">
        <v>0</v>
      </c>
      <c r="AN1139">
        <v>2818</v>
      </c>
      <c r="AO1139">
        <v>16</v>
      </c>
      <c r="AP1139">
        <v>0</v>
      </c>
      <c r="AQ1139">
        <v>0</v>
      </c>
    </row>
    <row r="1140" spans="1:43" x14ac:dyDescent="0.25">
      <c r="A1140">
        <v>1137</v>
      </c>
      <c r="B1140">
        <v>22</v>
      </c>
      <c r="C1140">
        <v>22</v>
      </c>
      <c r="D1140">
        <v>5</v>
      </c>
      <c r="E1140">
        <v>1579</v>
      </c>
      <c r="F1140">
        <v>3960</v>
      </c>
      <c r="G1140">
        <v>4069</v>
      </c>
      <c r="H1140">
        <v>1938</v>
      </c>
      <c r="I1140">
        <v>1325</v>
      </c>
      <c r="J1140">
        <v>201</v>
      </c>
      <c r="K1140">
        <v>177</v>
      </c>
      <c r="L1140">
        <v>214</v>
      </c>
      <c r="M1140">
        <v>325</v>
      </c>
      <c r="N1140">
        <v>865</v>
      </c>
      <c r="O1140">
        <v>914</v>
      </c>
      <c r="P1140">
        <v>437.68692160000001</v>
      </c>
      <c r="Q1140">
        <v>347.22761079999998</v>
      </c>
      <c r="R1140">
        <v>0.29435182900000001</v>
      </c>
      <c r="S1140">
        <v>9084</v>
      </c>
      <c r="T1140">
        <v>168</v>
      </c>
      <c r="U1140">
        <v>635</v>
      </c>
      <c r="V1140">
        <v>995</v>
      </c>
      <c r="W1140">
        <v>1092</v>
      </c>
      <c r="X1140">
        <v>1089</v>
      </c>
      <c r="Y1140">
        <v>1578</v>
      </c>
      <c r="Z1140">
        <v>1676</v>
      </c>
      <c r="AA1140">
        <v>4758</v>
      </c>
      <c r="AB1140">
        <v>8</v>
      </c>
      <c r="AC1140">
        <v>685</v>
      </c>
      <c r="AD1140">
        <v>379</v>
      </c>
      <c r="AE1140">
        <v>0</v>
      </c>
      <c r="AF1140">
        <v>0</v>
      </c>
      <c r="AG1140">
        <v>3</v>
      </c>
      <c r="AH1140">
        <v>2934</v>
      </c>
      <c r="AI1140">
        <v>0</v>
      </c>
      <c r="AJ1140">
        <v>0</v>
      </c>
      <c r="AK1140">
        <v>1.3968</v>
      </c>
      <c r="AL1140">
        <v>3</v>
      </c>
      <c r="AM1140">
        <v>0</v>
      </c>
      <c r="AN1140">
        <v>1579</v>
      </c>
      <c r="AO1140">
        <v>109</v>
      </c>
      <c r="AP1140">
        <v>0</v>
      </c>
      <c r="AQ1140">
        <v>0</v>
      </c>
    </row>
    <row r="1141" spans="1:43" x14ac:dyDescent="0.25">
      <c r="A1141">
        <v>1138</v>
      </c>
      <c r="B1141">
        <v>22</v>
      </c>
      <c r="C1141">
        <v>22</v>
      </c>
      <c r="D1141">
        <v>5</v>
      </c>
      <c r="E1141">
        <v>2414</v>
      </c>
      <c r="F1141">
        <v>5967</v>
      </c>
      <c r="G1141">
        <v>5969</v>
      </c>
      <c r="H1141">
        <v>2625</v>
      </c>
      <c r="I1141">
        <v>2064</v>
      </c>
      <c r="J1141">
        <v>262</v>
      </c>
      <c r="K1141">
        <v>416</v>
      </c>
      <c r="L1141">
        <v>428</v>
      </c>
      <c r="M1141">
        <v>482</v>
      </c>
      <c r="N1141">
        <v>1085</v>
      </c>
      <c r="O1141">
        <v>1053</v>
      </c>
      <c r="P1141">
        <v>572.45028779999996</v>
      </c>
      <c r="Q1141">
        <v>38</v>
      </c>
      <c r="R1141">
        <v>0.25158491799999999</v>
      </c>
      <c r="S1141">
        <v>1052</v>
      </c>
      <c r="T1141">
        <v>349</v>
      </c>
      <c r="U1141">
        <v>1067</v>
      </c>
      <c r="V1141">
        <v>1535</v>
      </c>
      <c r="W1141">
        <v>1757</v>
      </c>
      <c r="X1141">
        <v>1220</v>
      </c>
      <c r="Y1141">
        <v>26</v>
      </c>
      <c r="Z1141">
        <v>228</v>
      </c>
      <c r="AA1141">
        <v>624</v>
      </c>
      <c r="AB1141">
        <v>1</v>
      </c>
      <c r="AC1141">
        <v>33</v>
      </c>
      <c r="AD1141">
        <v>140</v>
      </c>
      <c r="AE1141">
        <v>0</v>
      </c>
      <c r="AF1141">
        <v>0</v>
      </c>
      <c r="AG1141">
        <v>4</v>
      </c>
      <c r="AH1141">
        <v>0</v>
      </c>
      <c r="AI1141">
        <v>0</v>
      </c>
      <c r="AJ1141">
        <v>0</v>
      </c>
      <c r="AK1141">
        <v>1.16083</v>
      </c>
      <c r="AL1141">
        <v>2</v>
      </c>
      <c r="AM1141">
        <v>0</v>
      </c>
      <c r="AN1141">
        <v>2414</v>
      </c>
      <c r="AO1141">
        <v>2</v>
      </c>
      <c r="AP1141">
        <v>0</v>
      </c>
      <c r="AQ1141">
        <v>0</v>
      </c>
    </row>
    <row r="1142" spans="1:43" x14ac:dyDescent="0.25">
      <c r="A1142">
        <v>1139</v>
      </c>
      <c r="B1142">
        <v>22</v>
      </c>
      <c r="C1142">
        <v>22</v>
      </c>
      <c r="D1142">
        <v>5</v>
      </c>
      <c r="E1142">
        <v>1246</v>
      </c>
      <c r="F1142">
        <v>3573</v>
      </c>
      <c r="G1142">
        <v>3576</v>
      </c>
      <c r="H1142">
        <v>1443</v>
      </c>
      <c r="I1142">
        <v>1197</v>
      </c>
      <c r="J1142">
        <v>0</v>
      </c>
      <c r="K1142">
        <v>91</v>
      </c>
      <c r="L1142">
        <v>150</v>
      </c>
      <c r="M1142">
        <v>185</v>
      </c>
      <c r="N1142">
        <v>816</v>
      </c>
      <c r="O1142">
        <v>1841</v>
      </c>
      <c r="P1142">
        <v>404.48131239999998</v>
      </c>
      <c r="Q1142">
        <v>9</v>
      </c>
      <c r="R1142">
        <v>0.24696004599999999</v>
      </c>
      <c r="S1142">
        <v>294</v>
      </c>
      <c r="T1142">
        <v>244</v>
      </c>
      <c r="U1142">
        <v>563</v>
      </c>
      <c r="V1142">
        <v>890</v>
      </c>
      <c r="W1142">
        <v>1030</v>
      </c>
      <c r="X1142">
        <v>682</v>
      </c>
      <c r="Y1142">
        <v>9</v>
      </c>
      <c r="Z1142">
        <v>61</v>
      </c>
      <c r="AA1142">
        <v>167</v>
      </c>
      <c r="AB1142">
        <v>6</v>
      </c>
      <c r="AC1142">
        <v>25</v>
      </c>
      <c r="AD1142">
        <v>26</v>
      </c>
      <c r="AE1142">
        <v>0</v>
      </c>
      <c r="AF1142">
        <v>0</v>
      </c>
      <c r="AG1142">
        <v>4</v>
      </c>
      <c r="AH1142">
        <v>0</v>
      </c>
      <c r="AI1142">
        <v>0</v>
      </c>
      <c r="AJ1142">
        <v>0</v>
      </c>
      <c r="AK1142">
        <v>1.0674399999999999</v>
      </c>
      <c r="AL1142">
        <v>1</v>
      </c>
      <c r="AM1142">
        <v>0</v>
      </c>
      <c r="AN1142">
        <v>1246</v>
      </c>
      <c r="AO1142">
        <v>3</v>
      </c>
      <c r="AP1142">
        <v>0</v>
      </c>
      <c r="AQ1142">
        <v>0</v>
      </c>
    </row>
    <row r="1143" spans="1:43" x14ac:dyDescent="0.25">
      <c r="A1143">
        <v>1140</v>
      </c>
      <c r="B1143">
        <v>22</v>
      </c>
      <c r="C1143">
        <v>22</v>
      </c>
      <c r="D1143">
        <v>5</v>
      </c>
      <c r="E1143">
        <v>1102</v>
      </c>
      <c r="F1143">
        <v>3106</v>
      </c>
      <c r="G1143">
        <v>3204</v>
      </c>
      <c r="H1143">
        <v>1398</v>
      </c>
      <c r="I1143">
        <v>1080</v>
      </c>
      <c r="J1143">
        <v>46</v>
      </c>
      <c r="K1143">
        <v>62</v>
      </c>
      <c r="L1143">
        <v>147</v>
      </c>
      <c r="M1143">
        <v>220</v>
      </c>
      <c r="N1143">
        <v>673</v>
      </c>
      <c r="O1143">
        <v>483</v>
      </c>
      <c r="P1143">
        <v>300.9474629</v>
      </c>
      <c r="Q1143">
        <v>75</v>
      </c>
      <c r="R1143">
        <v>0.29828178700000002</v>
      </c>
      <c r="S1143">
        <v>1486</v>
      </c>
      <c r="T1143">
        <v>122</v>
      </c>
      <c r="U1143">
        <v>477</v>
      </c>
      <c r="V1143">
        <v>578</v>
      </c>
      <c r="W1143">
        <v>972</v>
      </c>
      <c r="X1143">
        <v>738</v>
      </c>
      <c r="Y1143">
        <v>244</v>
      </c>
      <c r="Z1143">
        <v>241</v>
      </c>
      <c r="AA1143">
        <v>960</v>
      </c>
      <c r="AB1143">
        <v>0</v>
      </c>
      <c r="AC1143">
        <v>15</v>
      </c>
      <c r="AD1143">
        <v>26</v>
      </c>
      <c r="AE1143">
        <v>0</v>
      </c>
      <c r="AF1143">
        <v>0</v>
      </c>
      <c r="AG1143">
        <v>4</v>
      </c>
      <c r="AH1143">
        <v>0</v>
      </c>
      <c r="AI1143">
        <v>0</v>
      </c>
      <c r="AJ1143">
        <v>0</v>
      </c>
      <c r="AK1143">
        <v>1.17089</v>
      </c>
      <c r="AL1143">
        <v>3</v>
      </c>
      <c r="AM1143">
        <v>0</v>
      </c>
      <c r="AN1143">
        <v>1102</v>
      </c>
      <c r="AO1143">
        <v>98</v>
      </c>
      <c r="AP1143">
        <v>0</v>
      </c>
      <c r="AQ1143">
        <v>0</v>
      </c>
    </row>
    <row r="1144" spans="1:43" x14ac:dyDescent="0.25">
      <c r="A1144">
        <v>1141</v>
      </c>
      <c r="B1144">
        <v>22</v>
      </c>
      <c r="C1144">
        <v>22</v>
      </c>
      <c r="D1144">
        <v>5</v>
      </c>
      <c r="E1144">
        <v>2064</v>
      </c>
      <c r="F1144">
        <v>5507</v>
      </c>
      <c r="G1144">
        <v>5518</v>
      </c>
      <c r="H1144">
        <v>2539</v>
      </c>
      <c r="I1144">
        <v>1829</v>
      </c>
      <c r="J1144">
        <v>185</v>
      </c>
      <c r="K1144">
        <v>235</v>
      </c>
      <c r="L1144">
        <v>320</v>
      </c>
      <c r="M1144">
        <v>408</v>
      </c>
      <c r="N1144">
        <v>1094</v>
      </c>
      <c r="O1144">
        <v>1599</v>
      </c>
      <c r="P1144">
        <v>790.74229279999997</v>
      </c>
      <c r="Q1144">
        <v>105</v>
      </c>
      <c r="R1144">
        <v>0.27553056399999998</v>
      </c>
      <c r="S1144">
        <v>5084</v>
      </c>
      <c r="T1144">
        <v>262</v>
      </c>
      <c r="U1144">
        <v>979</v>
      </c>
      <c r="V1144">
        <v>1371</v>
      </c>
      <c r="W1144">
        <v>1580</v>
      </c>
      <c r="X1144">
        <v>1255</v>
      </c>
      <c r="Y1144">
        <v>152</v>
      </c>
      <c r="Z1144">
        <v>177</v>
      </c>
      <c r="AA1144">
        <v>4591</v>
      </c>
      <c r="AB1144">
        <v>6</v>
      </c>
      <c r="AC1144">
        <v>107</v>
      </c>
      <c r="AD1144">
        <v>51</v>
      </c>
      <c r="AE1144">
        <v>0</v>
      </c>
      <c r="AF1144">
        <v>0</v>
      </c>
      <c r="AG1144">
        <v>4</v>
      </c>
      <c r="AH1144">
        <v>1931</v>
      </c>
      <c r="AI1144">
        <v>0</v>
      </c>
      <c r="AJ1144">
        <v>0</v>
      </c>
      <c r="AK1144">
        <v>1.24492</v>
      </c>
      <c r="AL1144">
        <v>1</v>
      </c>
      <c r="AM1144">
        <v>0</v>
      </c>
      <c r="AN1144">
        <v>2064</v>
      </c>
      <c r="AO1144">
        <v>11</v>
      </c>
      <c r="AP1144">
        <v>0</v>
      </c>
      <c r="AQ1144">
        <v>0</v>
      </c>
    </row>
    <row r="1145" spans="1:43" x14ac:dyDescent="0.25">
      <c r="A1145">
        <v>1142</v>
      </c>
      <c r="B1145">
        <v>22</v>
      </c>
      <c r="C1145">
        <v>22</v>
      </c>
      <c r="D1145">
        <v>5</v>
      </c>
      <c r="E1145">
        <v>1422</v>
      </c>
      <c r="F1145">
        <v>3912</v>
      </c>
      <c r="G1145">
        <v>3912</v>
      </c>
      <c r="H1145">
        <v>1779</v>
      </c>
      <c r="I1145">
        <v>1176</v>
      </c>
      <c r="J1145">
        <v>200</v>
      </c>
      <c r="K1145">
        <v>128</v>
      </c>
      <c r="L1145">
        <v>299</v>
      </c>
      <c r="M1145">
        <v>358</v>
      </c>
      <c r="N1145">
        <v>632</v>
      </c>
      <c r="O1145">
        <v>1459</v>
      </c>
      <c r="P1145">
        <v>627.00494630000003</v>
      </c>
      <c r="Q1145">
        <v>9</v>
      </c>
      <c r="R1145">
        <v>0.252664414</v>
      </c>
      <c r="S1145">
        <v>589</v>
      </c>
      <c r="T1145">
        <v>151</v>
      </c>
      <c r="U1145">
        <v>625</v>
      </c>
      <c r="V1145">
        <v>1098</v>
      </c>
      <c r="W1145">
        <v>1069</v>
      </c>
      <c r="X1145">
        <v>863</v>
      </c>
      <c r="Y1145">
        <v>18</v>
      </c>
      <c r="Z1145">
        <v>180</v>
      </c>
      <c r="AA1145">
        <v>231</v>
      </c>
      <c r="AB1145">
        <v>2</v>
      </c>
      <c r="AC1145">
        <v>76</v>
      </c>
      <c r="AD1145">
        <v>82</v>
      </c>
      <c r="AE1145">
        <v>0</v>
      </c>
      <c r="AF1145">
        <v>0</v>
      </c>
      <c r="AG1145">
        <v>4</v>
      </c>
      <c r="AH1145">
        <v>0</v>
      </c>
      <c r="AI1145">
        <v>0</v>
      </c>
      <c r="AJ1145">
        <v>0</v>
      </c>
      <c r="AK1145">
        <v>1.02616</v>
      </c>
      <c r="AL1145">
        <v>1</v>
      </c>
      <c r="AM1145">
        <v>0</v>
      </c>
      <c r="AN1145">
        <v>1422</v>
      </c>
      <c r="AO1145">
        <v>0</v>
      </c>
      <c r="AP1145">
        <v>0</v>
      </c>
      <c r="AQ1145">
        <v>0</v>
      </c>
    </row>
    <row r="1146" spans="1:43" x14ac:dyDescent="0.25">
      <c r="A1146">
        <v>1143</v>
      </c>
      <c r="B1146">
        <v>22</v>
      </c>
      <c r="C1146">
        <v>22</v>
      </c>
      <c r="D1146">
        <v>5</v>
      </c>
      <c r="E1146">
        <v>1757</v>
      </c>
      <c r="F1146">
        <v>4522</v>
      </c>
      <c r="G1146">
        <v>4522</v>
      </c>
      <c r="H1146">
        <v>2209</v>
      </c>
      <c r="I1146">
        <v>1149</v>
      </c>
      <c r="J1146">
        <v>638</v>
      </c>
      <c r="K1146">
        <v>415</v>
      </c>
      <c r="L1146">
        <v>182</v>
      </c>
      <c r="M1146">
        <v>418</v>
      </c>
      <c r="N1146">
        <v>755</v>
      </c>
      <c r="O1146">
        <v>850</v>
      </c>
      <c r="P1146">
        <v>497.58430490000001</v>
      </c>
      <c r="Q1146">
        <v>55</v>
      </c>
      <c r="R1146">
        <v>0.252683555</v>
      </c>
      <c r="S1146">
        <v>1376</v>
      </c>
      <c r="T1146">
        <v>172</v>
      </c>
      <c r="U1146">
        <v>785</v>
      </c>
      <c r="V1146">
        <v>1450</v>
      </c>
      <c r="W1146">
        <v>1207</v>
      </c>
      <c r="X1146">
        <v>1003</v>
      </c>
      <c r="Y1146">
        <v>13</v>
      </c>
      <c r="Z1146">
        <v>181</v>
      </c>
      <c r="AA1146">
        <v>1051</v>
      </c>
      <c r="AB1146">
        <v>1</v>
      </c>
      <c r="AC1146">
        <v>27</v>
      </c>
      <c r="AD1146">
        <v>103</v>
      </c>
      <c r="AE1146">
        <v>0</v>
      </c>
      <c r="AF1146">
        <v>0</v>
      </c>
      <c r="AG1146">
        <v>4</v>
      </c>
      <c r="AH1146">
        <v>0</v>
      </c>
      <c r="AI1146">
        <v>0</v>
      </c>
      <c r="AJ1146">
        <v>0</v>
      </c>
      <c r="AK1146">
        <v>1.17082</v>
      </c>
      <c r="AL1146">
        <v>1</v>
      </c>
      <c r="AM1146">
        <v>0</v>
      </c>
      <c r="AN1146">
        <v>1757</v>
      </c>
      <c r="AO1146">
        <v>0</v>
      </c>
      <c r="AP1146">
        <v>0</v>
      </c>
      <c r="AQ1146">
        <v>0</v>
      </c>
    </row>
    <row r="1147" spans="1:43" x14ac:dyDescent="0.25">
      <c r="A1147">
        <v>1144</v>
      </c>
      <c r="B1147">
        <v>22</v>
      </c>
      <c r="C1147">
        <v>22</v>
      </c>
      <c r="D1147">
        <v>5</v>
      </c>
      <c r="E1147">
        <v>2319</v>
      </c>
      <c r="F1147">
        <v>5993</v>
      </c>
      <c r="G1147">
        <v>6007</v>
      </c>
      <c r="H1147">
        <v>3074</v>
      </c>
      <c r="I1147">
        <v>1403</v>
      </c>
      <c r="J1147">
        <v>863</v>
      </c>
      <c r="K1147">
        <v>284</v>
      </c>
      <c r="L1147">
        <v>415</v>
      </c>
      <c r="M1147">
        <v>597</v>
      </c>
      <c r="N1147">
        <v>1033</v>
      </c>
      <c r="O1147">
        <v>637</v>
      </c>
      <c r="P1147">
        <v>501.84191490000001</v>
      </c>
      <c r="Q1147">
        <v>36</v>
      </c>
      <c r="R1147">
        <v>0.24898989899999999</v>
      </c>
      <c r="S1147">
        <v>1466</v>
      </c>
      <c r="T1147">
        <v>84</v>
      </c>
      <c r="U1147">
        <v>1057</v>
      </c>
      <c r="V1147">
        <v>1646</v>
      </c>
      <c r="W1147">
        <v>1873</v>
      </c>
      <c r="X1147">
        <v>1218</v>
      </c>
      <c r="Y1147">
        <v>85</v>
      </c>
      <c r="Z1147">
        <v>516</v>
      </c>
      <c r="AA1147">
        <v>614</v>
      </c>
      <c r="AB1147">
        <v>4</v>
      </c>
      <c r="AC1147">
        <v>102</v>
      </c>
      <c r="AD1147">
        <v>145</v>
      </c>
      <c r="AE1147">
        <v>0</v>
      </c>
      <c r="AF1147">
        <v>0</v>
      </c>
      <c r="AG1147">
        <v>4</v>
      </c>
      <c r="AH1147">
        <v>0</v>
      </c>
      <c r="AI1147">
        <v>0</v>
      </c>
      <c r="AJ1147">
        <v>0</v>
      </c>
      <c r="AK1147">
        <v>1.3087899999999999</v>
      </c>
      <c r="AL1147">
        <v>1</v>
      </c>
      <c r="AM1147">
        <v>0</v>
      </c>
      <c r="AN1147">
        <v>2319</v>
      </c>
      <c r="AO1147">
        <v>14</v>
      </c>
      <c r="AP1147">
        <v>0</v>
      </c>
      <c r="AQ1147">
        <v>0</v>
      </c>
    </row>
    <row r="1148" spans="1:43" x14ac:dyDescent="0.25">
      <c r="A1148">
        <v>1145</v>
      </c>
      <c r="B1148">
        <v>22</v>
      </c>
      <c r="C1148">
        <v>22</v>
      </c>
      <c r="D1148">
        <v>5</v>
      </c>
      <c r="E1148">
        <v>4334</v>
      </c>
      <c r="F1148">
        <v>7777</v>
      </c>
      <c r="G1148">
        <v>7860</v>
      </c>
      <c r="H1148">
        <v>5007</v>
      </c>
      <c r="I1148">
        <v>651</v>
      </c>
      <c r="J1148">
        <v>3676</v>
      </c>
      <c r="K1148">
        <v>877</v>
      </c>
      <c r="L1148">
        <v>963</v>
      </c>
      <c r="M1148">
        <v>1169</v>
      </c>
      <c r="N1148">
        <v>1311</v>
      </c>
      <c r="O1148">
        <v>544.6</v>
      </c>
      <c r="P1148">
        <v>212.98022119999999</v>
      </c>
      <c r="Q1148">
        <v>216.38229039999999</v>
      </c>
      <c r="R1148">
        <v>0.13396680899999999</v>
      </c>
      <c r="S1148">
        <v>15539</v>
      </c>
      <c r="T1148">
        <v>351</v>
      </c>
      <c r="U1148">
        <v>701</v>
      </c>
      <c r="V1148">
        <v>3877</v>
      </c>
      <c r="W1148">
        <v>1524</v>
      </c>
      <c r="X1148">
        <v>952</v>
      </c>
      <c r="Y1148">
        <v>1769</v>
      </c>
      <c r="Z1148">
        <v>6896</v>
      </c>
      <c r="AA1148">
        <v>4521</v>
      </c>
      <c r="AB1148">
        <v>17</v>
      </c>
      <c r="AC1148">
        <v>860</v>
      </c>
      <c r="AD1148">
        <v>1476</v>
      </c>
      <c r="AE1148">
        <v>89.29248905</v>
      </c>
      <c r="AF1148">
        <v>0</v>
      </c>
      <c r="AG1148">
        <v>2</v>
      </c>
      <c r="AH1148">
        <v>115</v>
      </c>
      <c r="AI1148">
        <v>0</v>
      </c>
      <c r="AJ1148">
        <v>0</v>
      </c>
      <c r="AK1148">
        <v>3.30599</v>
      </c>
      <c r="AL1148">
        <v>1</v>
      </c>
      <c r="AM1148">
        <v>0</v>
      </c>
      <c r="AN1148">
        <v>4334</v>
      </c>
      <c r="AO1148">
        <v>83</v>
      </c>
      <c r="AP1148">
        <v>0</v>
      </c>
      <c r="AQ1148">
        <v>0</v>
      </c>
    </row>
    <row r="1149" spans="1:43" x14ac:dyDescent="0.25">
      <c r="A1149">
        <v>1146</v>
      </c>
      <c r="B1149">
        <v>22</v>
      </c>
      <c r="C1149">
        <v>22</v>
      </c>
      <c r="D1149">
        <v>5</v>
      </c>
      <c r="E1149">
        <v>1967</v>
      </c>
      <c r="F1149">
        <v>3717</v>
      </c>
      <c r="G1149">
        <v>3729</v>
      </c>
      <c r="H1149">
        <v>2346</v>
      </c>
      <c r="I1149">
        <v>42</v>
      </c>
      <c r="J1149">
        <v>2105</v>
      </c>
      <c r="K1149">
        <v>413</v>
      </c>
      <c r="L1149">
        <v>768</v>
      </c>
      <c r="M1149">
        <v>561</v>
      </c>
      <c r="N1149">
        <v>224</v>
      </c>
      <c r="O1149">
        <v>291.7</v>
      </c>
      <c r="P1149">
        <v>114.1253552</v>
      </c>
      <c r="Q1149">
        <v>97</v>
      </c>
      <c r="R1149">
        <v>7.5977042999999994E-2</v>
      </c>
      <c r="S1149">
        <v>12057</v>
      </c>
      <c r="T1149">
        <v>207</v>
      </c>
      <c r="U1149">
        <v>295</v>
      </c>
      <c r="V1149">
        <v>2241</v>
      </c>
      <c r="W1149">
        <v>646</v>
      </c>
      <c r="X1149">
        <v>226</v>
      </c>
      <c r="Y1149">
        <v>2210</v>
      </c>
      <c r="Z1149">
        <v>1492</v>
      </c>
      <c r="AA1149">
        <v>7862</v>
      </c>
      <c r="AB1149">
        <v>5</v>
      </c>
      <c r="AC1149">
        <v>187</v>
      </c>
      <c r="AD1149">
        <v>301</v>
      </c>
      <c r="AE1149">
        <v>56.514233580000003</v>
      </c>
      <c r="AF1149">
        <v>0</v>
      </c>
      <c r="AG1149">
        <v>2</v>
      </c>
      <c r="AH1149">
        <v>1577</v>
      </c>
      <c r="AI1149">
        <v>0</v>
      </c>
      <c r="AJ1149">
        <v>0</v>
      </c>
      <c r="AK1149">
        <v>3.3226800000000001</v>
      </c>
      <c r="AL1149">
        <v>1</v>
      </c>
      <c r="AM1149">
        <v>0</v>
      </c>
      <c r="AN1149">
        <v>1967</v>
      </c>
      <c r="AO1149">
        <v>12</v>
      </c>
      <c r="AP1149">
        <v>0</v>
      </c>
      <c r="AQ1149">
        <v>0</v>
      </c>
    </row>
    <row r="1150" spans="1:43" x14ac:dyDescent="0.25">
      <c r="A1150">
        <v>1147</v>
      </c>
      <c r="B1150">
        <v>22</v>
      </c>
      <c r="C1150">
        <v>22</v>
      </c>
      <c r="D1150">
        <v>5</v>
      </c>
      <c r="E1150">
        <v>2431</v>
      </c>
      <c r="F1150">
        <v>6092</v>
      </c>
      <c r="G1150">
        <v>6092</v>
      </c>
      <c r="H1150">
        <v>2503</v>
      </c>
      <c r="I1150">
        <v>1810</v>
      </c>
      <c r="J1150">
        <v>658</v>
      </c>
      <c r="K1150">
        <v>429</v>
      </c>
      <c r="L1150">
        <v>370</v>
      </c>
      <c r="M1150">
        <v>490</v>
      </c>
      <c r="N1150">
        <v>1142</v>
      </c>
      <c r="O1150">
        <v>1333</v>
      </c>
      <c r="P1150">
        <v>988.00579389999996</v>
      </c>
      <c r="Q1150">
        <v>58</v>
      </c>
      <c r="R1150">
        <v>0.35639313</v>
      </c>
      <c r="S1150">
        <v>2007</v>
      </c>
      <c r="T1150">
        <v>305</v>
      </c>
      <c r="U1150">
        <v>1057</v>
      </c>
      <c r="V1150">
        <v>1277</v>
      </c>
      <c r="W1150">
        <v>1560</v>
      </c>
      <c r="X1150">
        <v>2023</v>
      </c>
      <c r="Y1150">
        <v>191</v>
      </c>
      <c r="Z1150">
        <v>354</v>
      </c>
      <c r="AA1150">
        <v>1165</v>
      </c>
      <c r="AB1150">
        <v>2</v>
      </c>
      <c r="AC1150">
        <v>59</v>
      </c>
      <c r="AD1150">
        <v>236</v>
      </c>
      <c r="AE1150">
        <v>0</v>
      </c>
      <c r="AF1150">
        <v>0</v>
      </c>
      <c r="AG1150">
        <v>4</v>
      </c>
      <c r="AH1150">
        <v>0</v>
      </c>
      <c r="AI1150">
        <v>0</v>
      </c>
      <c r="AJ1150">
        <v>0</v>
      </c>
      <c r="AK1150">
        <v>1.06389</v>
      </c>
      <c r="AL1150">
        <v>1</v>
      </c>
      <c r="AM1150">
        <v>0</v>
      </c>
      <c r="AN1150">
        <v>2431</v>
      </c>
      <c r="AO1150">
        <v>0</v>
      </c>
      <c r="AP1150">
        <v>0</v>
      </c>
      <c r="AQ1150">
        <v>0</v>
      </c>
    </row>
    <row r="1151" spans="1:43" x14ac:dyDescent="0.25">
      <c r="A1151">
        <v>1148</v>
      </c>
      <c r="B1151">
        <v>22</v>
      </c>
      <c r="C1151">
        <v>22</v>
      </c>
      <c r="D1151">
        <v>5</v>
      </c>
      <c r="E1151">
        <v>5925</v>
      </c>
      <c r="F1151">
        <v>8133</v>
      </c>
      <c r="G1151">
        <v>8141</v>
      </c>
      <c r="H1151">
        <v>957</v>
      </c>
      <c r="I1151">
        <v>1439</v>
      </c>
      <c r="J1151">
        <v>4601</v>
      </c>
      <c r="K1151">
        <v>2208</v>
      </c>
      <c r="L1151">
        <v>1870</v>
      </c>
      <c r="M1151">
        <v>1156</v>
      </c>
      <c r="N1151">
        <v>696</v>
      </c>
      <c r="O1151">
        <v>1918</v>
      </c>
      <c r="P1151">
        <v>1097.8145019999999</v>
      </c>
      <c r="Q1151">
        <v>60</v>
      </c>
      <c r="R1151">
        <v>0.93408616700000002</v>
      </c>
      <c r="S1151">
        <v>873</v>
      </c>
      <c r="T1151">
        <v>0</v>
      </c>
      <c r="U1151">
        <v>10</v>
      </c>
      <c r="V1151">
        <v>42</v>
      </c>
      <c r="W1151">
        <v>684</v>
      </c>
      <c r="X1151">
        <v>7334</v>
      </c>
      <c r="Y1151">
        <v>16</v>
      </c>
      <c r="Z1151">
        <v>323</v>
      </c>
      <c r="AA1151">
        <v>438</v>
      </c>
      <c r="AB1151">
        <v>1</v>
      </c>
      <c r="AC1151">
        <v>44</v>
      </c>
      <c r="AD1151">
        <v>51</v>
      </c>
      <c r="AE1151">
        <v>0</v>
      </c>
      <c r="AF1151">
        <v>0</v>
      </c>
      <c r="AG1151">
        <v>4</v>
      </c>
      <c r="AH1151">
        <v>61</v>
      </c>
      <c r="AI1151">
        <v>0</v>
      </c>
      <c r="AJ1151">
        <v>0</v>
      </c>
      <c r="AK1151">
        <v>1.06535</v>
      </c>
      <c r="AL1151">
        <v>1</v>
      </c>
      <c r="AM1151">
        <v>0</v>
      </c>
      <c r="AN1151">
        <v>5925</v>
      </c>
      <c r="AO1151">
        <v>8</v>
      </c>
      <c r="AP1151">
        <v>0</v>
      </c>
      <c r="AQ1151">
        <v>0</v>
      </c>
    </row>
    <row r="1152" spans="1:43" x14ac:dyDescent="0.25">
      <c r="A1152">
        <v>1149</v>
      </c>
      <c r="B1152">
        <v>22</v>
      </c>
      <c r="C1152">
        <v>22</v>
      </c>
      <c r="D1152">
        <v>5</v>
      </c>
      <c r="E1152">
        <v>2102</v>
      </c>
      <c r="F1152">
        <v>4910</v>
      </c>
      <c r="G1152">
        <v>5095</v>
      </c>
      <c r="H1152">
        <v>2419</v>
      </c>
      <c r="I1152">
        <v>1374</v>
      </c>
      <c r="J1152">
        <v>703</v>
      </c>
      <c r="K1152">
        <v>324</v>
      </c>
      <c r="L1152">
        <v>474</v>
      </c>
      <c r="M1152">
        <v>444</v>
      </c>
      <c r="N1152">
        <v>849</v>
      </c>
      <c r="O1152">
        <v>954</v>
      </c>
      <c r="P1152">
        <v>599.38488829999994</v>
      </c>
      <c r="Q1152">
        <v>62</v>
      </c>
      <c r="R1152">
        <v>0.22809573399999999</v>
      </c>
      <c r="S1152">
        <v>887</v>
      </c>
      <c r="T1152">
        <v>323</v>
      </c>
      <c r="U1152">
        <v>703</v>
      </c>
      <c r="V1152">
        <v>1376</v>
      </c>
      <c r="W1152">
        <v>1532</v>
      </c>
      <c r="X1152">
        <v>822</v>
      </c>
      <c r="Y1152">
        <v>50</v>
      </c>
      <c r="Z1152">
        <v>255</v>
      </c>
      <c r="AA1152">
        <v>390</v>
      </c>
      <c r="AB1152">
        <v>2</v>
      </c>
      <c r="AC1152">
        <v>47</v>
      </c>
      <c r="AD1152">
        <v>143</v>
      </c>
      <c r="AE1152">
        <v>0</v>
      </c>
      <c r="AF1152">
        <v>0</v>
      </c>
      <c r="AG1152">
        <v>4</v>
      </c>
      <c r="AH1152">
        <v>0</v>
      </c>
      <c r="AI1152">
        <v>0</v>
      </c>
      <c r="AJ1152">
        <v>0</v>
      </c>
      <c r="AK1152">
        <v>1.1216699999999999</v>
      </c>
      <c r="AL1152">
        <v>1</v>
      </c>
      <c r="AM1152">
        <v>0</v>
      </c>
      <c r="AN1152">
        <v>2102</v>
      </c>
      <c r="AO1152">
        <v>185</v>
      </c>
      <c r="AP1152">
        <v>0</v>
      </c>
      <c r="AQ1152">
        <v>0</v>
      </c>
    </row>
    <row r="1153" spans="1:43" x14ac:dyDescent="0.25">
      <c r="A1153">
        <v>1150</v>
      </c>
      <c r="B1153">
        <v>22</v>
      </c>
      <c r="C1153">
        <v>22</v>
      </c>
      <c r="D1153">
        <v>5</v>
      </c>
      <c r="E1153">
        <v>2241</v>
      </c>
      <c r="F1153">
        <v>5700</v>
      </c>
      <c r="G1153">
        <v>5701</v>
      </c>
      <c r="H1153">
        <v>2321</v>
      </c>
      <c r="I1153">
        <v>1309</v>
      </c>
      <c r="J1153">
        <v>892</v>
      </c>
      <c r="K1153">
        <v>608</v>
      </c>
      <c r="L1153">
        <v>348</v>
      </c>
      <c r="M1153">
        <v>459</v>
      </c>
      <c r="N1153">
        <v>829</v>
      </c>
      <c r="O1153">
        <v>898</v>
      </c>
      <c r="P1153">
        <v>546.51114559999996</v>
      </c>
      <c r="Q1153">
        <v>81</v>
      </c>
      <c r="R1153">
        <v>0.23366404399999999</v>
      </c>
      <c r="S1153">
        <v>3480</v>
      </c>
      <c r="T1153">
        <v>157</v>
      </c>
      <c r="U1153">
        <v>1149</v>
      </c>
      <c r="V1153">
        <v>1649</v>
      </c>
      <c r="W1153">
        <v>1707</v>
      </c>
      <c r="X1153">
        <v>1131</v>
      </c>
      <c r="Y1153">
        <v>597</v>
      </c>
      <c r="Z1153">
        <v>770</v>
      </c>
      <c r="AA1153">
        <v>1654</v>
      </c>
      <c r="AB1153">
        <v>4</v>
      </c>
      <c r="AC1153">
        <v>140</v>
      </c>
      <c r="AD1153">
        <v>315</v>
      </c>
      <c r="AE1153">
        <v>0</v>
      </c>
      <c r="AF1153">
        <v>0</v>
      </c>
      <c r="AG1153">
        <v>4</v>
      </c>
      <c r="AH1153">
        <v>22</v>
      </c>
      <c r="AI1153">
        <v>0</v>
      </c>
      <c r="AJ1153">
        <v>0</v>
      </c>
      <c r="AK1153">
        <v>1.3762300000000001</v>
      </c>
      <c r="AL1153">
        <v>1</v>
      </c>
      <c r="AM1153">
        <v>0</v>
      </c>
      <c r="AN1153">
        <v>2241</v>
      </c>
      <c r="AO1153">
        <v>1</v>
      </c>
      <c r="AP1153">
        <v>0</v>
      </c>
      <c r="AQ1153">
        <v>0</v>
      </c>
    </row>
    <row r="1154" spans="1:43" x14ac:dyDescent="0.25">
      <c r="A1154">
        <v>1151</v>
      </c>
      <c r="B1154">
        <v>22</v>
      </c>
      <c r="C1154">
        <v>22</v>
      </c>
      <c r="D1154">
        <v>5</v>
      </c>
      <c r="E1154">
        <v>2005</v>
      </c>
      <c r="F1154">
        <v>5936</v>
      </c>
      <c r="G1154">
        <v>5936</v>
      </c>
      <c r="H1154">
        <v>2617</v>
      </c>
      <c r="I1154">
        <v>1915</v>
      </c>
      <c r="J1154">
        <v>43</v>
      </c>
      <c r="K1154">
        <v>178</v>
      </c>
      <c r="L1154">
        <v>214</v>
      </c>
      <c r="M1154">
        <v>361</v>
      </c>
      <c r="N1154">
        <v>1261</v>
      </c>
      <c r="O1154">
        <v>2220</v>
      </c>
      <c r="P1154">
        <v>1146.637066</v>
      </c>
      <c r="Q1154">
        <v>124</v>
      </c>
      <c r="R1154">
        <v>0.27203619899999998</v>
      </c>
      <c r="S1154">
        <v>703</v>
      </c>
      <c r="T1154">
        <v>267</v>
      </c>
      <c r="U1154">
        <v>1301</v>
      </c>
      <c r="V1154">
        <v>1014</v>
      </c>
      <c r="W1154">
        <v>1573</v>
      </c>
      <c r="X1154">
        <v>1294</v>
      </c>
      <c r="Y1154">
        <v>10</v>
      </c>
      <c r="Z1154">
        <v>152</v>
      </c>
      <c r="AA1154">
        <v>438</v>
      </c>
      <c r="AB1154">
        <v>1</v>
      </c>
      <c r="AC1154">
        <v>52</v>
      </c>
      <c r="AD1154">
        <v>50</v>
      </c>
      <c r="AE1154">
        <v>0</v>
      </c>
      <c r="AF1154">
        <v>0</v>
      </c>
      <c r="AG1154">
        <v>5</v>
      </c>
      <c r="AH1154">
        <v>0</v>
      </c>
      <c r="AI1154">
        <v>0</v>
      </c>
      <c r="AJ1154">
        <v>0</v>
      </c>
      <c r="AK1154">
        <v>0.99643000000000004</v>
      </c>
      <c r="AL1154">
        <v>1</v>
      </c>
      <c r="AM1154">
        <v>0</v>
      </c>
      <c r="AN1154">
        <v>2005</v>
      </c>
      <c r="AO1154">
        <v>0</v>
      </c>
      <c r="AP1154">
        <v>0</v>
      </c>
      <c r="AQ1154">
        <v>0</v>
      </c>
    </row>
    <row r="1155" spans="1:43" x14ac:dyDescent="0.25">
      <c r="A1155">
        <v>1152</v>
      </c>
      <c r="B1155">
        <v>22</v>
      </c>
      <c r="C1155">
        <v>22</v>
      </c>
      <c r="D1155">
        <v>5</v>
      </c>
      <c r="E1155">
        <v>2376</v>
      </c>
      <c r="F1155">
        <v>6308</v>
      </c>
      <c r="G1155">
        <v>6308</v>
      </c>
      <c r="H1155">
        <v>3139</v>
      </c>
      <c r="I1155">
        <v>1534</v>
      </c>
      <c r="J1155">
        <v>945</v>
      </c>
      <c r="K1155">
        <v>188</v>
      </c>
      <c r="L1155">
        <v>452</v>
      </c>
      <c r="M1155">
        <v>396</v>
      </c>
      <c r="N1155">
        <v>1338</v>
      </c>
      <c r="O1155">
        <v>2253</v>
      </c>
      <c r="P1155">
        <v>652.47582439999996</v>
      </c>
      <c r="Q1155">
        <v>144</v>
      </c>
      <c r="R1155">
        <v>0.20300997900000001</v>
      </c>
      <c r="S1155">
        <v>5080</v>
      </c>
      <c r="T1155">
        <v>314</v>
      </c>
      <c r="U1155">
        <v>1026</v>
      </c>
      <c r="V1155">
        <v>2021</v>
      </c>
      <c r="W1155">
        <v>1675</v>
      </c>
      <c r="X1155">
        <v>1021</v>
      </c>
      <c r="Y1155">
        <v>678</v>
      </c>
      <c r="Z1155">
        <v>954</v>
      </c>
      <c r="AA1155">
        <v>2817</v>
      </c>
      <c r="AB1155">
        <v>4</v>
      </c>
      <c r="AC1155">
        <v>243</v>
      </c>
      <c r="AD1155">
        <v>384</v>
      </c>
      <c r="AE1155">
        <v>0</v>
      </c>
      <c r="AF1155">
        <v>0</v>
      </c>
      <c r="AG1155">
        <v>4</v>
      </c>
      <c r="AH1155">
        <v>1340</v>
      </c>
      <c r="AI1155">
        <v>0</v>
      </c>
      <c r="AJ1155">
        <v>0</v>
      </c>
      <c r="AK1155">
        <v>1.27298</v>
      </c>
      <c r="AL1155">
        <v>1</v>
      </c>
      <c r="AM1155">
        <v>0</v>
      </c>
      <c r="AN1155">
        <v>2376</v>
      </c>
      <c r="AO1155">
        <v>0</v>
      </c>
      <c r="AP1155">
        <v>0</v>
      </c>
      <c r="AQ1155">
        <v>0</v>
      </c>
    </row>
    <row r="1156" spans="1:43" x14ac:dyDescent="0.25">
      <c r="A1156">
        <v>1153</v>
      </c>
      <c r="B1156">
        <v>22</v>
      </c>
      <c r="C1156">
        <v>22</v>
      </c>
      <c r="D1156">
        <v>5</v>
      </c>
      <c r="E1156">
        <v>1549</v>
      </c>
      <c r="F1156">
        <v>4187</v>
      </c>
      <c r="G1156">
        <v>4187</v>
      </c>
      <c r="H1156">
        <v>1869</v>
      </c>
      <c r="I1156">
        <v>1551</v>
      </c>
      <c r="J1156">
        <v>0</v>
      </c>
      <c r="K1156">
        <v>75</v>
      </c>
      <c r="L1156">
        <v>197</v>
      </c>
      <c r="M1156">
        <v>259</v>
      </c>
      <c r="N1156">
        <v>1026</v>
      </c>
      <c r="O1156">
        <v>1236</v>
      </c>
      <c r="P1156">
        <v>951.49375880000002</v>
      </c>
      <c r="Q1156">
        <v>26</v>
      </c>
      <c r="R1156">
        <v>0.28085824500000001</v>
      </c>
      <c r="S1156">
        <v>1231</v>
      </c>
      <c r="T1156">
        <v>162</v>
      </c>
      <c r="U1156">
        <v>921</v>
      </c>
      <c r="V1156">
        <v>715</v>
      </c>
      <c r="W1156">
        <v>1339</v>
      </c>
      <c r="X1156">
        <v>969</v>
      </c>
      <c r="Y1156">
        <v>48</v>
      </c>
      <c r="Z1156">
        <v>411</v>
      </c>
      <c r="AA1156">
        <v>583</v>
      </c>
      <c r="AB1156">
        <v>2</v>
      </c>
      <c r="AC1156">
        <v>83</v>
      </c>
      <c r="AD1156">
        <v>104</v>
      </c>
      <c r="AE1156">
        <v>0</v>
      </c>
      <c r="AF1156">
        <v>0</v>
      </c>
      <c r="AG1156">
        <v>5</v>
      </c>
      <c r="AH1156">
        <v>0</v>
      </c>
      <c r="AI1156">
        <v>0</v>
      </c>
      <c r="AJ1156">
        <v>0</v>
      </c>
      <c r="AK1156">
        <v>1.0332600000000001</v>
      </c>
      <c r="AL1156">
        <v>1</v>
      </c>
      <c r="AM1156">
        <v>0</v>
      </c>
      <c r="AN1156">
        <v>1549</v>
      </c>
      <c r="AO1156">
        <v>0</v>
      </c>
      <c r="AP1156">
        <v>0</v>
      </c>
      <c r="AQ1156">
        <v>0</v>
      </c>
    </row>
    <row r="1157" spans="1:43" x14ac:dyDescent="0.25">
      <c r="A1157">
        <v>1154</v>
      </c>
      <c r="B1157">
        <v>22</v>
      </c>
      <c r="C1157">
        <v>22</v>
      </c>
      <c r="D1157">
        <v>5</v>
      </c>
      <c r="E1157">
        <v>2898</v>
      </c>
      <c r="F1157">
        <v>7159</v>
      </c>
      <c r="G1157">
        <v>7165</v>
      </c>
      <c r="H1157">
        <v>2901</v>
      </c>
      <c r="I1157">
        <v>2688</v>
      </c>
      <c r="J1157">
        <v>218</v>
      </c>
      <c r="K1157">
        <v>433</v>
      </c>
      <c r="L1157">
        <v>126</v>
      </c>
      <c r="M1157">
        <v>395</v>
      </c>
      <c r="N1157">
        <v>1941</v>
      </c>
      <c r="O1157">
        <v>3642</v>
      </c>
      <c r="P1157">
        <v>2088.5545900000002</v>
      </c>
      <c r="Q1157">
        <v>117</v>
      </c>
      <c r="R1157">
        <v>0.31326515900000002</v>
      </c>
      <c r="S1157">
        <v>2374</v>
      </c>
      <c r="T1157">
        <v>74</v>
      </c>
      <c r="U1157">
        <v>1397</v>
      </c>
      <c r="V1157">
        <v>998</v>
      </c>
      <c r="W1157">
        <v>2407</v>
      </c>
      <c r="X1157">
        <v>1984</v>
      </c>
      <c r="Y1157">
        <v>219</v>
      </c>
      <c r="Z1157">
        <v>461</v>
      </c>
      <c r="AA1157">
        <v>1255</v>
      </c>
      <c r="AB1157">
        <v>13</v>
      </c>
      <c r="AC1157">
        <v>137</v>
      </c>
      <c r="AD1157">
        <v>289</v>
      </c>
      <c r="AE1157">
        <v>0</v>
      </c>
      <c r="AF1157">
        <v>0</v>
      </c>
      <c r="AG1157">
        <v>5</v>
      </c>
      <c r="AH1157">
        <v>62</v>
      </c>
      <c r="AI1157">
        <v>0</v>
      </c>
      <c r="AJ1157">
        <v>0</v>
      </c>
      <c r="AK1157">
        <v>1.0012399999999999</v>
      </c>
      <c r="AL1157">
        <v>1</v>
      </c>
      <c r="AM1157">
        <v>0</v>
      </c>
      <c r="AN1157">
        <v>2898</v>
      </c>
      <c r="AO1157">
        <v>6</v>
      </c>
      <c r="AP1157">
        <v>0</v>
      </c>
      <c r="AQ1157">
        <v>0</v>
      </c>
    </row>
    <row r="1158" spans="1:43" x14ac:dyDescent="0.25">
      <c r="A1158">
        <v>1155</v>
      </c>
      <c r="B1158">
        <v>22</v>
      </c>
      <c r="C1158">
        <v>22</v>
      </c>
      <c r="D1158">
        <v>5</v>
      </c>
      <c r="E1158">
        <v>880</v>
      </c>
      <c r="F1158">
        <v>2559</v>
      </c>
      <c r="G1158">
        <v>2559</v>
      </c>
      <c r="H1158">
        <v>1050</v>
      </c>
      <c r="I1158">
        <v>859</v>
      </c>
      <c r="J1158">
        <v>0</v>
      </c>
      <c r="K1158">
        <v>104</v>
      </c>
      <c r="L1158">
        <v>116</v>
      </c>
      <c r="M1158">
        <v>139</v>
      </c>
      <c r="N1158">
        <v>530</v>
      </c>
      <c r="O1158">
        <v>3332</v>
      </c>
      <c r="P1158">
        <v>377.87681800000001</v>
      </c>
      <c r="Q1158">
        <v>48</v>
      </c>
      <c r="R1158">
        <v>0.20114707100000001</v>
      </c>
      <c r="S1158">
        <v>408</v>
      </c>
      <c r="T1158">
        <v>111</v>
      </c>
      <c r="U1158">
        <v>706</v>
      </c>
      <c r="V1158">
        <v>397</v>
      </c>
      <c r="W1158">
        <v>748</v>
      </c>
      <c r="X1158">
        <v>443</v>
      </c>
      <c r="Y1158">
        <v>19</v>
      </c>
      <c r="Z1158">
        <v>152</v>
      </c>
      <c r="AA1158">
        <v>160</v>
      </c>
      <c r="AB1158">
        <v>1</v>
      </c>
      <c r="AC1158">
        <v>23</v>
      </c>
      <c r="AD1158">
        <v>53</v>
      </c>
      <c r="AE1158">
        <v>0</v>
      </c>
      <c r="AF1158">
        <v>0</v>
      </c>
      <c r="AG1158">
        <v>5</v>
      </c>
      <c r="AH1158">
        <v>0</v>
      </c>
      <c r="AI1158">
        <v>0</v>
      </c>
      <c r="AJ1158">
        <v>0</v>
      </c>
      <c r="AK1158">
        <v>1.0005500000000001</v>
      </c>
      <c r="AL1158">
        <v>1</v>
      </c>
      <c r="AM1158">
        <v>0</v>
      </c>
      <c r="AN1158">
        <v>880</v>
      </c>
      <c r="AO1158">
        <v>0</v>
      </c>
      <c r="AP1158">
        <v>0</v>
      </c>
      <c r="AQ1158">
        <v>0</v>
      </c>
    </row>
    <row r="1159" spans="1:43" x14ac:dyDescent="0.25">
      <c r="A1159">
        <v>1156</v>
      </c>
      <c r="B1159">
        <v>22</v>
      </c>
      <c r="C1159">
        <v>22</v>
      </c>
      <c r="D1159">
        <v>5</v>
      </c>
      <c r="E1159">
        <v>1561</v>
      </c>
      <c r="F1159">
        <v>4722</v>
      </c>
      <c r="G1159">
        <v>4722</v>
      </c>
      <c r="H1159">
        <v>2256</v>
      </c>
      <c r="I1159">
        <v>1533</v>
      </c>
      <c r="J1159">
        <v>68</v>
      </c>
      <c r="K1159">
        <v>138</v>
      </c>
      <c r="L1159">
        <v>179</v>
      </c>
      <c r="M1159">
        <v>300</v>
      </c>
      <c r="N1159">
        <v>944</v>
      </c>
      <c r="O1159">
        <v>3359</v>
      </c>
      <c r="P1159">
        <v>930.00120690000006</v>
      </c>
      <c r="Q1159">
        <v>25</v>
      </c>
      <c r="R1159">
        <v>0.228234246</v>
      </c>
      <c r="S1159">
        <v>700</v>
      </c>
      <c r="T1159">
        <v>530</v>
      </c>
      <c r="U1159">
        <v>822</v>
      </c>
      <c r="V1159">
        <v>1104</v>
      </c>
      <c r="W1159">
        <v>1162</v>
      </c>
      <c r="X1159">
        <v>825</v>
      </c>
      <c r="Y1159">
        <v>76</v>
      </c>
      <c r="Z1159">
        <v>233</v>
      </c>
      <c r="AA1159">
        <v>285</v>
      </c>
      <c r="AB1159">
        <v>1</v>
      </c>
      <c r="AC1159">
        <v>39</v>
      </c>
      <c r="AD1159">
        <v>66</v>
      </c>
      <c r="AE1159">
        <v>0</v>
      </c>
      <c r="AF1159">
        <v>0</v>
      </c>
      <c r="AG1159">
        <v>5</v>
      </c>
      <c r="AH1159">
        <v>0</v>
      </c>
      <c r="AI1159">
        <v>0</v>
      </c>
      <c r="AJ1159">
        <v>0</v>
      </c>
      <c r="AK1159">
        <v>1.02654</v>
      </c>
      <c r="AL1159">
        <v>1</v>
      </c>
      <c r="AM1159">
        <v>0</v>
      </c>
      <c r="AN1159">
        <v>1561</v>
      </c>
      <c r="AO1159">
        <v>0</v>
      </c>
      <c r="AP1159">
        <v>0</v>
      </c>
      <c r="AQ1159">
        <v>0</v>
      </c>
    </row>
    <row r="1160" spans="1:43" x14ac:dyDescent="0.25">
      <c r="A1160">
        <v>1157</v>
      </c>
      <c r="B1160">
        <v>22</v>
      </c>
      <c r="C1160">
        <v>22</v>
      </c>
      <c r="D1160">
        <v>5</v>
      </c>
      <c r="E1160">
        <v>1096</v>
      </c>
      <c r="F1160">
        <v>2637</v>
      </c>
      <c r="G1160">
        <v>2637</v>
      </c>
      <c r="H1160">
        <v>1305</v>
      </c>
      <c r="I1160">
        <v>1015</v>
      </c>
      <c r="J1160">
        <v>81</v>
      </c>
      <c r="K1160">
        <v>202</v>
      </c>
      <c r="L1160">
        <v>148</v>
      </c>
      <c r="M1160">
        <v>236</v>
      </c>
      <c r="N1160">
        <v>508</v>
      </c>
      <c r="O1160">
        <v>3416</v>
      </c>
      <c r="P1160">
        <v>241</v>
      </c>
      <c r="Q1160">
        <v>69</v>
      </c>
      <c r="R1160">
        <v>0.31824981299999999</v>
      </c>
      <c r="S1160">
        <v>860</v>
      </c>
      <c r="T1160">
        <v>150</v>
      </c>
      <c r="U1160">
        <v>508</v>
      </c>
      <c r="V1160">
        <v>638</v>
      </c>
      <c r="W1160">
        <v>617</v>
      </c>
      <c r="X1160">
        <v>732</v>
      </c>
      <c r="Y1160">
        <v>57</v>
      </c>
      <c r="Z1160">
        <v>211</v>
      </c>
      <c r="AA1160">
        <v>526</v>
      </c>
      <c r="AB1160">
        <v>1</v>
      </c>
      <c r="AC1160">
        <v>18</v>
      </c>
      <c r="AD1160">
        <v>47</v>
      </c>
      <c r="AE1160">
        <v>0</v>
      </c>
      <c r="AF1160">
        <v>0</v>
      </c>
      <c r="AG1160">
        <v>4</v>
      </c>
      <c r="AH1160">
        <v>1167</v>
      </c>
      <c r="AI1160">
        <v>0</v>
      </c>
      <c r="AJ1160">
        <v>0</v>
      </c>
      <c r="AK1160">
        <v>1.2225600000000001</v>
      </c>
      <c r="AL1160">
        <v>1</v>
      </c>
      <c r="AM1160">
        <v>0</v>
      </c>
      <c r="AN1160">
        <v>1096</v>
      </c>
      <c r="AO1160">
        <v>0</v>
      </c>
      <c r="AP1160">
        <v>0</v>
      </c>
      <c r="AQ1160">
        <v>0</v>
      </c>
    </row>
    <row r="1161" spans="1:43" x14ac:dyDescent="0.25">
      <c r="A1161">
        <v>1158</v>
      </c>
      <c r="B1161">
        <v>22</v>
      </c>
      <c r="C1161">
        <v>22</v>
      </c>
      <c r="D1161">
        <v>5</v>
      </c>
      <c r="E1161">
        <v>2352</v>
      </c>
      <c r="F1161">
        <v>6261</v>
      </c>
      <c r="G1161">
        <v>6261</v>
      </c>
      <c r="H1161">
        <v>2923</v>
      </c>
      <c r="I1161">
        <v>1736</v>
      </c>
      <c r="J1161">
        <v>608</v>
      </c>
      <c r="K1161">
        <v>497</v>
      </c>
      <c r="L1161">
        <v>371</v>
      </c>
      <c r="M1161">
        <v>388</v>
      </c>
      <c r="N1161">
        <v>1087</v>
      </c>
      <c r="O1161">
        <v>1705</v>
      </c>
      <c r="P1161">
        <v>822.73387930000001</v>
      </c>
      <c r="Q1161">
        <v>154</v>
      </c>
      <c r="R1161">
        <v>0.20609555199999999</v>
      </c>
      <c r="S1161">
        <v>1764</v>
      </c>
      <c r="T1161">
        <v>300</v>
      </c>
      <c r="U1161">
        <v>1048</v>
      </c>
      <c r="V1161">
        <v>1870</v>
      </c>
      <c r="W1161">
        <v>1654</v>
      </c>
      <c r="X1161">
        <v>1136</v>
      </c>
      <c r="Y1161">
        <v>362</v>
      </c>
      <c r="Z1161">
        <v>323</v>
      </c>
      <c r="AA1161">
        <v>800</v>
      </c>
      <c r="AB1161">
        <v>2</v>
      </c>
      <c r="AC1161">
        <v>72</v>
      </c>
      <c r="AD1161">
        <v>205</v>
      </c>
      <c r="AE1161">
        <v>0</v>
      </c>
      <c r="AF1161">
        <v>0</v>
      </c>
      <c r="AG1161">
        <v>4</v>
      </c>
      <c r="AH1161">
        <v>0</v>
      </c>
      <c r="AI1161">
        <v>0</v>
      </c>
      <c r="AJ1161">
        <v>0</v>
      </c>
      <c r="AK1161">
        <v>1.0791999999999999</v>
      </c>
      <c r="AL1161">
        <v>1</v>
      </c>
      <c r="AM1161">
        <v>0</v>
      </c>
      <c r="AN1161">
        <v>2352</v>
      </c>
      <c r="AO1161">
        <v>0</v>
      </c>
      <c r="AP1161">
        <v>0</v>
      </c>
      <c r="AQ1161">
        <v>0</v>
      </c>
    </row>
    <row r="1162" spans="1:43" x14ac:dyDescent="0.25">
      <c r="A1162">
        <v>1159</v>
      </c>
      <c r="B1162">
        <v>22</v>
      </c>
      <c r="C1162">
        <v>22</v>
      </c>
      <c r="D1162">
        <v>5</v>
      </c>
      <c r="E1162">
        <v>928</v>
      </c>
      <c r="F1162">
        <v>2693</v>
      </c>
      <c r="G1162">
        <v>3878</v>
      </c>
      <c r="H1162">
        <v>1024</v>
      </c>
      <c r="I1162">
        <v>869</v>
      </c>
      <c r="J1162">
        <v>21</v>
      </c>
      <c r="K1162">
        <v>90</v>
      </c>
      <c r="L1162">
        <v>111</v>
      </c>
      <c r="M1162">
        <v>156</v>
      </c>
      <c r="N1162">
        <v>566</v>
      </c>
      <c r="O1162">
        <v>2987</v>
      </c>
      <c r="P1162">
        <v>716.36180660000002</v>
      </c>
      <c r="Q1162">
        <v>138</v>
      </c>
      <c r="R1162">
        <v>0.22243660400000001</v>
      </c>
      <c r="S1162">
        <v>905</v>
      </c>
      <c r="T1162">
        <v>71</v>
      </c>
      <c r="U1162">
        <v>981</v>
      </c>
      <c r="V1162">
        <v>987</v>
      </c>
      <c r="W1162">
        <v>906</v>
      </c>
      <c r="X1162">
        <v>637</v>
      </c>
      <c r="Y1162">
        <v>22</v>
      </c>
      <c r="Z1162">
        <v>65</v>
      </c>
      <c r="AA1162">
        <v>774</v>
      </c>
      <c r="AB1162">
        <v>0</v>
      </c>
      <c r="AC1162">
        <v>17</v>
      </c>
      <c r="AD1162">
        <v>27</v>
      </c>
      <c r="AE1162">
        <v>0</v>
      </c>
      <c r="AF1162">
        <v>0</v>
      </c>
      <c r="AG1162">
        <v>4</v>
      </c>
      <c r="AH1162">
        <v>0</v>
      </c>
      <c r="AI1162">
        <v>2419</v>
      </c>
      <c r="AJ1162">
        <v>689</v>
      </c>
      <c r="AK1162">
        <v>1.07779</v>
      </c>
      <c r="AL1162">
        <v>1</v>
      </c>
      <c r="AM1162">
        <v>0</v>
      </c>
      <c r="AN1162">
        <v>928</v>
      </c>
      <c r="AO1162">
        <v>1185</v>
      </c>
      <c r="AP1162">
        <v>0</v>
      </c>
      <c r="AQ1162">
        <v>0</v>
      </c>
    </row>
    <row r="1163" spans="1:43" x14ac:dyDescent="0.25">
      <c r="A1163">
        <v>1160</v>
      </c>
      <c r="B1163">
        <v>22</v>
      </c>
      <c r="C1163">
        <v>22</v>
      </c>
      <c r="D1163">
        <v>5</v>
      </c>
      <c r="E1163">
        <v>1689</v>
      </c>
      <c r="F1163">
        <v>4761</v>
      </c>
      <c r="G1163">
        <v>5442</v>
      </c>
      <c r="H1163">
        <v>2064</v>
      </c>
      <c r="I1163">
        <v>1619</v>
      </c>
      <c r="J1163">
        <v>90</v>
      </c>
      <c r="K1163">
        <v>136</v>
      </c>
      <c r="L1163">
        <v>196</v>
      </c>
      <c r="M1163">
        <v>275</v>
      </c>
      <c r="N1163">
        <v>1090</v>
      </c>
      <c r="O1163">
        <v>5838</v>
      </c>
      <c r="P1163">
        <v>979.70370019999996</v>
      </c>
      <c r="Q1163">
        <v>358</v>
      </c>
      <c r="R1163">
        <v>0.21457489900000001</v>
      </c>
      <c r="S1163">
        <v>908</v>
      </c>
      <c r="T1163">
        <v>205</v>
      </c>
      <c r="U1163">
        <v>1379</v>
      </c>
      <c r="V1163">
        <v>1147</v>
      </c>
      <c r="W1163">
        <v>1483</v>
      </c>
      <c r="X1163">
        <v>920</v>
      </c>
      <c r="Y1163">
        <v>12</v>
      </c>
      <c r="Z1163">
        <v>231</v>
      </c>
      <c r="AA1163">
        <v>502</v>
      </c>
      <c r="AB1163">
        <v>12</v>
      </c>
      <c r="AC1163">
        <v>44</v>
      </c>
      <c r="AD1163">
        <v>107</v>
      </c>
      <c r="AE1163">
        <v>0</v>
      </c>
      <c r="AF1163">
        <v>0</v>
      </c>
      <c r="AG1163">
        <v>4</v>
      </c>
      <c r="AH1163">
        <v>0</v>
      </c>
      <c r="AI1163">
        <v>0</v>
      </c>
      <c r="AJ1163">
        <v>0</v>
      </c>
      <c r="AK1163">
        <v>1.00203</v>
      </c>
      <c r="AL1163">
        <v>1</v>
      </c>
      <c r="AM1163">
        <v>0</v>
      </c>
      <c r="AN1163">
        <v>1689</v>
      </c>
      <c r="AO1163">
        <v>681</v>
      </c>
      <c r="AP1163">
        <v>0</v>
      </c>
      <c r="AQ1163">
        <v>0</v>
      </c>
    </row>
    <row r="1164" spans="1:43" x14ac:dyDescent="0.25">
      <c r="A1164">
        <v>1161</v>
      </c>
      <c r="B1164">
        <v>23</v>
      </c>
      <c r="C1164">
        <v>23</v>
      </c>
      <c r="D1164">
        <v>5</v>
      </c>
      <c r="E1164">
        <v>4386</v>
      </c>
      <c r="F1164">
        <v>11703</v>
      </c>
      <c r="G1164">
        <v>11715</v>
      </c>
      <c r="H1164">
        <v>5569</v>
      </c>
      <c r="I1164">
        <v>3821</v>
      </c>
      <c r="J1164">
        <v>766</v>
      </c>
      <c r="K1164">
        <v>769</v>
      </c>
      <c r="L1164">
        <v>607</v>
      </c>
      <c r="M1164">
        <v>681</v>
      </c>
      <c r="N1164">
        <v>2320</v>
      </c>
      <c r="O1164">
        <v>9837</v>
      </c>
      <c r="P1164">
        <v>2668.6639289999998</v>
      </c>
      <c r="Q1164">
        <v>372</v>
      </c>
      <c r="R1164">
        <v>0.20499124299999999</v>
      </c>
      <c r="S1164">
        <v>8829</v>
      </c>
      <c r="T1164">
        <v>344</v>
      </c>
      <c r="U1164">
        <v>3079</v>
      </c>
      <c r="V1164">
        <v>2237</v>
      </c>
      <c r="W1164">
        <v>3821</v>
      </c>
      <c r="X1164">
        <v>1833</v>
      </c>
      <c r="Y1164">
        <v>1061</v>
      </c>
      <c r="Z1164">
        <v>2422</v>
      </c>
      <c r="AA1164">
        <v>3769</v>
      </c>
      <c r="AB1164">
        <v>11</v>
      </c>
      <c r="AC1164">
        <v>438</v>
      </c>
      <c r="AD1164">
        <v>1128</v>
      </c>
      <c r="AE1164">
        <v>0</v>
      </c>
      <c r="AF1164">
        <v>0</v>
      </c>
      <c r="AG1164">
        <v>4</v>
      </c>
      <c r="AH1164">
        <v>2036</v>
      </c>
      <c r="AI1164">
        <v>171</v>
      </c>
      <c r="AJ1164">
        <v>0</v>
      </c>
      <c r="AK1164">
        <v>1.1238300000000001</v>
      </c>
      <c r="AL1164">
        <v>1</v>
      </c>
      <c r="AM1164">
        <v>0</v>
      </c>
      <c r="AN1164">
        <v>4386</v>
      </c>
      <c r="AO1164">
        <v>12</v>
      </c>
      <c r="AP1164">
        <v>0</v>
      </c>
      <c r="AQ1164">
        <v>0</v>
      </c>
    </row>
    <row r="1165" spans="1:43" x14ac:dyDescent="0.25">
      <c r="A1165">
        <v>1162</v>
      </c>
      <c r="B1165">
        <v>23</v>
      </c>
      <c r="C1165">
        <v>23</v>
      </c>
      <c r="D1165">
        <v>5</v>
      </c>
      <c r="E1165">
        <v>466</v>
      </c>
      <c r="F1165">
        <v>1226</v>
      </c>
      <c r="G1165">
        <v>1226</v>
      </c>
      <c r="H1165">
        <v>479</v>
      </c>
      <c r="I1165">
        <v>362</v>
      </c>
      <c r="J1165">
        <v>144</v>
      </c>
      <c r="K1165">
        <v>76</v>
      </c>
      <c r="L1165">
        <v>139</v>
      </c>
      <c r="M1165">
        <v>79</v>
      </c>
      <c r="N1165">
        <v>163</v>
      </c>
      <c r="O1165">
        <v>287</v>
      </c>
      <c r="P1165">
        <v>149</v>
      </c>
      <c r="Q1165">
        <v>21</v>
      </c>
      <c r="R1165">
        <v>0.28067226899999997</v>
      </c>
      <c r="S1165">
        <v>188</v>
      </c>
      <c r="T1165">
        <v>0</v>
      </c>
      <c r="U1165">
        <v>161</v>
      </c>
      <c r="V1165">
        <v>312</v>
      </c>
      <c r="W1165">
        <v>441</v>
      </c>
      <c r="X1165">
        <v>265</v>
      </c>
      <c r="Y1165">
        <v>4</v>
      </c>
      <c r="Z1165">
        <v>67</v>
      </c>
      <c r="AA1165">
        <v>49</v>
      </c>
      <c r="AB1165">
        <v>0</v>
      </c>
      <c r="AC1165">
        <v>17</v>
      </c>
      <c r="AD1165">
        <v>51</v>
      </c>
      <c r="AE1165">
        <v>0</v>
      </c>
      <c r="AF1165">
        <v>0</v>
      </c>
      <c r="AG1165">
        <v>4</v>
      </c>
      <c r="AH1165">
        <v>0</v>
      </c>
      <c r="AI1165">
        <v>0</v>
      </c>
      <c r="AJ1165">
        <v>0</v>
      </c>
      <c r="AK1165">
        <v>1.23675</v>
      </c>
      <c r="AL1165">
        <v>2</v>
      </c>
      <c r="AM1165">
        <v>0</v>
      </c>
      <c r="AN1165">
        <v>466</v>
      </c>
      <c r="AO1165">
        <v>0</v>
      </c>
      <c r="AP1165">
        <v>0</v>
      </c>
      <c r="AQ1165">
        <v>0</v>
      </c>
    </row>
    <row r="1166" spans="1:43" x14ac:dyDescent="0.25">
      <c r="A1166">
        <v>1163</v>
      </c>
      <c r="B1166">
        <v>23</v>
      </c>
      <c r="C1166">
        <v>23</v>
      </c>
      <c r="D1166">
        <v>5</v>
      </c>
      <c r="E1166">
        <v>1303</v>
      </c>
      <c r="F1166">
        <v>3463</v>
      </c>
      <c r="G1166">
        <v>3463</v>
      </c>
      <c r="H1166">
        <v>1466</v>
      </c>
      <c r="I1166">
        <v>1289</v>
      </c>
      <c r="J1166">
        <v>0</v>
      </c>
      <c r="K1166">
        <v>106</v>
      </c>
      <c r="L1166">
        <v>221</v>
      </c>
      <c r="M1166">
        <v>249</v>
      </c>
      <c r="N1166">
        <v>739</v>
      </c>
      <c r="O1166">
        <v>1970</v>
      </c>
      <c r="P1166">
        <v>615.18963359999998</v>
      </c>
      <c r="Q1166">
        <v>22</v>
      </c>
      <c r="R1166">
        <v>0.33858501800000002</v>
      </c>
      <c r="S1166">
        <v>268</v>
      </c>
      <c r="T1166">
        <v>210</v>
      </c>
      <c r="U1166">
        <v>474</v>
      </c>
      <c r="V1166">
        <v>768</v>
      </c>
      <c r="W1166">
        <v>916</v>
      </c>
      <c r="X1166">
        <v>964</v>
      </c>
      <c r="Y1166">
        <v>11</v>
      </c>
      <c r="Z1166">
        <v>46</v>
      </c>
      <c r="AA1166">
        <v>136</v>
      </c>
      <c r="AB1166">
        <v>22</v>
      </c>
      <c r="AC1166">
        <v>22</v>
      </c>
      <c r="AD1166">
        <v>31</v>
      </c>
      <c r="AE1166">
        <v>0</v>
      </c>
      <c r="AF1166">
        <v>0</v>
      </c>
      <c r="AG1166">
        <v>4</v>
      </c>
      <c r="AH1166">
        <v>0</v>
      </c>
      <c r="AI1166">
        <v>0</v>
      </c>
      <c r="AJ1166">
        <v>0</v>
      </c>
      <c r="AK1166">
        <v>1.01701</v>
      </c>
      <c r="AL1166">
        <v>1</v>
      </c>
      <c r="AM1166">
        <v>0</v>
      </c>
      <c r="AN1166">
        <v>1303</v>
      </c>
      <c r="AO1166">
        <v>0</v>
      </c>
      <c r="AP1166">
        <v>0</v>
      </c>
      <c r="AQ1166">
        <v>0</v>
      </c>
    </row>
    <row r="1167" spans="1:43" x14ac:dyDescent="0.25">
      <c r="A1167">
        <v>1164</v>
      </c>
      <c r="B1167">
        <v>23</v>
      </c>
      <c r="C1167">
        <v>23</v>
      </c>
      <c r="D1167">
        <v>5</v>
      </c>
      <c r="E1167">
        <v>1848</v>
      </c>
      <c r="F1167">
        <v>5267</v>
      </c>
      <c r="G1167">
        <v>5332</v>
      </c>
      <c r="H1167">
        <v>2484</v>
      </c>
      <c r="I1167">
        <v>1879</v>
      </c>
      <c r="J1167">
        <v>17</v>
      </c>
      <c r="K1167">
        <v>133</v>
      </c>
      <c r="L1167">
        <v>64</v>
      </c>
      <c r="M1167">
        <v>167</v>
      </c>
      <c r="N1167">
        <v>1478</v>
      </c>
      <c r="O1167">
        <v>5072</v>
      </c>
      <c r="P1167">
        <v>1545.4128900000001</v>
      </c>
      <c r="Q1167">
        <v>26</v>
      </c>
      <c r="R1167">
        <v>0.25889547800000001</v>
      </c>
      <c r="S1167">
        <v>1090</v>
      </c>
      <c r="T1167">
        <v>94</v>
      </c>
      <c r="U1167">
        <v>974</v>
      </c>
      <c r="V1167">
        <v>854</v>
      </c>
      <c r="W1167">
        <v>2264</v>
      </c>
      <c r="X1167">
        <v>1146</v>
      </c>
      <c r="Y1167">
        <v>21</v>
      </c>
      <c r="Z1167">
        <v>344</v>
      </c>
      <c r="AA1167">
        <v>508</v>
      </c>
      <c r="AB1167">
        <v>9</v>
      </c>
      <c r="AC1167">
        <v>56</v>
      </c>
      <c r="AD1167">
        <v>152</v>
      </c>
      <c r="AE1167">
        <v>0</v>
      </c>
      <c r="AF1167">
        <v>0</v>
      </c>
      <c r="AG1167">
        <v>5</v>
      </c>
      <c r="AH1167">
        <v>12</v>
      </c>
      <c r="AI1167">
        <v>0</v>
      </c>
      <c r="AJ1167">
        <v>0</v>
      </c>
      <c r="AK1167">
        <v>0.98441000000000001</v>
      </c>
      <c r="AL1167">
        <v>1</v>
      </c>
      <c r="AM1167">
        <v>0</v>
      </c>
      <c r="AN1167">
        <v>1848</v>
      </c>
      <c r="AO1167">
        <v>65</v>
      </c>
      <c r="AP1167">
        <v>0</v>
      </c>
      <c r="AQ1167">
        <v>0</v>
      </c>
    </row>
    <row r="1168" spans="1:43" x14ac:dyDescent="0.25">
      <c r="A1168">
        <v>1165</v>
      </c>
      <c r="B1168">
        <v>23</v>
      </c>
      <c r="C1168">
        <v>23</v>
      </c>
      <c r="D1168">
        <v>5</v>
      </c>
      <c r="E1168">
        <v>2768</v>
      </c>
      <c r="F1168">
        <v>7743</v>
      </c>
      <c r="G1168">
        <v>7801</v>
      </c>
      <c r="H1168">
        <v>2972</v>
      </c>
      <c r="I1168">
        <v>2563</v>
      </c>
      <c r="J1168">
        <v>214</v>
      </c>
      <c r="K1168">
        <v>400</v>
      </c>
      <c r="L1168">
        <v>310</v>
      </c>
      <c r="M1168">
        <v>378</v>
      </c>
      <c r="N1168">
        <v>1672</v>
      </c>
      <c r="O1168">
        <v>4036</v>
      </c>
      <c r="P1168">
        <v>2250.3925800000002</v>
      </c>
      <c r="Q1168">
        <v>46</v>
      </c>
      <c r="R1168">
        <v>0.30208195199999999</v>
      </c>
      <c r="S1168">
        <v>1237</v>
      </c>
      <c r="T1168">
        <v>410</v>
      </c>
      <c r="U1168">
        <v>1521</v>
      </c>
      <c r="V1168">
        <v>1457</v>
      </c>
      <c r="W1168">
        <v>2086</v>
      </c>
      <c r="X1168">
        <v>1993</v>
      </c>
      <c r="Y1168">
        <v>54</v>
      </c>
      <c r="Z1168">
        <v>245</v>
      </c>
      <c r="AA1168">
        <v>581</v>
      </c>
      <c r="AB1168">
        <v>3</v>
      </c>
      <c r="AC1168">
        <v>87</v>
      </c>
      <c r="AD1168">
        <v>267</v>
      </c>
      <c r="AE1168">
        <v>0</v>
      </c>
      <c r="AF1168">
        <v>0</v>
      </c>
      <c r="AG1168">
        <v>5</v>
      </c>
      <c r="AH1168">
        <v>2042</v>
      </c>
      <c r="AI1168">
        <v>0</v>
      </c>
      <c r="AJ1168">
        <v>0</v>
      </c>
      <c r="AK1168">
        <v>0.96821999999999997</v>
      </c>
      <c r="AL1168">
        <v>1</v>
      </c>
      <c r="AM1168">
        <v>0</v>
      </c>
      <c r="AN1168">
        <v>2768</v>
      </c>
      <c r="AO1168">
        <v>58</v>
      </c>
      <c r="AP1168">
        <v>0</v>
      </c>
      <c r="AQ1168">
        <v>0</v>
      </c>
    </row>
    <row r="1169" spans="1:43" x14ac:dyDescent="0.25">
      <c r="A1169">
        <v>1166</v>
      </c>
      <c r="B1169">
        <v>23</v>
      </c>
      <c r="C1169">
        <v>23</v>
      </c>
      <c r="D1169">
        <v>5</v>
      </c>
      <c r="E1169">
        <v>4230</v>
      </c>
      <c r="F1169">
        <v>12232</v>
      </c>
      <c r="G1169">
        <v>12264</v>
      </c>
      <c r="H1169">
        <v>5248</v>
      </c>
      <c r="I1169">
        <v>4027</v>
      </c>
      <c r="J1169">
        <v>113</v>
      </c>
      <c r="K1169">
        <v>262</v>
      </c>
      <c r="L1169">
        <v>400</v>
      </c>
      <c r="M1169">
        <v>900</v>
      </c>
      <c r="N1169">
        <v>2670</v>
      </c>
      <c r="O1169">
        <v>3931</v>
      </c>
      <c r="P1169">
        <v>2397.4351569999999</v>
      </c>
      <c r="Q1169">
        <v>67</v>
      </c>
      <c r="R1169">
        <v>0.25772589899999998</v>
      </c>
      <c r="S1169">
        <v>2272</v>
      </c>
      <c r="T1169">
        <v>424</v>
      </c>
      <c r="U1169">
        <v>2875</v>
      </c>
      <c r="V1169">
        <v>2005</v>
      </c>
      <c r="W1169">
        <v>4284</v>
      </c>
      <c r="X1169">
        <v>2199</v>
      </c>
      <c r="Y1169">
        <v>83</v>
      </c>
      <c r="Z1169">
        <v>352</v>
      </c>
      <c r="AA1169">
        <v>1558</v>
      </c>
      <c r="AB1169">
        <v>3</v>
      </c>
      <c r="AC1169">
        <v>103</v>
      </c>
      <c r="AD1169">
        <v>173</v>
      </c>
      <c r="AE1169">
        <v>0</v>
      </c>
      <c r="AF1169">
        <v>0</v>
      </c>
      <c r="AG1169">
        <v>4</v>
      </c>
      <c r="AH1169">
        <v>0</v>
      </c>
      <c r="AI1169">
        <v>0</v>
      </c>
      <c r="AJ1169">
        <v>0</v>
      </c>
      <c r="AK1169">
        <v>1.01938</v>
      </c>
      <c r="AL1169">
        <v>1</v>
      </c>
      <c r="AM1169">
        <v>0</v>
      </c>
      <c r="AN1169">
        <v>4230</v>
      </c>
      <c r="AO1169">
        <v>32</v>
      </c>
      <c r="AP1169">
        <v>0</v>
      </c>
      <c r="AQ1169">
        <v>0</v>
      </c>
    </row>
    <row r="1170" spans="1:43" x14ac:dyDescent="0.25">
      <c r="A1170">
        <v>1167</v>
      </c>
      <c r="B1170">
        <v>23</v>
      </c>
      <c r="C1170">
        <v>23</v>
      </c>
      <c r="D1170">
        <v>5</v>
      </c>
      <c r="E1170">
        <v>4267</v>
      </c>
      <c r="F1170">
        <v>11638</v>
      </c>
      <c r="G1170">
        <v>11660</v>
      </c>
      <c r="H1170">
        <v>4889</v>
      </c>
      <c r="I1170">
        <v>4121</v>
      </c>
      <c r="J1170">
        <v>81</v>
      </c>
      <c r="K1170">
        <v>649</v>
      </c>
      <c r="L1170">
        <v>551</v>
      </c>
      <c r="M1170">
        <v>766</v>
      </c>
      <c r="N1170">
        <v>2311</v>
      </c>
      <c r="O1170">
        <v>2726</v>
      </c>
      <c r="P1170">
        <v>1483.1535530000001</v>
      </c>
      <c r="Q1170">
        <v>57</v>
      </c>
      <c r="R1170">
        <v>0.27345963200000001</v>
      </c>
      <c r="S1170">
        <v>1574</v>
      </c>
      <c r="T1170">
        <v>486</v>
      </c>
      <c r="U1170">
        <v>2466</v>
      </c>
      <c r="V1170">
        <v>2195</v>
      </c>
      <c r="W1170">
        <v>3309</v>
      </c>
      <c r="X1170">
        <v>2745</v>
      </c>
      <c r="Y1170">
        <v>48</v>
      </c>
      <c r="Z1170">
        <v>478</v>
      </c>
      <c r="AA1170">
        <v>732</v>
      </c>
      <c r="AB1170">
        <v>3</v>
      </c>
      <c r="AC1170">
        <v>98</v>
      </c>
      <c r="AD1170">
        <v>215</v>
      </c>
      <c r="AE1170">
        <v>0</v>
      </c>
      <c r="AF1170">
        <v>0</v>
      </c>
      <c r="AG1170">
        <v>4</v>
      </c>
      <c r="AH1170">
        <v>0</v>
      </c>
      <c r="AI1170">
        <v>0</v>
      </c>
      <c r="AJ1170">
        <v>0</v>
      </c>
      <c r="AK1170">
        <v>1.0555000000000001</v>
      </c>
      <c r="AL1170">
        <v>1</v>
      </c>
      <c r="AM1170">
        <v>0</v>
      </c>
      <c r="AN1170">
        <v>4267</v>
      </c>
      <c r="AO1170">
        <v>22</v>
      </c>
      <c r="AP1170">
        <v>0</v>
      </c>
      <c r="AQ1170">
        <v>0</v>
      </c>
    </row>
    <row r="1171" spans="1:43" x14ac:dyDescent="0.25">
      <c r="A1171">
        <v>1168</v>
      </c>
      <c r="B1171">
        <v>23</v>
      </c>
      <c r="C1171">
        <v>23</v>
      </c>
      <c r="D1171">
        <v>5</v>
      </c>
      <c r="E1171">
        <v>3606</v>
      </c>
      <c r="F1171">
        <v>8561</v>
      </c>
      <c r="G1171">
        <v>8561</v>
      </c>
      <c r="H1171">
        <v>4308</v>
      </c>
      <c r="I1171">
        <v>2349</v>
      </c>
      <c r="J1171">
        <v>1269</v>
      </c>
      <c r="K1171">
        <v>538</v>
      </c>
      <c r="L1171">
        <v>631</v>
      </c>
      <c r="M1171">
        <v>762</v>
      </c>
      <c r="N1171">
        <v>1667</v>
      </c>
      <c r="O1171">
        <v>1782</v>
      </c>
      <c r="P1171">
        <v>804.06353769999998</v>
      </c>
      <c r="Q1171">
        <v>475</v>
      </c>
      <c r="R1171">
        <v>0.202209945</v>
      </c>
      <c r="S1171">
        <v>17536</v>
      </c>
      <c r="T1171">
        <v>147</v>
      </c>
      <c r="U1171">
        <v>1936</v>
      </c>
      <c r="V1171">
        <v>2076</v>
      </c>
      <c r="W1171">
        <v>2669</v>
      </c>
      <c r="X1171">
        <v>1228</v>
      </c>
      <c r="Y1171">
        <v>1042</v>
      </c>
      <c r="Z1171">
        <v>7881</v>
      </c>
      <c r="AA1171">
        <v>3903</v>
      </c>
      <c r="AB1171">
        <v>24</v>
      </c>
      <c r="AC1171">
        <v>1468</v>
      </c>
      <c r="AD1171">
        <v>3218</v>
      </c>
      <c r="AE1171">
        <v>0</v>
      </c>
      <c r="AF1171">
        <v>0</v>
      </c>
      <c r="AG1171">
        <v>3</v>
      </c>
      <c r="AH1171">
        <v>0</v>
      </c>
      <c r="AI1171">
        <v>0</v>
      </c>
      <c r="AJ1171">
        <v>0</v>
      </c>
      <c r="AK1171">
        <v>1.6212899999999999</v>
      </c>
      <c r="AL1171">
        <v>1</v>
      </c>
      <c r="AM1171">
        <v>0</v>
      </c>
      <c r="AN1171">
        <v>3606</v>
      </c>
      <c r="AO1171">
        <v>0</v>
      </c>
      <c r="AP1171">
        <v>0</v>
      </c>
      <c r="AQ1171">
        <v>0</v>
      </c>
    </row>
    <row r="1172" spans="1:43" x14ac:dyDescent="0.25">
      <c r="A1172">
        <v>1169</v>
      </c>
      <c r="B1172">
        <v>23</v>
      </c>
      <c r="C1172">
        <v>23</v>
      </c>
      <c r="D1172">
        <v>5</v>
      </c>
      <c r="E1172">
        <v>2140</v>
      </c>
      <c r="F1172">
        <v>6197</v>
      </c>
      <c r="G1172">
        <v>6230</v>
      </c>
      <c r="H1172">
        <v>2783</v>
      </c>
      <c r="I1172">
        <v>1796</v>
      </c>
      <c r="J1172">
        <v>407</v>
      </c>
      <c r="K1172">
        <v>166</v>
      </c>
      <c r="L1172">
        <v>244</v>
      </c>
      <c r="M1172">
        <v>655</v>
      </c>
      <c r="N1172">
        <v>1068</v>
      </c>
      <c r="O1172">
        <v>898</v>
      </c>
      <c r="P1172">
        <v>570.76116539999998</v>
      </c>
      <c r="Q1172">
        <v>113</v>
      </c>
      <c r="R1172">
        <v>0.17006257</v>
      </c>
      <c r="S1172">
        <v>3823</v>
      </c>
      <c r="T1172">
        <v>297</v>
      </c>
      <c r="U1172">
        <v>1532</v>
      </c>
      <c r="V1172">
        <v>1639</v>
      </c>
      <c r="W1172">
        <v>1783</v>
      </c>
      <c r="X1172">
        <v>910</v>
      </c>
      <c r="Y1172">
        <v>798</v>
      </c>
      <c r="Z1172">
        <v>1244</v>
      </c>
      <c r="AA1172">
        <v>955</v>
      </c>
      <c r="AB1172">
        <v>3</v>
      </c>
      <c r="AC1172">
        <v>153</v>
      </c>
      <c r="AD1172">
        <v>670</v>
      </c>
      <c r="AE1172">
        <v>0</v>
      </c>
      <c r="AF1172">
        <v>0</v>
      </c>
      <c r="AG1172">
        <v>4</v>
      </c>
      <c r="AH1172">
        <v>0</v>
      </c>
      <c r="AI1172">
        <v>0</v>
      </c>
      <c r="AJ1172">
        <v>0</v>
      </c>
      <c r="AK1172">
        <v>1.26831</v>
      </c>
      <c r="AL1172">
        <v>2</v>
      </c>
      <c r="AM1172">
        <v>0</v>
      </c>
      <c r="AN1172">
        <v>2140</v>
      </c>
      <c r="AO1172">
        <v>33</v>
      </c>
      <c r="AP1172">
        <v>0</v>
      </c>
      <c r="AQ1172">
        <v>0</v>
      </c>
    </row>
    <row r="1173" spans="1:43" x14ac:dyDescent="0.25">
      <c r="A1173">
        <v>1170</v>
      </c>
      <c r="B1173">
        <v>23</v>
      </c>
      <c r="C1173">
        <v>23</v>
      </c>
      <c r="D1173">
        <v>5</v>
      </c>
      <c r="E1173">
        <v>3194</v>
      </c>
      <c r="F1173">
        <v>8498</v>
      </c>
      <c r="G1173">
        <v>8498</v>
      </c>
      <c r="H1173">
        <v>4365</v>
      </c>
      <c r="I1173">
        <v>2205</v>
      </c>
      <c r="J1173">
        <v>922</v>
      </c>
      <c r="K1173">
        <v>252</v>
      </c>
      <c r="L1173">
        <v>599</v>
      </c>
      <c r="M1173">
        <v>1011</v>
      </c>
      <c r="N1173">
        <v>1348</v>
      </c>
      <c r="O1173">
        <v>1771</v>
      </c>
      <c r="P1173">
        <v>751.03041719999999</v>
      </c>
      <c r="Q1173">
        <v>195</v>
      </c>
      <c r="R1173">
        <v>0.15544554499999999</v>
      </c>
      <c r="S1173">
        <v>5407</v>
      </c>
      <c r="T1173">
        <v>487</v>
      </c>
      <c r="U1173">
        <v>1624</v>
      </c>
      <c r="V1173">
        <v>2366</v>
      </c>
      <c r="W1173">
        <v>2486</v>
      </c>
      <c r="X1173">
        <v>1019</v>
      </c>
      <c r="Y1173">
        <v>660</v>
      </c>
      <c r="Z1173">
        <v>1140</v>
      </c>
      <c r="AA1173">
        <v>2576</v>
      </c>
      <c r="AB1173">
        <v>24</v>
      </c>
      <c r="AC1173">
        <v>260</v>
      </c>
      <c r="AD1173">
        <v>747</v>
      </c>
      <c r="AE1173">
        <v>0</v>
      </c>
      <c r="AF1173">
        <v>0</v>
      </c>
      <c r="AG1173">
        <v>4</v>
      </c>
      <c r="AH1173">
        <v>6</v>
      </c>
      <c r="AI1173">
        <v>0</v>
      </c>
      <c r="AJ1173">
        <v>0</v>
      </c>
      <c r="AK1173">
        <v>1.3979200000000001</v>
      </c>
      <c r="AL1173">
        <v>1</v>
      </c>
      <c r="AM1173">
        <v>0</v>
      </c>
      <c r="AN1173">
        <v>3194</v>
      </c>
      <c r="AO1173">
        <v>0</v>
      </c>
      <c r="AP1173">
        <v>0</v>
      </c>
      <c r="AQ1173">
        <v>0</v>
      </c>
    </row>
    <row r="1174" spans="1:43" x14ac:dyDescent="0.25">
      <c r="A1174">
        <v>1171</v>
      </c>
      <c r="B1174">
        <v>23</v>
      </c>
      <c r="C1174">
        <v>23</v>
      </c>
      <c r="D1174">
        <v>5</v>
      </c>
      <c r="E1174">
        <v>3161</v>
      </c>
      <c r="F1174">
        <v>10091</v>
      </c>
      <c r="G1174">
        <v>10108</v>
      </c>
      <c r="H1174">
        <v>4469</v>
      </c>
      <c r="I1174">
        <v>2974</v>
      </c>
      <c r="J1174">
        <v>159</v>
      </c>
      <c r="K1174">
        <v>382</v>
      </c>
      <c r="L1174">
        <v>367</v>
      </c>
      <c r="M1174">
        <v>536</v>
      </c>
      <c r="N1174">
        <v>1864</v>
      </c>
      <c r="O1174">
        <v>4254</v>
      </c>
      <c r="P1174">
        <v>955.50357429999997</v>
      </c>
      <c r="Q1174">
        <v>72</v>
      </c>
      <c r="R1174">
        <v>0.21257330999999999</v>
      </c>
      <c r="S1174">
        <v>1162</v>
      </c>
      <c r="T1174">
        <v>540</v>
      </c>
      <c r="U1174">
        <v>2216</v>
      </c>
      <c r="V1174">
        <v>2365</v>
      </c>
      <c r="W1174">
        <v>2804</v>
      </c>
      <c r="X1174">
        <v>1699</v>
      </c>
      <c r="Y1174">
        <v>128</v>
      </c>
      <c r="Z1174">
        <v>248</v>
      </c>
      <c r="AA1174">
        <v>632</v>
      </c>
      <c r="AB1174">
        <v>2</v>
      </c>
      <c r="AC1174">
        <v>53</v>
      </c>
      <c r="AD1174">
        <v>99</v>
      </c>
      <c r="AE1174">
        <v>0</v>
      </c>
      <c r="AF1174">
        <v>0</v>
      </c>
      <c r="AG1174">
        <v>4</v>
      </c>
      <c r="AH1174">
        <v>5</v>
      </c>
      <c r="AI1174">
        <v>0</v>
      </c>
      <c r="AJ1174">
        <v>0</v>
      </c>
      <c r="AK1174">
        <v>1.10666</v>
      </c>
      <c r="AL1174">
        <v>1</v>
      </c>
      <c r="AM1174">
        <v>0</v>
      </c>
      <c r="AN1174">
        <v>3161</v>
      </c>
      <c r="AO1174">
        <v>17</v>
      </c>
      <c r="AP1174">
        <v>0</v>
      </c>
      <c r="AQ1174">
        <v>0</v>
      </c>
    </row>
    <row r="1175" spans="1:43" x14ac:dyDescent="0.25">
      <c r="A1175">
        <v>1172</v>
      </c>
      <c r="B1175">
        <v>23</v>
      </c>
      <c r="C1175">
        <v>23</v>
      </c>
      <c r="D1175">
        <v>5</v>
      </c>
      <c r="E1175">
        <v>2146</v>
      </c>
      <c r="F1175">
        <v>6683</v>
      </c>
      <c r="G1175">
        <v>6701</v>
      </c>
      <c r="H1175">
        <v>3210</v>
      </c>
      <c r="I1175">
        <v>1715</v>
      </c>
      <c r="J1175">
        <v>436</v>
      </c>
      <c r="K1175">
        <v>265</v>
      </c>
      <c r="L1175">
        <v>348</v>
      </c>
      <c r="M1175">
        <v>442</v>
      </c>
      <c r="N1175">
        <v>1109</v>
      </c>
      <c r="O1175">
        <v>533</v>
      </c>
      <c r="P1175">
        <v>299</v>
      </c>
      <c r="Q1175">
        <v>46</v>
      </c>
      <c r="R1175">
        <v>0.16369676799999999</v>
      </c>
      <c r="S1175">
        <v>668</v>
      </c>
      <c r="T1175">
        <v>479</v>
      </c>
      <c r="U1175">
        <v>1334</v>
      </c>
      <c r="V1175">
        <v>2092</v>
      </c>
      <c r="W1175">
        <v>1707</v>
      </c>
      <c r="X1175">
        <v>946</v>
      </c>
      <c r="Y1175">
        <v>139</v>
      </c>
      <c r="Z1175">
        <v>91</v>
      </c>
      <c r="AA1175">
        <v>348</v>
      </c>
      <c r="AB1175">
        <v>1</v>
      </c>
      <c r="AC1175">
        <v>52</v>
      </c>
      <c r="AD1175">
        <v>37</v>
      </c>
      <c r="AE1175">
        <v>0</v>
      </c>
      <c r="AF1175">
        <v>0</v>
      </c>
      <c r="AG1175">
        <v>4</v>
      </c>
      <c r="AH1175">
        <v>0</v>
      </c>
      <c r="AI1175">
        <v>0</v>
      </c>
      <c r="AJ1175">
        <v>0</v>
      </c>
      <c r="AK1175">
        <v>1.2479100000000001</v>
      </c>
      <c r="AL1175">
        <v>2</v>
      </c>
      <c r="AM1175">
        <v>0</v>
      </c>
      <c r="AN1175">
        <v>2146</v>
      </c>
      <c r="AO1175">
        <v>18</v>
      </c>
      <c r="AP1175">
        <v>0</v>
      </c>
      <c r="AQ1175">
        <v>0</v>
      </c>
    </row>
    <row r="1176" spans="1:43" x14ac:dyDescent="0.25">
      <c r="A1176">
        <v>1173</v>
      </c>
      <c r="B1176">
        <v>23</v>
      </c>
      <c r="C1176">
        <v>23</v>
      </c>
      <c r="D1176">
        <v>5</v>
      </c>
      <c r="E1176">
        <v>1434</v>
      </c>
      <c r="F1176">
        <v>4926</v>
      </c>
      <c r="G1176">
        <v>4945</v>
      </c>
      <c r="H1176">
        <v>2238</v>
      </c>
      <c r="I1176">
        <v>1382</v>
      </c>
      <c r="J1176">
        <v>0</v>
      </c>
      <c r="K1176">
        <v>173</v>
      </c>
      <c r="L1176">
        <v>159</v>
      </c>
      <c r="M1176">
        <v>351</v>
      </c>
      <c r="N1176">
        <v>769</v>
      </c>
      <c r="O1176">
        <v>445</v>
      </c>
      <c r="P1176">
        <v>285</v>
      </c>
      <c r="Q1176">
        <v>65</v>
      </c>
      <c r="R1176">
        <v>0.150010476</v>
      </c>
      <c r="S1176">
        <v>437</v>
      </c>
      <c r="T1176">
        <v>231</v>
      </c>
      <c r="U1176">
        <v>1098</v>
      </c>
      <c r="V1176">
        <v>1347</v>
      </c>
      <c r="W1176">
        <v>1415</v>
      </c>
      <c r="X1176">
        <v>634</v>
      </c>
      <c r="Y1176">
        <v>5</v>
      </c>
      <c r="Z1176">
        <v>53</v>
      </c>
      <c r="AA1176">
        <v>330</v>
      </c>
      <c r="AB1176">
        <v>0</v>
      </c>
      <c r="AC1176">
        <v>11</v>
      </c>
      <c r="AD1176">
        <v>38</v>
      </c>
      <c r="AE1176">
        <v>0</v>
      </c>
      <c r="AF1176">
        <v>0</v>
      </c>
      <c r="AG1176">
        <v>4</v>
      </c>
      <c r="AH1176">
        <v>2894</v>
      </c>
      <c r="AI1176">
        <v>0</v>
      </c>
      <c r="AJ1176">
        <v>0</v>
      </c>
      <c r="AK1176">
        <v>1.14598</v>
      </c>
      <c r="AL1176">
        <v>3</v>
      </c>
      <c r="AM1176">
        <v>0</v>
      </c>
      <c r="AN1176">
        <v>1434</v>
      </c>
      <c r="AO1176">
        <v>19</v>
      </c>
      <c r="AP1176">
        <v>0</v>
      </c>
      <c r="AQ1176">
        <v>0</v>
      </c>
    </row>
    <row r="1177" spans="1:43" x14ac:dyDescent="0.25">
      <c r="A1177">
        <v>1174</v>
      </c>
      <c r="B1177">
        <v>23</v>
      </c>
      <c r="C1177">
        <v>23</v>
      </c>
      <c r="D1177">
        <v>5</v>
      </c>
      <c r="E1177">
        <v>1974</v>
      </c>
      <c r="F1177">
        <v>5259</v>
      </c>
      <c r="G1177">
        <v>5273</v>
      </c>
      <c r="H1177">
        <v>2518</v>
      </c>
      <c r="I1177">
        <v>1750</v>
      </c>
      <c r="J1177">
        <v>222</v>
      </c>
      <c r="K1177">
        <v>330</v>
      </c>
      <c r="L1177">
        <v>241</v>
      </c>
      <c r="M1177">
        <v>312</v>
      </c>
      <c r="N1177">
        <v>1097</v>
      </c>
      <c r="O1177">
        <v>773</v>
      </c>
      <c r="P1177">
        <v>420</v>
      </c>
      <c r="Q1177">
        <v>67</v>
      </c>
      <c r="R1177">
        <v>0.25142073300000001</v>
      </c>
      <c r="S1177">
        <v>698</v>
      </c>
      <c r="T1177">
        <v>101</v>
      </c>
      <c r="U1177">
        <v>960</v>
      </c>
      <c r="V1177">
        <v>1282</v>
      </c>
      <c r="W1177">
        <v>1671</v>
      </c>
      <c r="X1177">
        <v>1043</v>
      </c>
      <c r="Y1177">
        <v>12</v>
      </c>
      <c r="Z1177">
        <v>100</v>
      </c>
      <c r="AA1177">
        <v>370</v>
      </c>
      <c r="AB1177">
        <v>1</v>
      </c>
      <c r="AC1177">
        <v>171</v>
      </c>
      <c r="AD1177">
        <v>44</v>
      </c>
      <c r="AE1177">
        <v>0</v>
      </c>
      <c r="AF1177">
        <v>0</v>
      </c>
      <c r="AG1177">
        <v>4</v>
      </c>
      <c r="AH1177">
        <v>0</v>
      </c>
      <c r="AI1177">
        <v>0</v>
      </c>
      <c r="AJ1177">
        <v>0</v>
      </c>
      <c r="AK1177">
        <v>1.11555</v>
      </c>
      <c r="AL1177">
        <v>2</v>
      </c>
      <c r="AM1177">
        <v>0</v>
      </c>
      <c r="AN1177">
        <v>1974</v>
      </c>
      <c r="AO1177">
        <v>14</v>
      </c>
      <c r="AP1177">
        <v>0</v>
      </c>
      <c r="AQ1177">
        <v>0</v>
      </c>
    </row>
    <row r="1178" spans="1:43" x14ac:dyDescent="0.25">
      <c r="A1178">
        <v>1175</v>
      </c>
      <c r="B1178">
        <v>23</v>
      </c>
      <c r="C1178">
        <v>23</v>
      </c>
      <c r="D1178">
        <v>5</v>
      </c>
      <c r="E1178">
        <v>5309</v>
      </c>
      <c r="F1178">
        <v>15910</v>
      </c>
      <c r="G1178">
        <v>15910</v>
      </c>
      <c r="H1178">
        <v>7106</v>
      </c>
      <c r="I1178">
        <v>3451</v>
      </c>
      <c r="J1178">
        <v>1738</v>
      </c>
      <c r="K1178">
        <v>724</v>
      </c>
      <c r="L1178">
        <v>930</v>
      </c>
      <c r="M1178">
        <v>1135</v>
      </c>
      <c r="N1178">
        <v>2519</v>
      </c>
      <c r="O1178">
        <v>2772</v>
      </c>
      <c r="P1178">
        <v>799.95945800000004</v>
      </c>
      <c r="Q1178">
        <v>1039.711853</v>
      </c>
      <c r="R1178">
        <v>0.106712794</v>
      </c>
      <c r="S1178">
        <v>4262</v>
      </c>
      <c r="T1178">
        <v>1010</v>
      </c>
      <c r="U1178">
        <v>3756</v>
      </c>
      <c r="V1178">
        <v>4867</v>
      </c>
      <c r="W1178">
        <v>3912</v>
      </c>
      <c r="X1178">
        <v>1319</v>
      </c>
      <c r="Y1178">
        <v>124</v>
      </c>
      <c r="Z1178">
        <v>1525</v>
      </c>
      <c r="AA1178">
        <v>1180</v>
      </c>
      <c r="AB1178">
        <v>797</v>
      </c>
      <c r="AC1178">
        <v>482</v>
      </c>
      <c r="AD1178">
        <v>154</v>
      </c>
      <c r="AE1178">
        <v>0</v>
      </c>
      <c r="AF1178">
        <v>0</v>
      </c>
      <c r="AG1178">
        <v>4</v>
      </c>
      <c r="AH1178">
        <v>0</v>
      </c>
      <c r="AI1178">
        <v>0</v>
      </c>
      <c r="AJ1178">
        <v>0</v>
      </c>
      <c r="AK1178">
        <v>1.55277</v>
      </c>
      <c r="AL1178">
        <v>1</v>
      </c>
      <c r="AM1178">
        <v>0</v>
      </c>
      <c r="AN1178">
        <v>5309</v>
      </c>
      <c r="AO1178">
        <v>0</v>
      </c>
      <c r="AP1178">
        <v>0</v>
      </c>
      <c r="AQ1178">
        <v>0</v>
      </c>
    </row>
    <row r="1179" spans="1:43" x14ac:dyDescent="0.25">
      <c r="A1179">
        <v>1176</v>
      </c>
      <c r="B1179">
        <v>23</v>
      </c>
      <c r="C1179">
        <v>23</v>
      </c>
      <c r="D1179">
        <v>5</v>
      </c>
      <c r="E1179">
        <v>16376</v>
      </c>
      <c r="F1179">
        <v>51495</v>
      </c>
      <c r="G1179">
        <v>51682</v>
      </c>
      <c r="H1179">
        <v>23294</v>
      </c>
      <c r="I1179">
        <v>13781</v>
      </c>
      <c r="J1179">
        <v>2205</v>
      </c>
      <c r="K1179">
        <v>1751</v>
      </c>
      <c r="L1179">
        <v>1860</v>
      </c>
      <c r="M1179">
        <v>2955</v>
      </c>
      <c r="N1179">
        <v>9809</v>
      </c>
      <c r="O1179">
        <v>73888</v>
      </c>
      <c r="P1179">
        <v>6224.770278</v>
      </c>
      <c r="Q1179">
        <v>485</v>
      </c>
      <c r="R1179">
        <v>0.15200625000000001</v>
      </c>
      <c r="S1179">
        <v>6510</v>
      </c>
      <c r="T1179">
        <v>2246</v>
      </c>
      <c r="U1179">
        <v>12341</v>
      </c>
      <c r="V1179">
        <v>12676</v>
      </c>
      <c r="W1179">
        <v>16087</v>
      </c>
      <c r="X1179">
        <v>6022</v>
      </c>
      <c r="Y1179">
        <v>611</v>
      </c>
      <c r="Z1179">
        <v>1337</v>
      </c>
      <c r="AA1179">
        <v>3615</v>
      </c>
      <c r="AB1179">
        <v>43</v>
      </c>
      <c r="AC1179">
        <v>348</v>
      </c>
      <c r="AD1179">
        <v>556</v>
      </c>
      <c r="AE1179">
        <v>0</v>
      </c>
      <c r="AF1179">
        <v>0</v>
      </c>
      <c r="AG1179">
        <v>5</v>
      </c>
      <c r="AH1179">
        <v>3490</v>
      </c>
      <c r="AI1179">
        <v>0</v>
      </c>
      <c r="AJ1179">
        <v>0</v>
      </c>
      <c r="AK1179">
        <v>1.05661</v>
      </c>
      <c r="AL1179">
        <v>1</v>
      </c>
      <c r="AM1179">
        <v>0</v>
      </c>
      <c r="AN1179">
        <v>16376</v>
      </c>
      <c r="AO1179">
        <v>187</v>
      </c>
      <c r="AP1179">
        <v>0</v>
      </c>
      <c r="AQ1179">
        <v>0</v>
      </c>
    </row>
    <row r="1180" spans="1:43" x14ac:dyDescent="0.25">
      <c r="A1180">
        <v>1177</v>
      </c>
      <c r="B1180">
        <v>24</v>
      </c>
      <c r="C1180">
        <v>24</v>
      </c>
      <c r="D1180">
        <v>5</v>
      </c>
      <c r="E1180">
        <v>6613</v>
      </c>
      <c r="F1180">
        <v>17608</v>
      </c>
      <c r="G1180">
        <v>17608</v>
      </c>
      <c r="H1180">
        <v>7770</v>
      </c>
      <c r="I1180">
        <v>6796</v>
      </c>
      <c r="J1180">
        <v>140</v>
      </c>
      <c r="K1180">
        <v>996</v>
      </c>
      <c r="L1180">
        <v>1315</v>
      </c>
      <c r="M1180">
        <v>1706</v>
      </c>
      <c r="N1180">
        <v>2588</v>
      </c>
      <c r="O1180">
        <v>45345</v>
      </c>
      <c r="P1180">
        <v>2296.7900810000001</v>
      </c>
      <c r="Q1180">
        <v>1782</v>
      </c>
      <c r="R1180">
        <v>0.27422212400000001</v>
      </c>
      <c r="S1180">
        <v>2254</v>
      </c>
      <c r="T1180">
        <v>881</v>
      </c>
      <c r="U1180">
        <v>3425</v>
      </c>
      <c r="V1180">
        <v>4074</v>
      </c>
      <c r="W1180">
        <v>5488</v>
      </c>
      <c r="X1180">
        <v>3990</v>
      </c>
      <c r="Y1180">
        <v>66</v>
      </c>
      <c r="Z1180">
        <v>589</v>
      </c>
      <c r="AA1180">
        <v>954</v>
      </c>
      <c r="AB1180">
        <v>68</v>
      </c>
      <c r="AC1180">
        <v>202</v>
      </c>
      <c r="AD1180">
        <v>375</v>
      </c>
      <c r="AE1180">
        <v>0</v>
      </c>
      <c r="AF1180">
        <v>0</v>
      </c>
      <c r="AG1180">
        <v>4</v>
      </c>
      <c r="AH1180">
        <v>2566</v>
      </c>
      <c r="AI1180">
        <v>0</v>
      </c>
      <c r="AJ1180">
        <v>0</v>
      </c>
      <c r="AK1180">
        <v>1.0534699999999999</v>
      </c>
      <c r="AL1180">
        <v>3</v>
      </c>
      <c r="AM1180">
        <v>0</v>
      </c>
      <c r="AN1180">
        <v>6613</v>
      </c>
      <c r="AO1180">
        <v>0</v>
      </c>
      <c r="AP1180">
        <v>0</v>
      </c>
      <c r="AQ1180">
        <v>0</v>
      </c>
    </row>
    <row r="1181" spans="1:43" x14ac:dyDescent="0.25">
      <c r="A1181">
        <v>1178</v>
      </c>
      <c r="B1181">
        <v>24</v>
      </c>
      <c r="C1181">
        <v>24</v>
      </c>
      <c r="D1181">
        <v>5</v>
      </c>
      <c r="E1181">
        <v>15496</v>
      </c>
      <c r="F1181">
        <v>45679</v>
      </c>
      <c r="G1181">
        <v>45880</v>
      </c>
      <c r="H1181">
        <v>21267</v>
      </c>
      <c r="I1181">
        <v>14406</v>
      </c>
      <c r="J1181">
        <v>948</v>
      </c>
      <c r="K1181">
        <v>2344</v>
      </c>
      <c r="L1181">
        <v>3888</v>
      </c>
      <c r="M1181">
        <v>4037</v>
      </c>
      <c r="N1181">
        <v>5212</v>
      </c>
      <c r="O1181">
        <v>9506</v>
      </c>
      <c r="P1181">
        <v>3223.8521430000001</v>
      </c>
      <c r="Q1181">
        <v>236</v>
      </c>
      <c r="R1181">
        <v>0.18713622299999999</v>
      </c>
      <c r="S1181">
        <v>10424</v>
      </c>
      <c r="T1181">
        <v>1586</v>
      </c>
      <c r="U1181">
        <v>11636</v>
      </c>
      <c r="V1181">
        <v>13380</v>
      </c>
      <c r="W1181">
        <v>12978</v>
      </c>
      <c r="X1181">
        <v>7516</v>
      </c>
      <c r="Y1181">
        <v>2097</v>
      </c>
      <c r="Z1181">
        <v>1091</v>
      </c>
      <c r="AA1181">
        <v>5913</v>
      </c>
      <c r="AB1181">
        <v>39</v>
      </c>
      <c r="AC1181">
        <v>378</v>
      </c>
      <c r="AD1181">
        <v>906</v>
      </c>
      <c r="AE1181">
        <v>0</v>
      </c>
      <c r="AF1181">
        <v>0</v>
      </c>
      <c r="AG1181">
        <v>4</v>
      </c>
      <c r="AH1181">
        <v>2504</v>
      </c>
      <c r="AI1181">
        <v>0</v>
      </c>
      <c r="AJ1181">
        <v>0</v>
      </c>
      <c r="AK1181">
        <v>1.2936000000000001</v>
      </c>
      <c r="AL1181">
        <v>2</v>
      </c>
      <c r="AM1181">
        <v>0</v>
      </c>
      <c r="AN1181">
        <v>15496</v>
      </c>
      <c r="AO1181">
        <v>201</v>
      </c>
      <c r="AP1181">
        <v>0</v>
      </c>
      <c r="AQ1181">
        <v>0</v>
      </c>
    </row>
    <row r="1182" spans="1:43" x14ac:dyDescent="0.25">
      <c r="A1182">
        <v>1179</v>
      </c>
      <c r="B1182">
        <v>24</v>
      </c>
      <c r="C1182">
        <v>24</v>
      </c>
      <c r="D1182">
        <v>5</v>
      </c>
      <c r="E1182">
        <v>8451</v>
      </c>
      <c r="F1182">
        <v>27748</v>
      </c>
      <c r="G1182">
        <v>27837</v>
      </c>
      <c r="H1182">
        <v>12110</v>
      </c>
      <c r="I1182">
        <v>7729</v>
      </c>
      <c r="J1182">
        <v>664</v>
      </c>
      <c r="K1182">
        <v>1638</v>
      </c>
      <c r="L1182">
        <v>2004</v>
      </c>
      <c r="M1182">
        <v>2338</v>
      </c>
      <c r="N1182">
        <v>2456</v>
      </c>
      <c r="O1182">
        <v>9686</v>
      </c>
      <c r="P1182">
        <v>3099.277838</v>
      </c>
      <c r="Q1182">
        <v>170.48793910000001</v>
      </c>
      <c r="R1182">
        <v>0.13795576000000001</v>
      </c>
      <c r="S1182">
        <v>8020</v>
      </c>
      <c r="T1182">
        <v>1212</v>
      </c>
      <c r="U1182">
        <v>7458</v>
      </c>
      <c r="V1182">
        <v>8820</v>
      </c>
      <c r="W1182">
        <v>7029</v>
      </c>
      <c r="X1182">
        <v>3108</v>
      </c>
      <c r="Y1182">
        <v>854</v>
      </c>
      <c r="Z1182">
        <v>1129</v>
      </c>
      <c r="AA1182">
        <v>3426</v>
      </c>
      <c r="AB1182">
        <v>254</v>
      </c>
      <c r="AC1182">
        <v>624</v>
      </c>
      <c r="AD1182">
        <v>1733</v>
      </c>
      <c r="AE1182">
        <v>0</v>
      </c>
      <c r="AF1182">
        <v>0</v>
      </c>
      <c r="AG1182">
        <v>4</v>
      </c>
      <c r="AH1182">
        <v>3177</v>
      </c>
      <c r="AI1182">
        <v>0</v>
      </c>
      <c r="AJ1182">
        <v>0</v>
      </c>
      <c r="AK1182">
        <v>1.13242</v>
      </c>
      <c r="AL1182">
        <v>3</v>
      </c>
      <c r="AM1182">
        <v>0</v>
      </c>
      <c r="AN1182">
        <v>8451</v>
      </c>
      <c r="AO1182">
        <v>89</v>
      </c>
      <c r="AP1182">
        <v>0</v>
      </c>
      <c r="AQ1182">
        <v>0</v>
      </c>
    </row>
    <row r="1183" spans="1:43" x14ac:dyDescent="0.25">
      <c r="A1183">
        <v>1180</v>
      </c>
      <c r="B1183">
        <v>24</v>
      </c>
      <c r="C1183">
        <v>24</v>
      </c>
      <c r="D1183">
        <v>5</v>
      </c>
      <c r="E1183">
        <v>5105</v>
      </c>
      <c r="F1183">
        <v>17123</v>
      </c>
      <c r="G1183">
        <v>17143</v>
      </c>
      <c r="H1183">
        <v>7121</v>
      </c>
      <c r="I1183">
        <v>4966</v>
      </c>
      <c r="J1183">
        <v>161</v>
      </c>
      <c r="K1183">
        <v>1135</v>
      </c>
      <c r="L1183">
        <v>1055</v>
      </c>
      <c r="M1183">
        <v>1629</v>
      </c>
      <c r="N1183">
        <v>1286</v>
      </c>
      <c r="O1183">
        <v>5840</v>
      </c>
      <c r="P1183">
        <v>2356.3573310000002</v>
      </c>
      <c r="Q1183">
        <v>134</v>
      </c>
      <c r="R1183">
        <v>0.12372317200000001</v>
      </c>
      <c r="S1183">
        <v>1602</v>
      </c>
      <c r="T1183">
        <v>1444</v>
      </c>
      <c r="U1183">
        <v>3562</v>
      </c>
      <c r="V1183">
        <v>6085</v>
      </c>
      <c r="W1183">
        <v>4657</v>
      </c>
      <c r="X1183">
        <v>1487</v>
      </c>
      <c r="Y1183">
        <v>78</v>
      </c>
      <c r="Z1183">
        <v>230</v>
      </c>
      <c r="AA1183">
        <v>809</v>
      </c>
      <c r="AB1183">
        <v>15</v>
      </c>
      <c r="AC1183">
        <v>129</v>
      </c>
      <c r="AD1183">
        <v>341</v>
      </c>
      <c r="AE1183">
        <v>0</v>
      </c>
      <c r="AF1183">
        <v>0</v>
      </c>
      <c r="AG1183">
        <v>4</v>
      </c>
      <c r="AH1183">
        <v>0</v>
      </c>
      <c r="AI1183">
        <v>0</v>
      </c>
      <c r="AJ1183">
        <v>0</v>
      </c>
      <c r="AK1183">
        <v>1.0864400000000001</v>
      </c>
      <c r="AL1183">
        <v>3</v>
      </c>
      <c r="AM1183">
        <v>0</v>
      </c>
      <c r="AN1183">
        <v>5105</v>
      </c>
      <c r="AO1183">
        <v>20</v>
      </c>
      <c r="AP1183">
        <v>0</v>
      </c>
      <c r="AQ1183">
        <v>0</v>
      </c>
    </row>
    <row r="1184" spans="1:43" x14ac:dyDescent="0.25">
      <c r="A1184">
        <v>1181</v>
      </c>
      <c r="B1184">
        <v>24</v>
      </c>
      <c r="C1184">
        <v>24</v>
      </c>
      <c r="D1184">
        <v>5</v>
      </c>
      <c r="E1184">
        <v>1948</v>
      </c>
      <c r="F1184">
        <v>5400</v>
      </c>
      <c r="G1184">
        <v>5431</v>
      </c>
      <c r="H1184">
        <v>2218</v>
      </c>
      <c r="I1184">
        <v>2311</v>
      </c>
      <c r="J1184">
        <v>39</v>
      </c>
      <c r="K1184">
        <v>425</v>
      </c>
      <c r="L1184">
        <v>574</v>
      </c>
      <c r="M1184">
        <v>488</v>
      </c>
      <c r="N1184">
        <v>461</v>
      </c>
      <c r="O1184">
        <v>29348</v>
      </c>
      <c r="P1184">
        <v>785.97688909999999</v>
      </c>
      <c r="Q1184">
        <v>76</v>
      </c>
      <c r="R1184">
        <v>0.17595197900000001</v>
      </c>
      <c r="S1184">
        <v>318</v>
      </c>
      <c r="T1184">
        <v>322</v>
      </c>
      <c r="U1184">
        <v>1112</v>
      </c>
      <c r="V1184">
        <v>1861</v>
      </c>
      <c r="W1184">
        <v>1230</v>
      </c>
      <c r="X1184">
        <v>749</v>
      </c>
      <c r="Y1184">
        <v>15</v>
      </c>
      <c r="Z1184">
        <v>45</v>
      </c>
      <c r="AA1184">
        <v>171</v>
      </c>
      <c r="AB1184">
        <v>14</v>
      </c>
      <c r="AC1184">
        <v>32</v>
      </c>
      <c r="AD1184">
        <v>41</v>
      </c>
      <c r="AE1184">
        <v>0</v>
      </c>
      <c r="AF1184">
        <v>0</v>
      </c>
      <c r="AG1184">
        <v>5</v>
      </c>
      <c r="AH1184">
        <v>286</v>
      </c>
      <c r="AI1184">
        <v>0</v>
      </c>
      <c r="AJ1184">
        <v>0</v>
      </c>
      <c r="AK1184">
        <v>1.2838700000000001</v>
      </c>
      <c r="AL1184">
        <v>3</v>
      </c>
      <c r="AM1184">
        <v>0</v>
      </c>
      <c r="AN1184">
        <v>1948</v>
      </c>
      <c r="AO1184">
        <v>31</v>
      </c>
      <c r="AP1184">
        <v>0</v>
      </c>
      <c r="AQ1184">
        <v>0</v>
      </c>
    </row>
    <row r="1185" spans="1:43" x14ac:dyDescent="0.25">
      <c r="A1185">
        <v>1182</v>
      </c>
      <c r="B1185">
        <v>24</v>
      </c>
      <c r="C1185">
        <v>24</v>
      </c>
      <c r="D1185">
        <v>5</v>
      </c>
      <c r="E1185">
        <v>3630</v>
      </c>
      <c r="F1185">
        <v>11174</v>
      </c>
      <c r="G1185">
        <v>11243</v>
      </c>
      <c r="H1185">
        <v>5787</v>
      </c>
      <c r="I1185">
        <v>3162</v>
      </c>
      <c r="J1185">
        <v>401</v>
      </c>
      <c r="K1185">
        <v>1051</v>
      </c>
      <c r="L1185">
        <v>829</v>
      </c>
      <c r="M1185">
        <v>943</v>
      </c>
      <c r="N1185">
        <v>820</v>
      </c>
      <c r="O1185">
        <v>4321</v>
      </c>
      <c r="P1185">
        <v>812.97758020000003</v>
      </c>
      <c r="Q1185">
        <v>597</v>
      </c>
      <c r="R1185">
        <v>0.15317399100000001</v>
      </c>
      <c r="S1185">
        <v>1861</v>
      </c>
      <c r="T1185">
        <v>731</v>
      </c>
      <c r="U1185">
        <v>2207</v>
      </c>
      <c r="V1185">
        <v>4457</v>
      </c>
      <c r="W1185">
        <v>2901</v>
      </c>
      <c r="X1185">
        <v>1262</v>
      </c>
      <c r="Y1185">
        <v>260</v>
      </c>
      <c r="Z1185">
        <v>219</v>
      </c>
      <c r="AA1185">
        <v>882</v>
      </c>
      <c r="AB1185">
        <v>22</v>
      </c>
      <c r="AC1185">
        <v>183</v>
      </c>
      <c r="AD1185">
        <v>295</v>
      </c>
      <c r="AE1185">
        <v>0</v>
      </c>
      <c r="AF1185">
        <v>0</v>
      </c>
      <c r="AG1185">
        <v>4</v>
      </c>
      <c r="AH1185">
        <v>0</v>
      </c>
      <c r="AI1185">
        <v>0</v>
      </c>
      <c r="AJ1185">
        <v>0</v>
      </c>
      <c r="AK1185">
        <v>1.08551</v>
      </c>
      <c r="AL1185">
        <v>3</v>
      </c>
      <c r="AM1185">
        <v>0</v>
      </c>
      <c r="AN1185">
        <v>3630</v>
      </c>
      <c r="AO1185">
        <v>69</v>
      </c>
      <c r="AP1185">
        <v>0</v>
      </c>
      <c r="AQ1185">
        <v>0</v>
      </c>
    </row>
    <row r="1186" spans="1:43" x14ac:dyDescent="0.25">
      <c r="A1186">
        <v>1183</v>
      </c>
      <c r="B1186">
        <v>24</v>
      </c>
      <c r="C1186">
        <v>24</v>
      </c>
      <c r="D1186">
        <v>5</v>
      </c>
      <c r="E1186">
        <v>1502</v>
      </c>
      <c r="F1186">
        <v>4680</v>
      </c>
      <c r="G1186">
        <v>4707</v>
      </c>
      <c r="H1186">
        <v>1643</v>
      </c>
      <c r="I1186">
        <v>1477</v>
      </c>
      <c r="J1186">
        <v>0</v>
      </c>
      <c r="K1186">
        <v>401</v>
      </c>
      <c r="L1186">
        <v>481</v>
      </c>
      <c r="M1186">
        <v>388</v>
      </c>
      <c r="N1186">
        <v>226</v>
      </c>
      <c r="O1186">
        <v>2319</v>
      </c>
      <c r="P1186">
        <v>549.54487319999998</v>
      </c>
      <c r="Q1186">
        <v>839</v>
      </c>
      <c r="R1186">
        <v>0.17008335199999999</v>
      </c>
      <c r="S1186">
        <v>1721</v>
      </c>
      <c r="T1186">
        <v>295</v>
      </c>
      <c r="U1186">
        <v>903</v>
      </c>
      <c r="V1186">
        <v>1321</v>
      </c>
      <c r="W1186">
        <v>1170</v>
      </c>
      <c r="X1186">
        <v>698</v>
      </c>
      <c r="Y1186">
        <v>105</v>
      </c>
      <c r="Z1186">
        <v>217</v>
      </c>
      <c r="AA1186">
        <v>224</v>
      </c>
      <c r="AB1186">
        <v>1</v>
      </c>
      <c r="AC1186">
        <v>847</v>
      </c>
      <c r="AD1186">
        <v>327</v>
      </c>
      <c r="AE1186">
        <v>0</v>
      </c>
      <c r="AF1186">
        <v>0</v>
      </c>
      <c r="AG1186">
        <v>4</v>
      </c>
      <c r="AH1186">
        <v>132</v>
      </c>
      <c r="AI1186">
        <v>0</v>
      </c>
      <c r="AJ1186">
        <v>0</v>
      </c>
      <c r="AK1186">
        <v>0.98072999999999999</v>
      </c>
      <c r="AL1186">
        <v>2</v>
      </c>
      <c r="AM1186">
        <v>0</v>
      </c>
      <c r="AN1186">
        <v>1502</v>
      </c>
      <c r="AO1186">
        <v>27</v>
      </c>
      <c r="AP1186">
        <v>0</v>
      </c>
      <c r="AQ1186">
        <v>0</v>
      </c>
    </row>
    <row r="1187" spans="1:43" x14ac:dyDescent="0.25">
      <c r="A1187">
        <v>1184</v>
      </c>
      <c r="B1187">
        <v>24</v>
      </c>
      <c r="C1187">
        <v>24</v>
      </c>
      <c r="D1187">
        <v>5</v>
      </c>
      <c r="E1187">
        <v>1524</v>
      </c>
      <c r="F1187">
        <v>4312</v>
      </c>
      <c r="G1187">
        <v>4337</v>
      </c>
      <c r="H1187">
        <v>2179</v>
      </c>
      <c r="I1187">
        <v>1471</v>
      </c>
      <c r="J1187">
        <v>41</v>
      </c>
      <c r="K1187">
        <v>291</v>
      </c>
      <c r="L1187">
        <v>362</v>
      </c>
      <c r="M1187">
        <v>439</v>
      </c>
      <c r="N1187">
        <v>441</v>
      </c>
      <c r="O1187">
        <v>975</v>
      </c>
      <c r="P1187">
        <v>642.04431709999994</v>
      </c>
      <c r="Q1187">
        <v>81.614002439999993</v>
      </c>
      <c r="R1187">
        <v>0.13954525200000001</v>
      </c>
      <c r="S1187">
        <v>496</v>
      </c>
      <c r="T1187">
        <v>167</v>
      </c>
      <c r="U1187">
        <v>788</v>
      </c>
      <c r="V1187">
        <v>1674</v>
      </c>
      <c r="W1187">
        <v>1429</v>
      </c>
      <c r="X1187">
        <v>384</v>
      </c>
      <c r="Y1187">
        <v>40</v>
      </c>
      <c r="Z1187">
        <v>51</v>
      </c>
      <c r="AA1187">
        <v>289</v>
      </c>
      <c r="AB1187">
        <v>0</v>
      </c>
      <c r="AC1187">
        <v>53</v>
      </c>
      <c r="AD1187">
        <v>63</v>
      </c>
      <c r="AE1187">
        <v>0</v>
      </c>
      <c r="AF1187">
        <v>0</v>
      </c>
      <c r="AG1187">
        <v>4</v>
      </c>
      <c r="AH1187">
        <v>0</v>
      </c>
      <c r="AI1187">
        <v>0</v>
      </c>
      <c r="AJ1187">
        <v>0</v>
      </c>
      <c r="AK1187">
        <v>1.0400199999999999</v>
      </c>
      <c r="AL1187">
        <v>1</v>
      </c>
      <c r="AM1187">
        <v>0</v>
      </c>
      <c r="AN1187">
        <v>1524</v>
      </c>
      <c r="AO1187">
        <v>25</v>
      </c>
      <c r="AP1187">
        <v>0</v>
      </c>
      <c r="AQ1187">
        <v>0</v>
      </c>
    </row>
    <row r="1188" spans="1:43" x14ac:dyDescent="0.25">
      <c r="A1188">
        <v>1185</v>
      </c>
      <c r="B1188">
        <v>24</v>
      </c>
      <c r="C1188">
        <v>24</v>
      </c>
      <c r="D1188">
        <v>5</v>
      </c>
      <c r="E1188">
        <v>5646</v>
      </c>
      <c r="F1188">
        <v>17325</v>
      </c>
      <c r="G1188">
        <v>17386</v>
      </c>
      <c r="H1188">
        <v>8849</v>
      </c>
      <c r="I1188">
        <v>5340</v>
      </c>
      <c r="J1188">
        <v>170</v>
      </c>
      <c r="K1188">
        <v>826</v>
      </c>
      <c r="L1188">
        <v>1181</v>
      </c>
      <c r="M1188">
        <v>1992</v>
      </c>
      <c r="N1188">
        <v>1684</v>
      </c>
      <c r="O1188">
        <v>2909</v>
      </c>
      <c r="P1188">
        <v>2222.1706939999999</v>
      </c>
      <c r="Q1188">
        <v>108.4481292</v>
      </c>
      <c r="R1188">
        <v>0.15589679200000001</v>
      </c>
      <c r="S1188">
        <v>3227</v>
      </c>
      <c r="T1188">
        <v>1313</v>
      </c>
      <c r="U1188">
        <v>3309</v>
      </c>
      <c r="V1188">
        <v>5586</v>
      </c>
      <c r="W1188">
        <v>5083</v>
      </c>
      <c r="X1188">
        <v>2050</v>
      </c>
      <c r="Y1188">
        <v>972</v>
      </c>
      <c r="Z1188">
        <v>318</v>
      </c>
      <c r="AA1188">
        <v>1501</v>
      </c>
      <c r="AB1188">
        <v>3</v>
      </c>
      <c r="AC1188">
        <v>132</v>
      </c>
      <c r="AD1188">
        <v>301</v>
      </c>
      <c r="AE1188">
        <v>0</v>
      </c>
      <c r="AF1188">
        <v>0</v>
      </c>
      <c r="AG1188">
        <v>4</v>
      </c>
      <c r="AH1188">
        <v>2460</v>
      </c>
      <c r="AI1188">
        <v>0</v>
      </c>
      <c r="AJ1188">
        <v>0</v>
      </c>
      <c r="AK1188">
        <v>1.1397699999999999</v>
      </c>
      <c r="AL1188">
        <v>2</v>
      </c>
      <c r="AM1188">
        <v>0</v>
      </c>
      <c r="AN1188">
        <v>5646</v>
      </c>
      <c r="AO1188">
        <v>61</v>
      </c>
      <c r="AP1188">
        <v>0</v>
      </c>
      <c r="AQ1188">
        <v>0</v>
      </c>
    </row>
    <row r="1189" spans="1:43" x14ac:dyDescent="0.25">
      <c r="A1189">
        <v>1186</v>
      </c>
      <c r="B1189">
        <v>24</v>
      </c>
      <c r="C1189">
        <v>24</v>
      </c>
      <c r="D1189">
        <v>5</v>
      </c>
      <c r="E1189">
        <v>5607</v>
      </c>
      <c r="F1189">
        <v>17162</v>
      </c>
      <c r="G1189">
        <v>17190</v>
      </c>
      <c r="H1189">
        <v>8048</v>
      </c>
      <c r="I1189">
        <v>5254</v>
      </c>
      <c r="J1189">
        <v>400</v>
      </c>
      <c r="K1189">
        <v>1336</v>
      </c>
      <c r="L1189">
        <v>1491</v>
      </c>
      <c r="M1189">
        <v>1443</v>
      </c>
      <c r="N1189">
        <v>1349</v>
      </c>
      <c r="O1189">
        <v>1803</v>
      </c>
      <c r="P1189">
        <v>1120</v>
      </c>
      <c r="Q1189">
        <v>99.648107400000001</v>
      </c>
      <c r="R1189">
        <v>0.18903672199999999</v>
      </c>
      <c r="S1189">
        <v>3536</v>
      </c>
      <c r="T1189">
        <v>1112</v>
      </c>
      <c r="U1189">
        <v>3823</v>
      </c>
      <c r="V1189">
        <v>5530</v>
      </c>
      <c r="W1189">
        <v>5573</v>
      </c>
      <c r="X1189">
        <v>2559</v>
      </c>
      <c r="Y1189">
        <v>485</v>
      </c>
      <c r="Z1189">
        <v>336</v>
      </c>
      <c r="AA1189">
        <v>2374</v>
      </c>
      <c r="AB1189">
        <v>3</v>
      </c>
      <c r="AC1189">
        <v>83</v>
      </c>
      <c r="AD1189">
        <v>255</v>
      </c>
      <c r="AE1189">
        <v>0</v>
      </c>
      <c r="AF1189">
        <v>0</v>
      </c>
      <c r="AG1189">
        <v>4</v>
      </c>
      <c r="AH1189">
        <v>0</v>
      </c>
      <c r="AI1189">
        <v>200</v>
      </c>
      <c r="AJ1189">
        <v>974</v>
      </c>
      <c r="AK1189">
        <v>1.2694099999999999</v>
      </c>
      <c r="AL1189">
        <v>1</v>
      </c>
      <c r="AM1189">
        <v>0</v>
      </c>
      <c r="AN1189">
        <v>5607</v>
      </c>
      <c r="AO1189">
        <v>28</v>
      </c>
      <c r="AP1189">
        <v>0</v>
      </c>
      <c r="AQ1189">
        <v>0</v>
      </c>
    </row>
    <row r="1190" spans="1:43" x14ac:dyDescent="0.25">
      <c r="A1190">
        <v>1187</v>
      </c>
      <c r="B1190">
        <v>24</v>
      </c>
      <c r="C1190">
        <v>24</v>
      </c>
      <c r="D1190">
        <v>5</v>
      </c>
      <c r="E1190">
        <v>2951</v>
      </c>
      <c r="F1190">
        <v>7924</v>
      </c>
      <c r="G1190">
        <v>7924</v>
      </c>
      <c r="H1190">
        <v>3179</v>
      </c>
      <c r="I1190">
        <v>2753</v>
      </c>
      <c r="J1190">
        <v>125</v>
      </c>
      <c r="K1190">
        <v>591</v>
      </c>
      <c r="L1190">
        <v>1181</v>
      </c>
      <c r="M1190">
        <v>748</v>
      </c>
      <c r="N1190">
        <v>423</v>
      </c>
      <c r="O1190">
        <v>905</v>
      </c>
      <c r="P1190">
        <v>502.13662590000001</v>
      </c>
      <c r="Q1190">
        <v>130.97979169999999</v>
      </c>
      <c r="R1190">
        <v>0.184564644</v>
      </c>
      <c r="S1190">
        <v>1838</v>
      </c>
      <c r="T1190">
        <v>301</v>
      </c>
      <c r="U1190">
        <v>1669</v>
      </c>
      <c r="V1190">
        <v>2307</v>
      </c>
      <c r="W1190">
        <v>2001</v>
      </c>
      <c r="X1190">
        <v>1211</v>
      </c>
      <c r="Y1190">
        <v>305</v>
      </c>
      <c r="Z1190">
        <v>162</v>
      </c>
      <c r="AA1190">
        <v>1277</v>
      </c>
      <c r="AB1190">
        <v>1</v>
      </c>
      <c r="AC1190">
        <v>27</v>
      </c>
      <c r="AD1190">
        <v>66</v>
      </c>
      <c r="AE1190">
        <v>0</v>
      </c>
      <c r="AF1190">
        <v>0</v>
      </c>
      <c r="AG1190">
        <v>4</v>
      </c>
      <c r="AH1190">
        <v>0</v>
      </c>
      <c r="AI1190">
        <v>0</v>
      </c>
      <c r="AJ1190">
        <v>0</v>
      </c>
      <c r="AK1190">
        <v>1.2487999999999999</v>
      </c>
      <c r="AL1190">
        <v>1</v>
      </c>
      <c r="AM1190">
        <v>0</v>
      </c>
      <c r="AN1190">
        <v>2951</v>
      </c>
      <c r="AO1190">
        <v>0</v>
      </c>
      <c r="AP1190">
        <v>0</v>
      </c>
      <c r="AQ1190">
        <v>0</v>
      </c>
    </row>
    <row r="1191" spans="1:43" x14ac:dyDescent="0.25">
      <c r="A1191">
        <v>1188</v>
      </c>
      <c r="B1191">
        <v>24</v>
      </c>
      <c r="C1191">
        <v>24</v>
      </c>
      <c r="D1191">
        <v>5</v>
      </c>
      <c r="E1191">
        <v>3185</v>
      </c>
      <c r="F1191">
        <v>8616</v>
      </c>
      <c r="G1191">
        <v>8658</v>
      </c>
      <c r="H1191">
        <v>3712</v>
      </c>
      <c r="I1191">
        <v>2569</v>
      </c>
      <c r="J1191">
        <v>513</v>
      </c>
      <c r="K1191">
        <v>1283</v>
      </c>
      <c r="L1191">
        <v>959</v>
      </c>
      <c r="M1191">
        <v>571</v>
      </c>
      <c r="N1191">
        <v>366</v>
      </c>
      <c r="O1191">
        <v>878</v>
      </c>
      <c r="P1191">
        <v>369.24061970000002</v>
      </c>
      <c r="Q1191">
        <v>260</v>
      </c>
      <c r="R1191">
        <v>0.19370915899999999</v>
      </c>
      <c r="S1191">
        <v>1577</v>
      </c>
      <c r="T1191">
        <v>749</v>
      </c>
      <c r="U1191">
        <v>1438</v>
      </c>
      <c r="V1191">
        <v>3193</v>
      </c>
      <c r="W1191">
        <v>2153</v>
      </c>
      <c r="X1191">
        <v>1394</v>
      </c>
      <c r="Y1191">
        <v>114</v>
      </c>
      <c r="Z1191">
        <v>160</v>
      </c>
      <c r="AA1191">
        <v>774</v>
      </c>
      <c r="AB1191">
        <v>4</v>
      </c>
      <c r="AC1191">
        <v>142</v>
      </c>
      <c r="AD1191">
        <v>383</v>
      </c>
      <c r="AE1191">
        <v>0</v>
      </c>
      <c r="AF1191">
        <v>0</v>
      </c>
      <c r="AG1191">
        <v>4</v>
      </c>
      <c r="AH1191">
        <v>161</v>
      </c>
      <c r="AI1191">
        <v>0</v>
      </c>
      <c r="AJ1191">
        <v>0</v>
      </c>
      <c r="AK1191">
        <v>1.26244</v>
      </c>
      <c r="AL1191">
        <v>2</v>
      </c>
      <c r="AM1191">
        <v>0</v>
      </c>
      <c r="AN1191">
        <v>3185</v>
      </c>
      <c r="AO1191">
        <v>42</v>
      </c>
      <c r="AP1191">
        <v>0</v>
      </c>
      <c r="AQ1191">
        <v>0</v>
      </c>
    </row>
    <row r="1192" spans="1:43" x14ac:dyDescent="0.25">
      <c r="A1192">
        <v>1189</v>
      </c>
      <c r="B1192">
        <v>24</v>
      </c>
      <c r="C1192">
        <v>24</v>
      </c>
      <c r="D1192">
        <v>5</v>
      </c>
      <c r="E1192">
        <v>2386</v>
      </c>
      <c r="F1192">
        <v>6933</v>
      </c>
      <c r="G1192">
        <v>7012</v>
      </c>
      <c r="H1192">
        <v>2783</v>
      </c>
      <c r="I1192">
        <v>1341</v>
      </c>
      <c r="J1192">
        <v>1106</v>
      </c>
      <c r="K1192">
        <v>1168</v>
      </c>
      <c r="L1192">
        <v>691</v>
      </c>
      <c r="M1192">
        <v>273</v>
      </c>
      <c r="N1192">
        <v>255</v>
      </c>
      <c r="O1192">
        <v>2307</v>
      </c>
      <c r="P1192">
        <v>195</v>
      </c>
      <c r="Q1192">
        <v>789</v>
      </c>
      <c r="R1192">
        <v>0.16487844600000001</v>
      </c>
      <c r="S1192">
        <v>5320</v>
      </c>
      <c r="T1192">
        <v>555</v>
      </c>
      <c r="U1192">
        <v>1667</v>
      </c>
      <c r="V1192">
        <v>2418</v>
      </c>
      <c r="W1192">
        <v>1570</v>
      </c>
      <c r="X1192">
        <v>1086</v>
      </c>
      <c r="Y1192">
        <v>1527</v>
      </c>
      <c r="Z1192">
        <v>702</v>
      </c>
      <c r="AA1192">
        <v>2260</v>
      </c>
      <c r="AB1192">
        <v>3</v>
      </c>
      <c r="AC1192">
        <v>371</v>
      </c>
      <c r="AD1192">
        <v>457</v>
      </c>
      <c r="AE1192">
        <v>0</v>
      </c>
      <c r="AF1192">
        <v>0</v>
      </c>
      <c r="AG1192">
        <v>4</v>
      </c>
      <c r="AH1192">
        <v>382</v>
      </c>
      <c r="AI1192">
        <v>0</v>
      </c>
      <c r="AJ1192">
        <v>0</v>
      </c>
      <c r="AK1192">
        <v>1.29104</v>
      </c>
      <c r="AL1192">
        <v>3</v>
      </c>
      <c r="AM1192">
        <v>0</v>
      </c>
      <c r="AN1192">
        <v>2386</v>
      </c>
      <c r="AO1192">
        <v>79</v>
      </c>
      <c r="AP1192">
        <v>0</v>
      </c>
      <c r="AQ1192">
        <v>0</v>
      </c>
    </row>
    <row r="1193" spans="1:43" x14ac:dyDescent="0.25">
      <c r="A1193">
        <v>1190</v>
      </c>
      <c r="B1193">
        <v>24</v>
      </c>
      <c r="C1193">
        <v>24</v>
      </c>
      <c r="D1193">
        <v>5</v>
      </c>
      <c r="E1193">
        <v>1540</v>
      </c>
      <c r="F1193">
        <v>4394</v>
      </c>
      <c r="G1193">
        <v>4405</v>
      </c>
      <c r="H1193">
        <v>1818</v>
      </c>
      <c r="I1193">
        <v>518</v>
      </c>
      <c r="J1193">
        <v>1073</v>
      </c>
      <c r="K1193">
        <v>830</v>
      </c>
      <c r="L1193">
        <v>463</v>
      </c>
      <c r="M1193">
        <v>189</v>
      </c>
      <c r="N1193">
        <v>56</v>
      </c>
      <c r="O1193">
        <v>176</v>
      </c>
      <c r="P1193">
        <v>102</v>
      </c>
      <c r="Q1193">
        <v>33.773565840000003</v>
      </c>
      <c r="R1193">
        <v>7.8330730000000001E-2</v>
      </c>
      <c r="S1193">
        <v>596</v>
      </c>
      <c r="T1193">
        <v>362</v>
      </c>
      <c r="U1193">
        <v>1193</v>
      </c>
      <c r="V1193">
        <v>1913</v>
      </c>
      <c r="W1193">
        <v>709</v>
      </c>
      <c r="X1193">
        <v>259</v>
      </c>
      <c r="Y1193">
        <v>162</v>
      </c>
      <c r="Z1193">
        <v>67</v>
      </c>
      <c r="AA1193">
        <v>345</v>
      </c>
      <c r="AB1193">
        <v>0</v>
      </c>
      <c r="AC1193">
        <v>8</v>
      </c>
      <c r="AD1193">
        <v>14</v>
      </c>
      <c r="AE1193">
        <v>0</v>
      </c>
      <c r="AF1193">
        <v>0</v>
      </c>
      <c r="AG1193">
        <v>3</v>
      </c>
      <c r="AH1193">
        <v>0</v>
      </c>
      <c r="AI1193">
        <v>0</v>
      </c>
      <c r="AJ1193">
        <v>0</v>
      </c>
      <c r="AK1193">
        <v>1.5197099999999999</v>
      </c>
      <c r="AL1193">
        <v>3</v>
      </c>
      <c r="AM1193">
        <v>0</v>
      </c>
      <c r="AN1193">
        <v>1540</v>
      </c>
      <c r="AO1193">
        <v>11</v>
      </c>
      <c r="AP1193">
        <v>0</v>
      </c>
      <c r="AQ1193">
        <v>0</v>
      </c>
    </row>
    <row r="1194" spans="1:43" x14ac:dyDescent="0.25">
      <c r="A1194">
        <v>1191</v>
      </c>
      <c r="B1194">
        <v>24</v>
      </c>
      <c r="C1194">
        <v>24</v>
      </c>
      <c r="D1194">
        <v>5</v>
      </c>
      <c r="E1194">
        <v>1956</v>
      </c>
      <c r="F1194">
        <v>6041</v>
      </c>
      <c r="G1194">
        <v>6041</v>
      </c>
      <c r="H1194">
        <v>2673</v>
      </c>
      <c r="I1194">
        <v>1494</v>
      </c>
      <c r="J1194">
        <v>439</v>
      </c>
      <c r="K1194">
        <v>784</v>
      </c>
      <c r="L1194">
        <v>638</v>
      </c>
      <c r="M1194">
        <v>344</v>
      </c>
      <c r="N1194">
        <v>178</v>
      </c>
      <c r="O1194">
        <v>397</v>
      </c>
      <c r="P1194">
        <v>201</v>
      </c>
      <c r="Q1194">
        <v>62</v>
      </c>
      <c r="R1194">
        <v>0.164697707</v>
      </c>
      <c r="S1194">
        <v>1151</v>
      </c>
      <c r="T1194">
        <v>395</v>
      </c>
      <c r="U1194">
        <v>1015</v>
      </c>
      <c r="V1194">
        <v>2286</v>
      </c>
      <c r="W1194">
        <v>1253</v>
      </c>
      <c r="X1194">
        <v>742</v>
      </c>
      <c r="Y1194">
        <v>35</v>
      </c>
      <c r="Z1194">
        <v>155</v>
      </c>
      <c r="AA1194">
        <v>558</v>
      </c>
      <c r="AB1194">
        <v>0</v>
      </c>
      <c r="AC1194">
        <v>13</v>
      </c>
      <c r="AD1194">
        <v>390</v>
      </c>
      <c r="AE1194">
        <v>0</v>
      </c>
      <c r="AF1194">
        <v>0</v>
      </c>
      <c r="AG1194">
        <v>4</v>
      </c>
      <c r="AH1194">
        <v>1776</v>
      </c>
      <c r="AI1194">
        <v>0</v>
      </c>
      <c r="AJ1194">
        <v>0</v>
      </c>
      <c r="AK1194">
        <v>1.4355</v>
      </c>
      <c r="AL1194">
        <v>2</v>
      </c>
      <c r="AM1194">
        <v>0</v>
      </c>
      <c r="AN1194">
        <v>1956</v>
      </c>
      <c r="AO1194">
        <v>0</v>
      </c>
      <c r="AP1194">
        <v>0</v>
      </c>
      <c r="AQ1194">
        <v>0</v>
      </c>
    </row>
    <row r="1195" spans="1:43" x14ac:dyDescent="0.25">
      <c r="A1195">
        <v>1192</v>
      </c>
      <c r="B1195">
        <v>24</v>
      </c>
      <c r="C1195">
        <v>24</v>
      </c>
      <c r="D1195">
        <v>5</v>
      </c>
      <c r="E1195">
        <v>1541</v>
      </c>
      <c r="F1195">
        <v>4399</v>
      </c>
      <c r="G1195">
        <v>4420</v>
      </c>
      <c r="H1195">
        <v>2131</v>
      </c>
      <c r="I1195">
        <v>1518</v>
      </c>
      <c r="J1195">
        <v>7</v>
      </c>
      <c r="K1195">
        <v>237</v>
      </c>
      <c r="L1195">
        <v>616</v>
      </c>
      <c r="M1195">
        <v>448</v>
      </c>
      <c r="N1195">
        <v>244</v>
      </c>
      <c r="O1195">
        <v>369</v>
      </c>
      <c r="P1195">
        <v>205</v>
      </c>
      <c r="Q1195">
        <v>36</v>
      </c>
      <c r="R1195">
        <v>0.169257718</v>
      </c>
      <c r="S1195">
        <v>274</v>
      </c>
      <c r="T1195">
        <v>141</v>
      </c>
      <c r="U1195">
        <v>850</v>
      </c>
      <c r="V1195">
        <v>1641</v>
      </c>
      <c r="W1195">
        <v>1258</v>
      </c>
      <c r="X1195">
        <v>623</v>
      </c>
      <c r="Y1195">
        <v>3</v>
      </c>
      <c r="Z1195">
        <v>26</v>
      </c>
      <c r="AA1195">
        <v>215</v>
      </c>
      <c r="AB1195">
        <v>0</v>
      </c>
      <c r="AC1195">
        <v>7</v>
      </c>
      <c r="AD1195">
        <v>23</v>
      </c>
      <c r="AE1195">
        <v>0</v>
      </c>
      <c r="AF1195">
        <v>0</v>
      </c>
      <c r="AG1195">
        <v>4</v>
      </c>
      <c r="AH1195">
        <v>0</v>
      </c>
      <c r="AI1195">
        <v>0</v>
      </c>
      <c r="AJ1195">
        <v>0</v>
      </c>
      <c r="AK1195">
        <v>1.2278</v>
      </c>
      <c r="AL1195">
        <v>1</v>
      </c>
      <c r="AM1195">
        <v>0</v>
      </c>
      <c r="AN1195">
        <v>1541</v>
      </c>
      <c r="AO1195">
        <v>21</v>
      </c>
      <c r="AP1195">
        <v>0</v>
      </c>
      <c r="AQ1195">
        <v>0</v>
      </c>
    </row>
    <row r="1196" spans="1:43" x14ac:dyDescent="0.25">
      <c r="A1196">
        <v>1193</v>
      </c>
      <c r="B1196">
        <v>24</v>
      </c>
      <c r="C1196">
        <v>24</v>
      </c>
      <c r="D1196">
        <v>5</v>
      </c>
      <c r="E1196">
        <v>2857</v>
      </c>
      <c r="F1196">
        <v>7206</v>
      </c>
      <c r="G1196">
        <v>7251</v>
      </c>
      <c r="H1196">
        <v>3924</v>
      </c>
      <c r="I1196">
        <v>1763</v>
      </c>
      <c r="J1196">
        <v>987</v>
      </c>
      <c r="K1196">
        <v>893</v>
      </c>
      <c r="L1196">
        <v>1185</v>
      </c>
      <c r="M1196">
        <v>423</v>
      </c>
      <c r="N1196">
        <v>364</v>
      </c>
      <c r="O1196">
        <v>782</v>
      </c>
      <c r="P1196">
        <v>375.4353625</v>
      </c>
      <c r="Q1196">
        <v>103.07329609999999</v>
      </c>
      <c r="R1196">
        <v>0.14389869499999999</v>
      </c>
      <c r="S1196">
        <v>917</v>
      </c>
      <c r="T1196">
        <v>754</v>
      </c>
      <c r="U1196">
        <v>1278</v>
      </c>
      <c r="V1196">
        <v>2934</v>
      </c>
      <c r="W1196">
        <v>1836</v>
      </c>
      <c r="X1196">
        <v>938</v>
      </c>
      <c r="Y1196">
        <v>218</v>
      </c>
      <c r="Z1196">
        <v>119</v>
      </c>
      <c r="AA1196">
        <v>502</v>
      </c>
      <c r="AB1196">
        <v>1</v>
      </c>
      <c r="AC1196">
        <v>35</v>
      </c>
      <c r="AD1196">
        <v>42</v>
      </c>
      <c r="AE1196">
        <v>0</v>
      </c>
      <c r="AF1196">
        <v>0</v>
      </c>
      <c r="AG1196">
        <v>4</v>
      </c>
      <c r="AH1196">
        <v>0</v>
      </c>
      <c r="AI1196">
        <v>0</v>
      </c>
      <c r="AJ1196">
        <v>0</v>
      </c>
      <c r="AK1196">
        <v>1.2287600000000001</v>
      </c>
      <c r="AL1196">
        <v>1</v>
      </c>
      <c r="AM1196">
        <v>0</v>
      </c>
      <c r="AN1196">
        <v>2857</v>
      </c>
      <c r="AO1196">
        <v>45</v>
      </c>
      <c r="AP1196">
        <v>0</v>
      </c>
      <c r="AQ1196">
        <v>0</v>
      </c>
    </row>
    <row r="1197" spans="1:43" x14ac:dyDescent="0.25">
      <c r="A1197">
        <v>1194</v>
      </c>
      <c r="B1197">
        <v>24</v>
      </c>
      <c r="C1197">
        <v>24</v>
      </c>
      <c r="D1197">
        <v>5</v>
      </c>
      <c r="E1197">
        <v>1559</v>
      </c>
      <c r="F1197">
        <v>4190</v>
      </c>
      <c r="G1197">
        <v>4190</v>
      </c>
      <c r="H1197">
        <v>1939</v>
      </c>
      <c r="I1197">
        <v>1228</v>
      </c>
      <c r="J1197">
        <v>352</v>
      </c>
      <c r="K1197">
        <v>635</v>
      </c>
      <c r="L1197">
        <v>335</v>
      </c>
      <c r="M1197">
        <v>384</v>
      </c>
      <c r="N1197">
        <v>206</v>
      </c>
      <c r="O1197">
        <v>528</v>
      </c>
      <c r="P1197">
        <v>283.30090039999999</v>
      </c>
      <c r="Q1197">
        <v>83</v>
      </c>
      <c r="R1197">
        <v>0.26255658500000001</v>
      </c>
      <c r="S1197">
        <v>364</v>
      </c>
      <c r="T1197">
        <v>465</v>
      </c>
      <c r="U1197">
        <v>753</v>
      </c>
      <c r="V1197">
        <v>1487</v>
      </c>
      <c r="W1197">
        <v>1001</v>
      </c>
      <c r="X1197">
        <v>901</v>
      </c>
      <c r="Y1197">
        <v>19</v>
      </c>
      <c r="Z1197">
        <v>43</v>
      </c>
      <c r="AA1197">
        <v>269</v>
      </c>
      <c r="AB1197">
        <v>0</v>
      </c>
      <c r="AC1197">
        <v>7</v>
      </c>
      <c r="AD1197">
        <v>26</v>
      </c>
      <c r="AE1197">
        <v>0</v>
      </c>
      <c r="AF1197">
        <v>0</v>
      </c>
      <c r="AG1197">
        <v>4</v>
      </c>
      <c r="AH1197">
        <v>0</v>
      </c>
      <c r="AI1197">
        <v>0</v>
      </c>
      <c r="AJ1197">
        <v>0</v>
      </c>
      <c r="AK1197">
        <v>1.1908399999999999</v>
      </c>
      <c r="AL1197">
        <v>1</v>
      </c>
      <c r="AM1197">
        <v>0</v>
      </c>
      <c r="AN1197">
        <v>1559</v>
      </c>
      <c r="AO1197">
        <v>0</v>
      </c>
      <c r="AP1197">
        <v>0</v>
      </c>
      <c r="AQ1197">
        <v>0</v>
      </c>
    </row>
    <row r="1198" spans="1:43" x14ac:dyDescent="0.25">
      <c r="A1198">
        <v>1195</v>
      </c>
      <c r="B1198">
        <v>24</v>
      </c>
      <c r="C1198">
        <v>24</v>
      </c>
      <c r="D1198">
        <v>5</v>
      </c>
      <c r="E1198">
        <v>5510</v>
      </c>
      <c r="F1198">
        <v>16572</v>
      </c>
      <c r="G1198">
        <v>16733</v>
      </c>
      <c r="H1198">
        <v>8750</v>
      </c>
      <c r="I1198">
        <v>5237</v>
      </c>
      <c r="J1198">
        <v>47</v>
      </c>
      <c r="K1198">
        <v>1215</v>
      </c>
      <c r="L1198">
        <v>1176</v>
      </c>
      <c r="M1198">
        <v>1304</v>
      </c>
      <c r="N1198">
        <v>1807</v>
      </c>
      <c r="O1198">
        <v>25291</v>
      </c>
      <c r="P1198">
        <v>2251.0938460000002</v>
      </c>
      <c r="Q1198">
        <v>49</v>
      </c>
      <c r="R1198">
        <v>0.182503516</v>
      </c>
      <c r="S1198">
        <v>1619</v>
      </c>
      <c r="T1198">
        <v>702</v>
      </c>
      <c r="U1198">
        <v>3521</v>
      </c>
      <c r="V1198">
        <v>5540</v>
      </c>
      <c r="W1198">
        <v>5488</v>
      </c>
      <c r="X1198">
        <v>2353</v>
      </c>
      <c r="Y1198">
        <v>151</v>
      </c>
      <c r="Z1198">
        <v>287</v>
      </c>
      <c r="AA1198">
        <v>878</v>
      </c>
      <c r="AB1198">
        <v>2</v>
      </c>
      <c r="AC1198">
        <v>72</v>
      </c>
      <c r="AD1198">
        <v>229</v>
      </c>
      <c r="AE1198">
        <v>0</v>
      </c>
      <c r="AF1198">
        <v>0</v>
      </c>
      <c r="AG1198">
        <v>4</v>
      </c>
      <c r="AH1198">
        <v>2</v>
      </c>
      <c r="AI1198">
        <v>0</v>
      </c>
      <c r="AJ1198">
        <v>0</v>
      </c>
      <c r="AK1198">
        <v>1.10595</v>
      </c>
      <c r="AL1198">
        <v>1</v>
      </c>
      <c r="AM1198">
        <v>0</v>
      </c>
      <c r="AN1198">
        <v>5510</v>
      </c>
      <c r="AO1198">
        <v>161</v>
      </c>
      <c r="AP1198">
        <v>0</v>
      </c>
      <c r="AQ1198">
        <v>0</v>
      </c>
    </row>
    <row r="1199" spans="1:43" x14ac:dyDescent="0.25">
      <c r="A1199">
        <v>1196</v>
      </c>
      <c r="B1199">
        <v>24</v>
      </c>
      <c r="C1199">
        <v>24</v>
      </c>
      <c r="D1199">
        <v>5</v>
      </c>
      <c r="E1199">
        <v>3038</v>
      </c>
      <c r="F1199">
        <v>9928</v>
      </c>
      <c r="G1199">
        <v>9957</v>
      </c>
      <c r="H1199">
        <v>4874</v>
      </c>
      <c r="I1199">
        <v>2449</v>
      </c>
      <c r="J1199">
        <v>564</v>
      </c>
      <c r="K1199">
        <v>367</v>
      </c>
      <c r="L1199">
        <v>720</v>
      </c>
      <c r="M1199">
        <v>1122</v>
      </c>
      <c r="N1199">
        <v>830</v>
      </c>
      <c r="O1199">
        <v>3482</v>
      </c>
      <c r="P1199">
        <v>763.64586039999995</v>
      </c>
      <c r="Q1199">
        <v>52</v>
      </c>
      <c r="R1199">
        <v>0.157562169</v>
      </c>
      <c r="S1199">
        <v>439</v>
      </c>
      <c r="T1199">
        <v>577</v>
      </c>
      <c r="U1199">
        <v>1431</v>
      </c>
      <c r="V1199">
        <v>4007</v>
      </c>
      <c r="W1199">
        <v>2404</v>
      </c>
      <c r="X1199">
        <v>1270</v>
      </c>
      <c r="Y1199">
        <v>3</v>
      </c>
      <c r="Z1199">
        <v>58</v>
      </c>
      <c r="AA1199">
        <v>258</v>
      </c>
      <c r="AB1199">
        <v>0</v>
      </c>
      <c r="AC1199">
        <v>36</v>
      </c>
      <c r="AD1199">
        <v>84</v>
      </c>
      <c r="AE1199">
        <v>0</v>
      </c>
      <c r="AF1199">
        <v>0</v>
      </c>
      <c r="AG1199">
        <v>4</v>
      </c>
      <c r="AH1199">
        <v>0</v>
      </c>
      <c r="AI1199">
        <v>0</v>
      </c>
      <c r="AJ1199">
        <v>0</v>
      </c>
      <c r="AK1199">
        <v>1.1643300000000001</v>
      </c>
      <c r="AL1199">
        <v>1</v>
      </c>
      <c r="AM1199">
        <v>0</v>
      </c>
      <c r="AN1199">
        <v>3038</v>
      </c>
      <c r="AO1199">
        <v>29</v>
      </c>
      <c r="AP1199">
        <v>0</v>
      </c>
      <c r="AQ1199">
        <v>0</v>
      </c>
    </row>
    <row r="1200" spans="1:43" x14ac:dyDescent="0.25">
      <c r="A1200">
        <v>1197</v>
      </c>
      <c r="B1200">
        <v>24</v>
      </c>
      <c r="C1200">
        <v>24</v>
      </c>
      <c r="D1200">
        <v>5</v>
      </c>
      <c r="E1200">
        <v>1176</v>
      </c>
      <c r="F1200">
        <v>3713</v>
      </c>
      <c r="G1200">
        <v>3730</v>
      </c>
      <c r="H1200">
        <v>1760</v>
      </c>
      <c r="I1200">
        <v>700</v>
      </c>
      <c r="J1200">
        <v>474</v>
      </c>
      <c r="K1200">
        <v>530</v>
      </c>
      <c r="L1200">
        <v>264</v>
      </c>
      <c r="M1200">
        <v>188</v>
      </c>
      <c r="N1200">
        <v>186</v>
      </c>
      <c r="O1200">
        <v>363</v>
      </c>
      <c r="P1200">
        <v>88</v>
      </c>
      <c r="Q1200">
        <v>162.643248</v>
      </c>
      <c r="R1200">
        <v>0.16145833300000001</v>
      </c>
      <c r="S1200">
        <v>1353</v>
      </c>
      <c r="T1200">
        <v>176</v>
      </c>
      <c r="U1200">
        <v>1120</v>
      </c>
      <c r="V1200">
        <v>1381</v>
      </c>
      <c r="W1200">
        <v>949</v>
      </c>
      <c r="X1200">
        <v>563</v>
      </c>
      <c r="Y1200">
        <v>186</v>
      </c>
      <c r="Z1200">
        <v>467</v>
      </c>
      <c r="AA1200">
        <v>658</v>
      </c>
      <c r="AB1200">
        <v>0</v>
      </c>
      <c r="AC1200">
        <v>11</v>
      </c>
      <c r="AD1200">
        <v>31</v>
      </c>
      <c r="AE1200">
        <v>0</v>
      </c>
      <c r="AF1200">
        <v>0</v>
      </c>
      <c r="AG1200">
        <v>3</v>
      </c>
      <c r="AH1200">
        <v>64</v>
      </c>
      <c r="AI1200">
        <v>0</v>
      </c>
      <c r="AJ1200">
        <v>0</v>
      </c>
      <c r="AK1200">
        <v>1.5891500000000001</v>
      </c>
      <c r="AL1200">
        <v>2</v>
      </c>
      <c r="AM1200">
        <v>0</v>
      </c>
      <c r="AN1200">
        <v>1176</v>
      </c>
      <c r="AO1200">
        <v>17</v>
      </c>
      <c r="AP1200">
        <v>0</v>
      </c>
      <c r="AQ1200">
        <v>0</v>
      </c>
    </row>
    <row r="1201" spans="1:43" x14ac:dyDescent="0.25">
      <c r="A1201">
        <v>1198</v>
      </c>
      <c r="B1201">
        <v>24</v>
      </c>
      <c r="C1201">
        <v>24</v>
      </c>
      <c r="D1201">
        <v>5</v>
      </c>
      <c r="E1201">
        <v>1591</v>
      </c>
      <c r="F1201">
        <v>4323</v>
      </c>
      <c r="G1201">
        <v>4607</v>
      </c>
      <c r="H1201">
        <v>2038</v>
      </c>
      <c r="I1201">
        <v>938</v>
      </c>
      <c r="J1201">
        <v>663</v>
      </c>
      <c r="K1201">
        <v>405</v>
      </c>
      <c r="L1201">
        <v>562</v>
      </c>
      <c r="M1201">
        <v>412</v>
      </c>
      <c r="N1201">
        <v>231</v>
      </c>
      <c r="O1201">
        <v>500</v>
      </c>
      <c r="P1201">
        <v>167</v>
      </c>
      <c r="Q1201">
        <v>227</v>
      </c>
      <c r="R1201">
        <v>0.19578815699999999</v>
      </c>
      <c r="S1201">
        <v>1494</v>
      </c>
      <c r="T1201">
        <v>323</v>
      </c>
      <c r="U1201">
        <v>800</v>
      </c>
      <c r="V1201">
        <v>1884</v>
      </c>
      <c r="W1201">
        <v>1056</v>
      </c>
      <c r="X1201">
        <v>676</v>
      </c>
      <c r="Y1201">
        <v>308</v>
      </c>
      <c r="Z1201">
        <v>43</v>
      </c>
      <c r="AA1201">
        <v>1067</v>
      </c>
      <c r="AB1201">
        <v>0</v>
      </c>
      <c r="AC1201">
        <v>10</v>
      </c>
      <c r="AD1201">
        <v>66</v>
      </c>
      <c r="AE1201">
        <v>0</v>
      </c>
      <c r="AF1201">
        <v>0</v>
      </c>
      <c r="AG1201">
        <v>4</v>
      </c>
      <c r="AH1201">
        <v>0</v>
      </c>
      <c r="AI1201">
        <v>3318</v>
      </c>
      <c r="AJ1201">
        <v>8320</v>
      </c>
      <c r="AK1201">
        <v>1.31907</v>
      </c>
      <c r="AL1201">
        <v>2</v>
      </c>
      <c r="AM1201">
        <v>0</v>
      </c>
      <c r="AN1201">
        <v>1591</v>
      </c>
      <c r="AO1201">
        <v>284</v>
      </c>
      <c r="AP1201">
        <v>0</v>
      </c>
      <c r="AQ1201">
        <v>0</v>
      </c>
    </row>
    <row r="1202" spans="1:43" x14ac:dyDescent="0.25">
      <c r="A1202">
        <v>1199</v>
      </c>
      <c r="B1202">
        <v>24</v>
      </c>
      <c r="C1202">
        <v>24</v>
      </c>
      <c r="D1202">
        <v>5</v>
      </c>
      <c r="E1202">
        <v>3102</v>
      </c>
      <c r="F1202">
        <v>7970</v>
      </c>
      <c r="G1202">
        <v>7999</v>
      </c>
      <c r="H1202">
        <v>4065</v>
      </c>
      <c r="I1202">
        <v>1645</v>
      </c>
      <c r="J1202">
        <v>1465</v>
      </c>
      <c r="K1202">
        <v>994</v>
      </c>
      <c r="L1202">
        <v>1153</v>
      </c>
      <c r="M1202">
        <v>753</v>
      </c>
      <c r="N1202">
        <v>204</v>
      </c>
      <c r="O1202">
        <v>885</v>
      </c>
      <c r="P1202">
        <v>317.9130553</v>
      </c>
      <c r="Q1202">
        <v>334</v>
      </c>
      <c r="R1202">
        <v>0.203566622</v>
      </c>
      <c r="S1202">
        <v>3339</v>
      </c>
      <c r="T1202">
        <v>542</v>
      </c>
      <c r="U1202">
        <v>1496</v>
      </c>
      <c r="V1202">
        <v>3697</v>
      </c>
      <c r="W1202">
        <v>1813</v>
      </c>
      <c r="X1202">
        <v>1271</v>
      </c>
      <c r="Y1202">
        <v>397</v>
      </c>
      <c r="Z1202">
        <v>285</v>
      </c>
      <c r="AA1202">
        <v>1460</v>
      </c>
      <c r="AB1202">
        <v>1</v>
      </c>
      <c r="AC1202">
        <v>579</v>
      </c>
      <c r="AD1202">
        <v>617</v>
      </c>
      <c r="AE1202">
        <v>0</v>
      </c>
      <c r="AF1202">
        <v>0</v>
      </c>
      <c r="AG1202">
        <v>4</v>
      </c>
      <c r="AH1202">
        <v>284</v>
      </c>
      <c r="AI1202">
        <v>0</v>
      </c>
      <c r="AJ1202">
        <v>0</v>
      </c>
      <c r="AK1202">
        <v>1.30202</v>
      </c>
      <c r="AL1202">
        <v>2</v>
      </c>
      <c r="AM1202">
        <v>0</v>
      </c>
      <c r="AN1202">
        <v>3102</v>
      </c>
      <c r="AO1202">
        <v>29</v>
      </c>
      <c r="AP1202">
        <v>0</v>
      </c>
      <c r="AQ1202">
        <v>0</v>
      </c>
    </row>
    <row r="1203" spans="1:43" x14ac:dyDescent="0.25">
      <c r="A1203">
        <v>1200</v>
      </c>
      <c r="B1203">
        <v>24</v>
      </c>
      <c r="C1203">
        <v>24</v>
      </c>
      <c r="D1203">
        <v>5</v>
      </c>
      <c r="E1203">
        <v>2988</v>
      </c>
      <c r="F1203">
        <v>8864</v>
      </c>
      <c r="G1203">
        <v>8921</v>
      </c>
      <c r="H1203">
        <v>4314</v>
      </c>
      <c r="I1203">
        <v>2328</v>
      </c>
      <c r="J1203">
        <v>615</v>
      </c>
      <c r="K1203">
        <v>513</v>
      </c>
      <c r="L1203">
        <v>981</v>
      </c>
      <c r="M1203">
        <v>981</v>
      </c>
      <c r="N1203">
        <v>516</v>
      </c>
      <c r="O1203">
        <v>5049</v>
      </c>
      <c r="P1203">
        <v>708.96131019999996</v>
      </c>
      <c r="Q1203">
        <v>1205</v>
      </c>
      <c r="R1203">
        <v>0.17888816799999999</v>
      </c>
      <c r="S1203">
        <v>538</v>
      </c>
      <c r="T1203">
        <v>669</v>
      </c>
      <c r="U1203">
        <v>1503</v>
      </c>
      <c r="V1203">
        <v>3136</v>
      </c>
      <c r="W1203">
        <v>2527</v>
      </c>
      <c r="X1203">
        <v>1290</v>
      </c>
      <c r="Y1203">
        <v>15</v>
      </c>
      <c r="Z1203">
        <v>88</v>
      </c>
      <c r="AA1203">
        <v>347</v>
      </c>
      <c r="AB1203">
        <v>0</v>
      </c>
      <c r="AC1203">
        <v>15</v>
      </c>
      <c r="AD1203">
        <v>73</v>
      </c>
      <c r="AE1203">
        <v>0</v>
      </c>
      <c r="AF1203">
        <v>0</v>
      </c>
      <c r="AG1203">
        <v>4</v>
      </c>
      <c r="AH1203">
        <v>0</v>
      </c>
      <c r="AI1203">
        <v>0</v>
      </c>
      <c r="AJ1203">
        <v>0</v>
      </c>
      <c r="AK1203">
        <v>1.0017499999999999</v>
      </c>
      <c r="AL1203">
        <v>1</v>
      </c>
      <c r="AM1203">
        <v>0</v>
      </c>
      <c r="AN1203">
        <v>2988</v>
      </c>
      <c r="AO1203">
        <v>57</v>
      </c>
      <c r="AP1203">
        <v>0</v>
      </c>
      <c r="AQ1203">
        <v>0</v>
      </c>
    </row>
    <row r="1204" spans="1:43" x14ac:dyDescent="0.25">
      <c r="A1204">
        <v>1201</v>
      </c>
      <c r="B1204">
        <v>24</v>
      </c>
      <c r="C1204">
        <v>24</v>
      </c>
      <c r="D1204">
        <v>5</v>
      </c>
      <c r="E1204">
        <v>1152</v>
      </c>
      <c r="F1204">
        <v>3975</v>
      </c>
      <c r="G1204">
        <v>3983</v>
      </c>
      <c r="H1204">
        <v>1987</v>
      </c>
      <c r="I1204">
        <v>1151</v>
      </c>
      <c r="J1204">
        <v>8</v>
      </c>
      <c r="K1204">
        <v>209</v>
      </c>
      <c r="L1204">
        <v>382</v>
      </c>
      <c r="M1204">
        <v>396</v>
      </c>
      <c r="N1204">
        <v>156</v>
      </c>
      <c r="O1204">
        <v>626.70000000000005</v>
      </c>
      <c r="P1204">
        <v>194.20207379999999</v>
      </c>
      <c r="Q1204">
        <v>160</v>
      </c>
      <c r="R1204">
        <v>0.18689377800000001</v>
      </c>
      <c r="S1204">
        <v>370</v>
      </c>
      <c r="T1204">
        <v>242</v>
      </c>
      <c r="U1204">
        <v>773</v>
      </c>
      <c r="V1204">
        <v>1715</v>
      </c>
      <c r="W1204">
        <v>906</v>
      </c>
      <c r="X1204">
        <v>554</v>
      </c>
      <c r="Y1204">
        <v>18</v>
      </c>
      <c r="Z1204">
        <v>78</v>
      </c>
      <c r="AA1204">
        <v>179</v>
      </c>
      <c r="AB1204">
        <v>0</v>
      </c>
      <c r="AC1204">
        <v>70</v>
      </c>
      <c r="AD1204">
        <v>25</v>
      </c>
      <c r="AE1204">
        <v>0</v>
      </c>
      <c r="AF1204">
        <v>0</v>
      </c>
      <c r="AG1204">
        <v>4</v>
      </c>
      <c r="AH1204">
        <v>0</v>
      </c>
      <c r="AI1204">
        <v>0</v>
      </c>
      <c r="AJ1204">
        <v>0</v>
      </c>
      <c r="AK1204">
        <v>1.2114499999999999</v>
      </c>
      <c r="AL1204">
        <v>2</v>
      </c>
      <c r="AM1204">
        <v>0</v>
      </c>
      <c r="AN1204">
        <v>1152</v>
      </c>
      <c r="AO1204">
        <v>8</v>
      </c>
      <c r="AP1204">
        <v>0</v>
      </c>
      <c r="AQ1204">
        <v>0</v>
      </c>
    </row>
    <row r="1205" spans="1:43" x14ac:dyDescent="0.25">
      <c r="A1205">
        <v>1202</v>
      </c>
      <c r="B1205">
        <v>24</v>
      </c>
      <c r="C1205">
        <v>24</v>
      </c>
      <c r="D1205">
        <v>5</v>
      </c>
      <c r="E1205">
        <v>1041</v>
      </c>
      <c r="F1205">
        <v>3506</v>
      </c>
      <c r="G1205">
        <v>3518</v>
      </c>
      <c r="H1205">
        <v>1415</v>
      </c>
      <c r="I1205">
        <v>846</v>
      </c>
      <c r="J1205">
        <v>198</v>
      </c>
      <c r="K1205">
        <v>431</v>
      </c>
      <c r="L1205">
        <v>326</v>
      </c>
      <c r="M1205">
        <v>266</v>
      </c>
      <c r="N1205">
        <v>28</v>
      </c>
      <c r="O1205">
        <v>193.8</v>
      </c>
      <c r="P1205">
        <v>117</v>
      </c>
      <c r="Q1205">
        <v>37</v>
      </c>
      <c r="R1205">
        <v>0.13115565500000001</v>
      </c>
      <c r="S1205">
        <v>378</v>
      </c>
      <c r="T1205">
        <v>258</v>
      </c>
      <c r="U1205">
        <v>1055</v>
      </c>
      <c r="V1205">
        <v>1468</v>
      </c>
      <c r="W1205">
        <v>745</v>
      </c>
      <c r="X1205">
        <v>475</v>
      </c>
      <c r="Y1205">
        <v>119</v>
      </c>
      <c r="Z1205">
        <v>44</v>
      </c>
      <c r="AA1205">
        <v>162</v>
      </c>
      <c r="AB1205">
        <v>0</v>
      </c>
      <c r="AC1205">
        <v>39</v>
      </c>
      <c r="AD1205">
        <v>14</v>
      </c>
      <c r="AE1205">
        <v>0</v>
      </c>
      <c r="AF1205">
        <v>0</v>
      </c>
      <c r="AG1205">
        <v>4</v>
      </c>
      <c r="AH1205">
        <v>0</v>
      </c>
      <c r="AI1205">
        <v>0</v>
      </c>
      <c r="AJ1205">
        <v>0</v>
      </c>
      <c r="AK1205">
        <v>1.39577</v>
      </c>
      <c r="AL1205">
        <v>2</v>
      </c>
      <c r="AM1205">
        <v>0</v>
      </c>
      <c r="AN1205">
        <v>1041</v>
      </c>
      <c r="AO1205">
        <v>12</v>
      </c>
      <c r="AP1205">
        <v>0</v>
      </c>
      <c r="AQ1205">
        <v>0</v>
      </c>
    </row>
    <row r="1206" spans="1:43" x14ac:dyDescent="0.25">
      <c r="A1206">
        <v>1203</v>
      </c>
      <c r="B1206">
        <v>24</v>
      </c>
      <c r="C1206">
        <v>24</v>
      </c>
      <c r="D1206">
        <v>5</v>
      </c>
      <c r="E1206">
        <v>1516</v>
      </c>
      <c r="F1206">
        <v>5219</v>
      </c>
      <c r="G1206">
        <v>5248</v>
      </c>
      <c r="H1206">
        <v>2186</v>
      </c>
      <c r="I1206">
        <v>1291</v>
      </c>
      <c r="J1206">
        <v>222</v>
      </c>
      <c r="K1206">
        <v>580</v>
      </c>
      <c r="L1206">
        <v>391</v>
      </c>
      <c r="M1206">
        <v>237</v>
      </c>
      <c r="N1206">
        <v>295</v>
      </c>
      <c r="O1206">
        <v>398</v>
      </c>
      <c r="P1206">
        <v>133</v>
      </c>
      <c r="Q1206">
        <v>110</v>
      </c>
      <c r="R1206">
        <v>0.131491098</v>
      </c>
      <c r="S1206">
        <v>1096</v>
      </c>
      <c r="T1206">
        <v>318</v>
      </c>
      <c r="U1206">
        <v>1267</v>
      </c>
      <c r="V1206">
        <v>1957</v>
      </c>
      <c r="W1206">
        <v>1221</v>
      </c>
      <c r="X1206">
        <v>582</v>
      </c>
      <c r="Y1206">
        <v>4</v>
      </c>
      <c r="Z1206">
        <v>32</v>
      </c>
      <c r="AA1206">
        <v>716</v>
      </c>
      <c r="AB1206">
        <v>0</v>
      </c>
      <c r="AC1206">
        <v>7</v>
      </c>
      <c r="AD1206">
        <v>337</v>
      </c>
      <c r="AE1206">
        <v>0</v>
      </c>
      <c r="AF1206">
        <v>0</v>
      </c>
      <c r="AG1206">
        <v>3</v>
      </c>
      <c r="AH1206">
        <v>3403</v>
      </c>
      <c r="AI1206">
        <v>0</v>
      </c>
      <c r="AJ1206">
        <v>0</v>
      </c>
      <c r="AK1206">
        <v>1.6821699999999999</v>
      </c>
      <c r="AL1206">
        <v>3</v>
      </c>
      <c r="AM1206">
        <v>0</v>
      </c>
      <c r="AN1206">
        <v>1516</v>
      </c>
      <c r="AO1206">
        <v>29</v>
      </c>
      <c r="AP1206">
        <v>0</v>
      </c>
      <c r="AQ1206">
        <v>0</v>
      </c>
    </row>
    <row r="1207" spans="1:43" x14ac:dyDescent="0.25">
      <c r="A1207">
        <v>1204</v>
      </c>
      <c r="B1207">
        <v>24</v>
      </c>
      <c r="C1207">
        <v>24</v>
      </c>
      <c r="D1207">
        <v>5</v>
      </c>
      <c r="E1207">
        <v>799</v>
      </c>
      <c r="F1207">
        <v>2243</v>
      </c>
      <c r="G1207">
        <v>2243</v>
      </c>
      <c r="H1207">
        <v>906</v>
      </c>
      <c r="I1207">
        <v>600</v>
      </c>
      <c r="J1207">
        <v>283</v>
      </c>
      <c r="K1207">
        <v>422</v>
      </c>
      <c r="L1207">
        <v>161</v>
      </c>
      <c r="M1207">
        <v>164</v>
      </c>
      <c r="N1207">
        <v>53</v>
      </c>
      <c r="O1207">
        <v>358</v>
      </c>
      <c r="P1207">
        <v>98.676077160000006</v>
      </c>
      <c r="Q1207">
        <v>189</v>
      </c>
      <c r="R1207">
        <v>0.14797728900000001</v>
      </c>
      <c r="S1207">
        <v>1230</v>
      </c>
      <c r="T1207">
        <v>175</v>
      </c>
      <c r="U1207">
        <v>570</v>
      </c>
      <c r="V1207">
        <v>1114</v>
      </c>
      <c r="W1207">
        <v>604</v>
      </c>
      <c r="X1207">
        <v>316</v>
      </c>
      <c r="Y1207">
        <v>312</v>
      </c>
      <c r="Z1207">
        <v>26</v>
      </c>
      <c r="AA1207">
        <v>437</v>
      </c>
      <c r="AB1207">
        <v>0</v>
      </c>
      <c r="AC1207">
        <v>118</v>
      </c>
      <c r="AD1207">
        <v>337</v>
      </c>
      <c r="AE1207">
        <v>0</v>
      </c>
      <c r="AF1207">
        <v>0</v>
      </c>
      <c r="AG1207">
        <v>4</v>
      </c>
      <c r="AH1207">
        <v>0</v>
      </c>
      <c r="AI1207">
        <v>0</v>
      </c>
      <c r="AJ1207">
        <v>0</v>
      </c>
      <c r="AK1207">
        <v>1.25715</v>
      </c>
      <c r="AL1207">
        <v>3</v>
      </c>
      <c r="AM1207">
        <v>0</v>
      </c>
      <c r="AN1207">
        <v>799</v>
      </c>
      <c r="AO1207">
        <v>0</v>
      </c>
      <c r="AP1207">
        <v>0</v>
      </c>
      <c r="AQ1207">
        <v>0</v>
      </c>
    </row>
    <row r="1208" spans="1:43" x14ac:dyDescent="0.25">
      <c r="A1208">
        <v>1205</v>
      </c>
      <c r="B1208">
        <v>24</v>
      </c>
      <c r="C1208">
        <v>24</v>
      </c>
      <c r="D1208">
        <v>5</v>
      </c>
      <c r="E1208">
        <v>1405</v>
      </c>
      <c r="F1208">
        <v>3569</v>
      </c>
      <c r="G1208">
        <v>3570</v>
      </c>
      <c r="H1208">
        <v>1511</v>
      </c>
      <c r="I1208">
        <v>955</v>
      </c>
      <c r="J1208">
        <v>418</v>
      </c>
      <c r="K1208">
        <v>478</v>
      </c>
      <c r="L1208">
        <v>500</v>
      </c>
      <c r="M1208">
        <v>263</v>
      </c>
      <c r="N1208">
        <v>160</v>
      </c>
      <c r="O1208">
        <v>4614</v>
      </c>
      <c r="P1208">
        <v>112.06223079999999</v>
      </c>
      <c r="Q1208">
        <v>840.08877570000004</v>
      </c>
      <c r="R1208">
        <v>0.27250000000000002</v>
      </c>
      <c r="S1208">
        <v>1265</v>
      </c>
      <c r="T1208">
        <v>247</v>
      </c>
      <c r="U1208">
        <v>509</v>
      </c>
      <c r="V1208">
        <v>1329</v>
      </c>
      <c r="W1208">
        <v>760</v>
      </c>
      <c r="X1208">
        <v>714</v>
      </c>
      <c r="Y1208">
        <v>7</v>
      </c>
      <c r="Z1208">
        <v>122</v>
      </c>
      <c r="AA1208">
        <v>289</v>
      </c>
      <c r="AB1208">
        <v>3</v>
      </c>
      <c r="AC1208">
        <v>627</v>
      </c>
      <c r="AD1208">
        <v>217</v>
      </c>
      <c r="AE1208">
        <v>0</v>
      </c>
      <c r="AF1208">
        <v>0</v>
      </c>
      <c r="AG1208">
        <v>4</v>
      </c>
      <c r="AH1208">
        <v>0</v>
      </c>
      <c r="AI1208">
        <v>0</v>
      </c>
      <c r="AJ1208">
        <v>0</v>
      </c>
      <c r="AK1208">
        <v>1.0737099999999999</v>
      </c>
      <c r="AL1208">
        <v>3</v>
      </c>
      <c r="AM1208">
        <v>0</v>
      </c>
      <c r="AN1208">
        <v>1405</v>
      </c>
      <c r="AO1208">
        <v>1</v>
      </c>
      <c r="AP1208">
        <v>0</v>
      </c>
      <c r="AQ1208">
        <v>0</v>
      </c>
    </row>
    <row r="1209" spans="1:43" x14ac:dyDescent="0.25">
      <c r="A1209">
        <v>1206</v>
      </c>
      <c r="B1209">
        <v>24</v>
      </c>
      <c r="C1209">
        <v>24</v>
      </c>
      <c r="D1209">
        <v>5</v>
      </c>
      <c r="E1209">
        <v>2023</v>
      </c>
      <c r="F1209">
        <v>5738</v>
      </c>
      <c r="G1209">
        <v>5751</v>
      </c>
      <c r="H1209">
        <v>2689</v>
      </c>
      <c r="I1209">
        <v>1599</v>
      </c>
      <c r="J1209">
        <v>359</v>
      </c>
      <c r="K1209">
        <v>841</v>
      </c>
      <c r="L1209">
        <v>472</v>
      </c>
      <c r="M1209">
        <v>392</v>
      </c>
      <c r="N1209">
        <v>311</v>
      </c>
      <c r="O1209">
        <v>493</v>
      </c>
      <c r="P1209">
        <v>112.30647</v>
      </c>
      <c r="Q1209">
        <v>213</v>
      </c>
      <c r="R1209">
        <v>0.15151030800000001</v>
      </c>
      <c r="S1209">
        <v>838</v>
      </c>
      <c r="T1209">
        <v>415</v>
      </c>
      <c r="U1209">
        <v>1453</v>
      </c>
      <c r="V1209">
        <v>2098</v>
      </c>
      <c r="W1209">
        <v>1440</v>
      </c>
      <c r="X1209">
        <v>785</v>
      </c>
      <c r="Y1209">
        <v>115</v>
      </c>
      <c r="Z1209">
        <v>65</v>
      </c>
      <c r="AA1209">
        <v>164</v>
      </c>
      <c r="AB1209">
        <v>1</v>
      </c>
      <c r="AC1209">
        <v>220</v>
      </c>
      <c r="AD1209">
        <v>273</v>
      </c>
      <c r="AE1209">
        <v>0</v>
      </c>
      <c r="AF1209">
        <v>0</v>
      </c>
      <c r="AG1209">
        <v>4</v>
      </c>
      <c r="AH1209">
        <v>0</v>
      </c>
      <c r="AI1209">
        <v>0</v>
      </c>
      <c r="AJ1209">
        <v>0</v>
      </c>
      <c r="AK1209">
        <v>1.4201999999999999</v>
      </c>
      <c r="AL1209">
        <v>3</v>
      </c>
      <c r="AM1209">
        <v>0</v>
      </c>
      <c r="AN1209">
        <v>2023</v>
      </c>
      <c r="AO1209">
        <v>13</v>
      </c>
      <c r="AP1209">
        <v>0</v>
      </c>
      <c r="AQ1209">
        <v>0</v>
      </c>
    </row>
    <row r="1210" spans="1:43" x14ac:dyDescent="0.25">
      <c r="A1210">
        <v>1207</v>
      </c>
      <c r="B1210">
        <v>24</v>
      </c>
      <c r="C1210">
        <v>24</v>
      </c>
      <c r="D1210">
        <v>5</v>
      </c>
      <c r="E1210">
        <v>1825</v>
      </c>
      <c r="F1210">
        <v>5740</v>
      </c>
      <c r="G1210">
        <v>5740</v>
      </c>
      <c r="H1210">
        <v>3141</v>
      </c>
      <c r="I1210">
        <v>1788</v>
      </c>
      <c r="J1210">
        <v>34</v>
      </c>
      <c r="K1210">
        <v>294</v>
      </c>
      <c r="L1210">
        <v>776</v>
      </c>
      <c r="M1210">
        <v>514</v>
      </c>
      <c r="N1210">
        <v>234</v>
      </c>
      <c r="O1210">
        <v>1305</v>
      </c>
      <c r="P1210">
        <v>244.62420700000001</v>
      </c>
      <c r="Q1210">
        <v>238</v>
      </c>
      <c r="R1210">
        <v>0.13249456400000001</v>
      </c>
      <c r="S1210">
        <v>503</v>
      </c>
      <c r="T1210">
        <v>384</v>
      </c>
      <c r="U1210">
        <v>1161</v>
      </c>
      <c r="V1210">
        <v>2347</v>
      </c>
      <c r="W1210">
        <v>1785</v>
      </c>
      <c r="X1210">
        <v>697</v>
      </c>
      <c r="Y1210">
        <v>14</v>
      </c>
      <c r="Z1210">
        <v>185</v>
      </c>
      <c r="AA1210">
        <v>183</v>
      </c>
      <c r="AB1210">
        <v>1</v>
      </c>
      <c r="AC1210">
        <v>69</v>
      </c>
      <c r="AD1210">
        <v>51</v>
      </c>
      <c r="AE1210">
        <v>0</v>
      </c>
      <c r="AF1210">
        <v>0</v>
      </c>
      <c r="AG1210">
        <v>4</v>
      </c>
      <c r="AH1210">
        <v>0</v>
      </c>
      <c r="AI1210">
        <v>0</v>
      </c>
      <c r="AJ1210">
        <v>0</v>
      </c>
      <c r="AK1210">
        <v>1.1350100000000001</v>
      </c>
      <c r="AL1210">
        <v>2</v>
      </c>
      <c r="AM1210">
        <v>0</v>
      </c>
      <c r="AN1210">
        <v>1825</v>
      </c>
      <c r="AO1210">
        <v>0</v>
      </c>
      <c r="AP1210">
        <v>0</v>
      </c>
      <c r="AQ1210">
        <v>0</v>
      </c>
    </row>
    <row r="1211" spans="1:43" x14ac:dyDescent="0.25">
      <c r="A1211">
        <v>1208</v>
      </c>
      <c r="B1211">
        <v>24</v>
      </c>
      <c r="C1211">
        <v>24</v>
      </c>
      <c r="D1211">
        <v>5</v>
      </c>
      <c r="E1211">
        <v>2301</v>
      </c>
      <c r="F1211">
        <v>7203</v>
      </c>
      <c r="G1211">
        <v>7229</v>
      </c>
      <c r="H1211">
        <v>3348</v>
      </c>
      <c r="I1211">
        <v>2097</v>
      </c>
      <c r="J1211">
        <v>201</v>
      </c>
      <c r="K1211">
        <v>819</v>
      </c>
      <c r="L1211">
        <v>701</v>
      </c>
      <c r="M1211">
        <v>435</v>
      </c>
      <c r="N1211">
        <v>344</v>
      </c>
      <c r="O1211">
        <v>560</v>
      </c>
      <c r="P1211">
        <v>350.63817299999999</v>
      </c>
      <c r="Q1211">
        <v>94</v>
      </c>
      <c r="R1211">
        <v>0.13130071300000001</v>
      </c>
      <c r="S1211">
        <v>697</v>
      </c>
      <c r="T1211">
        <v>712</v>
      </c>
      <c r="U1211">
        <v>1623</v>
      </c>
      <c r="V1211">
        <v>3038</v>
      </c>
      <c r="W1211">
        <v>1706</v>
      </c>
      <c r="X1211">
        <v>967</v>
      </c>
      <c r="Y1211">
        <v>115</v>
      </c>
      <c r="Z1211">
        <v>124</v>
      </c>
      <c r="AA1211">
        <v>343</v>
      </c>
      <c r="AB1211">
        <v>1</v>
      </c>
      <c r="AC1211">
        <v>42</v>
      </c>
      <c r="AD1211">
        <v>72</v>
      </c>
      <c r="AE1211">
        <v>0</v>
      </c>
      <c r="AF1211">
        <v>0</v>
      </c>
      <c r="AG1211">
        <v>4</v>
      </c>
      <c r="AH1211">
        <v>32</v>
      </c>
      <c r="AI1211">
        <v>0</v>
      </c>
      <c r="AJ1211">
        <v>0</v>
      </c>
      <c r="AK1211">
        <v>1.3120400000000001</v>
      </c>
      <c r="AL1211">
        <v>2</v>
      </c>
      <c r="AM1211">
        <v>0</v>
      </c>
      <c r="AN1211">
        <v>2301</v>
      </c>
      <c r="AO1211">
        <v>26</v>
      </c>
      <c r="AP1211">
        <v>0</v>
      </c>
      <c r="AQ1211">
        <v>0</v>
      </c>
    </row>
    <row r="1212" spans="1:43" x14ac:dyDescent="0.25">
      <c r="A1212">
        <v>1209</v>
      </c>
      <c r="B1212">
        <v>24</v>
      </c>
      <c r="C1212">
        <v>24</v>
      </c>
      <c r="D1212">
        <v>5</v>
      </c>
      <c r="E1212">
        <v>1683</v>
      </c>
      <c r="F1212">
        <v>5696</v>
      </c>
      <c r="G1212">
        <v>5728</v>
      </c>
      <c r="H1212">
        <v>2564</v>
      </c>
      <c r="I1212">
        <v>1319</v>
      </c>
      <c r="J1212">
        <v>367</v>
      </c>
      <c r="K1212">
        <v>509</v>
      </c>
      <c r="L1212">
        <v>727</v>
      </c>
      <c r="M1212">
        <v>327</v>
      </c>
      <c r="N1212">
        <v>124</v>
      </c>
      <c r="O1212">
        <v>1779</v>
      </c>
      <c r="P1212">
        <v>161.7472401</v>
      </c>
      <c r="Q1212">
        <v>473.12155999999999</v>
      </c>
      <c r="R1212">
        <v>0.100862641</v>
      </c>
      <c r="S1212">
        <v>413</v>
      </c>
      <c r="T1212">
        <v>422</v>
      </c>
      <c r="U1212">
        <v>1396</v>
      </c>
      <c r="V1212">
        <v>2561</v>
      </c>
      <c r="W1212">
        <v>1171</v>
      </c>
      <c r="X1212">
        <v>415</v>
      </c>
      <c r="Y1212">
        <v>43</v>
      </c>
      <c r="Z1212">
        <v>31</v>
      </c>
      <c r="AA1212">
        <v>117</v>
      </c>
      <c r="AB1212">
        <v>0</v>
      </c>
      <c r="AC1212">
        <v>205</v>
      </c>
      <c r="AD1212">
        <v>17</v>
      </c>
      <c r="AE1212">
        <v>0</v>
      </c>
      <c r="AF1212">
        <v>0</v>
      </c>
      <c r="AG1212">
        <v>4</v>
      </c>
      <c r="AH1212">
        <v>0</v>
      </c>
      <c r="AI1212">
        <v>0</v>
      </c>
      <c r="AJ1212">
        <v>0</v>
      </c>
      <c r="AK1212">
        <v>1.08816</v>
      </c>
      <c r="AL1212">
        <v>2</v>
      </c>
      <c r="AM1212">
        <v>0</v>
      </c>
      <c r="AN1212">
        <v>1683</v>
      </c>
      <c r="AO1212">
        <v>32</v>
      </c>
      <c r="AP1212">
        <v>0</v>
      </c>
      <c r="AQ1212">
        <v>0</v>
      </c>
    </row>
    <row r="1213" spans="1:43" x14ac:dyDescent="0.25">
      <c r="A1213">
        <v>1210</v>
      </c>
      <c r="B1213">
        <v>24</v>
      </c>
      <c r="C1213">
        <v>24</v>
      </c>
      <c r="D1213">
        <v>5</v>
      </c>
      <c r="E1213">
        <v>1791</v>
      </c>
      <c r="F1213">
        <v>6483</v>
      </c>
      <c r="G1213">
        <v>6487</v>
      </c>
      <c r="H1213">
        <v>2684</v>
      </c>
      <c r="I1213">
        <v>1617</v>
      </c>
      <c r="J1213">
        <v>124</v>
      </c>
      <c r="K1213">
        <v>677</v>
      </c>
      <c r="L1213">
        <v>550</v>
      </c>
      <c r="M1213">
        <v>347</v>
      </c>
      <c r="N1213">
        <v>200</v>
      </c>
      <c r="O1213">
        <v>1976</v>
      </c>
      <c r="P1213">
        <v>309.2955796</v>
      </c>
      <c r="Q1213">
        <v>252</v>
      </c>
      <c r="R1213">
        <v>0.123312457</v>
      </c>
      <c r="S1213">
        <v>327</v>
      </c>
      <c r="T1213">
        <v>367</v>
      </c>
      <c r="U1213">
        <v>1593</v>
      </c>
      <c r="V1213">
        <v>2812</v>
      </c>
      <c r="W1213">
        <v>1684</v>
      </c>
      <c r="X1213">
        <v>649</v>
      </c>
      <c r="Y1213">
        <v>13</v>
      </c>
      <c r="Z1213">
        <v>31</v>
      </c>
      <c r="AA1213">
        <v>189</v>
      </c>
      <c r="AB1213">
        <v>0</v>
      </c>
      <c r="AC1213">
        <v>25</v>
      </c>
      <c r="AD1213">
        <v>69</v>
      </c>
      <c r="AE1213">
        <v>0</v>
      </c>
      <c r="AF1213">
        <v>0</v>
      </c>
      <c r="AG1213">
        <v>4</v>
      </c>
      <c r="AH1213">
        <v>0</v>
      </c>
      <c r="AI1213">
        <v>0</v>
      </c>
      <c r="AJ1213">
        <v>0</v>
      </c>
      <c r="AK1213">
        <v>1.1487099999999999</v>
      </c>
      <c r="AL1213">
        <v>2</v>
      </c>
      <c r="AM1213">
        <v>0</v>
      </c>
      <c r="AN1213">
        <v>1791</v>
      </c>
      <c r="AO1213">
        <v>4</v>
      </c>
      <c r="AP1213">
        <v>0</v>
      </c>
      <c r="AQ1213">
        <v>0</v>
      </c>
    </row>
    <row r="1214" spans="1:43" x14ac:dyDescent="0.25">
      <c r="A1214">
        <v>1211</v>
      </c>
      <c r="B1214">
        <v>25</v>
      </c>
      <c r="C1214">
        <v>25</v>
      </c>
      <c r="D1214">
        <v>6</v>
      </c>
      <c r="E1214">
        <v>1678</v>
      </c>
      <c r="F1214">
        <v>4024</v>
      </c>
      <c r="G1214">
        <v>4031</v>
      </c>
      <c r="H1214">
        <v>1803</v>
      </c>
      <c r="I1214">
        <v>1446</v>
      </c>
      <c r="J1214">
        <v>292</v>
      </c>
      <c r="K1214">
        <v>436</v>
      </c>
      <c r="L1214">
        <v>439</v>
      </c>
      <c r="M1214">
        <v>382</v>
      </c>
      <c r="N1214">
        <v>421</v>
      </c>
      <c r="O1214">
        <v>19404</v>
      </c>
      <c r="P1214">
        <v>226.219843</v>
      </c>
      <c r="Q1214">
        <v>1665</v>
      </c>
      <c r="R1214">
        <v>0.18489583300000001</v>
      </c>
      <c r="S1214">
        <v>7015</v>
      </c>
      <c r="T1214">
        <v>521</v>
      </c>
      <c r="U1214">
        <v>516</v>
      </c>
      <c r="V1214">
        <v>1423</v>
      </c>
      <c r="W1214">
        <v>984</v>
      </c>
      <c r="X1214">
        <v>686</v>
      </c>
      <c r="Y1214">
        <v>367</v>
      </c>
      <c r="Z1214">
        <v>99</v>
      </c>
      <c r="AA1214">
        <v>748</v>
      </c>
      <c r="AB1214">
        <v>98</v>
      </c>
      <c r="AC1214">
        <v>3451</v>
      </c>
      <c r="AD1214">
        <v>2252</v>
      </c>
      <c r="AE1214">
        <v>0</v>
      </c>
      <c r="AF1214">
        <v>0</v>
      </c>
      <c r="AG1214">
        <v>4</v>
      </c>
      <c r="AH1214">
        <v>0</v>
      </c>
      <c r="AI1214">
        <v>0</v>
      </c>
      <c r="AJ1214">
        <v>0</v>
      </c>
      <c r="AK1214">
        <v>1.1359600000000001</v>
      </c>
      <c r="AL1214">
        <v>1</v>
      </c>
      <c r="AM1214">
        <v>0</v>
      </c>
      <c r="AN1214">
        <v>1678</v>
      </c>
      <c r="AO1214">
        <v>7</v>
      </c>
      <c r="AP1214">
        <v>0</v>
      </c>
      <c r="AQ1214">
        <v>0</v>
      </c>
    </row>
    <row r="1215" spans="1:43" x14ac:dyDescent="0.25">
      <c r="A1215">
        <v>1212</v>
      </c>
      <c r="B1215">
        <v>25</v>
      </c>
      <c r="C1215">
        <v>25</v>
      </c>
      <c r="D1215">
        <v>6</v>
      </c>
      <c r="E1215">
        <v>2232</v>
      </c>
      <c r="F1215">
        <v>4329</v>
      </c>
      <c r="G1215">
        <v>4329</v>
      </c>
      <c r="H1215">
        <v>2120</v>
      </c>
      <c r="I1215">
        <v>1714</v>
      </c>
      <c r="J1215">
        <v>573</v>
      </c>
      <c r="K1215">
        <v>779</v>
      </c>
      <c r="L1215">
        <v>477</v>
      </c>
      <c r="M1215">
        <v>615</v>
      </c>
      <c r="N1215">
        <v>365</v>
      </c>
      <c r="O1215">
        <v>1235</v>
      </c>
      <c r="P1215">
        <v>225.11861350000001</v>
      </c>
      <c r="Q1215">
        <v>45</v>
      </c>
      <c r="R1215">
        <v>0.38329764500000002</v>
      </c>
      <c r="S1215">
        <v>1752</v>
      </c>
      <c r="T1215">
        <v>89</v>
      </c>
      <c r="U1215">
        <v>454</v>
      </c>
      <c r="V1215">
        <v>1078</v>
      </c>
      <c r="W1215">
        <v>1124</v>
      </c>
      <c r="X1215">
        <v>1364</v>
      </c>
      <c r="Y1215">
        <v>80</v>
      </c>
      <c r="Z1215">
        <v>98</v>
      </c>
      <c r="AA1215">
        <v>1032</v>
      </c>
      <c r="AB1215">
        <v>0</v>
      </c>
      <c r="AC1215">
        <v>73</v>
      </c>
      <c r="AD1215">
        <v>469</v>
      </c>
      <c r="AE1215">
        <v>0</v>
      </c>
      <c r="AF1215">
        <v>0</v>
      </c>
      <c r="AG1215">
        <v>4</v>
      </c>
      <c r="AH1215">
        <v>43</v>
      </c>
      <c r="AI1215">
        <v>0</v>
      </c>
      <c r="AJ1215">
        <v>0</v>
      </c>
      <c r="AK1215">
        <v>1.48794</v>
      </c>
      <c r="AL1215">
        <v>2</v>
      </c>
      <c r="AM1215">
        <v>0</v>
      </c>
      <c r="AN1215">
        <v>2232</v>
      </c>
      <c r="AO1215">
        <v>0</v>
      </c>
      <c r="AP1215">
        <v>0</v>
      </c>
      <c r="AQ1215">
        <v>0</v>
      </c>
    </row>
    <row r="1216" spans="1:43" x14ac:dyDescent="0.25">
      <c r="A1216">
        <v>1213</v>
      </c>
      <c r="B1216">
        <v>25</v>
      </c>
      <c r="C1216">
        <v>25</v>
      </c>
      <c r="D1216">
        <v>6</v>
      </c>
      <c r="E1216">
        <v>1055</v>
      </c>
      <c r="F1216">
        <v>2549</v>
      </c>
      <c r="G1216">
        <v>2567</v>
      </c>
      <c r="H1216">
        <v>1242</v>
      </c>
      <c r="I1216">
        <v>784</v>
      </c>
      <c r="J1216">
        <v>253</v>
      </c>
      <c r="K1216">
        <v>183</v>
      </c>
      <c r="L1216">
        <v>144</v>
      </c>
      <c r="M1216">
        <v>303</v>
      </c>
      <c r="N1216">
        <v>430</v>
      </c>
      <c r="O1216">
        <v>387</v>
      </c>
      <c r="P1216">
        <v>183.41097400000001</v>
      </c>
      <c r="Q1216">
        <v>16</v>
      </c>
      <c r="R1216">
        <v>0.25145067700000001</v>
      </c>
      <c r="S1216">
        <v>648</v>
      </c>
      <c r="T1216">
        <v>77</v>
      </c>
      <c r="U1216">
        <v>448</v>
      </c>
      <c r="V1216">
        <v>732</v>
      </c>
      <c r="W1216">
        <v>755</v>
      </c>
      <c r="X1216">
        <v>528</v>
      </c>
      <c r="Y1216">
        <v>150</v>
      </c>
      <c r="Z1216">
        <v>26</v>
      </c>
      <c r="AA1216">
        <v>404</v>
      </c>
      <c r="AB1216">
        <v>0</v>
      </c>
      <c r="AC1216">
        <v>9</v>
      </c>
      <c r="AD1216">
        <v>59</v>
      </c>
      <c r="AE1216">
        <v>0</v>
      </c>
      <c r="AF1216">
        <v>0</v>
      </c>
      <c r="AG1216">
        <v>4</v>
      </c>
      <c r="AH1216">
        <v>1335</v>
      </c>
      <c r="AI1216">
        <v>0</v>
      </c>
      <c r="AJ1216">
        <v>0</v>
      </c>
      <c r="AK1216">
        <v>1.3592299999999999</v>
      </c>
      <c r="AL1216">
        <v>1</v>
      </c>
      <c r="AM1216">
        <v>0</v>
      </c>
      <c r="AN1216">
        <v>1055</v>
      </c>
      <c r="AO1216">
        <v>18</v>
      </c>
      <c r="AP1216">
        <v>0</v>
      </c>
      <c r="AQ1216">
        <v>0</v>
      </c>
    </row>
    <row r="1217" spans="1:43" x14ac:dyDescent="0.25">
      <c r="A1217">
        <v>1214</v>
      </c>
      <c r="B1217">
        <v>25</v>
      </c>
      <c r="C1217">
        <v>25</v>
      </c>
      <c r="D1217">
        <v>6</v>
      </c>
      <c r="E1217">
        <v>1443</v>
      </c>
      <c r="F1217">
        <v>3553</v>
      </c>
      <c r="G1217">
        <v>3568</v>
      </c>
      <c r="H1217">
        <v>1669</v>
      </c>
      <c r="I1217">
        <v>1132</v>
      </c>
      <c r="J1217">
        <v>290</v>
      </c>
      <c r="K1217">
        <v>396</v>
      </c>
      <c r="L1217">
        <v>242</v>
      </c>
      <c r="M1217">
        <v>317</v>
      </c>
      <c r="N1217">
        <v>482</v>
      </c>
      <c r="O1217">
        <v>686</v>
      </c>
      <c r="P1217">
        <v>268</v>
      </c>
      <c r="Q1217">
        <v>8</v>
      </c>
      <c r="R1217">
        <v>0.28583666499999999</v>
      </c>
      <c r="S1217">
        <v>287</v>
      </c>
      <c r="T1217">
        <v>102</v>
      </c>
      <c r="U1217">
        <v>691</v>
      </c>
      <c r="V1217">
        <v>979</v>
      </c>
      <c r="W1217">
        <v>862</v>
      </c>
      <c r="X1217">
        <v>811</v>
      </c>
      <c r="Y1217">
        <v>16</v>
      </c>
      <c r="Z1217">
        <v>12</v>
      </c>
      <c r="AA1217">
        <v>190</v>
      </c>
      <c r="AB1217">
        <v>0</v>
      </c>
      <c r="AC1217">
        <v>9</v>
      </c>
      <c r="AD1217">
        <v>60</v>
      </c>
      <c r="AE1217">
        <v>0</v>
      </c>
      <c r="AF1217">
        <v>0</v>
      </c>
      <c r="AG1217">
        <v>4</v>
      </c>
      <c r="AH1217">
        <v>0</v>
      </c>
      <c r="AI1217">
        <v>0</v>
      </c>
      <c r="AJ1217">
        <v>0</v>
      </c>
      <c r="AK1217">
        <v>1.31385</v>
      </c>
      <c r="AL1217">
        <v>1</v>
      </c>
      <c r="AM1217">
        <v>0</v>
      </c>
      <c r="AN1217">
        <v>1443</v>
      </c>
      <c r="AO1217">
        <v>15</v>
      </c>
      <c r="AP1217">
        <v>0</v>
      </c>
      <c r="AQ1217">
        <v>0</v>
      </c>
    </row>
    <row r="1218" spans="1:43" x14ac:dyDescent="0.25">
      <c r="A1218">
        <v>1215</v>
      </c>
      <c r="B1218">
        <v>25</v>
      </c>
      <c r="C1218">
        <v>25</v>
      </c>
      <c r="D1218">
        <v>6</v>
      </c>
      <c r="E1218">
        <v>1979</v>
      </c>
      <c r="F1218">
        <v>5275</v>
      </c>
      <c r="G1218">
        <v>5276</v>
      </c>
      <c r="H1218">
        <v>2214</v>
      </c>
      <c r="I1218">
        <v>1357</v>
      </c>
      <c r="J1218">
        <v>594</v>
      </c>
      <c r="K1218">
        <v>411</v>
      </c>
      <c r="L1218">
        <v>526</v>
      </c>
      <c r="M1218">
        <v>419</v>
      </c>
      <c r="N1218">
        <v>635</v>
      </c>
      <c r="O1218">
        <v>816</v>
      </c>
      <c r="P1218">
        <v>342</v>
      </c>
      <c r="Q1218">
        <v>23</v>
      </c>
      <c r="R1218">
        <v>0.23936483</v>
      </c>
      <c r="S1218">
        <v>662</v>
      </c>
      <c r="T1218">
        <v>192</v>
      </c>
      <c r="U1218">
        <v>1195</v>
      </c>
      <c r="V1218">
        <v>1304</v>
      </c>
      <c r="W1218">
        <v>1350</v>
      </c>
      <c r="X1218">
        <v>963</v>
      </c>
      <c r="Y1218">
        <v>224</v>
      </c>
      <c r="Z1218">
        <v>21</v>
      </c>
      <c r="AA1218">
        <v>375</v>
      </c>
      <c r="AB1218">
        <v>0</v>
      </c>
      <c r="AC1218">
        <v>9</v>
      </c>
      <c r="AD1218">
        <v>33</v>
      </c>
      <c r="AE1218">
        <v>0</v>
      </c>
      <c r="AF1218">
        <v>0</v>
      </c>
      <c r="AG1218">
        <v>4</v>
      </c>
      <c r="AH1218">
        <v>0</v>
      </c>
      <c r="AI1218">
        <v>0</v>
      </c>
      <c r="AJ1218">
        <v>0</v>
      </c>
      <c r="AK1218">
        <v>1.2331700000000001</v>
      </c>
      <c r="AL1218">
        <v>1</v>
      </c>
      <c r="AM1218">
        <v>0</v>
      </c>
      <c r="AN1218">
        <v>1979</v>
      </c>
      <c r="AO1218">
        <v>1</v>
      </c>
      <c r="AP1218">
        <v>0</v>
      </c>
      <c r="AQ1218">
        <v>0</v>
      </c>
    </row>
    <row r="1219" spans="1:43" x14ac:dyDescent="0.25">
      <c r="A1219">
        <v>1216</v>
      </c>
      <c r="B1219">
        <v>25</v>
      </c>
      <c r="C1219">
        <v>25</v>
      </c>
      <c r="D1219">
        <v>6</v>
      </c>
      <c r="E1219">
        <v>1222</v>
      </c>
      <c r="F1219">
        <v>3062</v>
      </c>
      <c r="G1219">
        <v>3062</v>
      </c>
      <c r="H1219">
        <v>1498</v>
      </c>
      <c r="I1219">
        <v>942</v>
      </c>
      <c r="J1219">
        <v>218</v>
      </c>
      <c r="K1219">
        <v>175</v>
      </c>
      <c r="L1219">
        <v>282</v>
      </c>
      <c r="M1219">
        <v>405</v>
      </c>
      <c r="N1219">
        <v>351</v>
      </c>
      <c r="O1219">
        <v>618</v>
      </c>
      <c r="P1219">
        <v>236</v>
      </c>
      <c r="Q1219">
        <v>13</v>
      </c>
      <c r="R1219">
        <v>0.27927927899999999</v>
      </c>
      <c r="S1219">
        <v>131</v>
      </c>
      <c r="T1219">
        <v>118</v>
      </c>
      <c r="U1219">
        <v>468</v>
      </c>
      <c r="V1219">
        <v>762</v>
      </c>
      <c r="W1219">
        <v>945</v>
      </c>
      <c r="X1219">
        <v>648</v>
      </c>
      <c r="Y1219">
        <v>20</v>
      </c>
      <c r="Z1219">
        <v>7</v>
      </c>
      <c r="AA1219">
        <v>71</v>
      </c>
      <c r="AB1219">
        <v>0</v>
      </c>
      <c r="AC1219">
        <v>10</v>
      </c>
      <c r="AD1219">
        <v>23</v>
      </c>
      <c r="AE1219">
        <v>0</v>
      </c>
      <c r="AF1219">
        <v>0</v>
      </c>
      <c r="AG1219">
        <v>4</v>
      </c>
      <c r="AH1219">
        <v>0</v>
      </c>
      <c r="AI1219">
        <v>0</v>
      </c>
      <c r="AJ1219">
        <v>0</v>
      </c>
      <c r="AK1219">
        <v>1.17564</v>
      </c>
      <c r="AL1219">
        <v>1</v>
      </c>
      <c r="AM1219">
        <v>0</v>
      </c>
      <c r="AN1219">
        <v>1222</v>
      </c>
      <c r="AO1219">
        <v>0</v>
      </c>
      <c r="AP1219">
        <v>0</v>
      </c>
      <c r="AQ1219">
        <v>0</v>
      </c>
    </row>
    <row r="1220" spans="1:43" x14ac:dyDescent="0.25">
      <c r="A1220">
        <v>1217</v>
      </c>
      <c r="B1220">
        <v>25</v>
      </c>
      <c r="C1220">
        <v>25</v>
      </c>
      <c r="D1220">
        <v>6</v>
      </c>
      <c r="E1220">
        <v>1739</v>
      </c>
      <c r="F1220">
        <v>5608</v>
      </c>
      <c r="G1220">
        <v>5608</v>
      </c>
      <c r="H1220">
        <v>2456</v>
      </c>
      <c r="I1220">
        <v>1554</v>
      </c>
      <c r="J1220">
        <v>103</v>
      </c>
      <c r="K1220">
        <v>210</v>
      </c>
      <c r="L1220">
        <v>304</v>
      </c>
      <c r="M1220">
        <v>445</v>
      </c>
      <c r="N1220">
        <v>776</v>
      </c>
      <c r="O1220">
        <v>2448</v>
      </c>
      <c r="P1220">
        <v>590.26266439999995</v>
      </c>
      <c r="Q1220">
        <v>81</v>
      </c>
      <c r="R1220">
        <v>0.205580029</v>
      </c>
      <c r="S1220">
        <v>1211</v>
      </c>
      <c r="T1220">
        <v>370</v>
      </c>
      <c r="U1220">
        <v>1107</v>
      </c>
      <c r="V1220">
        <v>1263</v>
      </c>
      <c r="W1220">
        <v>1724</v>
      </c>
      <c r="X1220">
        <v>876</v>
      </c>
      <c r="Y1220">
        <v>19</v>
      </c>
      <c r="Z1220">
        <v>24</v>
      </c>
      <c r="AA1220">
        <v>820</v>
      </c>
      <c r="AB1220">
        <v>56</v>
      </c>
      <c r="AC1220">
        <v>61</v>
      </c>
      <c r="AD1220">
        <v>231</v>
      </c>
      <c r="AE1220">
        <v>0</v>
      </c>
      <c r="AF1220">
        <v>0</v>
      </c>
      <c r="AG1220">
        <v>4</v>
      </c>
      <c r="AH1220">
        <v>0</v>
      </c>
      <c r="AI1220">
        <v>0</v>
      </c>
      <c r="AJ1220">
        <v>0</v>
      </c>
      <c r="AK1220">
        <v>1.2116899999999999</v>
      </c>
      <c r="AL1220">
        <v>1</v>
      </c>
      <c r="AM1220">
        <v>0</v>
      </c>
      <c r="AN1220">
        <v>1739</v>
      </c>
      <c r="AO1220">
        <v>0</v>
      </c>
      <c r="AP1220">
        <v>0</v>
      </c>
      <c r="AQ1220">
        <v>0</v>
      </c>
    </row>
    <row r="1221" spans="1:43" x14ac:dyDescent="0.25">
      <c r="A1221">
        <v>1218</v>
      </c>
      <c r="B1221">
        <v>25</v>
      </c>
      <c r="C1221">
        <v>25</v>
      </c>
      <c r="D1221">
        <v>6</v>
      </c>
      <c r="E1221">
        <v>2162</v>
      </c>
      <c r="F1221">
        <v>6226</v>
      </c>
      <c r="G1221">
        <v>6237</v>
      </c>
      <c r="H1221">
        <v>2862</v>
      </c>
      <c r="I1221">
        <v>1368</v>
      </c>
      <c r="J1221">
        <v>748</v>
      </c>
      <c r="K1221">
        <v>518</v>
      </c>
      <c r="L1221">
        <v>627</v>
      </c>
      <c r="M1221">
        <v>552</v>
      </c>
      <c r="N1221">
        <v>451</v>
      </c>
      <c r="O1221">
        <v>602</v>
      </c>
      <c r="P1221">
        <v>301.14740540000003</v>
      </c>
      <c r="Q1221">
        <v>5</v>
      </c>
      <c r="R1221">
        <v>0.21892447800000001</v>
      </c>
      <c r="S1221">
        <v>118</v>
      </c>
      <c r="T1221">
        <v>523</v>
      </c>
      <c r="U1221">
        <v>941</v>
      </c>
      <c r="V1221">
        <v>2596</v>
      </c>
      <c r="W1221">
        <v>1381</v>
      </c>
      <c r="X1221">
        <v>1207</v>
      </c>
      <c r="Y1221">
        <v>4</v>
      </c>
      <c r="Z1221">
        <v>6</v>
      </c>
      <c r="AA1221">
        <v>87</v>
      </c>
      <c r="AB1221">
        <v>0</v>
      </c>
      <c r="AC1221">
        <v>9</v>
      </c>
      <c r="AD1221">
        <v>12</v>
      </c>
      <c r="AE1221">
        <v>0</v>
      </c>
      <c r="AF1221">
        <v>0</v>
      </c>
      <c r="AG1221">
        <v>4</v>
      </c>
      <c r="AH1221">
        <v>0</v>
      </c>
      <c r="AI1221">
        <v>0</v>
      </c>
      <c r="AJ1221">
        <v>0</v>
      </c>
      <c r="AK1221">
        <v>1.2082999999999999</v>
      </c>
      <c r="AL1221">
        <v>1</v>
      </c>
      <c r="AM1221">
        <v>0</v>
      </c>
      <c r="AN1221">
        <v>2162</v>
      </c>
      <c r="AO1221">
        <v>11</v>
      </c>
      <c r="AP1221">
        <v>0</v>
      </c>
      <c r="AQ1221">
        <v>0</v>
      </c>
    </row>
    <row r="1222" spans="1:43" x14ac:dyDescent="0.25">
      <c r="A1222">
        <v>1219</v>
      </c>
      <c r="B1222">
        <v>25</v>
      </c>
      <c r="C1222">
        <v>25</v>
      </c>
      <c r="D1222">
        <v>6</v>
      </c>
      <c r="E1222">
        <v>1378</v>
      </c>
      <c r="F1222">
        <v>3185</v>
      </c>
      <c r="G1222">
        <v>3222</v>
      </c>
      <c r="H1222">
        <v>1435</v>
      </c>
      <c r="I1222">
        <v>1149</v>
      </c>
      <c r="J1222">
        <v>217</v>
      </c>
      <c r="K1222">
        <v>333</v>
      </c>
      <c r="L1222">
        <v>390</v>
      </c>
      <c r="M1222">
        <v>294</v>
      </c>
      <c r="N1222">
        <v>376</v>
      </c>
      <c r="O1222">
        <v>480</v>
      </c>
      <c r="P1222">
        <v>249</v>
      </c>
      <c r="Q1222">
        <v>19</v>
      </c>
      <c r="R1222">
        <v>0.21353846200000001</v>
      </c>
      <c r="S1222">
        <v>471</v>
      </c>
      <c r="T1222">
        <v>78</v>
      </c>
      <c r="U1222">
        <v>527</v>
      </c>
      <c r="V1222">
        <v>858</v>
      </c>
      <c r="W1222">
        <v>1226</v>
      </c>
      <c r="X1222">
        <v>488</v>
      </c>
      <c r="Y1222">
        <v>44</v>
      </c>
      <c r="Z1222">
        <v>7</v>
      </c>
      <c r="AA1222">
        <v>194</v>
      </c>
      <c r="AB1222">
        <v>0</v>
      </c>
      <c r="AC1222">
        <v>5</v>
      </c>
      <c r="AD1222">
        <v>221</v>
      </c>
      <c r="AE1222">
        <v>0</v>
      </c>
      <c r="AF1222">
        <v>0</v>
      </c>
      <c r="AG1222">
        <v>4</v>
      </c>
      <c r="AH1222">
        <v>322</v>
      </c>
      <c r="AI1222">
        <v>0</v>
      </c>
      <c r="AJ1222">
        <v>0</v>
      </c>
      <c r="AK1222">
        <v>1.2562199999999999</v>
      </c>
      <c r="AL1222">
        <v>1</v>
      </c>
      <c r="AM1222">
        <v>0</v>
      </c>
      <c r="AN1222">
        <v>1378</v>
      </c>
      <c r="AO1222">
        <v>37</v>
      </c>
      <c r="AP1222">
        <v>0</v>
      </c>
      <c r="AQ1222">
        <v>0</v>
      </c>
    </row>
    <row r="1223" spans="1:43" x14ac:dyDescent="0.25">
      <c r="A1223">
        <v>1220</v>
      </c>
      <c r="B1223">
        <v>25</v>
      </c>
      <c r="C1223">
        <v>25</v>
      </c>
      <c r="D1223">
        <v>6</v>
      </c>
      <c r="E1223">
        <v>3014</v>
      </c>
      <c r="F1223">
        <v>8152</v>
      </c>
      <c r="G1223">
        <v>8152</v>
      </c>
      <c r="H1223">
        <v>3727</v>
      </c>
      <c r="I1223">
        <v>2646</v>
      </c>
      <c r="J1223">
        <v>287</v>
      </c>
      <c r="K1223">
        <v>649</v>
      </c>
      <c r="L1223">
        <v>702</v>
      </c>
      <c r="M1223">
        <v>863</v>
      </c>
      <c r="N1223">
        <v>800</v>
      </c>
      <c r="O1223">
        <v>1299</v>
      </c>
      <c r="P1223">
        <v>466</v>
      </c>
      <c r="Q1223">
        <v>28</v>
      </c>
      <c r="R1223">
        <v>0.247570396</v>
      </c>
      <c r="S1223">
        <v>627</v>
      </c>
      <c r="T1223">
        <v>304</v>
      </c>
      <c r="U1223">
        <v>1094</v>
      </c>
      <c r="V1223">
        <v>2201</v>
      </c>
      <c r="W1223">
        <v>2696</v>
      </c>
      <c r="X1223">
        <v>1567</v>
      </c>
      <c r="Y1223">
        <v>130</v>
      </c>
      <c r="Z1223">
        <v>32</v>
      </c>
      <c r="AA1223">
        <v>314</v>
      </c>
      <c r="AB1223">
        <v>0</v>
      </c>
      <c r="AC1223">
        <v>93</v>
      </c>
      <c r="AD1223">
        <v>58</v>
      </c>
      <c r="AE1223">
        <v>0</v>
      </c>
      <c r="AF1223">
        <v>0</v>
      </c>
      <c r="AG1223">
        <v>4</v>
      </c>
      <c r="AH1223">
        <v>0</v>
      </c>
      <c r="AI1223">
        <v>0</v>
      </c>
      <c r="AJ1223">
        <v>0</v>
      </c>
      <c r="AK1223">
        <v>1.22648</v>
      </c>
      <c r="AL1223">
        <v>1</v>
      </c>
      <c r="AM1223">
        <v>0</v>
      </c>
      <c r="AN1223">
        <v>3014</v>
      </c>
      <c r="AO1223">
        <v>0</v>
      </c>
      <c r="AP1223">
        <v>0</v>
      </c>
      <c r="AQ1223">
        <v>0</v>
      </c>
    </row>
    <row r="1224" spans="1:43" x14ac:dyDescent="0.25">
      <c r="A1224">
        <v>1221</v>
      </c>
      <c r="B1224">
        <v>25</v>
      </c>
      <c r="C1224">
        <v>25</v>
      </c>
      <c r="D1224">
        <v>6</v>
      </c>
      <c r="E1224">
        <v>1504</v>
      </c>
      <c r="F1224">
        <v>4879</v>
      </c>
      <c r="G1224">
        <v>4879</v>
      </c>
      <c r="H1224">
        <v>2115</v>
      </c>
      <c r="I1224">
        <v>1438</v>
      </c>
      <c r="J1224">
        <v>76</v>
      </c>
      <c r="K1224">
        <v>453</v>
      </c>
      <c r="L1224">
        <v>469</v>
      </c>
      <c r="M1224">
        <v>340</v>
      </c>
      <c r="N1224">
        <v>232</v>
      </c>
      <c r="O1224">
        <v>583</v>
      </c>
      <c r="P1224">
        <v>311.7621077</v>
      </c>
      <c r="Q1224">
        <v>30</v>
      </c>
      <c r="R1224">
        <v>0.14914611</v>
      </c>
      <c r="S1224">
        <v>223</v>
      </c>
      <c r="T1224">
        <v>416</v>
      </c>
      <c r="U1224">
        <v>1110</v>
      </c>
      <c r="V1224">
        <v>1764</v>
      </c>
      <c r="W1224">
        <v>1225</v>
      </c>
      <c r="X1224">
        <v>635</v>
      </c>
      <c r="Y1224">
        <v>9</v>
      </c>
      <c r="Z1224">
        <v>15</v>
      </c>
      <c r="AA1224">
        <v>159</v>
      </c>
      <c r="AB1224">
        <v>0</v>
      </c>
      <c r="AC1224">
        <v>12</v>
      </c>
      <c r="AD1224">
        <v>28</v>
      </c>
      <c r="AE1224">
        <v>0</v>
      </c>
      <c r="AF1224">
        <v>0</v>
      </c>
      <c r="AG1224">
        <v>4</v>
      </c>
      <c r="AH1224">
        <v>0</v>
      </c>
      <c r="AI1224">
        <v>0</v>
      </c>
      <c r="AJ1224">
        <v>0</v>
      </c>
      <c r="AK1224">
        <v>1.2204200000000001</v>
      </c>
      <c r="AL1224">
        <v>1</v>
      </c>
      <c r="AM1224">
        <v>0</v>
      </c>
      <c r="AN1224">
        <v>1504</v>
      </c>
      <c r="AO1224">
        <v>0</v>
      </c>
      <c r="AP1224">
        <v>0</v>
      </c>
      <c r="AQ1224">
        <v>0</v>
      </c>
    </row>
    <row r="1225" spans="1:43" x14ac:dyDescent="0.25">
      <c r="A1225">
        <v>1222</v>
      </c>
      <c r="B1225">
        <v>25</v>
      </c>
      <c r="C1225">
        <v>25</v>
      </c>
      <c r="D1225">
        <v>6</v>
      </c>
      <c r="E1225">
        <v>1356</v>
      </c>
      <c r="F1225">
        <v>2763</v>
      </c>
      <c r="G1225">
        <v>3006</v>
      </c>
      <c r="H1225">
        <v>1552</v>
      </c>
      <c r="I1225">
        <v>687</v>
      </c>
      <c r="J1225">
        <v>790</v>
      </c>
      <c r="K1225">
        <v>313</v>
      </c>
      <c r="L1225">
        <v>448</v>
      </c>
      <c r="M1225">
        <v>418</v>
      </c>
      <c r="N1225">
        <v>175</v>
      </c>
      <c r="O1225">
        <v>484</v>
      </c>
      <c r="P1225">
        <v>99.346788320000002</v>
      </c>
      <c r="Q1225">
        <v>8</v>
      </c>
      <c r="R1225">
        <v>0.14077970300000001</v>
      </c>
      <c r="S1225">
        <v>594</v>
      </c>
      <c r="T1225">
        <v>59</v>
      </c>
      <c r="U1225">
        <v>388</v>
      </c>
      <c r="V1225">
        <v>1466</v>
      </c>
      <c r="W1225">
        <v>848</v>
      </c>
      <c r="X1225">
        <v>399</v>
      </c>
      <c r="Y1225">
        <v>8</v>
      </c>
      <c r="Z1225">
        <v>19</v>
      </c>
      <c r="AA1225">
        <v>477</v>
      </c>
      <c r="AB1225">
        <v>0</v>
      </c>
      <c r="AC1225">
        <v>60</v>
      </c>
      <c r="AD1225">
        <v>30</v>
      </c>
      <c r="AE1225">
        <v>0</v>
      </c>
      <c r="AF1225">
        <v>0</v>
      </c>
      <c r="AG1225">
        <v>4</v>
      </c>
      <c r="AH1225">
        <v>0</v>
      </c>
      <c r="AI1225">
        <v>736</v>
      </c>
      <c r="AJ1225">
        <v>188</v>
      </c>
      <c r="AK1225">
        <v>1.51962</v>
      </c>
      <c r="AL1225">
        <v>1</v>
      </c>
      <c r="AM1225">
        <v>0</v>
      </c>
      <c r="AN1225">
        <v>1356</v>
      </c>
      <c r="AO1225">
        <v>243</v>
      </c>
      <c r="AP1225">
        <v>0</v>
      </c>
      <c r="AQ1225">
        <v>0</v>
      </c>
    </row>
    <row r="1226" spans="1:43" x14ac:dyDescent="0.25">
      <c r="A1226">
        <v>1223</v>
      </c>
      <c r="B1226">
        <v>25</v>
      </c>
      <c r="C1226">
        <v>25</v>
      </c>
      <c r="D1226">
        <v>6</v>
      </c>
      <c r="E1226">
        <v>1283</v>
      </c>
      <c r="F1226">
        <v>3821</v>
      </c>
      <c r="G1226">
        <v>3841</v>
      </c>
      <c r="H1226">
        <v>1418</v>
      </c>
      <c r="I1226">
        <v>1076</v>
      </c>
      <c r="J1226">
        <v>186</v>
      </c>
      <c r="K1226">
        <v>633</v>
      </c>
      <c r="L1226">
        <v>381</v>
      </c>
      <c r="M1226">
        <v>231</v>
      </c>
      <c r="N1226">
        <v>42</v>
      </c>
      <c r="O1226">
        <v>704</v>
      </c>
      <c r="P1226">
        <v>173</v>
      </c>
      <c r="Q1226">
        <v>134</v>
      </c>
      <c r="R1226">
        <v>0.13179158499999999</v>
      </c>
      <c r="S1226">
        <v>1266</v>
      </c>
      <c r="T1226">
        <v>112</v>
      </c>
      <c r="U1226">
        <v>846</v>
      </c>
      <c r="V1226">
        <v>1367</v>
      </c>
      <c r="W1226">
        <v>827</v>
      </c>
      <c r="X1226">
        <v>368</v>
      </c>
      <c r="Y1226">
        <v>37</v>
      </c>
      <c r="Z1226">
        <v>34</v>
      </c>
      <c r="AA1226">
        <v>205</v>
      </c>
      <c r="AB1226">
        <v>0</v>
      </c>
      <c r="AC1226">
        <v>417</v>
      </c>
      <c r="AD1226">
        <v>573</v>
      </c>
      <c r="AE1226">
        <v>0</v>
      </c>
      <c r="AF1226">
        <v>0</v>
      </c>
      <c r="AG1226">
        <v>4</v>
      </c>
      <c r="AH1226">
        <v>0</v>
      </c>
      <c r="AI1226">
        <v>0</v>
      </c>
      <c r="AJ1226">
        <v>0</v>
      </c>
      <c r="AK1226">
        <v>1.30348</v>
      </c>
      <c r="AL1226">
        <v>2</v>
      </c>
      <c r="AM1226">
        <v>0</v>
      </c>
      <c r="AN1226">
        <v>1283</v>
      </c>
      <c r="AO1226">
        <v>20</v>
      </c>
      <c r="AP1226">
        <v>0</v>
      </c>
      <c r="AQ1226">
        <v>0</v>
      </c>
    </row>
    <row r="1227" spans="1:43" x14ac:dyDescent="0.25">
      <c r="A1227">
        <v>1224</v>
      </c>
      <c r="B1227">
        <v>25</v>
      </c>
      <c r="C1227">
        <v>25</v>
      </c>
      <c r="D1227">
        <v>6</v>
      </c>
      <c r="E1227">
        <v>1524</v>
      </c>
      <c r="F1227">
        <v>2828</v>
      </c>
      <c r="G1227">
        <v>2941</v>
      </c>
      <c r="H1227">
        <v>982</v>
      </c>
      <c r="I1227">
        <v>199</v>
      </c>
      <c r="J1227">
        <v>1509</v>
      </c>
      <c r="K1227">
        <v>1108</v>
      </c>
      <c r="L1227">
        <v>293</v>
      </c>
      <c r="M1227">
        <v>93</v>
      </c>
      <c r="N1227">
        <v>40</v>
      </c>
      <c r="O1227">
        <v>231</v>
      </c>
      <c r="P1227">
        <v>35</v>
      </c>
      <c r="Q1227">
        <v>65</v>
      </c>
      <c r="R1227">
        <v>0.24233023100000001</v>
      </c>
      <c r="S1227">
        <v>1286</v>
      </c>
      <c r="T1227">
        <v>342</v>
      </c>
      <c r="U1227">
        <v>318</v>
      </c>
      <c r="V1227">
        <v>1061</v>
      </c>
      <c r="W1227">
        <v>560</v>
      </c>
      <c r="X1227">
        <v>561</v>
      </c>
      <c r="Y1227">
        <v>62</v>
      </c>
      <c r="Z1227">
        <v>73</v>
      </c>
      <c r="AA1227">
        <v>704</v>
      </c>
      <c r="AB1227">
        <v>0</v>
      </c>
      <c r="AC1227">
        <v>146</v>
      </c>
      <c r="AD1227">
        <v>301</v>
      </c>
      <c r="AE1227">
        <v>0</v>
      </c>
      <c r="AF1227">
        <v>0</v>
      </c>
      <c r="AG1227">
        <v>3</v>
      </c>
      <c r="AH1227">
        <v>21</v>
      </c>
      <c r="AI1227">
        <v>0</v>
      </c>
      <c r="AJ1227">
        <v>0</v>
      </c>
      <c r="AK1227">
        <v>2.1267900000000002</v>
      </c>
      <c r="AL1227">
        <v>1</v>
      </c>
      <c r="AM1227">
        <v>0</v>
      </c>
      <c r="AN1227">
        <v>1524</v>
      </c>
      <c r="AO1227">
        <v>113</v>
      </c>
      <c r="AP1227">
        <v>0</v>
      </c>
      <c r="AQ1227">
        <v>0</v>
      </c>
    </row>
    <row r="1228" spans="1:43" x14ac:dyDescent="0.25">
      <c r="A1228">
        <v>1225</v>
      </c>
      <c r="B1228">
        <v>25</v>
      </c>
      <c r="C1228">
        <v>25</v>
      </c>
      <c r="D1228">
        <v>6</v>
      </c>
      <c r="E1228">
        <v>1133</v>
      </c>
      <c r="F1228">
        <v>2331</v>
      </c>
      <c r="G1228">
        <v>2331</v>
      </c>
      <c r="H1228">
        <v>1093</v>
      </c>
      <c r="I1228">
        <v>587</v>
      </c>
      <c r="J1228">
        <v>622</v>
      </c>
      <c r="K1228">
        <v>578</v>
      </c>
      <c r="L1228">
        <v>288</v>
      </c>
      <c r="M1228">
        <v>142</v>
      </c>
      <c r="N1228">
        <v>122</v>
      </c>
      <c r="O1228">
        <v>182</v>
      </c>
      <c r="P1228">
        <v>109.1612683</v>
      </c>
      <c r="Q1228">
        <v>26</v>
      </c>
      <c r="R1228">
        <v>0.18741387200000001</v>
      </c>
      <c r="S1228">
        <v>346</v>
      </c>
      <c r="T1228">
        <v>109</v>
      </c>
      <c r="U1228">
        <v>333</v>
      </c>
      <c r="V1228">
        <v>777</v>
      </c>
      <c r="W1228">
        <v>665</v>
      </c>
      <c r="X1228">
        <v>247</v>
      </c>
      <c r="Y1228">
        <v>46</v>
      </c>
      <c r="Z1228">
        <v>22</v>
      </c>
      <c r="AA1228">
        <v>102</v>
      </c>
      <c r="AB1228">
        <v>13</v>
      </c>
      <c r="AC1228">
        <v>15</v>
      </c>
      <c r="AD1228">
        <v>148</v>
      </c>
      <c r="AE1228">
        <v>0</v>
      </c>
      <c r="AF1228">
        <v>0</v>
      </c>
      <c r="AG1228">
        <v>3</v>
      </c>
      <c r="AH1228">
        <v>0</v>
      </c>
      <c r="AI1228">
        <v>0</v>
      </c>
      <c r="AJ1228">
        <v>0</v>
      </c>
      <c r="AK1228">
        <v>1.86422</v>
      </c>
      <c r="AL1228">
        <v>1</v>
      </c>
      <c r="AM1228">
        <v>0</v>
      </c>
      <c r="AN1228">
        <v>1133</v>
      </c>
      <c r="AO1228">
        <v>0</v>
      </c>
      <c r="AP1228">
        <v>0</v>
      </c>
      <c r="AQ1228">
        <v>0</v>
      </c>
    </row>
    <row r="1229" spans="1:43" x14ac:dyDescent="0.25">
      <c r="A1229">
        <v>1226</v>
      </c>
      <c r="B1229">
        <v>25</v>
      </c>
      <c r="C1229">
        <v>25</v>
      </c>
      <c r="D1229">
        <v>6</v>
      </c>
      <c r="E1229">
        <v>1098</v>
      </c>
      <c r="F1229">
        <v>2795</v>
      </c>
      <c r="G1229">
        <v>2804</v>
      </c>
      <c r="H1229">
        <v>1335</v>
      </c>
      <c r="I1229">
        <v>1009</v>
      </c>
      <c r="J1229">
        <v>176</v>
      </c>
      <c r="K1229">
        <v>397</v>
      </c>
      <c r="L1229">
        <v>447</v>
      </c>
      <c r="M1229">
        <v>191</v>
      </c>
      <c r="N1229">
        <v>64</v>
      </c>
      <c r="O1229">
        <v>263</v>
      </c>
      <c r="P1229">
        <v>143.1146114</v>
      </c>
      <c r="Q1229">
        <v>36</v>
      </c>
      <c r="R1229">
        <v>0.251077944</v>
      </c>
      <c r="S1229">
        <v>475</v>
      </c>
      <c r="T1229">
        <v>117</v>
      </c>
      <c r="U1229">
        <v>545</v>
      </c>
      <c r="V1229">
        <v>1082</v>
      </c>
      <c r="W1229">
        <v>614</v>
      </c>
      <c r="X1229">
        <v>586</v>
      </c>
      <c r="Y1229">
        <v>90</v>
      </c>
      <c r="Z1229">
        <v>14</v>
      </c>
      <c r="AA1229">
        <v>99</v>
      </c>
      <c r="AB1229">
        <v>0</v>
      </c>
      <c r="AC1229">
        <v>252</v>
      </c>
      <c r="AD1229">
        <v>20</v>
      </c>
      <c r="AE1229">
        <v>0</v>
      </c>
      <c r="AF1229">
        <v>0</v>
      </c>
      <c r="AG1229">
        <v>3</v>
      </c>
      <c r="AH1229">
        <v>0</v>
      </c>
      <c r="AI1229">
        <v>0</v>
      </c>
      <c r="AJ1229">
        <v>0</v>
      </c>
      <c r="AK1229">
        <v>1.3124499999999999</v>
      </c>
      <c r="AL1229">
        <v>2</v>
      </c>
      <c r="AM1229">
        <v>0</v>
      </c>
      <c r="AN1229">
        <v>1098</v>
      </c>
      <c r="AO1229">
        <v>9</v>
      </c>
      <c r="AP1229">
        <v>0</v>
      </c>
      <c r="AQ1229">
        <v>0</v>
      </c>
    </row>
    <row r="1230" spans="1:43" x14ac:dyDescent="0.25">
      <c r="A1230">
        <v>1227</v>
      </c>
      <c r="B1230">
        <v>25</v>
      </c>
      <c r="C1230">
        <v>25</v>
      </c>
      <c r="D1230">
        <v>6</v>
      </c>
      <c r="E1230">
        <v>1308</v>
      </c>
      <c r="F1230">
        <v>3527</v>
      </c>
      <c r="G1230">
        <v>3532</v>
      </c>
      <c r="H1230">
        <v>1583</v>
      </c>
      <c r="I1230">
        <v>1258</v>
      </c>
      <c r="J1230">
        <v>16</v>
      </c>
      <c r="K1230">
        <v>390</v>
      </c>
      <c r="L1230">
        <v>519</v>
      </c>
      <c r="M1230">
        <v>361</v>
      </c>
      <c r="N1230">
        <v>42</v>
      </c>
      <c r="O1230">
        <v>284</v>
      </c>
      <c r="P1230">
        <v>195</v>
      </c>
      <c r="Q1230">
        <v>15</v>
      </c>
      <c r="R1230">
        <v>0.15665052700000001</v>
      </c>
      <c r="S1230">
        <v>281</v>
      </c>
      <c r="T1230">
        <v>77</v>
      </c>
      <c r="U1230">
        <v>826</v>
      </c>
      <c r="V1230">
        <v>1376</v>
      </c>
      <c r="W1230">
        <v>735</v>
      </c>
      <c r="X1230">
        <v>423</v>
      </c>
      <c r="Y1230">
        <v>44</v>
      </c>
      <c r="Z1230">
        <v>14</v>
      </c>
      <c r="AA1230">
        <v>168</v>
      </c>
      <c r="AB1230">
        <v>0</v>
      </c>
      <c r="AC1230">
        <v>28</v>
      </c>
      <c r="AD1230">
        <v>27</v>
      </c>
      <c r="AE1230">
        <v>0</v>
      </c>
      <c r="AF1230">
        <v>0</v>
      </c>
      <c r="AG1230">
        <v>4</v>
      </c>
      <c r="AH1230">
        <v>0</v>
      </c>
      <c r="AI1230">
        <v>0</v>
      </c>
      <c r="AJ1230">
        <v>0</v>
      </c>
      <c r="AK1230">
        <v>1.1694599999999999</v>
      </c>
      <c r="AL1230">
        <v>1</v>
      </c>
      <c r="AM1230">
        <v>0</v>
      </c>
      <c r="AN1230">
        <v>1308</v>
      </c>
      <c r="AO1230">
        <v>5</v>
      </c>
      <c r="AP1230">
        <v>0</v>
      </c>
      <c r="AQ1230">
        <v>0</v>
      </c>
    </row>
    <row r="1231" spans="1:43" x14ac:dyDescent="0.25">
      <c r="A1231">
        <v>1228</v>
      </c>
      <c r="B1231">
        <v>25</v>
      </c>
      <c r="C1231">
        <v>25</v>
      </c>
      <c r="D1231">
        <v>6</v>
      </c>
      <c r="E1231">
        <v>918</v>
      </c>
      <c r="F1231">
        <v>2354</v>
      </c>
      <c r="G1231">
        <v>2390</v>
      </c>
      <c r="H1231">
        <v>1281</v>
      </c>
      <c r="I1231">
        <v>893</v>
      </c>
      <c r="J1231">
        <v>30</v>
      </c>
      <c r="K1231">
        <v>224</v>
      </c>
      <c r="L1231">
        <v>259</v>
      </c>
      <c r="M1231">
        <v>237</v>
      </c>
      <c r="N1231">
        <v>201</v>
      </c>
      <c r="O1231">
        <v>319</v>
      </c>
      <c r="P1231">
        <v>207</v>
      </c>
      <c r="Q1231">
        <v>27</v>
      </c>
      <c r="R1231">
        <v>0.120501415</v>
      </c>
      <c r="S1231">
        <v>135</v>
      </c>
      <c r="T1231">
        <v>53</v>
      </c>
      <c r="U1231">
        <v>474</v>
      </c>
      <c r="V1231">
        <v>800</v>
      </c>
      <c r="W1231">
        <v>922</v>
      </c>
      <c r="X1231">
        <v>181</v>
      </c>
      <c r="Y1231">
        <v>1</v>
      </c>
      <c r="Z1231">
        <v>4</v>
      </c>
      <c r="AA1231">
        <v>104</v>
      </c>
      <c r="AB1231">
        <v>0</v>
      </c>
      <c r="AC1231">
        <v>1</v>
      </c>
      <c r="AD1231">
        <v>25</v>
      </c>
      <c r="AE1231">
        <v>0</v>
      </c>
      <c r="AF1231">
        <v>0</v>
      </c>
      <c r="AG1231">
        <v>4</v>
      </c>
      <c r="AH1231">
        <v>0</v>
      </c>
      <c r="AI1231">
        <v>0</v>
      </c>
      <c r="AJ1231">
        <v>0</v>
      </c>
      <c r="AK1231">
        <v>1.1006800000000001</v>
      </c>
      <c r="AL1231">
        <v>1</v>
      </c>
      <c r="AM1231">
        <v>0</v>
      </c>
      <c r="AN1231">
        <v>918</v>
      </c>
      <c r="AO1231">
        <v>36</v>
      </c>
      <c r="AP1231">
        <v>0</v>
      </c>
      <c r="AQ1231">
        <v>0</v>
      </c>
    </row>
    <row r="1232" spans="1:43" x14ac:dyDescent="0.25">
      <c r="A1232">
        <v>1229</v>
      </c>
      <c r="B1232">
        <v>25</v>
      </c>
      <c r="C1232">
        <v>25</v>
      </c>
      <c r="D1232">
        <v>6</v>
      </c>
      <c r="E1232">
        <v>1553</v>
      </c>
      <c r="F1232">
        <v>4405</v>
      </c>
      <c r="G1232">
        <v>4414</v>
      </c>
      <c r="H1232">
        <v>2104</v>
      </c>
      <c r="I1232">
        <v>1003</v>
      </c>
      <c r="J1232">
        <v>474</v>
      </c>
      <c r="K1232">
        <v>490</v>
      </c>
      <c r="L1232">
        <v>538</v>
      </c>
      <c r="M1232">
        <v>337</v>
      </c>
      <c r="N1232">
        <v>193</v>
      </c>
      <c r="O1232">
        <v>328</v>
      </c>
      <c r="P1232">
        <v>189.1403043</v>
      </c>
      <c r="Q1232">
        <v>59</v>
      </c>
      <c r="R1232">
        <v>0.163157895</v>
      </c>
      <c r="S1232">
        <v>673</v>
      </c>
      <c r="T1232">
        <v>222</v>
      </c>
      <c r="U1232">
        <v>993</v>
      </c>
      <c r="V1232">
        <v>1683</v>
      </c>
      <c r="W1232">
        <v>961</v>
      </c>
      <c r="X1232">
        <v>602</v>
      </c>
      <c r="Y1232">
        <v>144</v>
      </c>
      <c r="Z1232">
        <v>18</v>
      </c>
      <c r="AA1232">
        <v>465</v>
      </c>
      <c r="AB1232">
        <v>0</v>
      </c>
      <c r="AC1232">
        <v>12</v>
      </c>
      <c r="AD1232">
        <v>34</v>
      </c>
      <c r="AE1232">
        <v>0</v>
      </c>
      <c r="AF1232">
        <v>0</v>
      </c>
      <c r="AG1232">
        <v>4</v>
      </c>
      <c r="AH1232">
        <v>1</v>
      </c>
      <c r="AI1232">
        <v>0</v>
      </c>
      <c r="AJ1232">
        <v>0</v>
      </c>
      <c r="AK1232">
        <v>1.3875200000000001</v>
      </c>
      <c r="AL1232">
        <v>1</v>
      </c>
      <c r="AM1232">
        <v>0</v>
      </c>
      <c r="AN1232">
        <v>1553</v>
      </c>
      <c r="AO1232">
        <v>9</v>
      </c>
      <c r="AP1232">
        <v>0</v>
      </c>
      <c r="AQ1232">
        <v>0</v>
      </c>
    </row>
    <row r="1233" spans="1:43" x14ac:dyDescent="0.25">
      <c r="A1233">
        <v>1230</v>
      </c>
      <c r="B1233">
        <v>25</v>
      </c>
      <c r="C1233">
        <v>25</v>
      </c>
      <c r="D1233">
        <v>6</v>
      </c>
      <c r="E1233">
        <v>2231</v>
      </c>
      <c r="F1233">
        <v>6160</v>
      </c>
      <c r="G1233">
        <v>6200</v>
      </c>
      <c r="H1233">
        <v>2699</v>
      </c>
      <c r="I1233">
        <v>1874</v>
      </c>
      <c r="J1233">
        <v>458</v>
      </c>
      <c r="K1233">
        <v>666</v>
      </c>
      <c r="L1233">
        <v>559</v>
      </c>
      <c r="M1233">
        <v>605</v>
      </c>
      <c r="N1233">
        <v>407</v>
      </c>
      <c r="O1233">
        <v>835</v>
      </c>
      <c r="P1233">
        <v>488</v>
      </c>
      <c r="Q1233">
        <v>22</v>
      </c>
      <c r="R1233">
        <v>0.26777141100000001</v>
      </c>
      <c r="S1233">
        <v>480</v>
      </c>
      <c r="T1233">
        <v>152</v>
      </c>
      <c r="U1233">
        <v>1087</v>
      </c>
      <c r="V1233">
        <v>1995</v>
      </c>
      <c r="W1233">
        <v>1608</v>
      </c>
      <c r="X1233">
        <v>1476</v>
      </c>
      <c r="Y1233">
        <v>17</v>
      </c>
      <c r="Z1233">
        <v>9</v>
      </c>
      <c r="AA1233">
        <v>410</v>
      </c>
      <c r="AB1233">
        <v>0</v>
      </c>
      <c r="AC1233">
        <v>30</v>
      </c>
      <c r="AD1233">
        <v>14</v>
      </c>
      <c r="AE1233">
        <v>0</v>
      </c>
      <c r="AF1233">
        <v>0</v>
      </c>
      <c r="AG1233">
        <v>4</v>
      </c>
      <c r="AH1233">
        <v>61</v>
      </c>
      <c r="AI1233">
        <v>0</v>
      </c>
      <c r="AJ1233">
        <v>0</v>
      </c>
      <c r="AK1233">
        <v>1.19347</v>
      </c>
      <c r="AL1233">
        <v>1</v>
      </c>
      <c r="AM1233">
        <v>0</v>
      </c>
      <c r="AN1233">
        <v>2231</v>
      </c>
      <c r="AO1233">
        <v>40</v>
      </c>
      <c r="AP1233">
        <v>0</v>
      </c>
      <c r="AQ1233">
        <v>0</v>
      </c>
    </row>
    <row r="1234" spans="1:43" x14ac:dyDescent="0.25">
      <c r="A1234">
        <v>1231</v>
      </c>
      <c r="B1234">
        <v>25</v>
      </c>
      <c r="C1234">
        <v>25</v>
      </c>
      <c r="D1234">
        <v>6</v>
      </c>
      <c r="E1234">
        <v>1250</v>
      </c>
      <c r="F1234">
        <v>3398</v>
      </c>
      <c r="G1234">
        <v>3424</v>
      </c>
      <c r="H1234">
        <v>1557</v>
      </c>
      <c r="I1234">
        <v>1259</v>
      </c>
      <c r="J1234">
        <v>17</v>
      </c>
      <c r="K1234">
        <v>317</v>
      </c>
      <c r="L1234">
        <v>629</v>
      </c>
      <c r="M1234">
        <v>216</v>
      </c>
      <c r="N1234">
        <v>95</v>
      </c>
      <c r="O1234">
        <v>264</v>
      </c>
      <c r="P1234">
        <v>159</v>
      </c>
      <c r="Q1234">
        <v>41</v>
      </c>
      <c r="R1234">
        <v>0.24163357899999999</v>
      </c>
      <c r="S1234">
        <v>456</v>
      </c>
      <c r="T1234">
        <v>96</v>
      </c>
      <c r="U1234">
        <v>597</v>
      </c>
      <c r="V1234">
        <v>1171</v>
      </c>
      <c r="W1234">
        <v>894</v>
      </c>
      <c r="X1234">
        <v>703</v>
      </c>
      <c r="Y1234">
        <v>65</v>
      </c>
      <c r="Z1234">
        <v>12</v>
      </c>
      <c r="AA1234">
        <v>320</v>
      </c>
      <c r="AB1234">
        <v>0</v>
      </c>
      <c r="AC1234">
        <v>31</v>
      </c>
      <c r="AD1234">
        <v>28</v>
      </c>
      <c r="AE1234">
        <v>0</v>
      </c>
      <c r="AF1234">
        <v>0</v>
      </c>
      <c r="AG1234">
        <v>4</v>
      </c>
      <c r="AH1234">
        <v>0</v>
      </c>
      <c r="AI1234">
        <v>0</v>
      </c>
      <c r="AJ1234">
        <v>0</v>
      </c>
      <c r="AK1234">
        <v>1.3409899999999999</v>
      </c>
      <c r="AL1234">
        <v>3</v>
      </c>
      <c r="AM1234">
        <v>0</v>
      </c>
      <c r="AN1234">
        <v>1250</v>
      </c>
      <c r="AO1234">
        <v>26</v>
      </c>
      <c r="AP1234">
        <v>0</v>
      </c>
      <c r="AQ1234">
        <v>0</v>
      </c>
    </row>
    <row r="1235" spans="1:43" x14ac:dyDescent="0.25">
      <c r="A1235">
        <v>1232</v>
      </c>
      <c r="B1235">
        <v>25</v>
      </c>
      <c r="C1235">
        <v>25</v>
      </c>
      <c r="D1235">
        <v>6</v>
      </c>
      <c r="E1235">
        <v>1243</v>
      </c>
      <c r="F1235">
        <v>3234</v>
      </c>
      <c r="G1235">
        <v>3326</v>
      </c>
      <c r="H1235">
        <v>1601</v>
      </c>
      <c r="I1235">
        <v>993</v>
      </c>
      <c r="J1235">
        <v>256</v>
      </c>
      <c r="K1235">
        <v>495</v>
      </c>
      <c r="L1235">
        <v>431</v>
      </c>
      <c r="M1235">
        <v>190</v>
      </c>
      <c r="N1235">
        <v>128</v>
      </c>
      <c r="O1235">
        <v>284</v>
      </c>
      <c r="P1235">
        <v>151</v>
      </c>
      <c r="Q1235">
        <v>52.113469119999998</v>
      </c>
      <c r="R1235">
        <v>0.18616044100000001</v>
      </c>
      <c r="S1235">
        <v>795</v>
      </c>
      <c r="T1235">
        <v>61</v>
      </c>
      <c r="U1235">
        <v>502</v>
      </c>
      <c r="V1235">
        <v>1546</v>
      </c>
      <c r="W1235">
        <v>596</v>
      </c>
      <c r="X1235">
        <v>491</v>
      </c>
      <c r="Y1235">
        <v>144</v>
      </c>
      <c r="Z1235">
        <v>18</v>
      </c>
      <c r="AA1235">
        <v>551</v>
      </c>
      <c r="AB1235">
        <v>0</v>
      </c>
      <c r="AC1235">
        <v>10</v>
      </c>
      <c r="AD1235">
        <v>72</v>
      </c>
      <c r="AE1235">
        <v>0</v>
      </c>
      <c r="AF1235">
        <v>0</v>
      </c>
      <c r="AG1235">
        <v>3</v>
      </c>
      <c r="AH1235">
        <v>0</v>
      </c>
      <c r="AI1235">
        <v>0</v>
      </c>
      <c r="AJ1235">
        <v>0</v>
      </c>
      <c r="AK1235">
        <v>1.43438</v>
      </c>
      <c r="AL1235">
        <v>3</v>
      </c>
      <c r="AM1235">
        <v>0</v>
      </c>
      <c r="AN1235">
        <v>1243</v>
      </c>
      <c r="AO1235">
        <v>92</v>
      </c>
      <c r="AP1235">
        <v>0</v>
      </c>
      <c r="AQ1235">
        <v>0</v>
      </c>
    </row>
    <row r="1236" spans="1:43" x14ac:dyDescent="0.25">
      <c r="A1236">
        <v>1233</v>
      </c>
      <c r="B1236">
        <v>25</v>
      </c>
      <c r="C1236">
        <v>25</v>
      </c>
      <c r="D1236">
        <v>6</v>
      </c>
      <c r="E1236">
        <v>1247</v>
      </c>
      <c r="F1236">
        <v>3188</v>
      </c>
      <c r="G1236">
        <v>3188</v>
      </c>
      <c r="H1236">
        <v>1437</v>
      </c>
      <c r="I1236">
        <v>1034</v>
      </c>
      <c r="J1236">
        <v>140</v>
      </c>
      <c r="K1236">
        <v>242</v>
      </c>
      <c r="L1236">
        <v>469</v>
      </c>
      <c r="M1236">
        <v>324</v>
      </c>
      <c r="N1236">
        <v>210</v>
      </c>
      <c r="O1236">
        <v>304</v>
      </c>
      <c r="P1236">
        <v>206.20002239999999</v>
      </c>
      <c r="Q1236">
        <v>28</v>
      </c>
      <c r="R1236">
        <v>0.227943485</v>
      </c>
      <c r="S1236">
        <v>328</v>
      </c>
      <c r="T1236">
        <v>184</v>
      </c>
      <c r="U1236">
        <v>521</v>
      </c>
      <c r="V1236">
        <v>919</v>
      </c>
      <c r="W1236">
        <v>928</v>
      </c>
      <c r="X1236">
        <v>575</v>
      </c>
      <c r="Y1236">
        <v>25</v>
      </c>
      <c r="Z1236">
        <v>22</v>
      </c>
      <c r="AA1236">
        <v>246</v>
      </c>
      <c r="AB1236">
        <v>0</v>
      </c>
      <c r="AC1236">
        <v>8</v>
      </c>
      <c r="AD1236">
        <v>27</v>
      </c>
      <c r="AE1236">
        <v>0</v>
      </c>
      <c r="AF1236">
        <v>0</v>
      </c>
      <c r="AG1236">
        <v>4</v>
      </c>
      <c r="AH1236">
        <v>0</v>
      </c>
      <c r="AI1236">
        <v>0</v>
      </c>
      <c r="AJ1236">
        <v>0</v>
      </c>
      <c r="AK1236">
        <v>1.1712</v>
      </c>
      <c r="AL1236">
        <v>1</v>
      </c>
      <c r="AM1236">
        <v>0</v>
      </c>
      <c r="AN1236">
        <v>1247</v>
      </c>
      <c r="AO1236">
        <v>0</v>
      </c>
      <c r="AP1236">
        <v>0</v>
      </c>
      <c r="AQ1236">
        <v>0</v>
      </c>
    </row>
    <row r="1237" spans="1:43" x14ac:dyDescent="0.25">
      <c r="A1237">
        <v>1234</v>
      </c>
      <c r="B1237">
        <v>25</v>
      </c>
      <c r="C1237">
        <v>25</v>
      </c>
      <c r="D1237">
        <v>6</v>
      </c>
      <c r="E1237">
        <v>1399</v>
      </c>
      <c r="F1237">
        <v>3670</v>
      </c>
      <c r="G1237">
        <v>3698</v>
      </c>
      <c r="H1237">
        <v>1446</v>
      </c>
      <c r="I1237">
        <v>839</v>
      </c>
      <c r="J1237">
        <v>567</v>
      </c>
      <c r="K1237">
        <v>705</v>
      </c>
      <c r="L1237">
        <v>386</v>
      </c>
      <c r="M1237">
        <v>173</v>
      </c>
      <c r="N1237">
        <v>127</v>
      </c>
      <c r="O1237">
        <v>348</v>
      </c>
      <c r="P1237">
        <v>151</v>
      </c>
      <c r="Q1237">
        <v>105</v>
      </c>
      <c r="R1237">
        <v>0.23695111799999999</v>
      </c>
      <c r="S1237">
        <v>1550</v>
      </c>
      <c r="T1237">
        <v>252</v>
      </c>
      <c r="U1237">
        <v>768</v>
      </c>
      <c r="V1237">
        <v>875</v>
      </c>
      <c r="W1237">
        <v>1043</v>
      </c>
      <c r="X1237">
        <v>599</v>
      </c>
      <c r="Y1237">
        <v>204</v>
      </c>
      <c r="Z1237">
        <v>73</v>
      </c>
      <c r="AA1237">
        <v>846</v>
      </c>
      <c r="AB1237">
        <v>0</v>
      </c>
      <c r="AC1237">
        <v>97</v>
      </c>
      <c r="AD1237">
        <v>330</v>
      </c>
      <c r="AE1237">
        <v>0</v>
      </c>
      <c r="AF1237">
        <v>0</v>
      </c>
      <c r="AG1237">
        <v>3</v>
      </c>
      <c r="AH1237">
        <v>141</v>
      </c>
      <c r="AI1237">
        <v>89</v>
      </c>
      <c r="AJ1237">
        <v>0</v>
      </c>
      <c r="AK1237">
        <v>1.4690300000000001</v>
      </c>
      <c r="AL1237">
        <v>2</v>
      </c>
      <c r="AM1237">
        <v>0</v>
      </c>
      <c r="AN1237">
        <v>1399</v>
      </c>
      <c r="AO1237">
        <v>28</v>
      </c>
      <c r="AP1237">
        <v>0</v>
      </c>
      <c r="AQ1237">
        <v>0</v>
      </c>
    </row>
    <row r="1238" spans="1:43" x14ac:dyDescent="0.25">
      <c r="A1238">
        <v>1235</v>
      </c>
      <c r="B1238">
        <v>25</v>
      </c>
      <c r="C1238">
        <v>25</v>
      </c>
      <c r="D1238">
        <v>6</v>
      </c>
      <c r="E1238">
        <v>1183</v>
      </c>
      <c r="F1238">
        <v>2628</v>
      </c>
      <c r="G1238">
        <v>2638</v>
      </c>
      <c r="H1238">
        <v>991</v>
      </c>
      <c r="I1238">
        <v>624</v>
      </c>
      <c r="J1238">
        <v>533</v>
      </c>
      <c r="K1238">
        <v>633</v>
      </c>
      <c r="L1238">
        <v>354</v>
      </c>
      <c r="M1238">
        <v>131</v>
      </c>
      <c r="N1238">
        <v>68</v>
      </c>
      <c r="O1238">
        <v>266</v>
      </c>
      <c r="P1238">
        <v>82</v>
      </c>
      <c r="Q1238">
        <v>78</v>
      </c>
      <c r="R1238">
        <v>0.118340944</v>
      </c>
      <c r="S1238">
        <v>285</v>
      </c>
      <c r="T1238">
        <v>123</v>
      </c>
      <c r="U1238">
        <v>483</v>
      </c>
      <c r="V1238">
        <v>1053</v>
      </c>
      <c r="W1238">
        <v>663</v>
      </c>
      <c r="X1238">
        <v>256</v>
      </c>
      <c r="Y1238">
        <v>30</v>
      </c>
      <c r="Z1238">
        <v>5</v>
      </c>
      <c r="AA1238">
        <v>242</v>
      </c>
      <c r="AB1238">
        <v>0</v>
      </c>
      <c r="AC1238">
        <v>3</v>
      </c>
      <c r="AD1238">
        <v>5</v>
      </c>
      <c r="AE1238">
        <v>0</v>
      </c>
      <c r="AF1238">
        <v>0</v>
      </c>
      <c r="AG1238">
        <v>3</v>
      </c>
      <c r="AH1238">
        <v>0</v>
      </c>
      <c r="AI1238">
        <v>0</v>
      </c>
      <c r="AJ1238">
        <v>0</v>
      </c>
      <c r="AK1238">
        <v>1.35449</v>
      </c>
      <c r="AL1238">
        <v>1</v>
      </c>
      <c r="AM1238">
        <v>0</v>
      </c>
      <c r="AN1238">
        <v>1183</v>
      </c>
      <c r="AO1238">
        <v>10</v>
      </c>
      <c r="AP1238">
        <v>0</v>
      </c>
      <c r="AQ1238">
        <v>0</v>
      </c>
    </row>
    <row r="1239" spans="1:43" x14ac:dyDescent="0.25">
      <c r="A1239">
        <v>1236</v>
      </c>
      <c r="B1239">
        <v>25</v>
      </c>
      <c r="C1239">
        <v>25</v>
      </c>
      <c r="D1239">
        <v>6</v>
      </c>
      <c r="E1239">
        <v>1507</v>
      </c>
      <c r="F1239">
        <v>3476</v>
      </c>
      <c r="G1239">
        <v>3506</v>
      </c>
      <c r="H1239">
        <v>1663</v>
      </c>
      <c r="I1239">
        <v>771</v>
      </c>
      <c r="J1239">
        <v>739</v>
      </c>
      <c r="K1239">
        <v>600</v>
      </c>
      <c r="L1239">
        <v>534</v>
      </c>
      <c r="M1239">
        <v>316</v>
      </c>
      <c r="N1239">
        <v>55</v>
      </c>
      <c r="O1239">
        <v>397</v>
      </c>
      <c r="P1239">
        <v>161</v>
      </c>
      <c r="Q1239">
        <v>34</v>
      </c>
      <c r="R1239">
        <v>0.233868613</v>
      </c>
      <c r="S1239">
        <v>1058</v>
      </c>
      <c r="T1239">
        <v>373</v>
      </c>
      <c r="U1239">
        <v>272</v>
      </c>
      <c r="V1239">
        <v>1293</v>
      </c>
      <c r="W1239">
        <v>926</v>
      </c>
      <c r="X1239">
        <v>498</v>
      </c>
      <c r="Y1239">
        <v>48</v>
      </c>
      <c r="Z1239">
        <v>13</v>
      </c>
      <c r="AA1239">
        <v>972</v>
      </c>
      <c r="AB1239">
        <v>0</v>
      </c>
      <c r="AC1239">
        <v>7</v>
      </c>
      <c r="AD1239">
        <v>18</v>
      </c>
      <c r="AE1239">
        <v>0</v>
      </c>
      <c r="AF1239">
        <v>0</v>
      </c>
      <c r="AG1239">
        <v>4</v>
      </c>
      <c r="AH1239">
        <v>0</v>
      </c>
      <c r="AI1239">
        <v>0</v>
      </c>
      <c r="AJ1239">
        <v>0</v>
      </c>
      <c r="AK1239">
        <v>1.2784</v>
      </c>
      <c r="AL1239">
        <v>1</v>
      </c>
      <c r="AM1239">
        <v>0</v>
      </c>
      <c r="AN1239">
        <v>1507</v>
      </c>
      <c r="AO1239">
        <v>30</v>
      </c>
      <c r="AP1239">
        <v>0</v>
      </c>
      <c r="AQ1239">
        <v>0</v>
      </c>
    </row>
    <row r="1240" spans="1:43" x14ac:dyDescent="0.25">
      <c r="A1240">
        <v>1237</v>
      </c>
      <c r="B1240">
        <v>25</v>
      </c>
      <c r="C1240">
        <v>25</v>
      </c>
      <c r="D1240">
        <v>6</v>
      </c>
      <c r="E1240">
        <v>981</v>
      </c>
      <c r="F1240">
        <v>2717</v>
      </c>
      <c r="G1240">
        <v>2717</v>
      </c>
      <c r="H1240">
        <v>1463</v>
      </c>
      <c r="I1240">
        <v>548</v>
      </c>
      <c r="J1240">
        <v>446</v>
      </c>
      <c r="K1240">
        <v>304</v>
      </c>
      <c r="L1240">
        <v>333</v>
      </c>
      <c r="M1240">
        <v>257</v>
      </c>
      <c r="N1240">
        <v>89</v>
      </c>
      <c r="O1240">
        <v>139</v>
      </c>
      <c r="P1240">
        <v>103</v>
      </c>
      <c r="Q1240">
        <v>2</v>
      </c>
      <c r="R1240">
        <v>0.11344987500000001</v>
      </c>
      <c r="S1240">
        <v>124</v>
      </c>
      <c r="T1240">
        <v>110</v>
      </c>
      <c r="U1240">
        <v>693</v>
      </c>
      <c r="V1240">
        <v>796</v>
      </c>
      <c r="W1240">
        <v>893</v>
      </c>
      <c r="X1240">
        <v>253</v>
      </c>
      <c r="Y1240">
        <v>3</v>
      </c>
      <c r="Z1240">
        <v>9</v>
      </c>
      <c r="AA1240">
        <v>93</v>
      </c>
      <c r="AB1240">
        <v>0</v>
      </c>
      <c r="AC1240">
        <v>3</v>
      </c>
      <c r="AD1240">
        <v>16</v>
      </c>
      <c r="AE1240">
        <v>0</v>
      </c>
      <c r="AF1240">
        <v>0</v>
      </c>
      <c r="AG1240">
        <v>3</v>
      </c>
      <c r="AH1240">
        <v>0</v>
      </c>
      <c r="AI1240">
        <v>0</v>
      </c>
      <c r="AJ1240">
        <v>0</v>
      </c>
      <c r="AK1240">
        <v>1.35711</v>
      </c>
      <c r="AL1240">
        <v>1</v>
      </c>
      <c r="AM1240">
        <v>0</v>
      </c>
      <c r="AN1240">
        <v>981</v>
      </c>
      <c r="AO1240">
        <v>0</v>
      </c>
      <c r="AP1240">
        <v>0</v>
      </c>
      <c r="AQ1240">
        <v>0</v>
      </c>
    </row>
    <row r="1241" spans="1:43" x14ac:dyDescent="0.25">
      <c r="A1241">
        <v>1238</v>
      </c>
      <c r="B1241">
        <v>25</v>
      </c>
      <c r="C1241">
        <v>25</v>
      </c>
      <c r="D1241">
        <v>6</v>
      </c>
      <c r="E1241">
        <v>395</v>
      </c>
      <c r="F1241">
        <v>1132</v>
      </c>
      <c r="G1241">
        <v>1235</v>
      </c>
      <c r="H1241">
        <v>442</v>
      </c>
      <c r="I1241">
        <v>399</v>
      </c>
      <c r="J1241">
        <v>27</v>
      </c>
      <c r="K1241">
        <v>25</v>
      </c>
      <c r="L1241">
        <v>115</v>
      </c>
      <c r="M1241">
        <v>149</v>
      </c>
      <c r="N1241">
        <v>105</v>
      </c>
      <c r="O1241">
        <v>23401</v>
      </c>
      <c r="P1241">
        <v>27</v>
      </c>
      <c r="Q1241">
        <v>3325</v>
      </c>
      <c r="R1241">
        <v>0.14899999999999999</v>
      </c>
      <c r="S1241">
        <v>1603</v>
      </c>
      <c r="T1241">
        <v>33</v>
      </c>
      <c r="U1241">
        <v>63</v>
      </c>
      <c r="V1241">
        <v>593</v>
      </c>
      <c r="W1241">
        <v>163</v>
      </c>
      <c r="X1241">
        <v>130</v>
      </c>
      <c r="Y1241">
        <v>9</v>
      </c>
      <c r="Z1241">
        <v>23</v>
      </c>
      <c r="AA1241">
        <v>932</v>
      </c>
      <c r="AB1241">
        <v>0</v>
      </c>
      <c r="AC1241">
        <v>328</v>
      </c>
      <c r="AD1241">
        <v>311</v>
      </c>
      <c r="AE1241">
        <v>0</v>
      </c>
      <c r="AF1241">
        <v>0</v>
      </c>
      <c r="AG1241">
        <v>4</v>
      </c>
      <c r="AH1241">
        <v>0</v>
      </c>
      <c r="AI1241">
        <v>1044</v>
      </c>
      <c r="AJ1241">
        <v>164</v>
      </c>
      <c r="AK1241">
        <v>0.93525000000000003</v>
      </c>
      <c r="AL1241">
        <v>2</v>
      </c>
      <c r="AM1241">
        <v>0</v>
      </c>
      <c r="AN1241">
        <v>395</v>
      </c>
      <c r="AO1241">
        <v>103</v>
      </c>
      <c r="AP1241">
        <v>0</v>
      </c>
      <c r="AQ1241">
        <v>0</v>
      </c>
    </row>
    <row r="1242" spans="1:43" x14ac:dyDescent="0.25">
      <c r="A1242">
        <v>1239</v>
      </c>
      <c r="B1242">
        <v>25</v>
      </c>
      <c r="C1242">
        <v>25</v>
      </c>
      <c r="D1242">
        <v>6</v>
      </c>
      <c r="E1242">
        <v>896</v>
      </c>
      <c r="F1242">
        <v>2935</v>
      </c>
      <c r="G1242">
        <v>2960</v>
      </c>
      <c r="H1242">
        <v>1477</v>
      </c>
      <c r="I1242">
        <v>889</v>
      </c>
      <c r="J1242">
        <v>0</v>
      </c>
      <c r="K1242">
        <v>50</v>
      </c>
      <c r="L1242">
        <v>311</v>
      </c>
      <c r="M1242">
        <v>303</v>
      </c>
      <c r="N1242">
        <v>228</v>
      </c>
      <c r="O1242">
        <v>379</v>
      </c>
      <c r="P1242">
        <v>121</v>
      </c>
      <c r="Q1242">
        <v>12</v>
      </c>
      <c r="R1242">
        <v>0.32705954999999998</v>
      </c>
      <c r="S1242">
        <v>103</v>
      </c>
      <c r="T1242">
        <v>99</v>
      </c>
      <c r="U1242">
        <v>503</v>
      </c>
      <c r="V1242">
        <v>1047</v>
      </c>
      <c r="W1242">
        <v>689</v>
      </c>
      <c r="X1242">
        <v>846</v>
      </c>
      <c r="Y1242">
        <v>3</v>
      </c>
      <c r="Z1242">
        <v>8</v>
      </c>
      <c r="AA1242">
        <v>69</v>
      </c>
      <c r="AB1242">
        <v>0</v>
      </c>
      <c r="AC1242">
        <v>3</v>
      </c>
      <c r="AD1242">
        <v>20</v>
      </c>
      <c r="AE1242">
        <v>0</v>
      </c>
      <c r="AF1242">
        <v>0</v>
      </c>
      <c r="AG1242">
        <v>4</v>
      </c>
      <c r="AH1242">
        <v>0</v>
      </c>
      <c r="AI1242">
        <v>0</v>
      </c>
      <c r="AJ1242">
        <v>0</v>
      </c>
      <c r="AK1242">
        <v>1.3627199999999999</v>
      </c>
      <c r="AL1242">
        <v>3</v>
      </c>
      <c r="AM1242">
        <v>0</v>
      </c>
      <c r="AN1242">
        <v>896</v>
      </c>
      <c r="AO1242">
        <v>25</v>
      </c>
      <c r="AP1242">
        <v>0</v>
      </c>
      <c r="AQ1242">
        <v>0</v>
      </c>
    </row>
    <row r="1243" spans="1:43" x14ac:dyDescent="0.25">
      <c r="A1243">
        <v>1240</v>
      </c>
      <c r="B1243">
        <v>25</v>
      </c>
      <c r="C1243">
        <v>25</v>
      </c>
      <c r="D1243">
        <v>6</v>
      </c>
      <c r="E1243">
        <v>1554</v>
      </c>
      <c r="F1243">
        <v>4618</v>
      </c>
      <c r="G1243">
        <v>4741</v>
      </c>
      <c r="H1243">
        <v>2046</v>
      </c>
      <c r="I1243">
        <v>1480</v>
      </c>
      <c r="J1243">
        <v>9</v>
      </c>
      <c r="K1243">
        <v>291</v>
      </c>
      <c r="L1243">
        <v>682</v>
      </c>
      <c r="M1243">
        <v>406</v>
      </c>
      <c r="N1243">
        <v>181</v>
      </c>
      <c r="O1243">
        <v>849</v>
      </c>
      <c r="P1243">
        <v>274</v>
      </c>
      <c r="Q1243">
        <v>57</v>
      </c>
      <c r="R1243">
        <v>0.241858446</v>
      </c>
      <c r="S1243">
        <v>364</v>
      </c>
      <c r="T1243">
        <v>284</v>
      </c>
      <c r="U1243">
        <v>581</v>
      </c>
      <c r="V1243">
        <v>1476</v>
      </c>
      <c r="W1243">
        <v>1338</v>
      </c>
      <c r="X1243">
        <v>844</v>
      </c>
      <c r="Y1243">
        <v>46</v>
      </c>
      <c r="Z1243">
        <v>7</v>
      </c>
      <c r="AA1243">
        <v>278</v>
      </c>
      <c r="AB1243">
        <v>0</v>
      </c>
      <c r="AC1243">
        <v>15</v>
      </c>
      <c r="AD1243">
        <v>18</v>
      </c>
      <c r="AE1243">
        <v>0</v>
      </c>
      <c r="AF1243">
        <v>0</v>
      </c>
      <c r="AG1243">
        <v>4</v>
      </c>
      <c r="AH1243">
        <v>0</v>
      </c>
      <c r="AI1243">
        <v>0</v>
      </c>
      <c r="AJ1243">
        <v>0</v>
      </c>
      <c r="AK1243">
        <v>1.26986</v>
      </c>
      <c r="AL1243">
        <v>3</v>
      </c>
      <c r="AM1243">
        <v>0</v>
      </c>
      <c r="AN1243">
        <v>1554</v>
      </c>
      <c r="AO1243">
        <v>123</v>
      </c>
      <c r="AP1243">
        <v>0</v>
      </c>
      <c r="AQ1243">
        <v>0</v>
      </c>
    </row>
    <row r="1244" spans="1:43" x14ac:dyDescent="0.25">
      <c r="A1244">
        <v>1241</v>
      </c>
      <c r="B1244">
        <v>25</v>
      </c>
      <c r="C1244">
        <v>25</v>
      </c>
      <c r="D1244">
        <v>6</v>
      </c>
      <c r="E1244">
        <v>1379</v>
      </c>
      <c r="F1244">
        <v>2961</v>
      </c>
      <c r="G1244">
        <v>3150</v>
      </c>
      <c r="H1244">
        <v>1255</v>
      </c>
      <c r="I1244">
        <v>564</v>
      </c>
      <c r="J1244">
        <v>812</v>
      </c>
      <c r="K1244">
        <v>900</v>
      </c>
      <c r="L1244">
        <v>266</v>
      </c>
      <c r="M1244">
        <v>113</v>
      </c>
      <c r="N1244">
        <v>95</v>
      </c>
      <c r="O1244">
        <v>575</v>
      </c>
      <c r="P1244">
        <v>123</v>
      </c>
      <c r="Q1244">
        <v>178</v>
      </c>
      <c r="R1244">
        <v>0.23427126100000001</v>
      </c>
      <c r="S1244">
        <v>3290</v>
      </c>
      <c r="T1244">
        <v>90</v>
      </c>
      <c r="U1244">
        <v>552</v>
      </c>
      <c r="V1244">
        <v>924</v>
      </c>
      <c r="W1244">
        <v>987</v>
      </c>
      <c r="X1244">
        <v>544</v>
      </c>
      <c r="Y1244">
        <v>526</v>
      </c>
      <c r="Z1244">
        <v>44</v>
      </c>
      <c r="AA1244">
        <v>2339</v>
      </c>
      <c r="AB1244">
        <v>0</v>
      </c>
      <c r="AC1244">
        <v>246</v>
      </c>
      <c r="AD1244">
        <v>135</v>
      </c>
      <c r="AE1244">
        <v>0</v>
      </c>
      <c r="AF1244">
        <v>0</v>
      </c>
      <c r="AG1244">
        <v>4</v>
      </c>
      <c r="AH1244">
        <v>0</v>
      </c>
      <c r="AI1244">
        <v>0</v>
      </c>
      <c r="AJ1244">
        <v>0</v>
      </c>
      <c r="AK1244">
        <v>1.4799199999999999</v>
      </c>
      <c r="AL1244">
        <v>3</v>
      </c>
      <c r="AM1244">
        <v>0</v>
      </c>
      <c r="AN1244">
        <v>1379</v>
      </c>
      <c r="AO1244">
        <v>189</v>
      </c>
      <c r="AP1244">
        <v>0</v>
      </c>
      <c r="AQ1244">
        <v>0</v>
      </c>
    </row>
    <row r="1245" spans="1:43" x14ac:dyDescent="0.25">
      <c r="A1245">
        <v>1242</v>
      </c>
      <c r="B1245">
        <v>25</v>
      </c>
      <c r="C1245">
        <v>25</v>
      </c>
      <c r="D1245">
        <v>6</v>
      </c>
      <c r="E1245">
        <v>2407</v>
      </c>
      <c r="F1245">
        <v>6235</v>
      </c>
      <c r="G1245">
        <v>6249</v>
      </c>
      <c r="H1245">
        <v>2919</v>
      </c>
      <c r="I1245">
        <v>1929</v>
      </c>
      <c r="J1245">
        <v>415</v>
      </c>
      <c r="K1245">
        <v>623</v>
      </c>
      <c r="L1245">
        <v>783</v>
      </c>
      <c r="M1245">
        <v>504</v>
      </c>
      <c r="N1245">
        <v>492</v>
      </c>
      <c r="O1245">
        <v>588</v>
      </c>
      <c r="P1245">
        <v>348</v>
      </c>
      <c r="Q1245">
        <v>114</v>
      </c>
      <c r="R1245">
        <v>0.24193548400000001</v>
      </c>
      <c r="S1245">
        <v>4213</v>
      </c>
      <c r="T1245">
        <v>106</v>
      </c>
      <c r="U1245">
        <v>722</v>
      </c>
      <c r="V1245">
        <v>2046</v>
      </c>
      <c r="W1245">
        <v>1994</v>
      </c>
      <c r="X1245">
        <v>962</v>
      </c>
      <c r="Y1245">
        <v>76</v>
      </c>
      <c r="Z1245">
        <v>27</v>
      </c>
      <c r="AA1245">
        <v>4061</v>
      </c>
      <c r="AB1245">
        <v>0</v>
      </c>
      <c r="AC1245">
        <v>15</v>
      </c>
      <c r="AD1245">
        <v>34</v>
      </c>
      <c r="AE1245">
        <v>0</v>
      </c>
      <c r="AF1245">
        <v>0</v>
      </c>
      <c r="AG1245">
        <v>4</v>
      </c>
      <c r="AH1245">
        <v>1145</v>
      </c>
      <c r="AI1245">
        <v>0</v>
      </c>
      <c r="AJ1245">
        <v>0</v>
      </c>
      <c r="AK1245">
        <v>1.4697899999999999</v>
      </c>
      <c r="AL1245">
        <v>1</v>
      </c>
      <c r="AM1245">
        <v>0</v>
      </c>
      <c r="AN1245">
        <v>2407</v>
      </c>
      <c r="AO1245">
        <v>14</v>
      </c>
      <c r="AP1245">
        <v>0</v>
      </c>
      <c r="AQ1245">
        <v>0</v>
      </c>
    </row>
    <row r="1246" spans="1:43" x14ac:dyDescent="0.25">
      <c r="A1246">
        <v>1243</v>
      </c>
      <c r="B1246">
        <v>25</v>
      </c>
      <c r="C1246">
        <v>25</v>
      </c>
      <c r="D1246">
        <v>6</v>
      </c>
      <c r="E1246">
        <v>1847</v>
      </c>
      <c r="F1246">
        <v>4861</v>
      </c>
      <c r="G1246">
        <v>4936</v>
      </c>
      <c r="H1246">
        <v>1894</v>
      </c>
      <c r="I1246">
        <v>1158</v>
      </c>
      <c r="J1246">
        <v>754</v>
      </c>
      <c r="K1246">
        <v>686</v>
      </c>
      <c r="L1246">
        <v>596</v>
      </c>
      <c r="M1246">
        <v>366</v>
      </c>
      <c r="N1246">
        <v>205</v>
      </c>
      <c r="O1246">
        <v>803</v>
      </c>
      <c r="P1246">
        <v>218</v>
      </c>
      <c r="Q1246">
        <v>244</v>
      </c>
      <c r="R1246">
        <v>0.26151430599999997</v>
      </c>
      <c r="S1246">
        <v>1252</v>
      </c>
      <c r="T1246">
        <v>297</v>
      </c>
      <c r="U1246">
        <v>1107</v>
      </c>
      <c r="V1246">
        <v>1790</v>
      </c>
      <c r="W1246">
        <v>1194</v>
      </c>
      <c r="X1246">
        <v>1238</v>
      </c>
      <c r="Y1246">
        <v>18</v>
      </c>
      <c r="Z1246">
        <v>27</v>
      </c>
      <c r="AA1246">
        <v>1155</v>
      </c>
      <c r="AB1246">
        <v>0</v>
      </c>
      <c r="AC1246">
        <v>9</v>
      </c>
      <c r="AD1246">
        <v>43</v>
      </c>
      <c r="AE1246">
        <v>0</v>
      </c>
      <c r="AF1246">
        <v>0</v>
      </c>
      <c r="AG1246">
        <v>4</v>
      </c>
      <c r="AH1246">
        <v>186</v>
      </c>
      <c r="AI1246">
        <v>0</v>
      </c>
      <c r="AJ1246">
        <v>0</v>
      </c>
      <c r="AK1246">
        <v>1.3968499999999999</v>
      </c>
      <c r="AL1246">
        <v>1</v>
      </c>
      <c r="AM1246">
        <v>0</v>
      </c>
      <c r="AN1246">
        <v>1847</v>
      </c>
      <c r="AO1246">
        <v>75</v>
      </c>
      <c r="AP1246">
        <v>0</v>
      </c>
      <c r="AQ1246">
        <v>0</v>
      </c>
    </row>
    <row r="1247" spans="1:43" x14ac:dyDescent="0.25">
      <c r="A1247">
        <v>1244</v>
      </c>
      <c r="B1247">
        <v>25</v>
      </c>
      <c r="C1247">
        <v>25</v>
      </c>
      <c r="D1247">
        <v>6</v>
      </c>
      <c r="E1247">
        <v>1618</v>
      </c>
      <c r="F1247">
        <v>4949</v>
      </c>
      <c r="G1247">
        <v>5018</v>
      </c>
      <c r="H1247">
        <v>2221</v>
      </c>
      <c r="I1247">
        <v>1549</v>
      </c>
      <c r="J1247">
        <v>44</v>
      </c>
      <c r="K1247">
        <v>396</v>
      </c>
      <c r="L1247">
        <v>621</v>
      </c>
      <c r="M1247">
        <v>396</v>
      </c>
      <c r="N1247">
        <v>200</v>
      </c>
      <c r="O1247">
        <v>509</v>
      </c>
      <c r="P1247">
        <v>304</v>
      </c>
      <c r="Q1247">
        <v>17</v>
      </c>
      <c r="R1247">
        <v>0.18262927900000001</v>
      </c>
      <c r="S1247">
        <v>497</v>
      </c>
      <c r="T1247">
        <v>388</v>
      </c>
      <c r="U1247">
        <v>1101</v>
      </c>
      <c r="V1247">
        <v>1505</v>
      </c>
      <c r="W1247">
        <v>1542</v>
      </c>
      <c r="X1247">
        <v>845</v>
      </c>
      <c r="Y1247">
        <v>6</v>
      </c>
      <c r="Z1247">
        <v>12</v>
      </c>
      <c r="AA1247">
        <v>419</v>
      </c>
      <c r="AB1247">
        <v>0</v>
      </c>
      <c r="AC1247">
        <v>4</v>
      </c>
      <c r="AD1247">
        <v>56</v>
      </c>
      <c r="AE1247">
        <v>0</v>
      </c>
      <c r="AF1247">
        <v>0</v>
      </c>
      <c r="AG1247">
        <v>4</v>
      </c>
      <c r="AH1247">
        <v>628</v>
      </c>
      <c r="AI1247">
        <v>0</v>
      </c>
      <c r="AJ1247">
        <v>0</v>
      </c>
      <c r="AK1247">
        <v>1.29725</v>
      </c>
      <c r="AL1247">
        <v>1</v>
      </c>
      <c r="AM1247">
        <v>0</v>
      </c>
      <c r="AN1247">
        <v>1618</v>
      </c>
      <c r="AO1247">
        <v>69</v>
      </c>
      <c r="AP1247">
        <v>0</v>
      </c>
      <c r="AQ1247">
        <v>0</v>
      </c>
    </row>
    <row r="1248" spans="1:43" x14ac:dyDescent="0.25">
      <c r="A1248">
        <v>1245</v>
      </c>
      <c r="B1248">
        <v>25</v>
      </c>
      <c r="C1248">
        <v>25</v>
      </c>
      <c r="D1248">
        <v>6</v>
      </c>
      <c r="E1248">
        <v>1767</v>
      </c>
      <c r="F1248">
        <v>5334</v>
      </c>
      <c r="G1248">
        <v>5349</v>
      </c>
      <c r="H1248">
        <v>2168</v>
      </c>
      <c r="I1248">
        <v>1701</v>
      </c>
      <c r="J1248">
        <v>0</v>
      </c>
      <c r="K1248">
        <v>530</v>
      </c>
      <c r="L1248">
        <v>540</v>
      </c>
      <c r="M1248">
        <v>399</v>
      </c>
      <c r="N1248">
        <v>296</v>
      </c>
      <c r="O1248">
        <v>661</v>
      </c>
      <c r="P1248">
        <v>371.05317819999999</v>
      </c>
      <c r="Q1248">
        <v>24</v>
      </c>
      <c r="R1248">
        <v>0.20892101599999999</v>
      </c>
      <c r="S1248">
        <v>195</v>
      </c>
      <c r="T1248">
        <v>327</v>
      </c>
      <c r="U1248">
        <v>1244</v>
      </c>
      <c r="V1248">
        <v>1682</v>
      </c>
      <c r="W1248">
        <v>1410</v>
      </c>
      <c r="X1248">
        <v>884</v>
      </c>
      <c r="Y1248">
        <v>16</v>
      </c>
      <c r="Z1248">
        <v>10</v>
      </c>
      <c r="AA1248">
        <v>113</v>
      </c>
      <c r="AB1248">
        <v>0</v>
      </c>
      <c r="AC1248">
        <v>39</v>
      </c>
      <c r="AD1248">
        <v>17</v>
      </c>
      <c r="AE1248">
        <v>0</v>
      </c>
      <c r="AF1248">
        <v>0</v>
      </c>
      <c r="AG1248">
        <v>4</v>
      </c>
      <c r="AH1248">
        <v>0</v>
      </c>
      <c r="AI1248">
        <v>0</v>
      </c>
      <c r="AJ1248">
        <v>0</v>
      </c>
      <c r="AK1248">
        <v>1.1713499999999999</v>
      </c>
      <c r="AL1248">
        <v>1</v>
      </c>
      <c r="AM1248">
        <v>0</v>
      </c>
      <c r="AN1248">
        <v>1767</v>
      </c>
      <c r="AO1248">
        <v>15</v>
      </c>
      <c r="AP1248">
        <v>0</v>
      </c>
      <c r="AQ1248">
        <v>0</v>
      </c>
    </row>
    <row r="1249" spans="1:43" x14ac:dyDescent="0.25">
      <c r="A1249">
        <v>1246</v>
      </c>
      <c r="B1249">
        <v>25</v>
      </c>
      <c r="C1249">
        <v>25</v>
      </c>
      <c r="D1249">
        <v>6</v>
      </c>
      <c r="E1249">
        <v>3665</v>
      </c>
      <c r="F1249">
        <v>11256</v>
      </c>
      <c r="G1249">
        <v>11308</v>
      </c>
      <c r="H1249">
        <v>4612</v>
      </c>
      <c r="I1249">
        <v>3004</v>
      </c>
      <c r="J1249">
        <v>596</v>
      </c>
      <c r="K1249">
        <v>614</v>
      </c>
      <c r="L1249">
        <v>812</v>
      </c>
      <c r="M1249">
        <v>1210</v>
      </c>
      <c r="N1249">
        <v>1048</v>
      </c>
      <c r="O1249">
        <v>5211</v>
      </c>
      <c r="P1249">
        <v>737.89252160000001</v>
      </c>
      <c r="Q1249">
        <v>192.9404969</v>
      </c>
      <c r="R1249">
        <v>0.25934475699999998</v>
      </c>
      <c r="S1249">
        <v>3399</v>
      </c>
      <c r="T1249">
        <v>438</v>
      </c>
      <c r="U1249">
        <v>1936</v>
      </c>
      <c r="V1249">
        <v>3439</v>
      </c>
      <c r="W1249">
        <v>2898</v>
      </c>
      <c r="X1249">
        <v>2329</v>
      </c>
      <c r="Y1249">
        <v>1718</v>
      </c>
      <c r="Z1249">
        <v>46</v>
      </c>
      <c r="AA1249">
        <v>1350</v>
      </c>
      <c r="AB1249">
        <v>57</v>
      </c>
      <c r="AC1249">
        <v>77</v>
      </c>
      <c r="AD1249">
        <v>151</v>
      </c>
      <c r="AE1249">
        <v>0</v>
      </c>
      <c r="AF1249">
        <v>0</v>
      </c>
      <c r="AG1249">
        <v>4</v>
      </c>
      <c r="AH1249">
        <v>1420</v>
      </c>
      <c r="AI1249">
        <v>0</v>
      </c>
      <c r="AJ1249">
        <v>0</v>
      </c>
      <c r="AK1249">
        <v>1.29491</v>
      </c>
      <c r="AL1249">
        <v>1</v>
      </c>
      <c r="AM1249">
        <v>0</v>
      </c>
      <c r="AN1249">
        <v>3665</v>
      </c>
      <c r="AO1249">
        <v>52</v>
      </c>
      <c r="AP1249">
        <v>0</v>
      </c>
      <c r="AQ1249">
        <v>0</v>
      </c>
    </row>
    <row r="1250" spans="1:43" x14ac:dyDescent="0.25">
      <c r="A1250">
        <v>1247</v>
      </c>
      <c r="B1250">
        <v>26</v>
      </c>
      <c r="C1250">
        <v>26</v>
      </c>
      <c r="D1250">
        <v>6</v>
      </c>
      <c r="E1250">
        <v>4163</v>
      </c>
      <c r="F1250">
        <v>13897</v>
      </c>
      <c r="G1250">
        <v>13948</v>
      </c>
      <c r="H1250">
        <v>6441</v>
      </c>
      <c r="I1250">
        <v>3997</v>
      </c>
      <c r="J1250">
        <v>0</v>
      </c>
      <c r="K1250">
        <v>536</v>
      </c>
      <c r="L1250">
        <v>933</v>
      </c>
      <c r="M1250">
        <v>1166</v>
      </c>
      <c r="N1250">
        <v>1517</v>
      </c>
      <c r="O1250">
        <v>13328</v>
      </c>
      <c r="P1250">
        <v>851.98915850000003</v>
      </c>
      <c r="Q1250">
        <v>498.25839209999998</v>
      </c>
      <c r="R1250">
        <v>0.18034034299999999</v>
      </c>
      <c r="S1250">
        <v>2614</v>
      </c>
      <c r="T1250">
        <v>1120</v>
      </c>
      <c r="U1250">
        <v>2681</v>
      </c>
      <c r="V1250">
        <v>4754</v>
      </c>
      <c r="W1250">
        <v>3395</v>
      </c>
      <c r="X1250">
        <v>2188</v>
      </c>
      <c r="Y1250">
        <v>228</v>
      </c>
      <c r="Z1250">
        <v>47</v>
      </c>
      <c r="AA1250">
        <v>903</v>
      </c>
      <c r="AB1250">
        <v>0</v>
      </c>
      <c r="AC1250">
        <v>1001</v>
      </c>
      <c r="AD1250">
        <v>435</v>
      </c>
      <c r="AE1250">
        <v>0</v>
      </c>
      <c r="AF1250">
        <v>0</v>
      </c>
      <c r="AG1250">
        <v>4</v>
      </c>
      <c r="AH1250">
        <v>2137</v>
      </c>
      <c r="AI1250">
        <v>0</v>
      </c>
      <c r="AJ1250">
        <v>0</v>
      </c>
      <c r="AK1250">
        <v>1.1773100000000001</v>
      </c>
      <c r="AL1250">
        <v>2</v>
      </c>
      <c r="AM1250">
        <v>0</v>
      </c>
      <c r="AN1250">
        <v>4163</v>
      </c>
      <c r="AO1250">
        <v>51</v>
      </c>
      <c r="AP1250">
        <v>0</v>
      </c>
      <c r="AQ1250">
        <v>0</v>
      </c>
    </row>
    <row r="1251" spans="1:43" x14ac:dyDescent="0.25">
      <c r="A1251">
        <v>1248</v>
      </c>
      <c r="B1251">
        <v>26</v>
      </c>
      <c r="C1251">
        <v>26</v>
      </c>
      <c r="D1251">
        <v>6</v>
      </c>
      <c r="E1251">
        <v>3232</v>
      </c>
      <c r="F1251">
        <v>10143</v>
      </c>
      <c r="G1251">
        <v>10143</v>
      </c>
      <c r="H1251">
        <v>4435</v>
      </c>
      <c r="I1251">
        <v>3065</v>
      </c>
      <c r="J1251">
        <v>114</v>
      </c>
      <c r="K1251">
        <v>350</v>
      </c>
      <c r="L1251">
        <v>654</v>
      </c>
      <c r="M1251">
        <v>989</v>
      </c>
      <c r="N1251">
        <v>1221</v>
      </c>
      <c r="O1251">
        <v>23082</v>
      </c>
      <c r="P1251">
        <v>4237.2554799999998</v>
      </c>
      <c r="Q1251">
        <v>162</v>
      </c>
      <c r="R1251">
        <v>0.215033696</v>
      </c>
      <c r="S1251">
        <v>3143</v>
      </c>
      <c r="T1251">
        <v>518</v>
      </c>
      <c r="U1251">
        <v>2164</v>
      </c>
      <c r="V1251">
        <v>2634</v>
      </c>
      <c r="W1251">
        <v>2483</v>
      </c>
      <c r="X1251">
        <v>1661</v>
      </c>
      <c r="Y1251">
        <v>635</v>
      </c>
      <c r="Z1251">
        <v>83</v>
      </c>
      <c r="AA1251">
        <v>1633</v>
      </c>
      <c r="AB1251">
        <v>15</v>
      </c>
      <c r="AC1251">
        <v>164</v>
      </c>
      <c r="AD1251">
        <v>613</v>
      </c>
      <c r="AE1251">
        <v>0</v>
      </c>
      <c r="AF1251">
        <v>0</v>
      </c>
      <c r="AG1251">
        <v>4</v>
      </c>
      <c r="AH1251">
        <v>0</v>
      </c>
      <c r="AI1251">
        <v>253</v>
      </c>
      <c r="AJ1251">
        <v>0</v>
      </c>
      <c r="AK1251">
        <v>0.97719</v>
      </c>
      <c r="AL1251">
        <v>1</v>
      </c>
      <c r="AM1251">
        <v>0</v>
      </c>
      <c r="AN1251">
        <v>3232</v>
      </c>
      <c r="AO1251">
        <v>0</v>
      </c>
      <c r="AP1251">
        <v>0</v>
      </c>
      <c r="AQ1251">
        <v>0</v>
      </c>
    </row>
    <row r="1252" spans="1:43" x14ac:dyDescent="0.25">
      <c r="A1252">
        <v>1249</v>
      </c>
      <c r="B1252">
        <v>26</v>
      </c>
      <c r="C1252">
        <v>26</v>
      </c>
      <c r="D1252">
        <v>6</v>
      </c>
      <c r="E1252">
        <v>2112</v>
      </c>
      <c r="F1252">
        <v>6278</v>
      </c>
      <c r="G1252">
        <v>6293</v>
      </c>
      <c r="H1252">
        <v>3139</v>
      </c>
      <c r="I1252">
        <v>1614</v>
      </c>
      <c r="J1252">
        <v>541</v>
      </c>
      <c r="K1252">
        <v>334</v>
      </c>
      <c r="L1252">
        <v>551</v>
      </c>
      <c r="M1252">
        <v>762</v>
      </c>
      <c r="N1252">
        <v>484</v>
      </c>
      <c r="O1252">
        <v>11830</v>
      </c>
      <c r="P1252">
        <v>796.47770549999996</v>
      </c>
      <c r="Q1252">
        <v>658.78616220000004</v>
      </c>
      <c r="R1252">
        <v>0.195856264</v>
      </c>
      <c r="S1252">
        <v>2855</v>
      </c>
      <c r="T1252">
        <v>374</v>
      </c>
      <c r="U1252">
        <v>1051</v>
      </c>
      <c r="V1252">
        <v>2175</v>
      </c>
      <c r="W1252">
        <v>1570</v>
      </c>
      <c r="X1252">
        <v>886</v>
      </c>
      <c r="Y1252">
        <v>434</v>
      </c>
      <c r="Z1252">
        <v>88</v>
      </c>
      <c r="AA1252">
        <v>1250</v>
      </c>
      <c r="AB1252">
        <v>18</v>
      </c>
      <c r="AC1252">
        <v>659</v>
      </c>
      <c r="AD1252">
        <v>406</v>
      </c>
      <c r="AE1252">
        <v>0</v>
      </c>
      <c r="AF1252">
        <v>0</v>
      </c>
      <c r="AG1252">
        <v>5</v>
      </c>
      <c r="AH1252">
        <v>0</v>
      </c>
      <c r="AI1252">
        <v>3189</v>
      </c>
      <c r="AJ1252">
        <v>9593</v>
      </c>
      <c r="AK1252">
        <v>1.14215</v>
      </c>
      <c r="AL1252">
        <v>3</v>
      </c>
      <c r="AM1252">
        <v>0</v>
      </c>
      <c r="AN1252">
        <v>2112</v>
      </c>
      <c r="AO1252">
        <v>15</v>
      </c>
      <c r="AP1252">
        <v>0</v>
      </c>
      <c r="AQ1252">
        <v>0</v>
      </c>
    </row>
    <row r="1253" spans="1:43" x14ac:dyDescent="0.25">
      <c r="A1253">
        <v>1250</v>
      </c>
      <c r="B1253">
        <v>26</v>
      </c>
      <c r="C1253">
        <v>26</v>
      </c>
      <c r="D1253">
        <v>6</v>
      </c>
      <c r="E1253">
        <v>1770</v>
      </c>
      <c r="F1253">
        <v>5433</v>
      </c>
      <c r="G1253">
        <v>5483</v>
      </c>
      <c r="H1253">
        <v>2026</v>
      </c>
      <c r="I1253">
        <v>1210</v>
      </c>
      <c r="J1253">
        <v>495</v>
      </c>
      <c r="K1253">
        <v>602</v>
      </c>
      <c r="L1253">
        <v>703</v>
      </c>
      <c r="M1253">
        <v>329</v>
      </c>
      <c r="N1253">
        <v>144</v>
      </c>
      <c r="O1253">
        <v>3783</v>
      </c>
      <c r="P1253">
        <v>307</v>
      </c>
      <c r="Q1253">
        <v>342.08492890000002</v>
      </c>
      <c r="R1253">
        <v>0.103386809</v>
      </c>
      <c r="S1253">
        <v>3940</v>
      </c>
      <c r="T1253">
        <v>494</v>
      </c>
      <c r="U1253">
        <v>1386</v>
      </c>
      <c r="V1253">
        <v>2094</v>
      </c>
      <c r="W1253">
        <v>1098</v>
      </c>
      <c r="X1253">
        <v>407</v>
      </c>
      <c r="Y1253">
        <v>723</v>
      </c>
      <c r="Z1253">
        <v>60</v>
      </c>
      <c r="AA1253">
        <v>849</v>
      </c>
      <c r="AB1253">
        <v>1</v>
      </c>
      <c r="AC1253">
        <v>1693</v>
      </c>
      <c r="AD1253">
        <v>614</v>
      </c>
      <c r="AE1253">
        <v>0</v>
      </c>
      <c r="AF1253">
        <v>0</v>
      </c>
      <c r="AG1253">
        <v>4</v>
      </c>
      <c r="AH1253">
        <v>28</v>
      </c>
      <c r="AI1253">
        <v>0</v>
      </c>
      <c r="AJ1253">
        <v>0</v>
      </c>
      <c r="AK1253">
        <v>1.5559799999999999</v>
      </c>
      <c r="AL1253">
        <v>3</v>
      </c>
      <c r="AM1253">
        <v>0</v>
      </c>
      <c r="AN1253">
        <v>1770</v>
      </c>
      <c r="AO1253">
        <v>50</v>
      </c>
      <c r="AP1253">
        <v>0</v>
      </c>
      <c r="AQ1253">
        <v>0</v>
      </c>
    </row>
    <row r="1254" spans="1:43" x14ac:dyDescent="0.25">
      <c r="A1254">
        <v>1251</v>
      </c>
      <c r="B1254">
        <v>26</v>
      </c>
      <c r="C1254">
        <v>26</v>
      </c>
      <c r="D1254">
        <v>6</v>
      </c>
      <c r="E1254">
        <v>2721</v>
      </c>
      <c r="F1254">
        <v>7255</v>
      </c>
      <c r="G1254">
        <v>7277</v>
      </c>
      <c r="H1254">
        <v>2798</v>
      </c>
      <c r="I1254">
        <v>2100</v>
      </c>
      <c r="J1254">
        <v>616</v>
      </c>
      <c r="K1254">
        <v>1113</v>
      </c>
      <c r="L1254">
        <v>776</v>
      </c>
      <c r="M1254">
        <v>426</v>
      </c>
      <c r="N1254">
        <v>415</v>
      </c>
      <c r="O1254">
        <v>71643</v>
      </c>
      <c r="P1254">
        <v>565.11820909999994</v>
      </c>
      <c r="Q1254">
        <v>1743.47387</v>
      </c>
      <c r="R1254">
        <v>0.22443058199999999</v>
      </c>
      <c r="S1254">
        <v>1516</v>
      </c>
      <c r="T1254">
        <v>279</v>
      </c>
      <c r="U1254">
        <v>1554</v>
      </c>
      <c r="V1254">
        <v>1848</v>
      </c>
      <c r="W1254">
        <v>1882</v>
      </c>
      <c r="X1254">
        <v>1181</v>
      </c>
      <c r="Y1254">
        <v>288</v>
      </c>
      <c r="Z1254">
        <v>23</v>
      </c>
      <c r="AA1254">
        <v>685</v>
      </c>
      <c r="AB1254">
        <v>0</v>
      </c>
      <c r="AC1254">
        <v>135</v>
      </c>
      <c r="AD1254">
        <v>385</v>
      </c>
      <c r="AE1254">
        <v>0</v>
      </c>
      <c r="AF1254">
        <v>0</v>
      </c>
      <c r="AG1254">
        <v>4</v>
      </c>
      <c r="AH1254">
        <v>0</v>
      </c>
      <c r="AI1254">
        <v>0</v>
      </c>
      <c r="AJ1254">
        <v>0</v>
      </c>
      <c r="AK1254">
        <v>0.99748999999999999</v>
      </c>
      <c r="AL1254">
        <v>3</v>
      </c>
      <c r="AM1254">
        <v>0</v>
      </c>
      <c r="AN1254">
        <v>2721</v>
      </c>
      <c r="AO1254">
        <v>22</v>
      </c>
      <c r="AP1254">
        <v>0</v>
      </c>
      <c r="AQ1254">
        <v>0</v>
      </c>
    </row>
    <row r="1255" spans="1:43" x14ac:dyDescent="0.25">
      <c r="A1255">
        <v>1252</v>
      </c>
      <c r="B1255">
        <v>26</v>
      </c>
      <c r="C1255">
        <v>26</v>
      </c>
      <c r="D1255">
        <v>6</v>
      </c>
      <c r="E1255">
        <v>879</v>
      </c>
      <c r="F1255">
        <v>3157</v>
      </c>
      <c r="G1255">
        <v>3854</v>
      </c>
      <c r="H1255">
        <v>1221</v>
      </c>
      <c r="I1255">
        <v>916</v>
      </c>
      <c r="J1255">
        <v>215</v>
      </c>
      <c r="K1255">
        <v>164</v>
      </c>
      <c r="L1255">
        <v>484</v>
      </c>
      <c r="M1255">
        <v>180</v>
      </c>
      <c r="N1255">
        <v>50</v>
      </c>
      <c r="O1255">
        <v>4995</v>
      </c>
      <c r="P1255">
        <v>366</v>
      </c>
      <c r="Q1255">
        <v>4581</v>
      </c>
      <c r="R1255">
        <v>5.6937369999999999E-3</v>
      </c>
      <c r="S1255">
        <v>1137</v>
      </c>
      <c r="T1255">
        <v>530</v>
      </c>
      <c r="U1255">
        <v>732</v>
      </c>
      <c r="V1255">
        <v>1861</v>
      </c>
      <c r="W1255">
        <v>125</v>
      </c>
      <c r="X1255">
        <v>8</v>
      </c>
      <c r="Y1255">
        <v>54</v>
      </c>
      <c r="Z1255">
        <v>24</v>
      </c>
      <c r="AA1255">
        <v>760</v>
      </c>
      <c r="AB1255">
        <v>0</v>
      </c>
      <c r="AC1255">
        <v>91</v>
      </c>
      <c r="AD1255">
        <v>208</v>
      </c>
      <c r="AE1255">
        <v>0</v>
      </c>
      <c r="AF1255">
        <v>0</v>
      </c>
      <c r="AG1255">
        <v>4</v>
      </c>
      <c r="AH1255">
        <v>0</v>
      </c>
      <c r="AI1255">
        <v>0</v>
      </c>
      <c r="AJ1255">
        <v>0</v>
      </c>
      <c r="AK1255">
        <v>0.95647000000000004</v>
      </c>
      <c r="AL1255">
        <v>3</v>
      </c>
      <c r="AM1255">
        <v>0</v>
      </c>
      <c r="AN1255">
        <v>879</v>
      </c>
      <c r="AO1255">
        <v>697</v>
      </c>
      <c r="AP1255">
        <v>0</v>
      </c>
      <c r="AQ1255">
        <v>0</v>
      </c>
    </row>
    <row r="1256" spans="1:43" x14ac:dyDescent="0.25">
      <c r="A1256">
        <v>1253</v>
      </c>
      <c r="B1256">
        <v>26</v>
      </c>
      <c r="C1256">
        <v>26</v>
      </c>
      <c r="D1256">
        <v>6</v>
      </c>
      <c r="E1256">
        <v>1263</v>
      </c>
      <c r="F1256">
        <v>4331</v>
      </c>
      <c r="G1256">
        <v>4331</v>
      </c>
      <c r="H1256">
        <v>2210</v>
      </c>
      <c r="I1256">
        <v>1204</v>
      </c>
      <c r="J1256">
        <v>0</v>
      </c>
      <c r="K1256">
        <v>211</v>
      </c>
      <c r="L1256">
        <v>331</v>
      </c>
      <c r="M1256">
        <v>452</v>
      </c>
      <c r="N1256">
        <v>270</v>
      </c>
      <c r="O1256">
        <v>1064</v>
      </c>
      <c r="P1256">
        <v>227</v>
      </c>
      <c r="Q1256">
        <v>53</v>
      </c>
      <c r="R1256">
        <v>0.128561337</v>
      </c>
      <c r="S1256">
        <v>130</v>
      </c>
      <c r="T1256">
        <v>158</v>
      </c>
      <c r="U1256">
        <v>1124</v>
      </c>
      <c r="V1256">
        <v>1389</v>
      </c>
      <c r="W1256">
        <v>1058</v>
      </c>
      <c r="X1256">
        <v>434</v>
      </c>
      <c r="Y1256">
        <v>12</v>
      </c>
      <c r="Z1256">
        <v>5</v>
      </c>
      <c r="AA1256">
        <v>80</v>
      </c>
      <c r="AB1256">
        <v>0</v>
      </c>
      <c r="AC1256">
        <v>3</v>
      </c>
      <c r="AD1256">
        <v>30</v>
      </c>
      <c r="AE1256">
        <v>0</v>
      </c>
      <c r="AF1256">
        <v>0</v>
      </c>
      <c r="AG1256">
        <v>4</v>
      </c>
      <c r="AH1256">
        <v>0</v>
      </c>
      <c r="AI1256">
        <v>0</v>
      </c>
      <c r="AJ1256">
        <v>0</v>
      </c>
      <c r="AK1256">
        <v>1.1433899999999999</v>
      </c>
      <c r="AL1256">
        <v>3</v>
      </c>
      <c r="AM1256">
        <v>0</v>
      </c>
      <c r="AN1256">
        <v>1263</v>
      </c>
      <c r="AO1256">
        <v>0</v>
      </c>
      <c r="AP1256">
        <v>0</v>
      </c>
      <c r="AQ1256">
        <v>0</v>
      </c>
    </row>
    <row r="1257" spans="1:43" x14ac:dyDescent="0.25">
      <c r="A1257">
        <v>1254</v>
      </c>
      <c r="B1257">
        <v>26</v>
      </c>
      <c r="C1257">
        <v>26</v>
      </c>
      <c r="D1257">
        <v>6</v>
      </c>
      <c r="E1257">
        <v>1905</v>
      </c>
      <c r="F1257">
        <v>5974</v>
      </c>
      <c r="G1257">
        <v>5983</v>
      </c>
      <c r="H1257">
        <v>2941</v>
      </c>
      <c r="I1257">
        <v>1832</v>
      </c>
      <c r="J1257">
        <v>26</v>
      </c>
      <c r="K1257">
        <v>244</v>
      </c>
      <c r="L1257">
        <v>725</v>
      </c>
      <c r="M1257">
        <v>608</v>
      </c>
      <c r="N1257">
        <v>333</v>
      </c>
      <c r="O1257">
        <v>428</v>
      </c>
      <c r="P1257">
        <v>406</v>
      </c>
      <c r="Q1257">
        <v>5</v>
      </c>
      <c r="R1257">
        <v>0.16917765200000001</v>
      </c>
      <c r="S1257">
        <v>263</v>
      </c>
      <c r="T1257">
        <v>265</v>
      </c>
      <c r="U1257">
        <v>1103</v>
      </c>
      <c r="V1257">
        <v>2451</v>
      </c>
      <c r="W1257">
        <v>1475</v>
      </c>
      <c r="X1257">
        <v>941</v>
      </c>
      <c r="Y1257">
        <v>8</v>
      </c>
      <c r="Z1257">
        <v>12</v>
      </c>
      <c r="AA1257">
        <v>209</v>
      </c>
      <c r="AB1257">
        <v>0</v>
      </c>
      <c r="AC1257">
        <v>8</v>
      </c>
      <c r="AD1257">
        <v>26</v>
      </c>
      <c r="AE1257">
        <v>0</v>
      </c>
      <c r="AF1257">
        <v>0</v>
      </c>
      <c r="AG1257">
        <v>4</v>
      </c>
      <c r="AH1257">
        <v>0</v>
      </c>
      <c r="AI1257">
        <v>0</v>
      </c>
      <c r="AJ1257">
        <v>0</v>
      </c>
      <c r="AK1257">
        <v>1.1729499999999999</v>
      </c>
      <c r="AL1257">
        <v>3</v>
      </c>
      <c r="AM1257">
        <v>0</v>
      </c>
      <c r="AN1257">
        <v>1905</v>
      </c>
      <c r="AO1257">
        <v>9</v>
      </c>
      <c r="AP1257">
        <v>0</v>
      </c>
      <c r="AQ1257">
        <v>0</v>
      </c>
    </row>
    <row r="1258" spans="1:43" x14ac:dyDescent="0.25">
      <c r="A1258">
        <v>1255</v>
      </c>
      <c r="B1258">
        <v>26</v>
      </c>
      <c r="C1258">
        <v>26</v>
      </c>
      <c r="D1258">
        <v>6</v>
      </c>
      <c r="E1258">
        <v>1806</v>
      </c>
      <c r="F1258">
        <v>5344</v>
      </c>
      <c r="G1258">
        <v>5344</v>
      </c>
      <c r="H1258">
        <v>2368</v>
      </c>
      <c r="I1258">
        <v>1073</v>
      </c>
      <c r="J1258">
        <v>698</v>
      </c>
      <c r="K1258">
        <v>567</v>
      </c>
      <c r="L1258">
        <v>509</v>
      </c>
      <c r="M1258">
        <v>485</v>
      </c>
      <c r="N1258">
        <v>252</v>
      </c>
      <c r="O1258">
        <v>317</v>
      </c>
      <c r="P1258">
        <v>224</v>
      </c>
      <c r="Q1258">
        <v>41</v>
      </c>
      <c r="R1258">
        <v>0.151356408</v>
      </c>
      <c r="S1258">
        <v>448</v>
      </c>
      <c r="T1258">
        <v>473</v>
      </c>
      <c r="U1258">
        <v>1023</v>
      </c>
      <c r="V1258">
        <v>1838</v>
      </c>
      <c r="W1258">
        <v>1334</v>
      </c>
      <c r="X1258">
        <v>565</v>
      </c>
      <c r="Y1258">
        <v>36</v>
      </c>
      <c r="Z1258">
        <v>7</v>
      </c>
      <c r="AA1258">
        <v>349</v>
      </c>
      <c r="AB1258">
        <v>43</v>
      </c>
      <c r="AC1258">
        <v>2</v>
      </c>
      <c r="AD1258">
        <v>11</v>
      </c>
      <c r="AE1258">
        <v>0</v>
      </c>
      <c r="AF1258">
        <v>0</v>
      </c>
      <c r="AG1258">
        <v>4</v>
      </c>
      <c r="AH1258">
        <v>0</v>
      </c>
      <c r="AI1258">
        <v>0</v>
      </c>
      <c r="AJ1258">
        <v>0</v>
      </c>
      <c r="AK1258">
        <v>1.3686499999999999</v>
      </c>
      <c r="AL1258">
        <v>3</v>
      </c>
      <c r="AM1258">
        <v>0</v>
      </c>
      <c r="AN1258">
        <v>1806</v>
      </c>
      <c r="AO1258">
        <v>0</v>
      </c>
      <c r="AP1258">
        <v>0</v>
      </c>
      <c r="AQ1258">
        <v>0</v>
      </c>
    </row>
    <row r="1259" spans="1:43" x14ac:dyDescent="0.25">
      <c r="A1259">
        <v>1256</v>
      </c>
      <c r="B1259">
        <v>26</v>
      </c>
      <c r="C1259">
        <v>26</v>
      </c>
      <c r="D1259">
        <v>6</v>
      </c>
      <c r="E1259">
        <v>1644</v>
      </c>
      <c r="F1259">
        <v>4161</v>
      </c>
      <c r="G1259">
        <v>4161</v>
      </c>
      <c r="H1259">
        <v>2008</v>
      </c>
      <c r="I1259">
        <v>1419</v>
      </c>
      <c r="J1259">
        <v>315</v>
      </c>
      <c r="K1259">
        <v>655</v>
      </c>
      <c r="L1259">
        <v>449</v>
      </c>
      <c r="M1259">
        <v>400</v>
      </c>
      <c r="N1259">
        <v>141</v>
      </c>
      <c r="O1259">
        <v>945</v>
      </c>
      <c r="P1259">
        <v>714.05093980000004</v>
      </c>
      <c r="Q1259">
        <v>46.32852012</v>
      </c>
      <c r="R1259">
        <v>0.20781940900000001</v>
      </c>
      <c r="S1259">
        <v>520</v>
      </c>
      <c r="T1259">
        <v>124</v>
      </c>
      <c r="U1259">
        <v>688</v>
      </c>
      <c r="V1259">
        <v>1577</v>
      </c>
      <c r="W1259">
        <v>1081</v>
      </c>
      <c r="X1259">
        <v>744</v>
      </c>
      <c r="Y1259">
        <v>64</v>
      </c>
      <c r="Z1259">
        <v>32</v>
      </c>
      <c r="AA1259">
        <v>258</v>
      </c>
      <c r="AB1259">
        <v>0</v>
      </c>
      <c r="AC1259">
        <v>64</v>
      </c>
      <c r="AD1259">
        <v>102</v>
      </c>
      <c r="AE1259">
        <v>0</v>
      </c>
      <c r="AF1259">
        <v>0</v>
      </c>
      <c r="AG1259">
        <v>4</v>
      </c>
      <c r="AH1259">
        <v>0</v>
      </c>
      <c r="AI1259">
        <v>0</v>
      </c>
      <c r="AJ1259">
        <v>0</v>
      </c>
      <c r="AK1259">
        <v>1.0811900000000001</v>
      </c>
      <c r="AL1259">
        <v>3</v>
      </c>
      <c r="AM1259">
        <v>0</v>
      </c>
      <c r="AN1259">
        <v>1644</v>
      </c>
      <c r="AO1259">
        <v>0</v>
      </c>
      <c r="AP1259">
        <v>0</v>
      </c>
      <c r="AQ1259">
        <v>0</v>
      </c>
    </row>
    <row r="1260" spans="1:43" x14ac:dyDescent="0.25">
      <c r="A1260">
        <v>1257</v>
      </c>
      <c r="B1260">
        <v>26</v>
      </c>
      <c r="C1260">
        <v>26</v>
      </c>
      <c r="D1260">
        <v>6</v>
      </c>
      <c r="E1260">
        <v>2135</v>
      </c>
      <c r="F1260">
        <v>6312</v>
      </c>
      <c r="G1260">
        <v>6312</v>
      </c>
      <c r="H1260">
        <v>2787</v>
      </c>
      <c r="I1260">
        <v>1587</v>
      </c>
      <c r="J1260">
        <v>529</v>
      </c>
      <c r="K1260">
        <v>571</v>
      </c>
      <c r="L1260">
        <v>915</v>
      </c>
      <c r="M1260">
        <v>535</v>
      </c>
      <c r="N1260">
        <v>113</v>
      </c>
      <c r="O1260">
        <v>477</v>
      </c>
      <c r="P1260">
        <v>310</v>
      </c>
      <c r="Q1260">
        <v>32</v>
      </c>
      <c r="R1260">
        <v>0.17402251199999999</v>
      </c>
      <c r="S1260">
        <v>312</v>
      </c>
      <c r="T1260">
        <v>466</v>
      </c>
      <c r="U1260">
        <v>1277</v>
      </c>
      <c r="V1260">
        <v>2440</v>
      </c>
      <c r="W1260">
        <v>1526</v>
      </c>
      <c r="X1260">
        <v>904</v>
      </c>
      <c r="Y1260">
        <v>10</v>
      </c>
      <c r="Z1260">
        <v>12</v>
      </c>
      <c r="AA1260">
        <v>271</v>
      </c>
      <c r="AB1260">
        <v>0</v>
      </c>
      <c r="AC1260">
        <v>4</v>
      </c>
      <c r="AD1260">
        <v>15</v>
      </c>
      <c r="AE1260">
        <v>0</v>
      </c>
      <c r="AF1260">
        <v>0</v>
      </c>
      <c r="AG1260">
        <v>4</v>
      </c>
      <c r="AH1260">
        <v>9</v>
      </c>
      <c r="AI1260">
        <v>0</v>
      </c>
      <c r="AJ1260">
        <v>0</v>
      </c>
      <c r="AK1260">
        <v>1.2735799999999999</v>
      </c>
      <c r="AL1260">
        <v>3</v>
      </c>
      <c r="AM1260">
        <v>0</v>
      </c>
      <c r="AN1260">
        <v>2135</v>
      </c>
      <c r="AO1260">
        <v>0</v>
      </c>
      <c r="AP1260">
        <v>0</v>
      </c>
      <c r="AQ1260">
        <v>0</v>
      </c>
    </row>
    <row r="1261" spans="1:43" x14ac:dyDescent="0.25">
      <c r="A1261">
        <v>1258</v>
      </c>
      <c r="B1261">
        <v>26</v>
      </c>
      <c r="C1261">
        <v>26</v>
      </c>
      <c r="D1261">
        <v>6</v>
      </c>
      <c r="E1261">
        <v>1523</v>
      </c>
      <c r="F1261">
        <v>4736</v>
      </c>
      <c r="G1261">
        <v>4736</v>
      </c>
      <c r="H1261">
        <v>1949</v>
      </c>
      <c r="I1261">
        <v>858</v>
      </c>
      <c r="J1261">
        <v>674</v>
      </c>
      <c r="K1261">
        <v>465</v>
      </c>
      <c r="L1261">
        <v>686</v>
      </c>
      <c r="M1261">
        <v>257</v>
      </c>
      <c r="N1261">
        <v>108</v>
      </c>
      <c r="O1261">
        <v>220</v>
      </c>
      <c r="P1261">
        <v>144</v>
      </c>
      <c r="Q1261">
        <v>8</v>
      </c>
      <c r="R1261">
        <v>0.108576442</v>
      </c>
      <c r="S1261">
        <v>222</v>
      </c>
      <c r="T1261">
        <v>446</v>
      </c>
      <c r="U1261">
        <v>762</v>
      </c>
      <c r="V1261">
        <v>1629</v>
      </c>
      <c r="W1261">
        <v>1259</v>
      </c>
      <c r="X1261">
        <v>389</v>
      </c>
      <c r="Y1261">
        <v>29</v>
      </c>
      <c r="Z1261">
        <v>7</v>
      </c>
      <c r="AA1261">
        <v>135</v>
      </c>
      <c r="AB1261">
        <v>0</v>
      </c>
      <c r="AC1261">
        <v>2</v>
      </c>
      <c r="AD1261">
        <v>49</v>
      </c>
      <c r="AE1261">
        <v>0</v>
      </c>
      <c r="AF1261">
        <v>0</v>
      </c>
      <c r="AG1261">
        <v>4</v>
      </c>
      <c r="AH1261">
        <v>0</v>
      </c>
      <c r="AI1261">
        <v>0</v>
      </c>
      <c r="AJ1261">
        <v>0</v>
      </c>
      <c r="AK1261">
        <v>1.4883500000000001</v>
      </c>
      <c r="AL1261">
        <v>3</v>
      </c>
      <c r="AM1261">
        <v>0</v>
      </c>
      <c r="AN1261">
        <v>1523</v>
      </c>
      <c r="AO1261">
        <v>0</v>
      </c>
      <c r="AP1261">
        <v>0</v>
      </c>
      <c r="AQ1261">
        <v>0</v>
      </c>
    </row>
    <row r="1262" spans="1:43" x14ac:dyDescent="0.25">
      <c r="A1262">
        <v>1259</v>
      </c>
      <c r="B1262">
        <v>26</v>
      </c>
      <c r="C1262">
        <v>26</v>
      </c>
      <c r="D1262">
        <v>6</v>
      </c>
      <c r="E1262">
        <v>1939</v>
      </c>
      <c r="F1262">
        <v>5985</v>
      </c>
      <c r="G1262">
        <v>6003</v>
      </c>
      <c r="H1262">
        <v>2371</v>
      </c>
      <c r="I1262">
        <v>988</v>
      </c>
      <c r="J1262">
        <v>904</v>
      </c>
      <c r="K1262">
        <v>871</v>
      </c>
      <c r="L1262">
        <v>631</v>
      </c>
      <c r="M1262">
        <v>320</v>
      </c>
      <c r="N1262">
        <v>128</v>
      </c>
      <c r="O1262">
        <v>326</v>
      </c>
      <c r="P1262">
        <v>151.48288869999999</v>
      </c>
      <c r="Q1262">
        <v>39.64203509</v>
      </c>
      <c r="R1262">
        <v>0.15356106999999999</v>
      </c>
      <c r="S1262">
        <v>1201</v>
      </c>
      <c r="T1262">
        <v>527</v>
      </c>
      <c r="U1262">
        <v>1281</v>
      </c>
      <c r="V1262">
        <v>2094</v>
      </c>
      <c r="W1262">
        <v>1313</v>
      </c>
      <c r="X1262">
        <v>863</v>
      </c>
      <c r="Y1262">
        <v>150</v>
      </c>
      <c r="Z1262">
        <v>20</v>
      </c>
      <c r="AA1262">
        <v>565</v>
      </c>
      <c r="AB1262">
        <v>0</v>
      </c>
      <c r="AC1262">
        <v>419</v>
      </c>
      <c r="AD1262">
        <v>47</v>
      </c>
      <c r="AE1262">
        <v>0</v>
      </c>
      <c r="AF1262">
        <v>0</v>
      </c>
      <c r="AG1262">
        <v>4</v>
      </c>
      <c r="AH1262">
        <v>28</v>
      </c>
      <c r="AI1262">
        <v>0</v>
      </c>
      <c r="AJ1262">
        <v>0</v>
      </c>
      <c r="AK1262">
        <v>1.9769099999999999</v>
      </c>
      <c r="AL1262">
        <v>3</v>
      </c>
      <c r="AM1262">
        <v>0</v>
      </c>
      <c r="AN1262">
        <v>1939</v>
      </c>
      <c r="AO1262">
        <v>18</v>
      </c>
      <c r="AP1262">
        <v>0</v>
      </c>
      <c r="AQ1262">
        <v>0</v>
      </c>
    </row>
    <row r="1263" spans="1:43" x14ac:dyDescent="0.25">
      <c r="A1263">
        <v>1260</v>
      </c>
      <c r="B1263">
        <v>26</v>
      </c>
      <c r="C1263">
        <v>26</v>
      </c>
      <c r="D1263">
        <v>6</v>
      </c>
      <c r="E1263">
        <v>1191</v>
      </c>
      <c r="F1263">
        <v>3715</v>
      </c>
      <c r="G1263">
        <v>3718</v>
      </c>
      <c r="H1263">
        <v>1249</v>
      </c>
      <c r="I1263">
        <v>638</v>
      </c>
      <c r="J1263">
        <v>552</v>
      </c>
      <c r="K1263">
        <v>538</v>
      </c>
      <c r="L1263">
        <v>492</v>
      </c>
      <c r="M1263">
        <v>128</v>
      </c>
      <c r="N1263">
        <v>38</v>
      </c>
      <c r="O1263">
        <v>198</v>
      </c>
      <c r="P1263">
        <v>114</v>
      </c>
      <c r="Q1263">
        <v>39</v>
      </c>
      <c r="R1263">
        <v>8.5449084999999994E-2</v>
      </c>
      <c r="S1263">
        <v>174</v>
      </c>
      <c r="T1263">
        <v>373</v>
      </c>
      <c r="U1263">
        <v>805</v>
      </c>
      <c r="V1263">
        <v>1439</v>
      </c>
      <c r="W1263">
        <v>735</v>
      </c>
      <c r="X1263">
        <v>233</v>
      </c>
      <c r="Y1263">
        <v>14</v>
      </c>
      <c r="Z1263">
        <v>11</v>
      </c>
      <c r="AA1263">
        <v>117</v>
      </c>
      <c r="AB1263">
        <v>0</v>
      </c>
      <c r="AC1263">
        <v>8</v>
      </c>
      <c r="AD1263">
        <v>24</v>
      </c>
      <c r="AE1263">
        <v>0</v>
      </c>
      <c r="AF1263">
        <v>0</v>
      </c>
      <c r="AG1263">
        <v>4</v>
      </c>
      <c r="AH1263">
        <v>0</v>
      </c>
      <c r="AI1263">
        <v>0</v>
      </c>
      <c r="AJ1263">
        <v>0</v>
      </c>
      <c r="AK1263">
        <v>1.4861200000000001</v>
      </c>
      <c r="AL1263">
        <v>3</v>
      </c>
      <c r="AM1263">
        <v>0</v>
      </c>
      <c r="AN1263">
        <v>1191</v>
      </c>
      <c r="AO1263">
        <v>3</v>
      </c>
      <c r="AP1263">
        <v>0</v>
      </c>
      <c r="AQ1263">
        <v>0</v>
      </c>
    </row>
    <row r="1264" spans="1:43" x14ac:dyDescent="0.25">
      <c r="A1264">
        <v>1261</v>
      </c>
      <c r="B1264">
        <v>26</v>
      </c>
      <c r="C1264">
        <v>26</v>
      </c>
      <c r="D1264">
        <v>6</v>
      </c>
      <c r="E1264">
        <v>1421</v>
      </c>
      <c r="F1264">
        <v>4080</v>
      </c>
      <c r="G1264">
        <v>4104</v>
      </c>
      <c r="H1264">
        <v>1816</v>
      </c>
      <c r="I1264">
        <v>1224</v>
      </c>
      <c r="J1264">
        <v>135</v>
      </c>
      <c r="K1264">
        <v>391</v>
      </c>
      <c r="L1264">
        <v>471</v>
      </c>
      <c r="M1264">
        <v>347</v>
      </c>
      <c r="N1264">
        <v>214</v>
      </c>
      <c r="O1264">
        <v>330</v>
      </c>
      <c r="P1264">
        <v>138.9834305</v>
      </c>
      <c r="Q1264">
        <v>65.432251500000007</v>
      </c>
      <c r="R1264">
        <v>0.16461392699999999</v>
      </c>
      <c r="S1264">
        <v>462</v>
      </c>
      <c r="T1264">
        <v>297</v>
      </c>
      <c r="U1264">
        <v>823</v>
      </c>
      <c r="V1264">
        <v>1498</v>
      </c>
      <c r="W1264">
        <v>895</v>
      </c>
      <c r="X1264">
        <v>617</v>
      </c>
      <c r="Y1264">
        <v>111</v>
      </c>
      <c r="Z1264">
        <v>22</v>
      </c>
      <c r="AA1264">
        <v>234</v>
      </c>
      <c r="AB1264">
        <v>0</v>
      </c>
      <c r="AC1264">
        <v>14</v>
      </c>
      <c r="AD1264">
        <v>81</v>
      </c>
      <c r="AE1264">
        <v>0</v>
      </c>
      <c r="AF1264">
        <v>0</v>
      </c>
      <c r="AG1264">
        <v>4</v>
      </c>
      <c r="AH1264">
        <v>0</v>
      </c>
      <c r="AI1264">
        <v>0</v>
      </c>
      <c r="AJ1264">
        <v>0</v>
      </c>
      <c r="AK1264">
        <v>1.4658800000000001</v>
      </c>
      <c r="AL1264">
        <v>3</v>
      </c>
      <c r="AM1264">
        <v>0</v>
      </c>
      <c r="AN1264">
        <v>1421</v>
      </c>
      <c r="AO1264">
        <v>24</v>
      </c>
      <c r="AP1264">
        <v>0</v>
      </c>
      <c r="AQ1264">
        <v>0</v>
      </c>
    </row>
    <row r="1265" spans="1:43" x14ac:dyDescent="0.25">
      <c r="A1265">
        <v>1262</v>
      </c>
      <c r="B1265">
        <v>26</v>
      </c>
      <c r="C1265">
        <v>26</v>
      </c>
      <c r="D1265">
        <v>6</v>
      </c>
      <c r="E1265">
        <v>558</v>
      </c>
      <c r="F1265">
        <v>1318</v>
      </c>
      <c r="G1265">
        <v>1357</v>
      </c>
      <c r="H1265">
        <v>666</v>
      </c>
      <c r="I1265">
        <v>287</v>
      </c>
      <c r="J1265">
        <v>301</v>
      </c>
      <c r="K1265">
        <v>187</v>
      </c>
      <c r="L1265">
        <v>262</v>
      </c>
      <c r="M1265">
        <v>77</v>
      </c>
      <c r="N1265">
        <v>28</v>
      </c>
      <c r="O1265">
        <v>224</v>
      </c>
      <c r="P1265">
        <v>75.366854140000001</v>
      </c>
      <c r="Q1265">
        <v>57</v>
      </c>
      <c r="R1265">
        <v>0.10756723</v>
      </c>
      <c r="S1265">
        <v>4107</v>
      </c>
      <c r="T1265">
        <v>97</v>
      </c>
      <c r="U1265">
        <v>229</v>
      </c>
      <c r="V1265">
        <v>728</v>
      </c>
      <c r="W1265">
        <v>360</v>
      </c>
      <c r="X1265">
        <v>147</v>
      </c>
      <c r="Y1265">
        <v>78</v>
      </c>
      <c r="Z1265">
        <v>86</v>
      </c>
      <c r="AA1265">
        <v>881</v>
      </c>
      <c r="AB1265">
        <v>0</v>
      </c>
      <c r="AC1265">
        <v>88</v>
      </c>
      <c r="AD1265">
        <v>2974</v>
      </c>
      <c r="AE1265">
        <v>0</v>
      </c>
      <c r="AF1265">
        <v>0</v>
      </c>
      <c r="AG1265">
        <v>2</v>
      </c>
      <c r="AH1265">
        <v>0</v>
      </c>
      <c r="AI1265">
        <v>0</v>
      </c>
      <c r="AJ1265">
        <v>0</v>
      </c>
      <c r="AK1265">
        <v>2.3460399999999999</v>
      </c>
      <c r="AL1265">
        <v>3</v>
      </c>
      <c r="AM1265">
        <v>0</v>
      </c>
      <c r="AN1265">
        <v>558</v>
      </c>
      <c r="AO1265">
        <v>39</v>
      </c>
      <c r="AP1265">
        <v>0</v>
      </c>
      <c r="AQ1265">
        <v>0</v>
      </c>
    </row>
    <row r="1266" spans="1:43" x14ac:dyDescent="0.25">
      <c r="A1266">
        <v>1263</v>
      </c>
      <c r="B1266">
        <v>26</v>
      </c>
      <c r="C1266">
        <v>26</v>
      </c>
      <c r="D1266">
        <v>6</v>
      </c>
      <c r="E1266">
        <v>987</v>
      </c>
      <c r="F1266">
        <v>2823</v>
      </c>
      <c r="G1266">
        <v>2845</v>
      </c>
      <c r="H1266">
        <v>1153</v>
      </c>
      <c r="I1266">
        <v>549</v>
      </c>
      <c r="J1266">
        <v>427</v>
      </c>
      <c r="K1266">
        <v>447</v>
      </c>
      <c r="L1266">
        <v>363</v>
      </c>
      <c r="M1266">
        <v>148</v>
      </c>
      <c r="N1266">
        <v>29</v>
      </c>
      <c r="O1266">
        <v>271</v>
      </c>
      <c r="P1266">
        <v>118</v>
      </c>
      <c r="Q1266">
        <v>37</v>
      </c>
      <c r="R1266">
        <v>0.132633588</v>
      </c>
      <c r="S1266">
        <v>1260</v>
      </c>
      <c r="T1266">
        <v>213</v>
      </c>
      <c r="U1266">
        <v>737</v>
      </c>
      <c r="V1266">
        <v>856</v>
      </c>
      <c r="W1266">
        <v>945</v>
      </c>
      <c r="X1266">
        <v>311</v>
      </c>
      <c r="Y1266">
        <v>36</v>
      </c>
      <c r="Z1266">
        <v>22</v>
      </c>
      <c r="AA1266">
        <v>636</v>
      </c>
      <c r="AB1266">
        <v>0</v>
      </c>
      <c r="AC1266">
        <v>12</v>
      </c>
      <c r="AD1266">
        <v>554</v>
      </c>
      <c r="AE1266">
        <v>0</v>
      </c>
      <c r="AF1266">
        <v>0</v>
      </c>
      <c r="AG1266">
        <v>3</v>
      </c>
      <c r="AH1266">
        <v>1844</v>
      </c>
      <c r="AI1266">
        <v>0</v>
      </c>
      <c r="AJ1266">
        <v>0</v>
      </c>
      <c r="AK1266">
        <v>1.82544</v>
      </c>
      <c r="AL1266">
        <v>3</v>
      </c>
      <c r="AM1266">
        <v>0</v>
      </c>
      <c r="AN1266">
        <v>987</v>
      </c>
      <c r="AO1266">
        <v>22</v>
      </c>
      <c r="AP1266">
        <v>0</v>
      </c>
      <c r="AQ1266">
        <v>0</v>
      </c>
    </row>
    <row r="1267" spans="1:43" x14ac:dyDescent="0.25">
      <c r="A1267">
        <v>1264</v>
      </c>
      <c r="B1267">
        <v>26</v>
      </c>
      <c r="C1267">
        <v>26</v>
      </c>
      <c r="D1267">
        <v>6</v>
      </c>
      <c r="E1267">
        <v>2041</v>
      </c>
      <c r="F1267">
        <v>6299</v>
      </c>
      <c r="G1267">
        <v>6299</v>
      </c>
      <c r="H1267">
        <v>2630</v>
      </c>
      <c r="I1267">
        <v>890</v>
      </c>
      <c r="J1267">
        <v>1061</v>
      </c>
      <c r="K1267">
        <v>823</v>
      </c>
      <c r="L1267">
        <v>651</v>
      </c>
      <c r="M1267">
        <v>396</v>
      </c>
      <c r="N1267">
        <v>170</v>
      </c>
      <c r="O1267">
        <v>379</v>
      </c>
      <c r="P1267">
        <v>193.50889649999999</v>
      </c>
      <c r="Q1267">
        <v>65</v>
      </c>
      <c r="R1267">
        <v>9.7734189999999999E-2</v>
      </c>
      <c r="S1267">
        <v>631</v>
      </c>
      <c r="T1267">
        <v>584</v>
      </c>
      <c r="U1267">
        <v>1272</v>
      </c>
      <c r="V1267">
        <v>2502</v>
      </c>
      <c r="W1267">
        <v>1068</v>
      </c>
      <c r="X1267">
        <v>370</v>
      </c>
      <c r="Y1267">
        <v>116</v>
      </c>
      <c r="Z1267">
        <v>12</v>
      </c>
      <c r="AA1267">
        <v>458</v>
      </c>
      <c r="AB1267">
        <v>0</v>
      </c>
      <c r="AC1267">
        <v>24</v>
      </c>
      <c r="AD1267">
        <v>21</v>
      </c>
      <c r="AE1267">
        <v>0</v>
      </c>
      <c r="AF1267">
        <v>0</v>
      </c>
      <c r="AG1267">
        <v>4</v>
      </c>
      <c r="AH1267">
        <v>0</v>
      </c>
      <c r="AI1267">
        <v>0</v>
      </c>
      <c r="AJ1267">
        <v>0</v>
      </c>
      <c r="AK1267">
        <v>1.5151399999999999</v>
      </c>
      <c r="AL1267">
        <v>2</v>
      </c>
      <c r="AM1267">
        <v>0</v>
      </c>
      <c r="AN1267">
        <v>2041</v>
      </c>
      <c r="AO1267">
        <v>0</v>
      </c>
      <c r="AP1267">
        <v>0</v>
      </c>
      <c r="AQ1267">
        <v>0</v>
      </c>
    </row>
    <row r="1268" spans="1:43" x14ac:dyDescent="0.25">
      <c r="A1268">
        <v>1265</v>
      </c>
      <c r="B1268">
        <v>26</v>
      </c>
      <c r="C1268">
        <v>26</v>
      </c>
      <c r="D1268">
        <v>6</v>
      </c>
      <c r="E1268">
        <v>1158</v>
      </c>
      <c r="F1268">
        <v>3631</v>
      </c>
      <c r="G1268">
        <v>3656</v>
      </c>
      <c r="H1268">
        <v>1812</v>
      </c>
      <c r="I1268">
        <v>662</v>
      </c>
      <c r="J1268">
        <v>474</v>
      </c>
      <c r="K1268">
        <v>283</v>
      </c>
      <c r="L1268">
        <v>349</v>
      </c>
      <c r="M1268">
        <v>369</v>
      </c>
      <c r="N1268">
        <v>151</v>
      </c>
      <c r="O1268">
        <v>411</v>
      </c>
      <c r="P1268">
        <v>130.32904830000001</v>
      </c>
      <c r="Q1268">
        <v>119</v>
      </c>
      <c r="R1268">
        <v>0.148351648</v>
      </c>
      <c r="S1268">
        <v>3992</v>
      </c>
      <c r="T1268">
        <v>243</v>
      </c>
      <c r="U1268">
        <v>860</v>
      </c>
      <c r="V1268">
        <v>1530</v>
      </c>
      <c r="W1268">
        <v>857</v>
      </c>
      <c r="X1268">
        <v>436</v>
      </c>
      <c r="Y1268">
        <v>1051</v>
      </c>
      <c r="Z1268">
        <v>13</v>
      </c>
      <c r="AA1268">
        <v>2870</v>
      </c>
      <c r="AB1268">
        <v>0</v>
      </c>
      <c r="AC1268">
        <v>13</v>
      </c>
      <c r="AD1268">
        <v>45</v>
      </c>
      <c r="AE1268">
        <v>0</v>
      </c>
      <c r="AF1268">
        <v>0</v>
      </c>
      <c r="AG1268">
        <v>3</v>
      </c>
      <c r="AH1268">
        <v>0</v>
      </c>
      <c r="AI1268">
        <v>0</v>
      </c>
      <c r="AJ1268">
        <v>0</v>
      </c>
      <c r="AK1268">
        <v>2.1810299999999998</v>
      </c>
      <c r="AL1268">
        <v>2</v>
      </c>
      <c r="AM1268">
        <v>0</v>
      </c>
      <c r="AN1268">
        <v>1158</v>
      </c>
      <c r="AO1268">
        <v>25</v>
      </c>
      <c r="AP1268">
        <v>0</v>
      </c>
      <c r="AQ1268">
        <v>0</v>
      </c>
    </row>
    <row r="1269" spans="1:43" x14ac:dyDescent="0.25">
      <c r="A1269">
        <v>1266</v>
      </c>
      <c r="B1269">
        <v>26</v>
      </c>
      <c r="C1269">
        <v>26</v>
      </c>
      <c r="D1269">
        <v>6</v>
      </c>
      <c r="E1269">
        <v>1397</v>
      </c>
      <c r="F1269">
        <v>4676</v>
      </c>
      <c r="G1269">
        <v>4680</v>
      </c>
      <c r="H1269">
        <v>1808</v>
      </c>
      <c r="I1269">
        <v>1105</v>
      </c>
      <c r="J1269">
        <v>290</v>
      </c>
      <c r="K1269">
        <v>451</v>
      </c>
      <c r="L1269">
        <v>537</v>
      </c>
      <c r="M1269">
        <v>335</v>
      </c>
      <c r="N1269">
        <v>79</v>
      </c>
      <c r="O1269">
        <v>348</v>
      </c>
      <c r="P1269">
        <v>173</v>
      </c>
      <c r="Q1269">
        <v>44</v>
      </c>
      <c r="R1269">
        <v>0.136514523</v>
      </c>
      <c r="S1269">
        <v>937</v>
      </c>
      <c r="T1269">
        <v>287</v>
      </c>
      <c r="U1269">
        <v>1046</v>
      </c>
      <c r="V1269">
        <v>1628</v>
      </c>
      <c r="W1269">
        <v>1231</v>
      </c>
      <c r="X1269">
        <v>541</v>
      </c>
      <c r="Y1269">
        <v>201</v>
      </c>
      <c r="Z1269">
        <v>24</v>
      </c>
      <c r="AA1269">
        <v>623</v>
      </c>
      <c r="AB1269">
        <v>0</v>
      </c>
      <c r="AC1269">
        <v>33</v>
      </c>
      <c r="AD1269">
        <v>56</v>
      </c>
      <c r="AE1269">
        <v>0</v>
      </c>
      <c r="AF1269">
        <v>0</v>
      </c>
      <c r="AG1269">
        <v>4</v>
      </c>
      <c r="AH1269">
        <v>16</v>
      </c>
      <c r="AI1269">
        <v>0</v>
      </c>
      <c r="AJ1269">
        <v>0</v>
      </c>
      <c r="AK1269">
        <v>1.4335199999999999</v>
      </c>
      <c r="AL1269">
        <v>3</v>
      </c>
      <c r="AM1269">
        <v>0</v>
      </c>
      <c r="AN1269">
        <v>1397</v>
      </c>
      <c r="AO1269">
        <v>4</v>
      </c>
      <c r="AP1269">
        <v>0</v>
      </c>
      <c r="AQ1269">
        <v>0</v>
      </c>
    </row>
    <row r="1270" spans="1:43" x14ac:dyDescent="0.25">
      <c r="A1270">
        <v>1267</v>
      </c>
      <c r="B1270">
        <v>26</v>
      </c>
      <c r="C1270">
        <v>26</v>
      </c>
      <c r="D1270">
        <v>6</v>
      </c>
      <c r="E1270">
        <v>1099</v>
      </c>
      <c r="F1270">
        <v>2761</v>
      </c>
      <c r="G1270">
        <v>2761</v>
      </c>
      <c r="H1270">
        <v>1363</v>
      </c>
      <c r="I1270">
        <v>964</v>
      </c>
      <c r="J1270">
        <v>96</v>
      </c>
      <c r="K1270">
        <v>214</v>
      </c>
      <c r="L1270">
        <v>303</v>
      </c>
      <c r="M1270">
        <v>358</v>
      </c>
      <c r="N1270">
        <v>219</v>
      </c>
      <c r="O1270">
        <v>446</v>
      </c>
      <c r="P1270">
        <v>231</v>
      </c>
      <c r="Q1270">
        <v>37</v>
      </c>
      <c r="R1270">
        <v>0.26226291699999998</v>
      </c>
      <c r="S1270">
        <v>721</v>
      </c>
      <c r="T1270">
        <v>175</v>
      </c>
      <c r="U1270">
        <v>529</v>
      </c>
      <c r="V1270">
        <v>824</v>
      </c>
      <c r="W1270">
        <v>813</v>
      </c>
      <c r="X1270">
        <v>657</v>
      </c>
      <c r="Y1270">
        <v>154</v>
      </c>
      <c r="Z1270">
        <v>15</v>
      </c>
      <c r="AA1270">
        <v>446</v>
      </c>
      <c r="AB1270">
        <v>0</v>
      </c>
      <c r="AC1270">
        <v>5</v>
      </c>
      <c r="AD1270">
        <v>101</v>
      </c>
      <c r="AE1270">
        <v>0</v>
      </c>
      <c r="AF1270">
        <v>0</v>
      </c>
      <c r="AG1270">
        <v>4</v>
      </c>
      <c r="AH1270">
        <v>0</v>
      </c>
      <c r="AI1270">
        <v>0</v>
      </c>
      <c r="AJ1270">
        <v>0</v>
      </c>
      <c r="AK1270">
        <v>1.29335</v>
      </c>
      <c r="AL1270">
        <v>1</v>
      </c>
      <c r="AM1270">
        <v>0</v>
      </c>
      <c r="AN1270">
        <v>1099</v>
      </c>
      <c r="AO1270">
        <v>0</v>
      </c>
      <c r="AP1270">
        <v>0</v>
      </c>
      <c r="AQ1270">
        <v>0</v>
      </c>
    </row>
    <row r="1271" spans="1:43" x14ac:dyDescent="0.25">
      <c r="A1271">
        <v>1268</v>
      </c>
      <c r="B1271">
        <v>26</v>
      </c>
      <c r="C1271">
        <v>26</v>
      </c>
      <c r="D1271">
        <v>6</v>
      </c>
      <c r="E1271">
        <v>4134</v>
      </c>
      <c r="F1271">
        <v>10825</v>
      </c>
      <c r="G1271">
        <v>10845</v>
      </c>
      <c r="H1271">
        <v>5022</v>
      </c>
      <c r="I1271">
        <v>3235</v>
      </c>
      <c r="J1271">
        <v>1002</v>
      </c>
      <c r="K1271">
        <v>693</v>
      </c>
      <c r="L1271">
        <v>990</v>
      </c>
      <c r="M1271">
        <v>1069</v>
      </c>
      <c r="N1271">
        <v>1382</v>
      </c>
      <c r="O1271">
        <v>8690</v>
      </c>
      <c r="P1271">
        <v>1438.9468440000001</v>
      </c>
      <c r="Q1271">
        <v>53.37001712</v>
      </c>
      <c r="R1271">
        <v>0.23458337100000001</v>
      </c>
      <c r="S1271">
        <v>1654</v>
      </c>
      <c r="T1271">
        <v>701</v>
      </c>
      <c r="U1271">
        <v>1863</v>
      </c>
      <c r="V1271">
        <v>3537</v>
      </c>
      <c r="W1271">
        <v>2695</v>
      </c>
      <c r="X1271">
        <v>2140</v>
      </c>
      <c r="Y1271">
        <v>125</v>
      </c>
      <c r="Z1271">
        <v>49</v>
      </c>
      <c r="AA1271">
        <v>1289</v>
      </c>
      <c r="AB1271">
        <v>8</v>
      </c>
      <c r="AC1271">
        <v>53</v>
      </c>
      <c r="AD1271">
        <v>130</v>
      </c>
      <c r="AE1271">
        <v>0</v>
      </c>
      <c r="AF1271">
        <v>0</v>
      </c>
      <c r="AG1271">
        <v>4</v>
      </c>
      <c r="AH1271">
        <v>0</v>
      </c>
      <c r="AI1271">
        <v>0</v>
      </c>
      <c r="AJ1271">
        <v>0</v>
      </c>
      <c r="AK1271">
        <v>1.07521</v>
      </c>
      <c r="AL1271">
        <v>1</v>
      </c>
      <c r="AM1271">
        <v>0</v>
      </c>
      <c r="AN1271">
        <v>4134</v>
      </c>
      <c r="AO1271">
        <v>20</v>
      </c>
      <c r="AP1271">
        <v>0</v>
      </c>
      <c r="AQ1271">
        <v>0</v>
      </c>
    </row>
    <row r="1272" spans="1:43" x14ac:dyDescent="0.25">
      <c r="A1272">
        <v>1269</v>
      </c>
      <c r="B1272">
        <v>26</v>
      </c>
      <c r="C1272">
        <v>26</v>
      </c>
      <c r="D1272">
        <v>6</v>
      </c>
      <c r="E1272">
        <v>3587</v>
      </c>
      <c r="F1272">
        <v>8772</v>
      </c>
      <c r="G1272">
        <v>8823</v>
      </c>
      <c r="H1272">
        <v>3759</v>
      </c>
      <c r="I1272">
        <v>2519</v>
      </c>
      <c r="J1272">
        <v>1152</v>
      </c>
      <c r="K1272">
        <v>1006</v>
      </c>
      <c r="L1272">
        <v>1109</v>
      </c>
      <c r="M1272">
        <v>812</v>
      </c>
      <c r="N1272">
        <v>674</v>
      </c>
      <c r="O1272">
        <v>2243</v>
      </c>
      <c r="P1272">
        <v>670.72947099999999</v>
      </c>
      <c r="Q1272">
        <v>102.3854573</v>
      </c>
      <c r="R1272">
        <v>0.27476175200000003</v>
      </c>
      <c r="S1272">
        <v>2306</v>
      </c>
      <c r="T1272">
        <v>319</v>
      </c>
      <c r="U1272">
        <v>1281</v>
      </c>
      <c r="V1272">
        <v>2955</v>
      </c>
      <c r="W1272">
        <v>2326</v>
      </c>
      <c r="X1272">
        <v>2259</v>
      </c>
      <c r="Y1272">
        <v>712</v>
      </c>
      <c r="Z1272">
        <v>38</v>
      </c>
      <c r="AA1272">
        <v>1412</v>
      </c>
      <c r="AB1272">
        <v>0</v>
      </c>
      <c r="AC1272">
        <v>21</v>
      </c>
      <c r="AD1272">
        <v>123</v>
      </c>
      <c r="AE1272">
        <v>0</v>
      </c>
      <c r="AF1272">
        <v>0</v>
      </c>
      <c r="AG1272">
        <v>4</v>
      </c>
      <c r="AH1272">
        <v>2181</v>
      </c>
      <c r="AI1272">
        <v>0</v>
      </c>
      <c r="AJ1272">
        <v>0</v>
      </c>
      <c r="AK1272">
        <v>1.3834299999999999</v>
      </c>
      <c r="AL1272">
        <v>2</v>
      </c>
      <c r="AM1272">
        <v>0</v>
      </c>
      <c r="AN1272">
        <v>3587</v>
      </c>
      <c r="AO1272">
        <v>51</v>
      </c>
      <c r="AP1272">
        <v>0</v>
      </c>
      <c r="AQ1272">
        <v>0</v>
      </c>
    </row>
    <row r="1273" spans="1:43" x14ac:dyDescent="0.25">
      <c r="A1273">
        <v>1270</v>
      </c>
      <c r="B1273">
        <v>26</v>
      </c>
      <c r="C1273">
        <v>26</v>
      </c>
      <c r="D1273">
        <v>6</v>
      </c>
      <c r="E1273">
        <v>6074</v>
      </c>
      <c r="F1273">
        <v>19762</v>
      </c>
      <c r="G1273">
        <v>19773</v>
      </c>
      <c r="H1273">
        <v>9007</v>
      </c>
      <c r="I1273">
        <v>5647</v>
      </c>
      <c r="J1273">
        <v>288</v>
      </c>
      <c r="K1273">
        <v>897</v>
      </c>
      <c r="L1273">
        <v>1399</v>
      </c>
      <c r="M1273">
        <v>2004</v>
      </c>
      <c r="N1273">
        <v>1775</v>
      </c>
      <c r="O1273">
        <v>8545</v>
      </c>
      <c r="P1273">
        <v>1786.8041450000001</v>
      </c>
      <c r="Q1273">
        <v>576.08368780000001</v>
      </c>
      <c r="R1273">
        <v>0.16658025000000001</v>
      </c>
      <c r="S1273">
        <v>2708</v>
      </c>
      <c r="T1273">
        <v>1361</v>
      </c>
      <c r="U1273">
        <v>4109</v>
      </c>
      <c r="V1273">
        <v>7536</v>
      </c>
      <c r="W1273">
        <v>5071</v>
      </c>
      <c r="X1273">
        <v>2700</v>
      </c>
      <c r="Y1273">
        <v>74</v>
      </c>
      <c r="Z1273">
        <v>87</v>
      </c>
      <c r="AA1273">
        <v>1115</v>
      </c>
      <c r="AB1273">
        <v>0</v>
      </c>
      <c r="AC1273">
        <v>1064</v>
      </c>
      <c r="AD1273">
        <v>368</v>
      </c>
      <c r="AE1273">
        <v>0</v>
      </c>
      <c r="AF1273">
        <v>0</v>
      </c>
      <c r="AG1273">
        <v>4</v>
      </c>
      <c r="AH1273">
        <v>1968</v>
      </c>
      <c r="AI1273">
        <v>0</v>
      </c>
      <c r="AJ1273">
        <v>0</v>
      </c>
      <c r="AK1273">
        <v>1.1411500000000001</v>
      </c>
      <c r="AL1273">
        <v>3</v>
      </c>
      <c r="AM1273">
        <v>0</v>
      </c>
      <c r="AN1273">
        <v>6074</v>
      </c>
      <c r="AO1273">
        <v>11</v>
      </c>
      <c r="AP1273">
        <v>0</v>
      </c>
      <c r="AQ1273">
        <v>0</v>
      </c>
    </row>
    <row r="1274" spans="1:43" x14ac:dyDescent="0.25">
      <c r="A1274">
        <v>1271</v>
      </c>
      <c r="B1274">
        <v>26</v>
      </c>
      <c r="C1274">
        <v>26</v>
      </c>
      <c r="D1274">
        <v>6</v>
      </c>
      <c r="E1274">
        <v>5343</v>
      </c>
      <c r="F1274">
        <v>16809</v>
      </c>
      <c r="G1274">
        <v>16825</v>
      </c>
      <c r="H1274">
        <v>7532</v>
      </c>
      <c r="I1274">
        <v>5084</v>
      </c>
      <c r="J1274">
        <v>205</v>
      </c>
      <c r="K1274">
        <v>692</v>
      </c>
      <c r="L1274">
        <v>1339</v>
      </c>
      <c r="M1274">
        <v>1714</v>
      </c>
      <c r="N1274">
        <v>1609</v>
      </c>
      <c r="O1274">
        <v>4587</v>
      </c>
      <c r="P1274">
        <v>1179.187484</v>
      </c>
      <c r="Q1274">
        <v>325</v>
      </c>
      <c r="R1274">
        <v>0.13730255199999999</v>
      </c>
      <c r="S1274">
        <v>842</v>
      </c>
      <c r="T1274">
        <v>1382</v>
      </c>
      <c r="U1274">
        <v>3549</v>
      </c>
      <c r="V1274">
        <v>5746</v>
      </c>
      <c r="W1274">
        <v>3758</v>
      </c>
      <c r="X1274">
        <v>1664</v>
      </c>
      <c r="Y1274">
        <v>73</v>
      </c>
      <c r="Z1274">
        <v>62</v>
      </c>
      <c r="AA1274">
        <v>493</v>
      </c>
      <c r="AB1274">
        <v>2</v>
      </c>
      <c r="AC1274">
        <v>93</v>
      </c>
      <c r="AD1274">
        <v>119</v>
      </c>
      <c r="AE1274">
        <v>0</v>
      </c>
      <c r="AF1274">
        <v>0</v>
      </c>
      <c r="AG1274">
        <v>4</v>
      </c>
      <c r="AH1274">
        <v>0</v>
      </c>
      <c r="AI1274">
        <v>0</v>
      </c>
      <c r="AJ1274">
        <v>0</v>
      </c>
      <c r="AK1274">
        <v>1.1718500000000001</v>
      </c>
      <c r="AL1274">
        <v>3</v>
      </c>
      <c r="AM1274">
        <v>0</v>
      </c>
      <c r="AN1274">
        <v>5343</v>
      </c>
      <c r="AO1274">
        <v>16</v>
      </c>
      <c r="AP1274">
        <v>0</v>
      </c>
      <c r="AQ1274">
        <v>0</v>
      </c>
    </row>
    <row r="1275" spans="1:43" x14ac:dyDescent="0.25">
      <c r="A1275">
        <v>1272</v>
      </c>
      <c r="B1275">
        <v>26</v>
      </c>
      <c r="C1275">
        <v>26</v>
      </c>
      <c r="D1275">
        <v>6</v>
      </c>
      <c r="E1275">
        <v>0</v>
      </c>
      <c r="F1275">
        <v>0</v>
      </c>
      <c r="G1275">
        <v>0</v>
      </c>
      <c r="H1275">
        <v>0</v>
      </c>
      <c r="I1275">
        <v>0</v>
      </c>
      <c r="J1275">
        <v>0</v>
      </c>
      <c r="K1275">
        <v>0</v>
      </c>
      <c r="L1275">
        <v>0</v>
      </c>
      <c r="M1275">
        <v>0</v>
      </c>
      <c r="N1275">
        <v>0</v>
      </c>
      <c r="O1275">
        <v>890</v>
      </c>
      <c r="P1275">
        <v>61.644411050000002</v>
      </c>
      <c r="Q1275">
        <v>463</v>
      </c>
      <c r="R1275">
        <v>0.17353654299999999</v>
      </c>
      <c r="S1275">
        <v>3000</v>
      </c>
      <c r="T1275">
        <v>0</v>
      </c>
      <c r="U1275">
        <v>17</v>
      </c>
      <c r="V1275">
        <v>2649</v>
      </c>
      <c r="W1275">
        <v>2311</v>
      </c>
      <c r="X1275">
        <v>676</v>
      </c>
      <c r="Y1275">
        <v>5</v>
      </c>
      <c r="Z1275">
        <v>13</v>
      </c>
      <c r="AA1275">
        <v>1865</v>
      </c>
      <c r="AB1275">
        <v>0</v>
      </c>
      <c r="AC1275">
        <v>5</v>
      </c>
      <c r="AD1275">
        <v>1112</v>
      </c>
      <c r="AE1275">
        <v>0</v>
      </c>
      <c r="AF1275">
        <v>0</v>
      </c>
      <c r="AG1275">
        <v>2</v>
      </c>
      <c r="AH1275">
        <v>0</v>
      </c>
      <c r="AI1275">
        <v>0</v>
      </c>
      <c r="AJ1275">
        <v>0</v>
      </c>
      <c r="AK1275">
        <v>1.03176</v>
      </c>
      <c r="AL1275">
        <v>3</v>
      </c>
      <c r="AM1275">
        <v>0</v>
      </c>
      <c r="AN1275">
        <v>0</v>
      </c>
      <c r="AO1275">
        <v>0</v>
      </c>
      <c r="AP1275">
        <v>0</v>
      </c>
      <c r="AQ1275">
        <v>0</v>
      </c>
    </row>
    <row r="1276" spans="1:43" x14ac:dyDescent="0.25">
      <c r="A1276">
        <v>1273</v>
      </c>
      <c r="B1276">
        <v>26</v>
      </c>
      <c r="C1276">
        <v>26</v>
      </c>
      <c r="D1276">
        <v>6</v>
      </c>
      <c r="E1276">
        <v>1531</v>
      </c>
      <c r="F1276">
        <v>3839</v>
      </c>
      <c r="G1276">
        <v>3857</v>
      </c>
      <c r="H1276">
        <v>1694</v>
      </c>
      <c r="I1276">
        <v>1299</v>
      </c>
      <c r="J1276">
        <v>386</v>
      </c>
      <c r="K1276">
        <v>556</v>
      </c>
      <c r="L1276">
        <v>505</v>
      </c>
      <c r="M1276">
        <v>250</v>
      </c>
      <c r="N1276">
        <v>224</v>
      </c>
      <c r="O1276">
        <v>2115</v>
      </c>
      <c r="P1276">
        <v>327.3494943</v>
      </c>
      <c r="Q1276">
        <v>57.81687324</v>
      </c>
      <c r="R1276">
        <v>0.216258065</v>
      </c>
      <c r="S1276">
        <v>651</v>
      </c>
      <c r="T1276">
        <v>295</v>
      </c>
      <c r="U1276">
        <v>521</v>
      </c>
      <c r="V1276">
        <v>1355</v>
      </c>
      <c r="W1276">
        <v>927</v>
      </c>
      <c r="X1276">
        <v>701</v>
      </c>
      <c r="Y1276">
        <v>138</v>
      </c>
      <c r="Z1276">
        <v>18</v>
      </c>
      <c r="AA1276">
        <v>389</v>
      </c>
      <c r="AB1276">
        <v>0</v>
      </c>
      <c r="AC1276">
        <v>34</v>
      </c>
      <c r="AD1276">
        <v>72</v>
      </c>
      <c r="AE1276">
        <v>0</v>
      </c>
      <c r="AF1276">
        <v>0</v>
      </c>
      <c r="AG1276">
        <v>4</v>
      </c>
      <c r="AH1276">
        <v>420</v>
      </c>
      <c r="AI1276">
        <v>0</v>
      </c>
      <c r="AJ1276">
        <v>0</v>
      </c>
      <c r="AK1276">
        <v>1.23333</v>
      </c>
      <c r="AL1276">
        <v>3</v>
      </c>
      <c r="AM1276">
        <v>0</v>
      </c>
      <c r="AN1276">
        <v>1531</v>
      </c>
      <c r="AO1276">
        <v>18</v>
      </c>
      <c r="AP1276">
        <v>0</v>
      </c>
      <c r="AQ1276">
        <v>0</v>
      </c>
    </row>
    <row r="1277" spans="1:43" x14ac:dyDescent="0.25">
      <c r="A1277">
        <v>1274</v>
      </c>
      <c r="B1277">
        <v>26</v>
      </c>
      <c r="C1277">
        <v>26</v>
      </c>
      <c r="D1277">
        <v>6</v>
      </c>
      <c r="E1277">
        <v>2073</v>
      </c>
      <c r="F1277">
        <v>5838</v>
      </c>
      <c r="G1277">
        <v>5838</v>
      </c>
      <c r="H1277">
        <v>2592</v>
      </c>
      <c r="I1277">
        <v>1197</v>
      </c>
      <c r="J1277">
        <v>988</v>
      </c>
      <c r="K1277">
        <v>631</v>
      </c>
      <c r="L1277">
        <v>793</v>
      </c>
      <c r="M1277">
        <v>436</v>
      </c>
      <c r="N1277">
        <v>199</v>
      </c>
      <c r="O1277">
        <v>625</v>
      </c>
      <c r="P1277">
        <v>342</v>
      </c>
      <c r="Q1277">
        <v>124.60021999999999</v>
      </c>
      <c r="R1277">
        <v>0.178607984</v>
      </c>
      <c r="S1277">
        <v>1598</v>
      </c>
      <c r="T1277">
        <v>367</v>
      </c>
      <c r="U1277">
        <v>1102</v>
      </c>
      <c r="V1277">
        <v>2278</v>
      </c>
      <c r="W1277">
        <v>1141</v>
      </c>
      <c r="X1277">
        <v>851</v>
      </c>
      <c r="Y1277">
        <v>483</v>
      </c>
      <c r="Z1277">
        <v>39</v>
      </c>
      <c r="AA1277">
        <v>867</v>
      </c>
      <c r="AB1277">
        <v>0</v>
      </c>
      <c r="AC1277">
        <v>79</v>
      </c>
      <c r="AD1277">
        <v>130</v>
      </c>
      <c r="AE1277">
        <v>0</v>
      </c>
      <c r="AF1277">
        <v>0</v>
      </c>
      <c r="AG1277">
        <v>4</v>
      </c>
      <c r="AH1277">
        <v>1868</v>
      </c>
      <c r="AI1277">
        <v>0</v>
      </c>
      <c r="AJ1277">
        <v>0</v>
      </c>
      <c r="AK1277">
        <v>1.32355</v>
      </c>
      <c r="AL1277">
        <v>2</v>
      </c>
      <c r="AM1277">
        <v>0</v>
      </c>
      <c r="AN1277">
        <v>2073</v>
      </c>
      <c r="AO1277">
        <v>0</v>
      </c>
      <c r="AP1277">
        <v>0</v>
      </c>
      <c r="AQ1277">
        <v>0</v>
      </c>
    </row>
    <row r="1278" spans="1:43" x14ac:dyDescent="0.25">
      <c r="A1278">
        <v>1275</v>
      </c>
      <c r="B1278">
        <v>26</v>
      </c>
      <c r="C1278">
        <v>26</v>
      </c>
      <c r="D1278">
        <v>6</v>
      </c>
      <c r="E1278">
        <v>1488</v>
      </c>
      <c r="F1278">
        <v>3698</v>
      </c>
      <c r="G1278">
        <v>3698</v>
      </c>
      <c r="H1278">
        <v>1769</v>
      </c>
      <c r="I1278">
        <v>809</v>
      </c>
      <c r="J1278">
        <v>643</v>
      </c>
      <c r="K1278">
        <v>371</v>
      </c>
      <c r="L1278">
        <v>594</v>
      </c>
      <c r="M1278">
        <v>350</v>
      </c>
      <c r="N1278">
        <v>185</v>
      </c>
      <c r="O1278">
        <v>275</v>
      </c>
      <c r="P1278">
        <v>169</v>
      </c>
      <c r="Q1278">
        <v>17</v>
      </c>
      <c r="R1278">
        <v>0.13089281</v>
      </c>
      <c r="S1278">
        <v>320</v>
      </c>
      <c r="T1278">
        <v>206</v>
      </c>
      <c r="U1278">
        <v>725</v>
      </c>
      <c r="V1278">
        <v>1563</v>
      </c>
      <c r="W1278">
        <v>934</v>
      </c>
      <c r="X1278">
        <v>290</v>
      </c>
      <c r="Y1278">
        <v>70</v>
      </c>
      <c r="Z1278">
        <v>18</v>
      </c>
      <c r="AA1278">
        <v>190</v>
      </c>
      <c r="AB1278">
        <v>0</v>
      </c>
      <c r="AC1278">
        <v>13</v>
      </c>
      <c r="AD1278">
        <v>29</v>
      </c>
      <c r="AE1278">
        <v>0</v>
      </c>
      <c r="AF1278">
        <v>0</v>
      </c>
      <c r="AG1278">
        <v>4</v>
      </c>
      <c r="AH1278">
        <v>0</v>
      </c>
      <c r="AI1278">
        <v>0</v>
      </c>
      <c r="AJ1278">
        <v>0</v>
      </c>
      <c r="AK1278">
        <v>1.3976</v>
      </c>
      <c r="AL1278">
        <v>2</v>
      </c>
      <c r="AM1278">
        <v>0</v>
      </c>
      <c r="AN1278">
        <v>1488</v>
      </c>
      <c r="AO1278">
        <v>0</v>
      </c>
      <c r="AP1278">
        <v>0</v>
      </c>
      <c r="AQ1278">
        <v>0</v>
      </c>
    </row>
    <row r="1279" spans="1:43" x14ac:dyDescent="0.25">
      <c r="A1279">
        <v>1276</v>
      </c>
      <c r="B1279">
        <v>26</v>
      </c>
      <c r="C1279">
        <v>26</v>
      </c>
      <c r="D1279">
        <v>6</v>
      </c>
      <c r="E1279">
        <v>1263</v>
      </c>
      <c r="F1279">
        <v>3632</v>
      </c>
      <c r="G1279">
        <v>3632</v>
      </c>
      <c r="H1279">
        <v>1794</v>
      </c>
      <c r="I1279">
        <v>789</v>
      </c>
      <c r="J1279">
        <v>434</v>
      </c>
      <c r="K1279">
        <v>194</v>
      </c>
      <c r="L1279">
        <v>491</v>
      </c>
      <c r="M1279">
        <v>430</v>
      </c>
      <c r="N1279">
        <v>138</v>
      </c>
      <c r="O1279">
        <v>267</v>
      </c>
      <c r="P1279">
        <v>160.4812311</v>
      </c>
      <c r="Q1279">
        <v>17</v>
      </c>
      <c r="R1279">
        <v>0.149676375</v>
      </c>
      <c r="S1279">
        <v>555</v>
      </c>
      <c r="T1279">
        <v>124</v>
      </c>
      <c r="U1279">
        <v>828</v>
      </c>
      <c r="V1279">
        <v>1369</v>
      </c>
      <c r="W1279">
        <v>864</v>
      </c>
      <c r="X1279">
        <v>435</v>
      </c>
      <c r="Y1279">
        <v>123</v>
      </c>
      <c r="Z1279">
        <v>31</v>
      </c>
      <c r="AA1279">
        <v>338</v>
      </c>
      <c r="AB1279">
        <v>0</v>
      </c>
      <c r="AC1279">
        <v>20</v>
      </c>
      <c r="AD1279">
        <v>43</v>
      </c>
      <c r="AE1279">
        <v>0</v>
      </c>
      <c r="AF1279">
        <v>0</v>
      </c>
      <c r="AG1279">
        <v>4</v>
      </c>
      <c r="AH1279">
        <v>0</v>
      </c>
      <c r="AI1279">
        <v>0</v>
      </c>
      <c r="AJ1279">
        <v>0</v>
      </c>
      <c r="AK1279">
        <v>1.38836</v>
      </c>
      <c r="AL1279">
        <v>3</v>
      </c>
      <c r="AM1279">
        <v>0</v>
      </c>
      <c r="AN1279">
        <v>1263</v>
      </c>
      <c r="AO1279">
        <v>0</v>
      </c>
      <c r="AP1279">
        <v>0</v>
      </c>
      <c r="AQ1279">
        <v>0</v>
      </c>
    </row>
    <row r="1280" spans="1:43" x14ac:dyDescent="0.25">
      <c r="A1280">
        <v>1277</v>
      </c>
      <c r="B1280">
        <v>26</v>
      </c>
      <c r="C1280">
        <v>26</v>
      </c>
      <c r="D1280">
        <v>6</v>
      </c>
      <c r="E1280">
        <v>1801</v>
      </c>
      <c r="F1280">
        <v>5209</v>
      </c>
      <c r="G1280">
        <v>5219</v>
      </c>
      <c r="H1280">
        <v>2347</v>
      </c>
      <c r="I1280">
        <v>1672</v>
      </c>
      <c r="J1280">
        <v>145</v>
      </c>
      <c r="K1280">
        <v>252</v>
      </c>
      <c r="L1280">
        <v>534</v>
      </c>
      <c r="M1280">
        <v>636</v>
      </c>
      <c r="N1280">
        <v>365</v>
      </c>
      <c r="O1280">
        <v>430</v>
      </c>
      <c r="P1280">
        <v>276</v>
      </c>
      <c r="Q1280">
        <v>14</v>
      </c>
      <c r="R1280">
        <v>0.16310945800000001</v>
      </c>
      <c r="S1280">
        <v>308</v>
      </c>
      <c r="T1280">
        <v>338</v>
      </c>
      <c r="U1280">
        <v>931</v>
      </c>
      <c r="V1280">
        <v>1690</v>
      </c>
      <c r="W1280">
        <v>1368</v>
      </c>
      <c r="X1280">
        <v>669</v>
      </c>
      <c r="Y1280">
        <v>27</v>
      </c>
      <c r="Z1280">
        <v>27</v>
      </c>
      <c r="AA1280">
        <v>192</v>
      </c>
      <c r="AB1280">
        <v>0</v>
      </c>
      <c r="AC1280">
        <v>12</v>
      </c>
      <c r="AD1280">
        <v>50</v>
      </c>
      <c r="AE1280">
        <v>0</v>
      </c>
      <c r="AF1280">
        <v>0</v>
      </c>
      <c r="AG1280">
        <v>4</v>
      </c>
      <c r="AH1280">
        <v>0</v>
      </c>
      <c r="AI1280">
        <v>0</v>
      </c>
      <c r="AJ1280">
        <v>0</v>
      </c>
      <c r="AK1280">
        <v>1.29155</v>
      </c>
      <c r="AL1280">
        <v>3</v>
      </c>
      <c r="AM1280">
        <v>0</v>
      </c>
      <c r="AN1280">
        <v>1801</v>
      </c>
      <c r="AO1280">
        <v>10</v>
      </c>
      <c r="AP1280">
        <v>0</v>
      </c>
      <c r="AQ1280">
        <v>0</v>
      </c>
    </row>
    <row r="1281" spans="1:43" x14ac:dyDescent="0.25">
      <c r="A1281">
        <v>1278</v>
      </c>
      <c r="B1281">
        <v>26</v>
      </c>
      <c r="C1281">
        <v>26</v>
      </c>
      <c r="D1281">
        <v>6</v>
      </c>
      <c r="E1281">
        <v>1596</v>
      </c>
      <c r="F1281">
        <v>4995</v>
      </c>
      <c r="G1281">
        <v>4995</v>
      </c>
      <c r="H1281">
        <v>2523</v>
      </c>
      <c r="I1281">
        <v>1524</v>
      </c>
      <c r="J1281">
        <v>0</v>
      </c>
      <c r="K1281">
        <v>177</v>
      </c>
      <c r="L1281">
        <v>419</v>
      </c>
      <c r="M1281">
        <v>499</v>
      </c>
      <c r="N1281">
        <v>494</v>
      </c>
      <c r="O1281">
        <v>1390</v>
      </c>
      <c r="P1281">
        <v>617.26515910000001</v>
      </c>
      <c r="Q1281">
        <v>182.08115900000001</v>
      </c>
      <c r="R1281">
        <v>0.13680078500000001</v>
      </c>
      <c r="S1281">
        <v>359</v>
      </c>
      <c r="T1281">
        <v>308</v>
      </c>
      <c r="U1281">
        <v>1074</v>
      </c>
      <c r="V1281">
        <v>1939</v>
      </c>
      <c r="W1281">
        <v>1213</v>
      </c>
      <c r="X1281">
        <v>442</v>
      </c>
      <c r="Y1281">
        <v>94</v>
      </c>
      <c r="Z1281">
        <v>7</v>
      </c>
      <c r="AA1281">
        <v>222</v>
      </c>
      <c r="AB1281">
        <v>0</v>
      </c>
      <c r="AC1281">
        <v>2</v>
      </c>
      <c r="AD1281">
        <v>34</v>
      </c>
      <c r="AE1281">
        <v>0</v>
      </c>
      <c r="AF1281">
        <v>0</v>
      </c>
      <c r="AG1281">
        <v>4</v>
      </c>
      <c r="AH1281">
        <v>0</v>
      </c>
      <c r="AI1281">
        <v>0</v>
      </c>
      <c r="AJ1281">
        <v>0</v>
      </c>
      <c r="AK1281">
        <v>1.11683</v>
      </c>
      <c r="AL1281">
        <v>3</v>
      </c>
      <c r="AM1281">
        <v>0</v>
      </c>
      <c r="AN1281">
        <v>1596</v>
      </c>
      <c r="AO1281">
        <v>0</v>
      </c>
      <c r="AP1281">
        <v>0</v>
      </c>
      <c r="AQ1281">
        <v>0</v>
      </c>
    </row>
    <row r="1282" spans="1:43" x14ac:dyDescent="0.25">
      <c r="A1282">
        <v>1279</v>
      </c>
      <c r="B1282">
        <v>26</v>
      </c>
      <c r="C1282">
        <v>26</v>
      </c>
      <c r="D1282">
        <v>6</v>
      </c>
      <c r="E1282">
        <v>3427</v>
      </c>
      <c r="F1282">
        <v>9561</v>
      </c>
      <c r="G1282">
        <v>9587</v>
      </c>
      <c r="H1282">
        <v>4442</v>
      </c>
      <c r="I1282">
        <v>2723</v>
      </c>
      <c r="J1282">
        <v>733</v>
      </c>
      <c r="K1282">
        <v>564</v>
      </c>
      <c r="L1282">
        <v>982</v>
      </c>
      <c r="M1282">
        <v>998</v>
      </c>
      <c r="N1282">
        <v>873</v>
      </c>
      <c r="O1282">
        <v>13849</v>
      </c>
      <c r="P1282">
        <v>5278.4181019999996</v>
      </c>
      <c r="Q1282">
        <v>914.48469929999999</v>
      </c>
      <c r="R1282">
        <v>0.162243151</v>
      </c>
      <c r="S1282">
        <v>7636</v>
      </c>
      <c r="T1282">
        <v>748</v>
      </c>
      <c r="U1282">
        <v>1663</v>
      </c>
      <c r="V1282">
        <v>3284</v>
      </c>
      <c r="W1282">
        <v>2213</v>
      </c>
      <c r="X1282">
        <v>1228</v>
      </c>
      <c r="Y1282">
        <v>497</v>
      </c>
      <c r="Z1282">
        <v>66</v>
      </c>
      <c r="AA1282">
        <v>2447</v>
      </c>
      <c r="AB1282">
        <v>105</v>
      </c>
      <c r="AC1282">
        <v>2762</v>
      </c>
      <c r="AD1282">
        <v>1759</v>
      </c>
      <c r="AE1282">
        <v>0</v>
      </c>
      <c r="AF1282">
        <v>0</v>
      </c>
      <c r="AG1282">
        <v>5</v>
      </c>
      <c r="AH1282">
        <v>0</v>
      </c>
      <c r="AI1282">
        <v>418</v>
      </c>
      <c r="AJ1282">
        <v>0</v>
      </c>
      <c r="AK1282">
        <v>1.04796</v>
      </c>
      <c r="AL1282">
        <v>3</v>
      </c>
      <c r="AM1282">
        <v>0</v>
      </c>
      <c r="AN1282">
        <v>3427</v>
      </c>
      <c r="AO1282">
        <v>26</v>
      </c>
      <c r="AP1282">
        <v>0</v>
      </c>
      <c r="AQ1282">
        <v>0</v>
      </c>
    </row>
    <row r="1283" spans="1:43" x14ac:dyDescent="0.25">
      <c r="A1283">
        <v>1280</v>
      </c>
      <c r="B1283">
        <v>26</v>
      </c>
      <c r="C1283">
        <v>26</v>
      </c>
      <c r="D1283">
        <v>6</v>
      </c>
      <c r="E1283">
        <v>4625</v>
      </c>
      <c r="F1283">
        <v>10783</v>
      </c>
      <c r="G1283">
        <v>10783</v>
      </c>
      <c r="H1283">
        <v>4918</v>
      </c>
      <c r="I1283">
        <v>3851</v>
      </c>
      <c r="J1283">
        <v>918</v>
      </c>
      <c r="K1283">
        <v>1156</v>
      </c>
      <c r="L1283">
        <v>1227</v>
      </c>
      <c r="M1283">
        <v>1201</v>
      </c>
      <c r="N1283">
        <v>1027</v>
      </c>
      <c r="O1283">
        <v>1678</v>
      </c>
      <c r="P1283">
        <v>760.49158639999996</v>
      </c>
      <c r="Q1283">
        <v>303.74959380000001</v>
      </c>
      <c r="R1283">
        <v>0.38558891499999998</v>
      </c>
      <c r="S1283">
        <v>5124</v>
      </c>
      <c r="T1283">
        <v>327</v>
      </c>
      <c r="U1283">
        <v>1350</v>
      </c>
      <c r="V1283">
        <v>2941</v>
      </c>
      <c r="W1283">
        <v>2575</v>
      </c>
      <c r="X1283">
        <v>3401</v>
      </c>
      <c r="Y1283">
        <v>2077</v>
      </c>
      <c r="Z1283">
        <v>61</v>
      </c>
      <c r="AA1283">
        <v>2646</v>
      </c>
      <c r="AB1283">
        <v>9</v>
      </c>
      <c r="AC1283">
        <v>160</v>
      </c>
      <c r="AD1283">
        <v>171</v>
      </c>
      <c r="AE1283">
        <v>0</v>
      </c>
      <c r="AF1283">
        <v>0</v>
      </c>
      <c r="AG1283">
        <v>4</v>
      </c>
      <c r="AH1283">
        <v>0</v>
      </c>
      <c r="AI1283">
        <v>336</v>
      </c>
      <c r="AJ1283">
        <v>0</v>
      </c>
      <c r="AK1283">
        <v>1.3269200000000001</v>
      </c>
      <c r="AL1283">
        <v>3</v>
      </c>
      <c r="AM1283">
        <v>0</v>
      </c>
      <c r="AN1283">
        <v>4625</v>
      </c>
      <c r="AO1283">
        <v>0</v>
      </c>
      <c r="AP1283">
        <v>0</v>
      </c>
      <c r="AQ1283">
        <v>0</v>
      </c>
    </row>
    <row r="1284" spans="1:43" x14ac:dyDescent="0.25">
      <c r="A1284">
        <v>1281</v>
      </c>
      <c r="B1284">
        <v>26</v>
      </c>
      <c r="C1284">
        <v>26</v>
      </c>
      <c r="D1284">
        <v>6</v>
      </c>
      <c r="E1284">
        <v>2706</v>
      </c>
      <c r="F1284">
        <v>7179</v>
      </c>
      <c r="G1284">
        <v>7179</v>
      </c>
      <c r="H1284">
        <v>3750</v>
      </c>
      <c r="I1284">
        <v>1172</v>
      </c>
      <c r="J1284">
        <v>1519</v>
      </c>
      <c r="K1284">
        <v>527</v>
      </c>
      <c r="L1284">
        <v>1140</v>
      </c>
      <c r="M1284">
        <v>728</v>
      </c>
      <c r="N1284">
        <v>320</v>
      </c>
      <c r="O1284">
        <v>612</v>
      </c>
      <c r="P1284">
        <v>226</v>
      </c>
      <c r="Q1284">
        <v>137.40651769999999</v>
      </c>
      <c r="R1284">
        <v>0.11528751800000001</v>
      </c>
      <c r="S1284">
        <v>1525</v>
      </c>
      <c r="T1284">
        <v>476</v>
      </c>
      <c r="U1284">
        <v>1311</v>
      </c>
      <c r="V1284">
        <v>3383</v>
      </c>
      <c r="W1284">
        <v>1222</v>
      </c>
      <c r="X1284">
        <v>590</v>
      </c>
      <c r="Y1284">
        <v>514</v>
      </c>
      <c r="Z1284">
        <v>45</v>
      </c>
      <c r="AA1284">
        <v>705</v>
      </c>
      <c r="AB1284">
        <v>0</v>
      </c>
      <c r="AC1284">
        <v>179</v>
      </c>
      <c r="AD1284">
        <v>82</v>
      </c>
      <c r="AE1284">
        <v>0</v>
      </c>
      <c r="AF1284">
        <v>0</v>
      </c>
      <c r="AG1284">
        <v>4</v>
      </c>
      <c r="AH1284">
        <v>0</v>
      </c>
      <c r="AI1284">
        <v>0</v>
      </c>
      <c r="AJ1284">
        <v>0</v>
      </c>
      <c r="AK1284">
        <v>1.4834099999999999</v>
      </c>
      <c r="AL1284">
        <v>2</v>
      </c>
      <c r="AM1284">
        <v>0</v>
      </c>
      <c r="AN1284">
        <v>2706</v>
      </c>
      <c r="AO1284">
        <v>0</v>
      </c>
      <c r="AP1284">
        <v>0</v>
      </c>
      <c r="AQ1284">
        <v>0</v>
      </c>
    </row>
    <row r="1285" spans="1:43" x14ac:dyDescent="0.25">
      <c r="A1285">
        <v>1282</v>
      </c>
      <c r="B1285">
        <v>26</v>
      </c>
      <c r="C1285">
        <v>26</v>
      </c>
      <c r="D1285">
        <v>6</v>
      </c>
      <c r="E1285">
        <v>4875</v>
      </c>
      <c r="F1285">
        <v>14719</v>
      </c>
      <c r="G1285">
        <v>14795</v>
      </c>
      <c r="H1285">
        <v>6596</v>
      </c>
      <c r="I1285">
        <v>3673</v>
      </c>
      <c r="J1285">
        <v>1014</v>
      </c>
      <c r="K1285">
        <v>1106</v>
      </c>
      <c r="L1285">
        <v>1121</v>
      </c>
      <c r="M1285">
        <v>1264</v>
      </c>
      <c r="N1285">
        <v>1395</v>
      </c>
      <c r="O1285">
        <v>2907</v>
      </c>
      <c r="P1285">
        <v>1441.629046</v>
      </c>
      <c r="Q1285">
        <v>244.62983009999999</v>
      </c>
      <c r="R1285">
        <v>0.147967706</v>
      </c>
      <c r="S1285">
        <v>3223</v>
      </c>
      <c r="T1285">
        <v>727</v>
      </c>
      <c r="U1285">
        <v>3197</v>
      </c>
      <c r="V1285">
        <v>4565</v>
      </c>
      <c r="W1285">
        <v>3901</v>
      </c>
      <c r="X1285">
        <v>1643</v>
      </c>
      <c r="Y1285">
        <v>573</v>
      </c>
      <c r="Z1285">
        <v>60</v>
      </c>
      <c r="AA1285">
        <v>1466</v>
      </c>
      <c r="AB1285">
        <v>5</v>
      </c>
      <c r="AC1285">
        <v>132</v>
      </c>
      <c r="AD1285">
        <v>987</v>
      </c>
      <c r="AE1285">
        <v>0</v>
      </c>
      <c r="AF1285">
        <v>0</v>
      </c>
      <c r="AG1285">
        <v>4</v>
      </c>
      <c r="AH1285">
        <v>6</v>
      </c>
      <c r="AI1285">
        <v>0</v>
      </c>
      <c r="AJ1285">
        <v>0</v>
      </c>
      <c r="AK1285">
        <v>1.1545399999999999</v>
      </c>
      <c r="AL1285">
        <v>1</v>
      </c>
      <c r="AM1285">
        <v>0</v>
      </c>
      <c r="AN1285">
        <v>4875</v>
      </c>
      <c r="AO1285">
        <v>76</v>
      </c>
      <c r="AP1285">
        <v>0</v>
      </c>
      <c r="AQ1285">
        <v>0</v>
      </c>
    </row>
    <row r="1286" spans="1:43" x14ac:dyDescent="0.25">
      <c r="A1286">
        <v>1283</v>
      </c>
      <c r="B1286">
        <v>26</v>
      </c>
      <c r="C1286">
        <v>26</v>
      </c>
      <c r="D1286">
        <v>6</v>
      </c>
      <c r="E1286">
        <v>1453</v>
      </c>
      <c r="F1286">
        <v>3868</v>
      </c>
      <c r="G1286">
        <v>3868</v>
      </c>
      <c r="H1286">
        <v>1644</v>
      </c>
      <c r="I1286">
        <v>1179</v>
      </c>
      <c r="J1286">
        <v>292</v>
      </c>
      <c r="K1286">
        <v>489</v>
      </c>
      <c r="L1286">
        <v>452</v>
      </c>
      <c r="M1286">
        <v>358</v>
      </c>
      <c r="N1286">
        <v>147</v>
      </c>
      <c r="O1286">
        <v>457</v>
      </c>
      <c r="P1286">
        <v>238.76742150000001</v>
      </c>
      <c r="Q1286">
        <v>84</v>
      </c>
      <c r="R1286">
        <v>0.182304946</v>
      </c>
      <c r="S1286">
        <v>925</v>
      </c>
      <c r="T1286">
        <v>288</v>
      </c>
      <c r="U1286">
        <v>896</v>
      </c>
      <c r="V1286">
        <v>1299</v>
      </c>
      <c r="W1286">
        <v>831</v>
      </c>
      <c r="X1286">
        <v>540</v>
      </c>
      <c r="Y1286">
        <v>45</v>
      </c>
      <c r="Z1286">
        <v>34</v>
      </c>
      <c r="AA1286">
        <v>768</v>
      </c>
      <c r="AB1286">
        <v>0</v>
      </c>
      <c r="AC1286">
        <v>19</v>
      </c>
      <c r="AD1286">
        <v>59</v>
      </c>
      <c r="AE1286">
        <v>0</v>
      </c>
      <c r="AF1286">
        <v>0</v>
      </c>
      <c r="AG1286">
        <v>3</v>
      </c>
      <c r="AH1286">
        <v>2518</v>
      </c>
      <c r="AI1286">
        <v>0</v>
      </c>
      <c r="AJ1286">
        <v>0</v>
      </c>
      <c r="AK1286">
        <v>1.3610100000000001</v>
      </c>
      <c r="AL1286">
        <v>3</v>
      </c>
      <c r="AM1286">
        <v>0</v>
      </c>
      <c r="AN1286">
        <v>1453</v>
      </c>
      <c r="AO1286">
        <v>0</v>
      </c>
      <c r="AP1286">
        <v>0</v>
      </c>
      <c r="AQ1286">
        <v>0</v>
      </c>
    </row>
    <row r="1287" spans="1:43" x14ac:dyDescent="0.25">
      <c r="A1287">
        <v>1284</v>
      </c>
      <c r="B1287">
        <v>26</v>
      </c>
      <c r="C1287">
        <v>26</v>
      </c>
      <c r="D1287">
        <v>6</v>
      </c>
      <c r="E1287">
        <v>1942</v>
      </c>
      <c r="F1287">
        <v>5216</v>
      </c>
      <c r="G1287">
        <v>5239</v>
      </c>
      <c r="H1287">
        <v>2304</v>
      </c>
      <c r="I1287">
        <v>1880</v>
      </c>
      <c r="J1287">
        <v>265</v>
      </c>
      <c r="K1287">
        <v>451</v>
      </c>
      <c r="L1287">
        <v>517</v>
      </c>
      <c r="M1287">
        <v>511</v>
      </c>
      <c r="N1287">
        <v>464</v>
      </c>
      <c r="O1287">
        <v>1511</v>
      </c>
      <c r="P1287">
        <v>464.28198200000003</v>
      </c>
      <c r="Q1287">
        <v>161.49495160000001</v>
      </c>
      <c r="R1287">
        <v>0.250387898</v>
      </c>
      <c r="S1287">
        <v>3858</v>
      </c>
      <c r="T1287">
        <v>175</v>
      </c>
      <c r="U1287">
        <v>920</v>
      </c>
      <c r="V1287">
        <v>1678</v>
      </c>
      <c r="W1287">
        <v>1240</v>
      </c>
      <c r="X1287">
        <v>1052</v>
      </c>
      <c r="Y1287">
        <v>477</v>
      </c>
      <c r="Z1287">
        <v>207</v>
      </c>
      <c r="AA1287">
        <v>1849</v>
      </c>
      <c r="AB1287">
        <v>0</v>
      </c>
      <c r="AC1287">
        <v>216</v>
      </c>
      <c r="AD1287">
        <v>1109</v>
      </c>
      <c r="AE1287">
        <v>0</v>
      </c>
      <c r="AF1287">
        <v>0</v>
      </c>
      <c r="AG1287">
        <v>4</v>
      </c>
      <c r="AH1287">
        <v>65</v>
      </c>
      <c r="AI1287">
        <v>0</v>
      </c>
      <c r="AJ1287">
        <v>0</v>
      </c>
      <c r="AK1287">
        <v>1.41116</v>
      </c>
      <c r="AL1287">
        <v>1</v>
      </c>
      <c r="AM1287">
        <v>0</v>
      </c>
      <c r="AN1287">
        <v>1942</v>
      </c>
      <c r="AO1287">
        <v>23</v>
      </c>
      <c r="AP1287">
        <v>0</v>
      </c>
      <c r="AQ1287">
        <v>0</v>
      </c>
    </row>
    <row r="1288" spans="1:43" x14ac:dyDescent="0.25">
      <c r="A1288">
        <v>1285</v>
      </c>
      <c r="B1288">
        <v>26</v>
      </c>
      <c r="C1288">
        <v>26</v>
      </c>
      <c r="D1288">
        <v>6</v>
      </c>
      <c r="E1288">
        <v>1921</v>
      </c>
      <c r="F1288">
        <v>5312</v>
      </c>
      <c r="G1288">
        <v>5312</v>
      </c>
      <c r="H1288">
        <v>2109</v>
      </c>
      <c r="I1288">
        <v>1874</v>
      </c>
      <c r="J1288">
        <v>14</v>
      </c>
      <c r="K1288">
        <v>277</v>
      </c>
      <c r="L1288">
        <v>441</v>
      </c>
      <c r="M1288">
        <v>514</v>
      </c>
      <c r="N1288">
        <v>683</v>
      </c>
      <c r="O1288">
        <v>1246</v>
      </c>
      <c r="P1288">
        <v>504.5159999</v>
      </c>
      <c r="Q1288">
        <v>61</v>
      </c>
      <c r="R1288">
        <v>0.28240917799999998</v>
      </c>
      <c r="S1288">
        <v>431</v>
      </c>
      <c r="T1288">
        <v>269</v>
      </c>
      <c r="U1288">
        <v>1111</v>
      </c>
      <c r="V1288">
        <v>1194</v>
      </c>
      <c r="W1288">
        <v>1280</v>
      </c>
      <c r="X1288">
        <v>1262</v>
      </c>
      <c r="Y1288">
        <v>18</v>
      </c>
      <c r="Z1288">
        <v>37</v>
      </c>
      <c r="AA1288">
        <v>293</v>
      </c>
      <c r="AB1288">
        <v>0</v>
      </c>
      <c r="AC1288">
        <v>14</v>
      </c>
      <c r="AD1288">
        <v>69</v>
      </c>
      <c r="AE1288">
        <v>0</v>
      </c>
      <c r="AF1288">
        <v>0</v>
      </c>
      <c r="AG1288">
        <v>3</v>
      </c>
      <c r="AH1288">
        <v>0</v>
      </c>
      <c r="AI1288">
        <v>0</v>
      </c>
      <c r="AJ1288">
        <v>0</v>
      </c>
      <c r="AK1288">
        <v>1.0873900000000001</v>
      </c>
      <c r="AL1288">
        <v>2</v>
      </c>
      <c r="AM1288">
        <v>0</v>
      </c>
      <c r="AN1288">
        <v>1921</v>
      </c>
      <c r="AO1288">
        <v>0</v>
      </c>
      <c r="AP1288">
        <v>0</v>
      </c>
      <c r="AQ1288">
        <v>0</v>
      </c>
    </row>
    <row r="1289" spans="1:43" x14ac:dyDescent="0.25">
      <c r="A1289">
        <v>1286</v>
      </c>
      <c r="B1289">
        <v>26</v>
      </c>
      <c r="C1289">
        <v>26</v>
      </c>
      <c r="D1289">
        <v>6</v>
      </c>
      <c r="E1289">
        <v>1782</v>
      </c>
      <c r="F1289">
        <v>4486</v>
      </c>
      <c r="G1289">
        <v>4492</v>
      </c>
      <c r="H1289">
        <v>1918</v>
      </c>
      <c r="I1289">
        <v>1860</v>
      </c>
      <c r="J1289">
        <v>44</v>
      </c>
      <c r="K1289">
        <v>265</v>
      </c>
      <c r="L1289">
        <v>541</v>
      </c>
      <c r="M1289">
        <v>401</v>
      </c>
      <c r="N1289">
        <v>567</v>
      </c>
      <c r="O1289">
        <v>56212</v>
      </c>
      <c r="P1289">
        <v>10750.50719</v>
      </c>
      <c r="Q1289">
        <v>96</v>
      </c>
      <c r="R1289">
        <v>0.350383632</v>
      </c>
      <c r="S1289">
        <v>1038</v>
      </c>
      <c r="T1289">
        <v>153</v>
      </c>
      <c r="U1289">
        <v>664</v>
      </c>
      <c r="V1289">
        <v>953</v>
      </c>
      <c r="W1289">
        <v>1448</v>
      </c>
      <c r="X1289">
        <v>1399</v>
      </c>
      <c r="Y1289">
        <v>22</v>
      </c>
      <c r="Z1289">
        <v>34</v>
      </c>
      <c r="AA1289">
        <v>122</v>
      </c>
      <c r="AB1289">
        <v>516</v>
      </c>
      <c r="AC1289">
        <v>32</v>
      </c>
      <c r="AD1289">
        <v>312</v>
      </c>
      <c r="AE1289">
        <v>0</v>
      </c>
      <c r="AF1289">
        <v>0</v>
      </c>
      <c r="AG1289">
        <v>4</v>
      </c>
      <c r="AH1289">
        <v>0</v>
      </c>
      <c r="AI1289">
        <v>0</v>
      </c>
      <c r="AJ1289">
        <v>0</v>
      </c>
      <c r="AK1289">
        <v>0.90666999999999998</v>
      </c>
      <c r="AL1289">
        <v>1</v>
      </c>
      <c r="AM1289">
        <v>0</v>
      </c>
      <c r="AN1289">
        <v>1782</v>
      </c>
      <c r="AO1289">
        <v>6</v>
      </c>
      <c r="AP1289">
        <v>0</v>
      </c>
      <c r="AQ1289">
        <v>0</v>
      </c>
    </row>
    <row r="1290" spans="1:43" x14ac:dyDescent="0.25">
      <c r="A1290">
        <v>1287</v>
      </c>
      <c r="B1290">
        <v>26</v>
      </c>
      <c r="C1290">
        <v>26</v>
      </c>
      <c r="D1290">
        <v>6</v>
      </c>
      <c r="E1290">
        <v>445</v>
      </c>
      <c r="F1290">
        <v>1200</v>
      </c>
      <c r="G1290">
        <v>1201</v>
      </c>
      <c r="H1290">
        <v>487</v>
      </c>
      <c r="I1290">
        <v>469</v>
      </c>
      <c r="J1290">
        <v>3</v>
      </c>
      <c r="K1290">
        <v>100</v>
      </c>
      <c r="L1290">
        <v>163</v>
      </c>
      <c r="M1290">
        <v>57</v>
      </c>
      <c r="N1290">
        <v>120</v>
      </c>
      <c r="O1290">
        <v>109722</v>
      </c>
      <c r="P1290">
        <v>2680.4396769999998</v>
      </c>
      <c r="Q1290">
        <v>3460</v>
      </c>
      <c r="R1290">
        <v>0.24224137900000001</v>
      </c>
      <c r="S1290">
        <v>893</v>
      </c>
      <c r="T1290">
        <v>94</v>
      </c>
      <c r="U1290">
        <v>173</v>
      </c>
      <c r="V1290">
        <v>287</v>
      </c>
      <c r="W1290">
        <v>366</v>
      </c>
      <c r="X1290">
        <v>215</v>
      </c>
      <c r="Y1290">
        <v>108</v>
      </c>
      <c r="Z1290">
        <v>61</v>
      </c>
      <c r="AA1290">
        <v>145</v>
      </c>
      <c r="AB1290">
        <v>260</v>
      </c>
      <c r="AC1290">
        <v>189</v>
      </c>
      <c r="AD1290">
        <v>130</v>
      </c>
      <c r="AE1290">
        <v>0</v>
      </c>
      <c r="AF1290">
        <v>0</v>
      </c>
      <c r="AG1290">
        <v>5</v>
      </c>
      <c r="AH1290">
        <v>65</v>
      </c>
      <c r="AI1290">
        <v>0</v>
      </c>
      <c r="AJ1290">
        <v>0</v>
      </c>
      <c r="AK1290">
        <v>0.91727000000000003</v>
      </c>
      <c r="AL1290">
        <v>3</v>
      </c>
      <c r="AM1290">
        <v>0</v>
      </c>
      <c r="AN1290">
        <v>445</v>
      </c>
      <c r="AO1290">
        <v>1</v>
      </c>
      <c r="AP1290">
        <v>0</v>
      </c>
      <c r="AQ1290">
        <v>0</v>
      </c>
    </row>
    <row r="1291" spans="1:43" x14ac:dyDescent="0.25">
      <c r="A1291">
        <v>1288</v>
      </c>
      <c r="B1291">
        <v>26</v>
      </c>
      <c r="C1291">
        <v>26</v>
      </c>
      <c r="D1291">
        <v>6</v>
      </c>
      <c r="E1291">
        <v>3949</v>
      </c>
      <c r="F1291">
        <v>12386</v>
      </c>
      <c r="G1291">
        <v>12390</v>
      </c>
      <c r="H1291">
        <v>5883</v>
      </c>
      <c r="I1291">
        <v>2847</v>
      </c>
      <c r="J1291">
        <v>1008</v>
      </c>
      <c r="K1291">
        <v>865</v>
      </c>
      <c r="L1291">
        <v>1383</v>
      </c>
      <c r="M1291">
        <v>1194</v>
      </c>
      <c r="N1291">
        <v>490</v>
      </c>
      <c r="O1291">
        <v>2502</v>
      </c>
      <c r="P1291">
        <v>785.25201230000005</v>
      </c>
      <c r="Q1291">
        <v>126</v>
      </c>
      <c r="R1291">
        <v>0.150739332</v>
      </c>
      <c r="S1291">
        <v>1650</v>
      </c>
      <c r="T1291">
        <v>814</v>
      </c>
      <c r="U1291">
        <v>2651</v>
      </c>
      <c r="V1291">
        <v>4205</v>
      </c>
      <c r="W1291">
        <v>2593</v>
      </c>
      <c r="X1291">
        <v>1352</v>
      </c>
      <c r="Y1291">
        <v>371</v>
      </c>
      <c r="Z1291">
        <v>29</v>
      </c>
      <c r="AA1291">
        <v>761</v>
      </c>
      <c r="AB1291">
        <v>179</v>
      </c>
      <c r="AC1291">
        <v>66</v>
      </c>
      <c r="AD1291">
        <v>244</v>
      </c>
      <c r="AE1291">
        <v>0</v>
      </c>
      <c r="AF1291">
        <v>0</v>
      </c>
      <c r="AG1291">
        <v>4</v>
      </c>
      <c r="AH1291">
        <v>48</v>
      </c>
      <c r="AI1291">
        <v>0</v>
      </c>
      <c r="AJ1291">
        <v>0</v>
      </c>
      <c r="AK1291">
        <v>1.2105600000000001</v>
      </c>
      <c r="AL1291">
        <v>3</v>
      </c>
      <c r="AM1291">
        <v>0</v>
      </c>
      <c r="AN1291">
        <v>3949</v>
      </c>
      <c r="AO1291">
        <v>4</v>
      </c>
      <c r="AP1291">
        <v>0</v>
      </c>
      <c r="AQ1291">
        <v>0</v>
      </c>
    </row>
    <row r="1292" spans="1:43" x14ac:dyDescent="0.25">
      <c r="A1292">
        <v>1289</v>
      </c>
      <c r="B1292">
        <v>26</v>
      </c>
      <c r="C1292">
        <v>26</v>
      </c>
      <c r="D1292">
        <v>6</v>
      </c>
      <c r="E1292">
        <v>3117</v>
      </c>
      <c r="F1292">
        <v>9393</v>
      </c>
      <c r="G1292">
        <v>9393</v>
      </c>
      <c r="H1292">
        <v>4289</v>
      </c>
      <c r="I1292">
        <v>2418</v>
      </c>
      <c r="J1292">
        <v>673</v>
      </c>
      <c r="K1292">
        <v>888</v>
      </c>
      <c r="L1292">
        <v>985</v>
      </c>
      <c r="M1292">
        <v>629</v>
      </c>
      <c r="N1292">
        <v>608</v>
      </c>
      <c r="O1292">
        <v>4140</v>
      </c>
      <c r="P1292">
        <v>490.89849670000001</v>
      </c>
      <c r="Q1292">
        <v>505.14117659999999</v>
      </c>
      <c r="R1292">
        <v>0.16892365200000001</v>
      </c>
      <c r="S1292">
        <v>3554</v>
      </c>
      <c r="T1292">
        <v>519</v>
      </c>
      <c r="U1292">
        <v>1864</v>
      </c>
      <c r="V1292">
        <v>2837</v>
      </c>
      <c r="W1292">
        <v>1989</v>
      </c>
      <c r="X1292">
        <v>1174</v>
      </c>
      <c r="Y1292">
        <v>601</v>
      </c>
      <c r="Z1292">
        <v>70</v>
      </c>
      <c r="AA1292">
        <v>1199</v>
      </c>
      <c r="AB1292">
        <v>72</v>
      </c>
      <c r="AC1292">
        <v>1203</v>
      </c>
      <c r="AD1292">
        <v>409</v>
      </c>
      <c r="AE1292">
        <v>0</v>
      </c>
      <c r="AF1292">
        <v>0</v>
      </c>
      <c r="AG1292">
        <v>4</v>
      </c>
      <c r="AH1292">
        <v>1016</v>
      </c>
      <c r="AI1292">
        <v>0</v>
      </c>
      <c r="AJ1292">
        <v>0</v>
      </c>
      <c r="AK1292">
        <v>1.1868000000000001</v>
      </c>
      <c r="AL1292">
        <v>3</v>
      </c>
      <c r="AM1292">
        <v>0</v>
      </c>
      <c r="AN1292">
        <v>3117</v>
      </c>
      <c r="AO1292">
        <v>0</v>
      </c>
      <c r="AP1292">
        <v>0</v>
      </c>
      <c r="AQ1292">
        <v>0</v>
      </c>
    </row>
    <row r="1293" spans="1:43" x14ac:dyDescent="0.25">
      <c r="A1293">
        <v>1290</v>
      </c>
      <c r="B1293">
        <v>26</v>
      </c>
      <c r="C1293">
        <v>26</v>
      </c>
      <c r="D1293">
        <v>6</v>
      </c>
      <c r="E1293">
        <v>5542</v>
      </c>
      <c r="F1293">
        <v>10559</v>
      </c>
      <c r="G1293">
        <v>10566</v>
      </c>
      <c r="H1293">
        <v>3290</v>
      </c>
      <c r="I1293">
        <v>5055</v>
      </c>
      <c r="J1293">
        <v>495</v>
      </c>
      <c r="K1293">
        <v>1841</v>
      </c>
      <c r="L1293">
        <v>1933</v>
      </c>
      <c r="M1293">
        <v>1191</v>
      </c>
      <c r="N1293">
        <v>583</v>
      </c>
      <c r="O1293">
        <v>149505</v>
      </c>
      <c r="P1293">
        <v>4536.0250450000003</v>
      </c>
      <c r="Q1293">
        <v>3135.9192149999999</v>
      </c>
      <c r="R1293">
        <v>0.543748275</v>
      </c>
      <c r="S1293">
        <v>1983</v>
      </c>
      <c r="T1293">
        <v>241</v>
      </c>
      <c r="U1293">
        <v>587</v>
      </c>
      <c r="V1293">
        <v>1974</v>
      </c>
      <c r="W1293">
        <v>2684</v>
      </c>
      <c r="X1293">
        <v>5166</v>
      </c>
      <c r="Y1293">
        <v>283</v>
      </c>
      <c r="Z1293">
        <v>64</v>
      </c>
      <c r="AA1293">
        <v>827</v>
      </c>
      <c r="AB1293">
        <v>317</v>
      </c>
      <c r="AC1293">
        <v>177</v>
      </c>
      <c r="AD1293">
        <v>315</v>
      </c>
      <c r="AE1293">
        <v>0</v>
      </c>
      <c r="AF1293">
        <v>0</v>
      </c>
      <c r="AG1293">
        <v>4</v>
      </c>
      <c r="AH1293">
        <v>0</v>
      </c>
      <c r="AI1293">
        <v>0</v>
      </c>
      <c r="AJ1293">
        <v>0</v>
      </c>
      <c r="AK1293">
        <v>0.93696000000000002</v>
      </c>
      <c r="AL1293">
        <v>2</v>
      </c>
      <c r="AM1293">
        <v>0</v>
      </c>
      <c r="AN1293">
        <v>5542</v>
      </c>
      <c r="AO1293">
        <v>7</v>
      </c>
      <c r="AP1293">
        <v>0</v>
      </c>
      <c r="AQ1293">
        <v>0</v>
      </c>
    </row>
    <row r="1294" spans="1:43" x14ac:dyDescent="0.25">
      <c r="A1294">
        <v>1291</v>
      </c>
      <c r="B1294">
        <v>27</v>
      </c>
      <c r="C1294">
        <v>27</v>
      </c>
      <c r="D1294">
        <v>7</v>
      </c>
      <c r="E1294">
        <v>3384</v>
      </c>
      <c r="F1294">
        <v>11021</v>
      </c>
      <c r="G1294">
        <v>11032</v>
      </c>
      <c r="H1294">
        <v>6109</v>
      </c>
      <c r="I1294">
        <v>2661</v>
      </c>
      <c r="J1294">
        <v>474</v>
      </c>
      <c r="K1294">
        <v>605</v>
      </c>
      <c r="L1294">
        <v>875</v>
      </c>
      <c r="M1294">
        <v>889</v>
      </c>
      <c r="N1294">
        <v>1038</v>
      </c>
      <c r="O1294">
        <v>18433</v>
      </c>
      <c r="P1294">
        <v>1192.2707720000001</v>
      </c>
      <c r="Q1294">
        <v>73.741470000000007</v>
      </c>
      <c r="R1294">
        <v>0.159669533</v>
      </c>
      <c r="S1294">
        <v>2150</v>
      </c>
      <c r="T1294">
        <v>661</v>
      </c>
      <c r="U1294">
        <v>2615</v>
      </c>
      <c r="V1294">
        <v>3636</v>
      </c>
      <c r="W1294">
        <v>2931</v>
      </c>
      <c r="X1294">
        <v>1454</v>
      </c>
      <c r="Y1294">
        <v>627</v>
      </c>
      <c r="Z1294">
        <v>120</v>
      </c>
      <c r="AA1294">
        <v>941</v>
      </c>
      <c r="AB1294">
        <v>74</v>
      </c>
      <c r="AC1294">
        <v>334</v>
      </c>
      <c r="AD1294">
        <v>54</v>
      </c>
      <c r="AE1294">
        <v>0</v>
      </c>
      <c r="AF1294">
        <v>0</v>
      </c>
      <c r="AG1294">
        <v>4</v>
      </c>
      <c r="AH1294">
        <v>1720</v>
      </c>
      <c r="AI1294">
        <v>0</v>
      </c>
      <c r="AJ1294">
        <v>0</v>
      </c>
      <c r="AK1294">
        <v>1.1525399999999999</v>
      </c>
      <c r="AL1294">
        <v>2</v>
      </c>
      <c r="AM1294">
        <v>0</v>
      </c>
      <c r="AN1294">
        <v>3384</v>
      </c>
      <c r="AO1294">
        <v>11</v>
      </c>
      <c r="AP1294">
        <v>0</v>
      </c>
      <c r="AQ1294">
        <v>0</v>
      </c>
    </row>
    <row r="1295" spans="1:43" x14ac:dyDescent="0.25">
      <c r="A1295">
        <v>1292</v>
      </c>
      <c r="B1295">
        <v>27</v>
      </c>
      <c r="C1295">
        <v>27</v>
      </c>
      <c r="D1295">
        <v>7</v>
      </c>
      <c r="E1295">
        <v>2790</v>
      </c>
      <c r="F1295">
        <v>9208</v>
      </c>
      <c r="G1295">
        <v>9246</v>
      </c>
      <c r="H1295">
        <v>5048</v>
      </c>
      <c r="I1295">
        <v>2394</v>
      </c>
      <c r="J1295">
        <v>151</v>
      </c>
      <c r="K1295">
        <v>578</v>
      </c>
      <c r="L1295">
        <v>660</v>
      </c>
      <c r="M1295">
        <v>812</v>
      </c>
      <c r="N1295">
        <v>738</v>
      </c>
      <c r="O1295">
        <v>10156</v>
      </c>
      <c r="P1295">
        <v>726.23100030000001</v>
      </c>
      <c r="Q1295">
        <v>2083.1649670000002</v>
      </c>
      <c r="R1295">
        <v>0.17948224400000001</v>
      </c>
      <c r="S1295">
        <v>9736</v>
      </c>
      <c r="T1295">
        <v>453</v>
      </c>
      <c r="U1295">
        <v>2137</v>
      </c>
      <c r="V1295">
        <v>3278</v>
      </c>
      <c r="W1295">
        <v>2693</v>
      </c>
      <c r="X1295">
        <v>1347</v>
      </c>
      <c r="Y1295">
        <v>245</v>
      </c>
      <c r="Z1295">
        <v>1116</v>
      </c>
      <c r="AA1295">
        <v>2060</v>
      </c>
      <c r="AB1295">
        <v>201</v>
      </c>
      <c r="AC1295">
        <v>4521</v>
      </c>
      <c r="AD1295">
        <v>1593</v>
      </c>
      <c r="AE1295">
        <v>0</v>
      </c>
      <c r="AF1295">
        <v>0</v>
      </c>
      <c r="AG1295">
        <v>4</v>
      </c>
      <c r="AH1295">
        <v>9</v>
      </c>
      <c r="AI1295">
        <v>0</v>
      </c>
      <c r="AJ1295">
        <v>0</v>
      </c>
      <c r="AK1295">
        <v>1.1355599999999999</v>
      </c>
      <c r="AL1295">
        <v>3</v>
      </c>
      <c r="AM1295">
        <v>0</v>
      </c>
      <c r="AN1295">
        <v>2790</v>
      </c>
      <c r="AO1295">
        <v>38</v>
      </c>
      <c r="AP1295">
        <v>0</v>
      </c>
      <c r="AQ1295">
        <v>0</v>
      </c>
    </row>
    <row r="1296" spans="1:43" x14ac:dyDescent="0.25">
      <c r="A1296">
        <v>1293</v>
      </c>
      <c r="B1296">
        <v>27</v>
      </c>
      <c r="C1296">
        <v>27</v>
      </c>
      <c r="D1296">
        <v>7</v>
      </c>
      <c r="E1296">
        <v>2329</v>
      </c>
      <c r="F1296">
        <v>5870</v>
      </c>
      <c r="G1296">
        <v>5883</v>
      </c>
      <c r="H1296">
        <v>3289</v>
      </c>
      <c r="I1296">
        <v>1474</v>
      </c>
      <c r="J1296">
        <v>799</v>
      </c>
      <c r="K1296">
        <v>612</v>
      </c>
      <c r="L1296">
        <v>590</v>
      </c>
      <c r="M1296">
        <v>575</v>
      </c>
      <c r="N1296">
        <v>544</v>
      </c>
      <c r="O1296">
        <v>3647</v>
      </c>
      <c r="P1296">
        <v>433.80124699999999</v>
      </c>
      <c r="Q1296">
        <v>23.87271784</v>
      </c>
      <c r="R1296">
        <v>0.18682338400000001</v>
      </c>
      <c r="S1296">
        <v>1069</v>
      </c>
      <c r="T1296">
        <v>337</v>
      </c>
      <c r="U1296">
        <v>1295</v>
      </c>
      <c r="V1296">
        <v>1998</v>
      </c>
      <c r="W1296">
        <v>1469</v>
      </c>
      <c r="X1296">
        <v>1059</v>
      </c>
      <c r="Y1296">
        <v>94</v>
      </c>
      <c r="Z1296">
        <v>67</v>
      </c>
      <c r="AA1296">
        <v>356</v>
      </c>
      <c r="AB1296">
        <v>331</v>
      </c>
      <c r="AC1296">
        <v>108</v>
      </c>
      <c r="AD1296">
        <v>113</v>
      </c>
      <c r="AE1296">
        <v>0</v>
      </c>
      <c r="AF1296">
        <v>0</v>
      </c>
      <c r="AG1296">
        <v>4</v>
      </c>
      <c r="AH1296">
        <v>0</v>
      </c>
      <c r="AI1296">
        <v>0</v>
      </c>
      <c r="AJ1296">
        <v>0</v>
      </c>
      <c r="AK1296">
        <v>1.21428</v>
      </c>
      <c r="AL1296">
        <v>2</v>
      </c>
      <c r="AM1296">
        <v>0</v>
      </c>
      <c r="AN1296">
        <v>2329</v>
      </c>
      <c r="AO1296">
        <v>13</v>
      </c>
      <c r="AP1296">
        <v>0</v>
      </c>
      <c r="AQ1296">
        <v>0</v>
      </c>
    </row>
    <row r="1297" spans="1:43" x14ac:dyDescent="0.25">
      <c r="A1297">
        <v>1294</v>
      </c>
      <c r="B1297">
        <v>27</v>
      </c>
      <c r="C1297">
        <v>27</v>
      </c>
      <c r="D1297">
        <v>7</v>
      </c>
      <c r="E1297">
        <v>28</v>
      </c>
      <c r="F1297">
        <v>34</v>
      </c>
      <c r="G1297">
        <v>50</v>
      </c>
      <c r="H1297">
        <v>28</v>
      </c>
      <c r="I1297">
        <v>6</v>
      </c>
      <c r="J1297">
        <v>34</v>
      </c>
      <c r="K1297">
        <v>30</v>
      </c>
      <c r="L1297">
        <v>0</v>
      </c>
      <c r="M1297">
        <v>0</v>
      </c>
      <c r="N1297">
        <v>0</v>
      </c>
      <c r="O1297">
        <v>1242</v>
      </c>
      <c r="P1297">
        <v>486</v>
      </c>
      <c r="Q1297">
        <v>231.94416699999999</v>
      </c>
      <c r="R1297">
        <v>0.18949771700000001</v>
      </c>
      <c r="S1297">
        <v>3340</v>
      </c>
      <c r="T1297">
        <v>7</v>
      </c>
      <c r="U1297">
        <v>7</v>
      </c>
      <c r="V1297">
        <v>203</v>
      </c>
      <c r="W1297">
        <v>121</v>
      </c>
      <c r="X1297">
        <v>81</v>
      </c>
      <c r="Y1297">
        <v>30</v>
      </c>
      <c r="Z1297">
        <v>128</v>
      </c>
      <c r="AA1297">
        <v>2787</v>
      </c>
      <c r="AB1297">
        <v>44</v>
      </c>
      <c r="AC1297">
        <v>263</v>
      </c>
      <c r="AD1297">
        <v>88</v>
      </c>
      <c r="AE1297">
        <v>0</v>
      </c>
      <c r="AF1297">
        <v>0</v>
      </c>
      <c r="AG1297">
        <v>4</v>
      </c>
      <c r="AH1297">
        <v>54</v>
      </c>
      <c r="AI1297">
        <v>1464</v>
      </c>
      <c r="AJ1297">
        <v>4815</v>
      </c>
      <c r="AK1297">
        <v>1.05023</v>
      </c>
      <c r="AL1297">
        <v>2</v>
      </c>
      <c r="AM1297">
        <v>0</v>
      </c>
      <c r="AN1297">
        <v>28</v>
      </c>
      <c r="AO1297">
        <v>16</v>
      </c>
      <c r="AP1297">
        <v>0</v>
      </c>
      <c r="AQ1297">
        <v>0</v>
      </c>
    </row>
    <row r="1298" spans="1:43" x14ac:dyDescent="0.25">
      <c r="A1298">
        <v>1295</v>
      </c>
      <c r="B1298">
        <v>27</v>
      </c>
      <c r="C1298">
        <v>27</v>
      </c>
      <c r="D1298">
        <v>7</v>
      </c>
      <c r="E1298">
        <v>3111</v>
      </c>
      <c r="F1298">
        <v>8086</v>
      </c>
      <c r="G1298">
        <v>8147</v>
      </c>
      <c r="H1298">
        <v>4468</v>
      </c>
      <c r="I1298">
        <v>2103</v>
      </c>
      <c r="J1298">
        <v>835</v>
      </c>
      <c r="K1298">
        <v>831</v>
      </c>
      <c r="L1298">
        <v>923</v>
      </c>
      <c r="M1298">
        <v>791</v>
      </c>
      <c r="N1298">
        <v>571</v>
      </c>
      <c r="O1298">
        <v>1204</v>
      </c>
      <c r="P1298">
        <v>578.28102579999995</v>
      </c>
      <c r="Q1298">
        <v>139</v>
      </c>
      <c r="R1298">
        <v>0.159574468</v>
      </c>
      <c r="S1298">
        <v>2426</v>
      </c>
      <c r="T1298">
        <v>489</v>
      </c>
      <c r="U1298">
        <v>1856</v>
      </c>
      <c r="V1298">
        <v>3089</v>
      </c>
      <c r="W1298">
        <v>2022</v>
      </c>
      <c r="X1298">
        <v>949</v>
      </c>
      <c r="Y1298">
        <v>727</v>
      </c>
      <c r="Z1298">
        <v>203</v>
      </c>
      <c r="AA1298">
        <v>1040</v>
      </c>
      <c r="AB1298">
        <v>43</v>
      </c>
      <c r="AC1298">
        <v>153</v>
      </c>
      <c r="AD1298">
        <v>260</v>
      </c>
      <c r="AE1298">
        <v>0</v>
      </c>
      <c r="AF1298">
        <v>0</v>
      </c>
      <c r="AG1298">
        <v>4</v>
      </c>
      <c r="AH1298">
        <v>0</v>
      </c>
      <c r="AI1298">
        <v>0</v>
      </c>
      <c r="AJ1298">
        <v>0</v>
      </c>
      <c r="AK1298">
        <v>1.3086199999999999</v>
      </c>
      <c r="AL1298">
        <v>2</v>
      </c>
      <c r="AM1298">
        <v>0</v>
      </c>
      <c r="AN1298">
        <v>3111</v>
      </c>
      <c r="AO1298">
        <v>61</v>
      </c>
      <c r="AP1298">
        <v>0</v>
      </c>
      <c r="AQ1298">
        <v>0</v>
      </c>
    </row>
    <row r="1299" spans="1:43" x14ac:dyDescent="0.25">
      <c r="A1299">
        <v>1296</v>
      </c>
      <c r="B1299">
        <v>27</v>
      </c>
      <c r="C1299">
        <v>27</v>
      </c>
      <c r="D1299">
        <v>7</v>
      </c>
      <c r="E1299">
        <v>1544</v>
      </c>
      <c r="F1299">
        <v>3296</v>
      </c>
      <c r="G1299">
        <v>3306</v>
      </c>
      <c r="H1299">
        <v>1521</v>
      </c>
      <c r="I1299">
        <v>1454</v>
      </c>
      <c r="J1299">
        <v>118</v>
      </c>
      <c r="K1299">
        <v>324</v>
      </c>
      <c r="L1299">
        <v>330</v>
      </c>
      <c r="M1299">
        <v>315</v>
      </c>
      <c r="N1299">
        <v>571</v>
      </c>
      <c r="O1299">
        <v>1610</v>
      </c>
      <c r="P1299">
        <v>744.99162349999995</v>
      </c>
      <c r="Q1299">
        <v>17</v>
      </c>
      <c r="R1299">
        <v>0.42616279099999999</v>
      </c>
      <c r="S1299">
        <v>1069</v>
      </c>
      <c r="T1299">
        <v>30</v>
      </c>
      <c r="U1299">
        <v>486</v>
      </c>
      <c r="V1299">
        <v>899</v>
      </c>
      <c r="W1299">
        <v>661</v>
      </c>
      <c r="X1299">
        <v>1197</v>
      </c>
      <c r="Y1299">
        <v>45</v>
      </c>
      <c r="Z1299">
        <v>142</v>
      </c>
      <c r="AA1299">
        <v>337</v>
      </c>
      <c r="AB1299">
        <v>311</v>
      </c>
      <c r="AC1299">
        <v>127</v>
      </c>
      <c r="AD1299">
        <v>107</v>
      </c>
      <c r="AE1299">
        <v>0</v>
      </c>
      <c r="AF1299">
        <v>0</v>
      </c>
      <c r="AG1299">
        <v>4</v>
      </c>
      <c r="AH1299">
        <v>30</v>
      </c>
      <c r="AI1299">
        <v>0</v>
      </c>
      <c r="AJ1299">
        <v>0</v>
      </c>
      <c r="AK1299">
        <v>1.04314</v>
      </c>
      <c r="AL1299">
        <v>1</v>
      </c>
      <c r="AM1299">
        <v>0</v>
      </c>
      <c r="AN1299">
        <v>1544</v>
      </c>
      <c r="AO1299">
        <v>10</v>
      </c>
      <c r="AP1299">
        <v>0</v>
      </c>
      <c r="AQ1299">
        <v>0</v>
      </c>
    </row>
    <row r="1300" spans="1:43" x14ac:dyDescent="0.25">
      <c r="A1300">
        <v>1297</v>
      </c>
      <c r="B1300">
        <v>27</v>
      </c>
      <c r="C1300">
        <v>27</v>
      </c>
      <c r="D1300">
        <v>7</v>
      </c>
      <c r="E1300">
        <v>3488</v>
      </c>
      <c r="F1300">
        <v>8635</v>
      </c>
      <c r="G1300">
        <v>8649</v>
      </c>
      <c r="H1300">
        <v>5621</v>
      </c>
      <c r="I1300">
        <v>1695</v>
      </c>
      <c r="J1300">
        <v>1626</v>
      </c>
      <c r="K1300">
        <v>991</v>
      </c>
      <c r="L1300">
        <v>1075</v>
      </c>
      <c r="M1300">
        <v>886</v>
      </c>
      <c r="N1300">
        <v>537</v>
      </c>
      <c r="O1300">
        <v>637</v>
      </c>
      <c r="P1300">
        <v>391.3423118</v>
      </c>
      <c r="Q1300">
        <v>22</v>
      </c>
      <c r="R1300">
        <v>0.18534434</v>
      </c>
      <c r="S1300">
        <v>2798</v>
      </c>
      <c r="T1300">
        <v>399</v>
      </c>
      <c r="U1300">
        <v>1476</v>
      </c>
      <c r="V1300">
        <v>3115</v>
      </c>
      <c r="W1300">
        <v>2284</v>
      </c>
      <c r="X1300">
        <v>1130</v>
      </c>
      <c r="Y1300">
        <v>246</v>
      </c>
      <c r="Z1300">
        <v>292</v>
      </c>
      <c r="AA1300">
        <v>1695</v>
      </c>
      <c r="AB1300">
        <v>201</v>
      </c>
      <c r="AC1300">
        <v>168</v>
      </c>
      <c r="AD1300">
        <v>196</v>
      </c>
      <c r="AE1300">
        <v>0</v>
      </c>
      <c r="AF1300">
        <v>0</v>
      </c>
      <c r="AG1300">
        <v>4</v>
      </c>
      <c r="AH1300">
        <v>0</v>
      </c>
      <c r="AI1300">
        <v>0</v>
      </c>
      <c r="AJ1300">
        <v>0</v>
      </c>
      <c r="AK1300">
        <v>1.57216</v>
      </c>
      <c r="AL1300">
        <v>3</v>
      </c>
      <c r="AM1300">
        <v>0</v>
      </c>
      <c r="AN1300">
        <v>3488</v>
      </c>
      <c r="AO1300">
        <v>14</v>
      </c>
      <c r="AP1300">
        <v>0</v>
      </c>
      <c r="AQ1300">
        <v>0</v>
      </c>
    </row>
    <row r="1301" spans="1:43" x14ac:dyDescent="0.25">
      <c r="A1301">
        <v>1298</v>
      </c>
      <c r="B1301">
        <v>27</v>
      </c>
      <c r="C1301">
        <v>27</v>
      </c>
      <c r="D1301">
        <v>7</v>
      </c>
      <c r="E1301">
        <v>743</v>
      </c>
      <c r="F1301">
        <v>1699</v>
      </c>
      <c r="G1301">
        <v>2350</v>
      </c>
      <c r="H1301">
        <v>1233</v>
      </c>
      <c r="I1301">
        <v>519</v>
      </c>
      <c r="J1301">
        <v>201</v>
      </c>
      <c r="K1301">
        <v>119</v>
      </c>
      <c r="L1301">
        <v>226</v>
      </c>
      <c r="M1301">
        <v>222</v>
      </c>
      <c r="N1301">
        <v>176</v>
      </c>
      <c r="O1301">
        <v>337</v>
      </c>
      <c r="P1301">
        <v>95.226125049999993</v>
      </c>
      <c r="Q1301">
        <v>64.531146489999998</v>
      </c>
      <c r="R1301">
        <v>0.15954415999999999</v>
      </c>
      <c r="S1301">
        <v>4166</v>
      </c>
      <c r="T1301">
        <v>66</v>
      </c>
      <c r="U1301">
        <v>235</v>
      </c>
      <c r="V1301">
        <v>712</v>
      </c>
      <c r="W1301">
        <v>441</v>
      </c>
      <c r="X1301">
        <v>223</v>
      </c>
      <c r="Y1301">
        <v>593</v>
      </c>
      <c r="Z1301">
        <v>657</v>
      </c>
      <c r="AA1301">
        <v>1747</v>
      </c>
      <c r="AB1301">
        <v>81</v>
      </c>
      <c r="AC1301">
        <v>920</v>
      </c>
      <c r="AD1301">
        <v>168</v>
      </c>
      <c r="AE1301">
        <v>0</v>
      </c>
      <c r="AF1301">
        <v>0</v>
      </c>
      <c r="AG1301">
        <v>4</v>
      </c>
      <c r="AH1301">
        <v>365</v>
      </c>
      <c r="AI1301">
        <v>0</v>
      </c>
      <c r="AJ1301">
        <v>0</v>
      </c>
      <c r="AK1301">
        <v>2.4634</v>
      </c>
      <c r="AL1301">
        <v>3</v>
      </c>
      <c r="AM1301">
        <v>0</v>
      </c>
      <c r="AN1301">
        <v>743</v>
      </c>
      <c r="AO1301">
        <v>651</v>
      </c>
      <c r="AP1301">
        <v>0</v>
      </c>
      <c r="AQ1301">
        <v>0</v>
      </c>
    </row>
    <row r="1302" spans="1:43" x14ac:dyDescent="0.25">
      <c r="A1302">
        <v>1299</v>
      </c>
      <c r="B1302">
        <v>27</v>
      </c>
      <c r="C1302">
        <v>27</v>
      </c>
      <c r="D1302">
        <v>7</v>
      </c>
      <c r="E1302">
        <v>1026</v>
      </c>
      <c r="F1302">
        <v>1884</v>
      </c>
      <c r="G1302">
        <v>1912</v>
      </c>
      <c r="H1302">
        <v>1072</v>
      </c>
      <c r="I1302">
        <v>416</v>
      </c>
      <c r="J1302">
        <v>612</v>
      </c>
      <c r="K1302">
        <v>414</v>
      </c>
      <c r="L1302">
        <v>317</v>
      </c>
      <c r="M1302">
        <v>191</v>
      </c>
      <c r="N1302">
        <v>101</v>
      </c>
      <c r="O1302">
        <v>250</v>
      </c>
      <c r="P1302">
        <v>104.92122070000001</v>
      </c>
      <c r="Q1302">
        <v>36.028597259999998</v>
      </c>
      <c r="R1302">
        <v>0.20966969799999999</v>
      </c>
      <c r="S1302">
        <v>4839</v>
      </c>
      <c r="T1302">
        <v>152</v>
      </c>
      <c r="U1302">
        <v>177</v>
      </c>
      <c r="V1302">
        <v>946</v>
      </c>
      <c r="W1302">
        <v>376</v>
      </c>
      <c r="X1302">
        <v>335</v>
      </c>
      <c r="Y1302">
        <v>223</v>
      </c>
      <c r="Z1302">
        <v>437</v>
      </c>
      <c r="AA1302">
        <v>1729</v>
      </c>
      <c r="AB1302">
        <v>93</v>
      </c>
      <c r="AC1302">
        <v>378</v>
      </c>
      <c r="AD1302">
        <v>1979</v>
      </c>
      <c r="AE1302">
        <v>0</v>
      </c>
      <c r="AF1302">
        <v>0</v>
      </c>
      <c r="AG1302">
        <v>2</v>
      </c>
      <c r="AH1302">
        <v>0</v>
      </c>
      <c r="AI1302">
        <v>0</v>
      </c>
      <c r="AJ1302">
        <v>0</v>
      </c>
      <c r="AK1302">
        <v>2.9375800000000001</v>
      </c>
      <c r="AL1302">
        <v>3</v>
      </c>
      <c r="AM1302">
        <v>0</v>
      </c>
      <c r="AN1302">
        <v>1026</v>
      </c>
      <c r="AO1302">
        <v>28</v>
      </c>
      <c r="AP1302">
        <v>0</v>
      </c>
      <c r="AQ1302">
        <v>0</v>
      </c>
    </row>
    <row r="1303" spans="1:43" x14ac:dyDescent="0.25">
      <c r="A1303">
        <v>1300</v>
      </c>
      <c r="B1303">
        <v>27</v>
      </c>
      <c r="C1303">
        <v>27</v>
      </c>
      <c r="D1303">
        <v>7</v>
      </c>
      <c r="E1303">
        <v>773</v>
      </c>
      <c r="F1303">
        <v>1864</v>
      </c>
      <c r="G1303">
        <v>1900</v>
      </c>
      <c r="H1303">
        <v>1026</v>
      </c>
      <c r="I1303">
        <v>599</v>
      </c>
      <c r="J1303">
        <v>201</v>
      </c>
      <c r="K1303">
        <v>282</v>
      </c>
      <c r="L1303">
        <v>243</v>
      </c>
      <c r="M1303">
        <v>140</v>
      </c>
      <c r="N1303">
        <v>110</v>
      </c>
      <c r="O1303">
        <v>212</v>
      </c>
      <c r="P1303">
        <v>124</v>
      </c>
      <c r="Q1303">
        <v>7</v>
      </c>
      <c r="R1303">
        <v>0.15712900099999999</v>
      </c>
      <c r="S1303">
        <v>932</v>
      </c>
      <c r="T1303">
        <v>153</v>
      </c>
      <c r="U1303">
        <v>349</v>
      </c>
      <c r="V1303">
        <v>748</v>
      </c>
      <c r="W1303">
        <v>438</v>
      </c>
      <c r="X1303">
        <v>282</v>
      </c>
      <c r="Y1303">
        <v>30</v>
      </c>
      <c r="Z1303">
        <v>118</v>
      </c>
      <c r="AA1303">
        <v>422</v>
      </c>
      <c r="AB1303">
        <v>11</v>
      </c>
      <c r="AC1303">
        <v>266</v>
      </c>
      <c r="AD1303">
        <v>85</v>
      </c>
      <c r="AE1303">
        <v>0</v>
      </c>
      <c r="AF1303">
        <v>0</v>
      </c>
      <c r="AG1303">
        <v>4</v>
      </c>
      <c r="AH1303">
        <v>0</v>
      </c>
      <c r="AI1303">
        <v>0</v>
      </c>
      <c r="AJ1303">
        <v>0</v>
      </c>
      <c r="AK1303">
        <v>1.4623600000000001</v>
      </c>
      <c r="AL1303">
        <v>3</v>
      </c>
      <c r="AM1303">
        <v>0</v>
      </c>
      <c r="AN1303">
        <v>773</v>
      </c>
      <c r="AO1303">
        <v>36</v>
      </c>
      <c r="AP1303">
        <v>0</v>
      </c>
      <c r="AQ1303">
        <v>0</v>
      </c>
    </row>
    <row r="1304" spans="1:43" x14ac:dyDescent="0.25">
      <c r="A1304">
        <v>1301</v>
      </c>
      <c r="B1304">
        <v>27</v>
      </c>
      <c r="C1304">
        <v>27</v>
      </c>
      <c r="D1304">
        <v>7</v>
      </c>
      <c r="E1304">
        <v>1439</v>
      </c>
      <c r="F1304">
        <v>3668</v>
      </c>
      <c r="G1304">
        <v>3683</v>
      </c>
      <c r="H1304">
        <v>1998</v>
      </c>
      <c r="I1304">
        <v>1086</v>
      </c>
      <c r="J1304">
        <v>258</v>
      </c>
      <c r="K1304">
        <v>365</v>
      </c>
      <c r="L1304">
        <v>550</v>
      </c>
      <c r="M1304">
        <v>243</v>
      </c>
      <c r="N1304">
        <v>267</v>
      </c>
      <c r="O1304">
        <v>328</v>
      </c>
      <c r="P1304">
        <v>160.1520434</v>
      </c>
      <c r="Q1304">
        <v>29</v>
      </c>
      <c r="R1304">
        <v>0.19892473099999999</v>
      </c>
      <c r="S1304">
        <v>1466</v>
      </c>
      <c r="T1304">
        <v>206</v>
      </c>
      <c r="U1304">
        <v>656</v>
      </c>
      <c r="V1304">
        <v>1126</v>
      </c>
      <c r="W1304">
        <v>1149</v>
      </c>
      <c r="X1304">
        <v>586</v>
      </c>
      <c r="Y1304">
        <v>60</v>
      </c>
      <c r="Z1304">
        <v>267</v>
      </c>
      <c r="AA1304">
        <v>522</v>
      </c>
      <c r="AB1304">
        <v>27</v>
      </c>
      <c r="AC1304">
        <v>227</v>
      </c>
      <c r="AD1304">
        <v>363</v>
      </c>
      <c r="AE1304">
        <v>0</v>
      </c>
      <c r="AF1304">
        <v>0</v>
      </c>
      <c r="AG1304">
        <v>4</v>
      </c>
      <c r="AH1304">
        <v>62</v>
      </c>
      <c r="AI1304">
        <v>0</v>
      </c>
      <c r="AJ1304">
        <v>0</v>
      </c>
      <c r="AK1304">
        <v>2.0587</v>
      </c>
      <c r="AL1304">
        <v>3</v>
      </c>
      <c r="AM1304">
        <v>0</v>
      </c>
      <c r="AN1304">
        <v>1439</v>
      </c>
      <c r="AO1304">
        <v>15</v>
      </c>
      <c r="AP1304">
        <v>0</v>
      </c>
      <c r="AQ1304">
        <v>0</v>
      </c>
    </row>
    <row r="1305" spans="1:43" x14ac:dyDescent="0.25">
      <c r="A1305">
        <v>1302</v>
      </c>
      <c r="B1305">
        <v>27</v>
      </c>
      <c r="C1305">
        <v>27</v>
      </c>
      <c r="D1305">
        <v>7</v>
      </c>
      <c r="E1305">
        <v>2553</v>
      </c>
      <c r="F1305">
        <v>7281</v>
      </c>
      <c r="G1305">
        <v>7303</v>
      </c>
      <c r="H1305">
        <v>3920</v>
      </c>
      <c r="I1305">
        <v>1833</v>
      </c>
      <c r="J1305">
        <v>533</v>
      </c>
      <c r="K1305">
        <v>500</v>
      </c>
      <c r="L1305">
        <v>842</v>
      </c>
      <c r="M1305">
        <v>627</v>
      </c>
      <c r="N1305">
        <v>604</v>
      </c>
      <c r="O1305">
        <v>1566</v>
      </c>
      <c r="P1305">
        <v>576.29833110000004</v>
      </c>
      <c r="Q1305">
        <v>22</v>
      </c>
      <c r="R1305">
        <v>0.14747394799999999</v>
      </c>
      <c r="S1305">
        <v>1144</v>
      </c>
      <c r="T1305">
        <v>487</v>
      </c>
      <c r="U1305">
        <v>1729</v>
      </c>
      <c r="V1305">
        <v>2262</v>
      </c>
      <c r="W1305">
        <v>1910</v>
      </c>
      <c r="X1305">
        <v>826</v>
      </c>
      <c r="Y1305">
        <v>393</v>
      </c>
      <c r="Z1305">
        <v>105</v>
      </c>
      <c r="AA1305">
        <v>458</v>
      </c>
      <c r="AB1305">
        <v>33</v>
      </c>
      <c r="AC1305">
        <v>81</v>
      </c>
      <c r="AD1305">
        <v>74</v>
      </c>
      <c r="AE1305">
        <v>0</v>
      </c>
      <c r="AF1305">
        <v>0</v>
      </c>
      <c r="AG1305">
        <v>4</v>
      </c>
      <c r="AH1305">
        <v>0</v>
      </c>
      <c r="AI1305">
        <v>0</v>
      </c>
      <c r="AJ1305">
        <v>0</v>
      </c>
      <c r="AK1305">
        <v>1.2613399999999999</v>
      </c>
      <c r="AL1305">
        <v>1</v>
      </c>
      <c r="AM1305">
        <v>0</v>
      </c>
      <c r="AN1305">
        <v>2553</v>
      </c>
      <c r="AO1305">
        <v>22</v>
      </c>
      <c r="AP1305">
        <v>0</v>
      </c>
      <c r="AQ1305">
        <v>0</v>
      </c>
    </row>
    <row r="1306" spans="1:43" x14ac:dyDescent="0.25">
      <c r="A1306">
        <v>1303</v>
      </c>
      <c r="B1306">
        <v>27</v>
      </c>
      <c r="C1306">
        <v>27</v>
      </c>
      <c r="D1306">
        <v>7</v>
      </c>
      <c r="E1306">
        <v>1212</v>
      </c>
      <c r="F1306">
        <v>3072</v>
      </c>
      <c r="G1306">
        <v>3072</v>
      </c>
      <c r="H1306">
        <v>1515</v>
      </c>
      <c r="I1306">
        <v>1085</v>
      </c>
      <c r="J1306">
        <v>0</v>
      </c>
      <c r="K1306">
        <v>163</v>
      </c>
      <c r="L1306">
        <v>213</v>
      </c>
      <c r="M1306">
        <v>436</v>
      </c>
      <c r="N1306">
        <v>397</v>
      </c>
      <c r="O1306">
        <v>562</v>
      </c>
      <c r="P1306">
        <v>418.39049139999997</v>
      </c>
      <c r="Q1306">
        <v>5</v>
      </c>
      <c r="R1306">
        <v>0.34749670599999999</v>
      </c>
      <c r="S1306">
        <v>350</v>
      </c>
      <c r="T1306">
        <v>69</v>
      </c>
      <c r="U1306">
        <v>513</v>
      </c>
      <c r="V1306">
        <v>598</v>
      </c>
      <c r="W1306">
        <v>886</v>
      </c>
      <c r="X1306">
        <v>848</v>
      </c>
      <c r="Y1306">
        <v>10</v>
      </c>
      <c r="Z1306">
        <v>82</v>
      </c>
      <c r="AA1306">
        <v>149</v>
      </c>
      <c r="AB1306">
        <v>18</v>
      </c>
      <c r="AC1306">
        <v>54</v>
      </c>
      <c r="AD1306">
        <v>37</v>
      </c>
      <c r="AE1306">
        <v>0</v>
      </c>
      <c r="AF1306">
        <v>0</v>
      </c>
      <c r="AG1306">
        <v>4</v>
      </c>
      <c r="AH1306">
        <v>0</v>
      </c>
      <c r="AI1306">
        <v>0</v>
      </c>
      <c r="AJ1306">
        <v>0</v>
      </c>
      <c r="AK1306">
        <v>1.03643</v>
      </c>
      <c r="AL1306">
        <v>1</v>
      </c>
      <c r="AM1306">
        <v>0</v>
      </c>
      <c r="AN1306">
        <v>1212</v>
      </c>
      <c r="AO1306">
        <v>0</v>
      </c>
      <c r="AP1306">
        <v>0</v>
      </c>
      <c r="AQ1306">
        <v>0</v>
      </c>
    </row>
    <row r="1307" spans="1:43" x14ac:dyDescent="0.25">
      <c r="A1307">
        <v>1304</v>
      </c>
      <c r="B1307">
        <v>27</v>
      </c>
      <c r="C1307">
        <v>27</v>
      </c>
      <c r="D1307">
        <v>7</v>
      </c>
      <c r="E1307">
        <v>2958</v>
      </c>
      <c r="F1307">
        <v>7281</v>
      </c>
      <c r="G1307">
        <v>7281</v>
      </c>
      <c r="H1307">
        <v>4086</v>
      </c>
      <c r="I1307">
        <v>1867</v>
      </c>
      <c r="J1307">
        <v>821</v>
      </c>
      <c r="K1307">
        <v>1078</v>
      </c>
      <c r="L1307">
        <v>809</v>
      </c>
      <c r="M1307">
        <v>664</v>
      </c>
      <c r="N1307">
        <v>431</v>
      </c>
      <c r="O1307">
        <v>698</v>
      </c>
      <c r="P1307">
        <v>552.98002480000002</v>
      </c>
      <c r="Q1307">
        <v>12</v>
      </c>
      <c r="R1307">
        <v>0.21293213799999999</v>
      </c>
      <c r="S1307">
        <v>1044</v>
      </c>
      <c r="T1307">
        <v>282</v>
      </c>
      <c r="U1307">
        <v>1428</v>
      </c>
      <c r="V1307">
        <v>2510</v>
      </c>
      <c r="W1307">
        <v>1934</v>
      </c>
      <c r="X1307">
        <v>1269</v>
      </c>
      <c r="Y1307">
        <v>70</v>
      </c>
      <c r="Z1307">
        <v>136</v>
      </c>
      <c r="AA1307">
        <v>537</v>
      </c>
      <c r="AB1307">
        <v>64</v>
      </c>
      <c r="AC1307">
        <v>83</v>
      </c>
      <c r="AD1307">
        <v>154</v>
      </c>
      <c r="AE1307">
        <v>0</v>
      </c>
      <c r="AF1307">
        <v>0</v>
      </c>
      <c r="AG1307">
        <v>4</v>
      </c>
      <c r="AH1307">
        <v>0</v>
      </c>
      <c r="AI1307">
        <v>0</v>
      </c>
      <c r="AJ1307">
        <v>0</v>
      </c>
      <c r="AK1307">
        <v>1.21482</v>
      </c>
      <c r="AL1307">
        <v>3</v>
      </c>
      <c r="AM1307">
        <v>0</v>
      </c>
      <c r="AN1307">
        <v>2958</v>
      </c>
      <c r="AO1307">
        <v>0</v>
      </c>
      <c r="AP1307">
        <v>0</v>
      </c>
      <c r="AQ1307">
        <v>0</v>
      </c>
    </row>
    <row r="1308" spans="1:43" x14ac:dyDescent="0.25">
      <c r="A1308">
        <v>1305</v>
      </c>
      <c r="B1308">
        <v>27</v>
      </c>
      <c r="C1308">
        <v>27</v>
      </c>
      <c r="D1308">
        <v>7</v>
      </c>
      <c r="E1308">
        <v>1765</v>
      </c>
      <c r="F1308">
        <v>5080</v>
      </c>
      <c r="G1308">
        <v>5085</v>
      </c>
      <c r="H1308">
        <v>2919</v>
      </c>
      <c r="I1308">
        <v>1227</v>
      </c>
      <c r="J1308">
        <v>510</v>
      </c>
      <c r="K1308">
        <v>408</v>
      </c>
      <c r="L1308">
        <v>632</v>
      </c>
      <c r="M1308">
        <v>497</v>
      </c>
      <c r="N1308">
        <v>223</v>
      </c>
      <c r="O1308">
        <v>480</v>
      </c>
      <c r="P1308">
        <v>232</v>
      </c>
      <c r="Q1308">
        <v>72.864419760000004</v>
      </c>
      <c r="R1308">
        <v>9.8618979999999995E-2</v>
      </c>
      <c r="S1308">
        <v>3371</v>
      </c>
      <c r="T1308">
        <v>388</v>
      </c>
      <c r="U1308">
        <v>1414</v>
      </c>
      <c r="V1308">
        <v>2049</v>
      </c>
      <c r="W1308">
        <v>1062</v>
      </c>
      <c r="X1308">
        <v>441</v>
      </c>
      <c r="Y1308">
        <v>433</v>
      </c>
      <c r="Z1308">
        <v>388</v>
      </c>
      <c r="AA1308">
        <v>1810</v>
      </c>
      <c r="AB1308">
        <v>136</v>
      </c>
      <c r="AC1308">
        <v>445</v>
      </c>
      <c r="AD1308">
        <v>159</v>
      </c>
      <c r="AE1308">
        <v>0</v>
      </c>
      <c r="AF1308">
        <v>0</v>
      </c>
      <c r="AG1308">
        <v>4</v>
      </c>
      <c r="AH1308">
        <v>2018</v>
      </c>
      <c r="AI1308">
        <v>0</v>
      </c>
      <c r="AJ1308">
        <v>0</v>
      </c>
      <c r="AK1308">
        <v>1.6186700000000001</v>
      </c>
      <c r="AL1308">
        <v>3</v>
      </c>
      <c r="AM1308">
        <v>0</v>
      </c>
      <c r="AN1308">
        <v>1765</v>
      </c>
      <c r="AO1308">
        <v>5</v>
      </c>
      <c r="AP1308">
        <v>0</v>
      </c>
      <c r="AQ1308">
        <v>0</v>
      </c>
    </row>
    <row r="1309" spans="1:43" x14ac:dyDescent="0.25">
      <c r="A1309">
        <v>1306</v>
      </c>
      <c r="B1309">
        <v>27</v>
      </c>
      <c r="C1309">
        <v>27</v>
      </c>
      <c r="D1309">
        <v>7</v>
      </c>
      <c r="E1309">
        <v>5106</v>
      </c>
      <c r="F1309">
        <v>12495</v>
      </c>
      <c r="G1309">
        <v>12512</v>
      </c>
      <c r="H1309">
        <v>6493</v>
      </c>
      <c r="I1309">
        <v>4281</v>
      </c>
      <c r="J1309">
        <v>665</v>
      </c>
      <c r="K1309">
        <v>1369</v>
      </c>
      <c r="L1309">
        <v>1247</v>
      </c>
      <c r="M1309">
        <v>1081</v>
      </c>
      <c r="N1309">
        <v>1375</v>
      </c>
      <c r="O1309">
        <v>1317</v>
      </c>
      <c r="P1309">
        <v>729.64482380000004</v>
      </c>
      <c r="Q1309">
        <v>83</v>
      </c>
      <c r="R1309">
        <v>0.26096082100000001</v>
      </c>
      <c r="S1309">
        <v>4824</v>
      </c>
      <c r="T1309">
        <v>509</v>
      </c>
      <c r="U1309">
        <v>2077</v>
      </c>
      <c r="V1309">
        <v>3413</v>
      </c>
      <c r="W1309">
        <v>3240</v>
      </c>
      <c r="X1309">
        <v>2977</v>
      </c>
      <c r="Y1309">
        <v>646</v>
      </c>
      <c r="Z1309">
        <v>288</v>
      </c>
      <c r="AA1309">
        <v>2981</v>
      </c>
      <c r="AB1309">
        <v>405</v>
      </c>
      <c r="AC1309">
        <v>316</v>
      </c>
      <c r="AD1309">
        <v>188</v>
      </c>
      <c r="AE1309">
        <v>0</v>
      </c>
      <c r="AF1309">
        <v>0</v>
      </c>
      <c r="AG1309">
        <v>4</v>
      </c>
      <c r="AH1309">
        <v>1622</v>
      </c>
      <c r="AI1309">
        <v>0</v>
      </c>
      <c r="AJ1309">
        <v>0</v>
      </c>
      <c r="AK1309">
        <v>1.50078</v>
      </c>
      <c r="AL1309">
        <v>3</v>
      </c>
      <c r="AM1309">
        <v>0</v>
      </c>
      <c r="AN1309">
        <v>5106</v>
      </c>
      <c r="AO1309">
        <v>17</v>
      </c>
      <c r="AP1309">
        <v>0</v>
      </c>
      <c r="AQ1309">
        <v>0</v>
      </c>
    </row>
    <row r="1310" spans="1:43" x14ac:dyDescent="0.25">
      <c r="A1310">
        <v>1307</v>
      </c>
      <c r="B1310">
        <v>27</v>
      </c>
      <c r="C1310">
        <v>27</v>
      </c>
      <c r="D1310">
        <v>7</v>
      </c>
      <c r="E1310">
        <v>2927</v>
      </c>
      <c r="F1310">
        <v>7428</v>
      </c>
      <c r="G1310">
        <v>7470</v>
      </c>
      <c r="H1310">
        <v>3824</v>
      </c>
      <c r="I1310">
        <v>2309</v>
      </c>
      <c r="J1310">
        <v>458</v>
      </c>
      <c r="K1310">
        <v>654</v>
      </c>
      <c r="L1310">
        <v>555</v>
      </c>
      <c r="M1310">
        <v>854</v>
      </c>
      <c r="N1310">
        <v>850</v>
      </c>
      <c r="O1310">
        <v>830</v>
      </c>
      <c r="P1310">
        <v>503.21177</v>
      </c>
      <c r="Q1310">
        <v>36</v>
      </c>
      <c r="R1310">
        <v>0.29173058200000002</v>
      </c>
      <c r="S1310">
        <v>1051</v>
      </c>
      <c r="T1310">
        <v>339</v>
      </c>
      <c r="U1310">
        <v>1036</v>
      </c>
      <c r="V1310">
        <v>1932</v>
      </c>
      <c r="W1310">
        <v>1833</v>
      </c>
      <c r="X1310">
        <v>1726</v>
      </c>
      <c r="Y1310">
        <v>28</v>
      </c>
      <c r="Z1310">
        <v>116</v>
      </c>
      <c r="AA1310">
        <v>622</v>
      </c>
      <c r="AB1310">
        <v>52</v>
      </c>
      <c r="AC1310">
        <v>163</v>
      </c>
      <c r="AD1310">
        <v>70</v>
      </c>
      <c r="AE1310">
        <v>0</v>
      </c>
      <c r="AF1310">
        <v>0</v>
      </c>
      <c r="AG1310">
        <v>4</v>
      </c>
      <c r="AH1310">
        <v>693</v>
      </c>
      <c r="AI1310">
        <v>0</v>
      </c>
      <c r="AJ1310">
        <v>0</v>
      </c>
      <c r="AK1310">
        <v>1.2484200000000001</v>
      </c>
      <c r="AL1310">
        <v>3</v>
      </c>
      <c r="AM1310">
        <v>0</v>
      </c>
      <c r="AN1310">
        <v>2927</v>
      </c>
      <c r="AO1310">
        <v>42</v>
      </c>
      <c r="AP1310">
        <v>0</v>
      </c>
      <c r="AQ1310">
        <v>0</v>
      </c>
    </row>
    <row r="1311" spans="1:43" x14ac:dyDescent="0.25">
      <c r="A1311">
        <v>1308</v>
      </c>
      <c r="B1311">
        <v>27</v>
      </c>
      <c r="C1311">
        <v>27</v>
      </c>
      <c r="D1311">
        <v>7</v>
      </c>
      <c r="E1311">
        <v>1587</v>
      </c>
      <c r="F1311">
        <v>3797</v>
      </c>
      <c r="G1311">
        <v>3813</v>
      </c>
      <c r="H1311">
        <v>1895</v>
      </c>
      <c r="I1311">
        <v>1675</v>
      </c>
      <c r="J1311">
        <v>9</v>
      </c>
      <c r="K1311">
        <v>257</v>
      </c>
      <c r="L1311">
        <v>392</v>
      </c>
      <c r="M1311">
        <v>463</v>
      </c>
      <c r="N1311">
        <v>492</v>
      </c>
      <c r="O1311">
        <v>37851</v>
      </c>
      <c r="P1311">
        <v>1672.525038</v>
      </c>
      <c r="Q1311">
        <v>141</v>
      </c>
      <c r="R1311">
        <v>0.36130653299999999</v>
      </c>
      <c r="S1311">
        <v>1635</v>
      </c>
      <c r="T1311">
        <v>94</v>
      </c>
      <c r="U1311">
        <v>465</v>
      </c>
      <c r="V1311">
        <v>864</v>
      </c>
      <c r="W1311">
        <v>1182</v>
      </c>
      <c r="X1311">
        <v>1181</v>
      </c>
      <c r="Y1311">
        <v>22</v>
      </c>
      <c r="Z1311">
        <v>157</v>
      </c>
      <c r="AA1311">
        <v>524</v>
      </c>
      <c r="AB1311">
        <v>317</v>
      </c>
      <c r="AC1311">
        <v>503</v>
      </c>
      <c r="AD1311">
        <v>112</v>
      </c>
      <c r="AE1311">
        <v>0</v>
      </c>
      <c r="AF1311">
        <v>0</v>
      </c>
      <c r="AG1311">
        <v>4</v>
      </c>
      <c r="AH1311">
        <v>0</v>
      </c>
      <c r="AI1311">
        <v>0</v>
      </c>
      <c r="AJ1311">
        <v>0</v>
      </c>
      <c r="AK1311">
        <v>0.98823000000000005</v>
      </c>
      <c r="AL1311">
        <v>1</v>
      </c>
      <c r="AM1311">
        <v>0</v>
      </c>
      <c r="AN1311">
        <v>1587</v>
      </c>
      <c r="AO1311">
        <v>16</v>
      </c>
      <c r="AP1311">
        <v>0</v>
      </c>
      <c r="AQ1311">
        <v>0</v>
      </c>
    </row>
    <row r="1312" spans="1:43" x14ac:dyDescent="0.25">
      <c r="A1312">
        <v>1309</v>
      </c>
      <c r="B1312">
        <v>28</v>
      </c>
      <c r="C1312">
        <v>28</v>
      </c>
      <c r="D1312">
        <v>7</v>
      </c>
      <c r="E1312">
        <v>159</v>
      </c>
      <c r="F1312">
        <v>295</v>
      </c>
      <c r="G1312">
        <v>295</v>
      </c>
      <c r="H1312">
        <v>116</v>
      </c>
      <c r="I1312">
        <v>161</v>
      </c>
      <c r="J1312">
        <v>0</v>
      </c>
      <c r="K1312">
        <v>70</v>
      </c>
      <c r="L1312">
        <v>33</v>
      </c>
      <c r="M1312">
        <v>29</v>
      </c>
      <c r="N1312">
        <v>26</v>
      </c>
      <c r="O1312">
        <v>14722</v>
      </c>
      <c r="P1312">
        <v>1194.6635100000001</v>
      </c>
      <c r="Q1312">
        <v>261</v>
      </c>
      <c r="R1312">
        <v>0.543918919</v>
      </c>
      <c r="S1312">
        <v>654</v>
      </c>
      <c r="T1312">
        <v>0</v>
      </c>
      <c r="U1312">
        <v>32</v>
      </c>
      <c r="V1312">
        <v>12</v>
      </c>
      <c r="W1312">
        <v>86</v>
      </c>
      <c r="X1312">
        <v>146</v>
      </c>
      <c r="Y1312">
        <v>16</v>
      </c>
      <c r="Z1312">
        <v>77</v>
      </c>
      <c r="AA1312">
        <v>87</v>
      </c>
      <c r="AB1312">
        <v>285</v>
      </c>
      <c r="AC1312">
        <v>155</v>
      </c>
      <c r="AD1312">
        <v>34</v>
      </c>
      <c r="AE1312">
        <v>0</v>
      </c>
      <c r="AF1312">
        <v>0</v>
      </c>
      <c r="AG1312">
        <v>4</v>
      </c>
      <c r="AH1312">
        <v>11</v>
      </c>
      <c r="AI1312">
        <v>0</v>
      </c>
      <c r="AJ1312">
        <v>0</v>
      </c>
      <c r="AK1312">
        <v>1.0473600000000001</v>
      </c>
      <c r="AL1312">
        <v>3</v>
      </c>
      <c r="AM1312">
        <v>0</v>
      </c>
      <c r="AN1312">
        <v>159</v>
      </c>
      <c r="AO1312">
        <v>0</v>
      </c>
      <c r="AP1312">
        <v>0</v>
      </c>
      <c r="AQ1312">
        <v>0</v>
      </c>
    </row>
    <row r="1313" spans="1:43" x14ac:dyDescent="0.25">
      <c r="A1313">
        <v>1310</v>
      </c>
      <c r="B1313">
        <v>28</v>
      </c>
      <c r="C1313">
        <v>28</v>
      </c>
      <c r="D1313">
        <v>7</v>
      </c>
      <c r="E1313">
        <v>1572</v>
      </c>
      <c r="F1313">
        <v>2610</v>
      </c>
      <c r="G1313">
        <v>2898</v>
      </c>
      <c r="H1313">
        <v>1254</v>
      </c>
      <c r="I1313">
        <v>1253</v>
      </c>
      <c r="J1313">
        <v>419</v>
      </c>
      <c r="K1313">
        <v>601</v>
      </c>
      <c r="L1313">
        <v>426</v>
      </c>
      <c r="M1313">
        <v>268</v>
      </c>
      <c r="N1313">
        <v>295</v>
      </c>
      <c r="O1313">
        <v>1041</v>
      </c>
      <c r="P1313">
        <v>159.04963599999999</v>
      </c>
      <c r="Q1313">
        <v>340.75734169999998</v>
      </c>
      <c r="R1313">
        <v>0.54204247900000002</v>
      </c>
      <c r="S1313">
        <v>2905</v>
      </c>
      <c r="T1313">
        <v>32</v>
      </c>
      <c r="U1313">
        <v>174</v>
      </c>
      <c r="V1313">
        <v>569</v>
      </c>
      <c r="W1313">
        <v>886</v>
      </c>
      <c r="X1313">
        <v>1590</v>
      </c>
      <c r="Y1313">
        <v>207</v>
      </c>
      <c r="Z1313">
        <v>138</v>
      </c>
      <c r="AA1313">
        <v>2005</v>
      </c>
      <c r="AB1313">
        <v>35</v>
      </c>
      <c r="AC1313">
        <v>435</v>
      </c>
      <c r="AD1313">
        <v>85</v>
      </c>
      <c r="AE1313">
        <v>0</v>
      </c>
      <c r="AF1313">
        <v>0</v>
      </c>
      <c r="AG1313">
        <v>4</v>
      </c>
      <c r="AH1313">
        <v>0</v>
      </c>
      <c r="AI1313">
        <v>0</v>
      </c>
      <c r="AJ1313">
        <v>0</v>
      </c>
      <c r="AK1313">
        <v>1.36938</v>
      </c>
      <c r="AL1313">
        <v>2</v>
      </c>
      <c r="AM1313">
        <v>0</v>
      </c>
      <c r="AN1313">
        <v>1572</v>
      </c>
      <c r="AO1313">
        <v>288</v>
      </c>
      <c r="AP1313">
        <v>0</v>
      </c>
      <c r="AQ1313">
        <v>0</v>
      </c>
    </row>
    <row r="1314" spans="1:43" x14ac:dyDescent="0.25">
      <c r="A1314">
        <v>1311</v>
      </c>
      <c r="B1314">
        <v>28</v>
      </c>
      <c r="C1314">
        <v>28</v>
      </c>
      <c r="D1314">
        <v>7</v>
      </c>
      <c r="E1314">
        <v>2556</v>
      </c>
      <c r="F1314">
        <v>5696</v>
      </c>
      <c r="G1314">
        <v>5758</v>
      </c>
      <c r="H1314">
        <v>2892</v>
      </c>
      <c r="I1314">
        <v>2692</v>
      </c>
      <c r="J1314">
        <v>539</v>
      </c>
      <c r="K1314">
        <v>418</v>
      </c>
      <c r="L1314">
        <v>432</v>
      </c>
      <c r="M1314">
        <v>666</v>
      </c>
      <c r="N1314">
        <v>1050</v>
      </c>
      <c r="O1314">
        <v>92029</v>
      </c>
      <c r="P1314">
        <v>4120.8435920000002</v>
      </c>
      <c r="Q1314">
        <v>280.13707599999998</v>
      </c>
      <c r="R1314">
        <v>0.418045369</v>
      </c>
      <c r="S1314">
        <v>3712</v>
      </c>
      <c r="T1314">
        <v>135</v>
      </c>
      <c r="U1314">
        <v>538</v>
      </c>
      <c r="V1314">
        <v>1048</v>
      </c>
      <c r="W1314">
        <v>1927</v>
      </c>
      <c r="X1314">
        <v>1956</v>
      </c>
      <c r="Y1314">
        <v>34</v>
      </c>
      <c r="Z1314">
        <v>318</v>
      </c>
      <c r="AA1314">
        <v>869</v>
      </c>
      <c r="AB1314">
        <v>747</v>
      </c>
      <c r="AC1314">
        <v>1551</v>
      </c>
      <c r="AD1314">
        <v>193</v>
      </c>
      <c r="AE1314">
        <v>0</v>
      </c>
      <c r="AF1314">
        <v>0</v>
      </c>
      <c r="AG1314">
        <v>4</v>
      </c>
      <c r="AH1314">
        <v>0</v>
      </c>
      <c r="AI1314">
        <v>0</v>
      </c>
      <c r="AJ1314">
        <v>0</v>
      </c>
      <c r="AK1314">
        <v>0.97528999999999999</v>
      </c>
      <c r="AL1314">
        <v>1</v>
      </c>
      <c r="AM1314">
        <v>0</v>
      </c>
      <c r="AN1314">
        <v>2556</v>
      </c>
      <c r="AO1314">
        <v>62</v>
      </c>
      <c r="AP1314">
        <v>0</v>
      </c>
      <c r="AQ1314">
        <v>0</v>
      </c>
    </row>
    <row r="1315" spans="1:43" x14ac:dyDescent="0.25">
      <c r="A1315">
        <v>1312</v>
      </c>
      <c r="B1315">
        <v>28</v>
      </c>
      <c r="C1315">
        <v>28</v>
      </c>
      <c r="D1315">
        <v>7</v>
      </c>
      <c r="E1315">
        <v>590</v>
      </c>
      <c r="F1315">
        <v>1422</v>
      </c>
      <c r="G1315">
        <v>1444</v>
      </c>
      <c r="H1315">
        <v>717</v>
      </c>
      <c r="I1315">
        <v>831</v>
      </c>
      <c r="J1315">
        <v>6</v>
      </c>
      <c r="K1315">
        <v>197</v>
      </c>
      <c r="L1315">
        <v>163</v>
      </c>
      <c r="M1315">
        <v>154</v>
      </c>
      <c r="N1315">
        <v>70</v>
      </c>
      <c r="O1315">
        <v>187154</v>
      </c>
      <c r="P1315">
        <v>1607.7988230000001</v>
      </c>
      <c r="Q1315">
        <v>392</v>
      </c>
      <c r="R1315">
        <v>0.26833976799999998</v>
      </c>
      <c r="S1315">
        <v>457</v>
      </c>
      <c r="T1315">
        <v>51</v>
      </c>
      <c r="U1315">
        <v>241</v>
      </c>
      <c r="V1315">
        <v>399</v>
      </c>
      <c r="W1315">
        <v>424</v>
      </c>
      <c r="X1315">
        <v>344</v>
      </c>
      <c r="Y1315">
        <v>3</v>
      </c>
      <c r="Z1315">
        <v>41</v>
      </c>
      <c r="AA1315">
        <v>103</v>
      </c>
      <c r="AB1315">
        <v>210</v>
      </c>
      <c r="AC1315">
        <v>53</v>
      </c>
      <c r="AD1315">
        <v>47</v>
      </c>
      <c r="AE1315">
        <v>0</v>
      </c>
      <c r="AF1315">
        <v>0</v>
      </c>
      <c r="AG1315">
        <v>5</v>
      </c>
      <c r="AH1315">
        <v>0</v>
      </c>
      <c r="AI1315">
        <v>0</v>
      </c>
      <c r="AJ1315">
        <v>0</v>
      </c>
      <c r="AK1315">
        <v>0.93156000000000005</v>
      </c>
      <c r="AL1315">
        <v>1</v>
      </c>
      <c r="AM1315">
        <v>0</v>
      </c>
      <c r="AN1315">
        <v>590</v>
      </c>
      <c r="AO1315">
        <v>22</v>
      </c>
      <c r="AP1315">
        <v>0</v>
      </c>
      <c r="AQ1315">
        <v>0</v>
      </c>
    </row>
    <row r="1316" spans="1:43" x14ac:dyDescent="0.25">
      <c r="A1316">
        <v>1313</v>
      </c>
      <c r="B1316">
        <v>28</v>
      </c>
      <c r="C1316">
        <v>28</v>
      </c>
      <c r="D1316">
        <v>7</v>
      </c>
      <c r="E1316">
        <v>1503</v>
      </c>
      <c r="F1316">
        <v>3421</v>
      </c>
      <c r="G1316">
        <v>4114</v>
      </c>
      <c r="H1316">
        <v>1998</v>
      </c>
      <c r="I1316">
        <v>1570</v>
      </c>
      <c r="J1316">
        <v>208</v>
      </c>
      <c r="K1316">
        <v>361</v>
      </c>
      <c r="L1316">
        <v>293</v>
      </c>
      <c r="M1316">
        <v>487</v>
      </c>
      <c r="N1316">
        <v>352</v>
      </c>
      <c r="O1316">
        <v>43845</v>
      </c>
      <c r="P1316">
        <v>2094.9065089999999</v>
      </c>
      <c r="Q1316">
        <v>446</v>
      </c>
      <c r="R1316">
        <v>0.222148978</v>
      </c>
      <c r="S1316">
        <v>4552</v>
      </c>
      <c r="T1316">
        <v>121</v>
      </c>
      <c r="U1316">
        <v>954</v>
      </c>
      <c r="V1316">
        <v>1442</v>
      </c>
      <c r="W1316">
        <v>1020</v>
      </c>
      <c r="X1316">
        <v>773</v>
      </c>
      <c r="Y1316">
        <v>40</v>
      </c>
      <c r="Z1316">
        <v>182</v>
      </c>
      <c r="AA1316">
        <v>1454</v>
      </c>
      <c r="AB1316">
        <v>711</v>
      </c>
      <c r="AC1316">
        <v>2010</v>
      </c>
      <c r="AD1316">
        <v>155</v>
      </c>
      <c r="AE1316">
        <v>0</v>
      </c>
      <c r="AF1316">
        <v>0</v>
      </c>
      <c r="AG1316">
        <v>4</v>
      </c>
      <c r="AH1316">
        <v>58</v>
      </c>
      <c r="AI1316">
        <v>817</v>
      </c>
      <c r="AJ1316">
        <v>464</v>
      </c>
      <c r="AK1316">
        <v>1.0390999999999999</v>
      </c>
      <c r="AL1316">
        <v>1</v>
      </c>
      <c r="AM1316">
        <v>0</v>
      </c>
      <c r="AN1316">
        <v>1503</v>
      </c>
      <c r="AO1316">
        <v>693</v>
      </c>
      <c r="AP1316">
        <v>0</v>
      </c>
      <c r="AQ1316">
        <v>0</v>
      </c>
    </row>
    <row r="1317" spans="1:43" x14ac:dyDescent="0.25">
      <c r="A1317">
        <v>1314</v>
      </c>
      <c r="B1317">
        <v>28</v>
      </c>
      <c r="C1317">
        <v>28</v>
      </c>
      <c r="D1317">
        <v>7</v>
      </c>
      <c r="E1317">
        <v>2573</v>
      </c>
      <c r="F1317">
        <v>5535</v>
      </c>
      <c r="G1317">
        <v>5572</v>
      </c>
      <c r="H1317">
        <v>2758</v>
      </c>
      <c r="I1317">
        <v>2178</v>
      </c>
      <c r="J1317">
        <v>547</v>
      </c>
      <c r="K1317">
        <v>615</v>
      </c>
      <c r="L1317">
        <v>481</v>
      </c>
      <c r="M1317">
        <v>493</v>
      </c>
      <c r="N1317">
        <v>975</v>
      </c>
      <c r="O1317">
        <v>3031</v>
      </c>
      <c r="P1317">
        <v>880.94887540000002</v>
      </c>
      <c r="Q1317">
        <v>102.5742213</v>
      </c>
      <c r="R1317">
        <v>0.35016586799999999</v>
      </c>
      <c r="S1317">
        <v>5922</v>
      </c>
      <c r="T1317">
        <v>246</v>
      </c>
      <c r="U1317">
        <v>641</v>
      </c>
      <c r="V1317">
        <v>1494</v>
      </c>
      <c r="W1317">
        <v>1091</v>
      </c>
      <c r="X1317">
        <v>1667</v>
      </c>
      <c r="Y1317">
        <v>471</v>
      </c>
      <c r="Z1317">
        <v>594</v>
      </c>
      <c r="AA1317">
        <v>1891</v>
      </c>
      <c r="AB1317">
        <v>741</v>
      </c>
      <c r="AC1317">
        <v>1889</v>
      </c>
      <c r="AD1317">
        <v>336</v>
      </c>
      <c r="AE1317">
        <v>0</v>
      </c>
      <c r="AF1317">
        <v>0</v>
      </c>
      <c r="AG1317">
        <v>4</v>
      </c>
      <c r="AH1317">
        <v>435</v>
      </c>
      <c r="AI1317">
        <v>0</v>
      </c>
      <c r="AJ1317">
        <v>0</v>
      </c>
      <c r="AK1317">
        <v>1.34423</v>
      </c>
      <c r="AL1317">
        <v>2</v>
      </c>
      <c r="AM1317">
        <v>0</v>
      </c>
      <c r="AN1317">
        <v>2573</v>
      </c>
      <c r="AO1317">
        <v>37</v>
      </c>
      <c r="AP1317">
        <v>0</v>
      </c>
      <c r="AQ1317">
        <v>0</v>
      </c>
    </row>
    <row r="1318" spans="1:43" x14ac:dyDescent="0.25">
      <c r="A1318">
        <v>1315</v>
      </c>
      <c r="B1318">
        <v>28</v>
      </c>
      <c r="C1318">
        <v>28</v>
      </c>
      <c r="D1318">
        <v>7</v>
      </c>
      <c r="E1318">
        <v>850</v>
      </c>
      <c r="F1318">
        <v>1927</v>
      </c>
      <c r="G1318">
        <v>1940</v>
      </c>
      <c r="H1318">
        <v>1085</v>
      </c>
      <c r="I1318">
        <v>1077</v>
      </c>
      <c r="J1318">
        <v>40</v>
      </c>
      <c r="K1318">
        <v>218</v>
      </c>
      <c r="L1318">
        <v>161</v>
      </c>
      <c r="M1318">
        <v>184</v>
      </c>
      <c r="N1318">
        <v>287</v>
      </c>
      <c r="O1318">
        <v>32879</v>
      </c>
      <c r="P1318">
        <v>912.19604049999998</v>
      </c>
      <c r="Q1318">
        <v>217</v>
      </c>
      <c r="R1318">
        <v>0.34573643399999998</v>
      </c>
      <c r="S1318">
        <v>4170</v>
      </c>
      <c r="T1318">
        <v>30</v>
      </c>
      <c r="U1318">
        <v>214</v>
      </c>
      <c r="V1318">
        <v>490</v>
      </c>
      <c r="W1318">
        <v>574</v>
      </c>
      <c r="X1318">
        <v>531</v>
      </c>
      <c r="Y1318">
        <v>64</v>
      </c>
      <c r="Z1318">
        <v>168</v>
      </c>
      <c r="AA1318">
        <v>470</v>
      </c>
      <c r="AB1318">
        <v>498</v>
      </c>
      <c r="AC1318">
        <v>2285</v>
      </c>
      <c r="AD1318">
        <v>685</v>
      </c>
      <c r="AE1318">
        <v>0</v>
      </c>
      <c r="AF1318">
        <v>0</v>
      </c>
      <c r="AG1318">
        <v>4</v>
      </c>
      <c r="AH1318">
        <v>0</v>
      </c>
      <c r="AI1318">
        <v>0</v>
      </c>
      <c r="AJ1318">
        <v>0</v>
      </c>
      <c r="AK1318">
        <v>1.2113700000000001</v>
      </c>
      <c r="AL1318">
        <v>3</v>
      </c>
      <c r="AM1318">
        <v>0</v>
      </c>
      <c r="AN1318">
        <v>850</v>
      </c>
      <c r="AO1318">
        <v>13</v>
      </c>
      <c r="AP1318">
        <v>0</v>
      </c>
      <c r="AQ1318">
        <v>0</v>
      </c>
    </row>
    <row r="1319" spans="1:43" x14ac:dyDescent="0.25">
      <c r="A1319">
        <v>1316</v>
      </c>
      <c r="B1319">
        <v>28</v>
      </c>
      <c r="C1319">
        <v>28</v>
      </c>
      <c r="D1319">
        <v>7</v>
      </c>
      <c r="E1319">
        <v>276</v>
      </c>
      <c r="F1319">
        <v>697</v>
      </c>
      <c r="G1319">
        <v>724</v>
      </c>
      <c r="H1319">
        <v>412</v>
      </c>
      <c r="I1319">
        <v>367</v>
      </c>
      <c r="J1319">
        <v>4</v>
      </c>
      <c r="K1319">
        <v>46</v>
      </c>
      <c r="L1319">
        <v>57</v>
      </c>
      <c r="M1319">
        <v>76</v>
      </c>
      <c r="N1319">
        <v>95</v>
      </c>
      <c r="O1319">
        <v>44316</v>
      </c>
      <c r="P1319">
        <v>1301.725927</v>
      </c>
      <c r="Q1319">
        <v>140</v>
      </c>
      <c r="R1319">
        <v>0.26382488500000001</v>
      </c>
      <c r="S1319">
        <v>750</v>
      </c>
      <c r="T1319">
        <v>28</v>
      </c>
      <c r="U1319">
        <v>72</v>
      </c>
      <c r="V1319">
        <v>281</v>
      </c>
      <c r="W1319">
        <v>258</v>
      </c>
      <c r="X1319">
        <v>180</v>
      </c>
      <c r="Y1319">
        <v>34</v>
      </c>
      <c r="Z1319">
        <v>73</v>
      </c>
      <c r="AA1319">
        <v>81</v>
      </c>
      <c r="AB1319">
        <v>216</v>
      </c>
      <c r="AC1319">
        <v>303</v>
      </c>
      <c r="AD1319">
        <v>43</v>
      </c>
      <c r="AE1319">
        <v>0</v>
      </c>
      <c r="AF1319">
        <v>0</v>
      </c>
      <c r="AG1319">
        <v>4</v>
      </c>
      <c r="AH1319">
        <v>0</v>
      </c>
      <c r="AI1319">
        <v>0</v>
      </c>
      <c r="AJ1319">
        <v>0</v>
      </c>
      <c r="AK1319">
        <v>0.95659000000000005</v>
      </c>
      <c r="AL1319">
        <v>1</v>
      </c>
      <c r="AM1319">
        <v>0</v>
      </c>
      <c r="AN1319">
        <v>276</v>
      </c>
      <c r="AO1319">
        <v>27</v>
      </c>
      <c r="AP1319">
        <v>0</v>
      </c>
      <c r="AQ1319">
        <v>0</v>
      </c>
    </row>
    <row r="1320" spans="1:43" x14ac:dyDescent="0.25">
      <c r="A1320">
        <v>1317</v>
      </c>
      <c r="B1320">
        <v>28</v>
      </c>
      <c r="C1320">
        <v>28</v>
      </c>
      <c r="D1320">
        <v>7</v>
      </c>
      <c r="E1320">
        <v>2325</v>
      </c>
      <c r="F1320">
        <v>5442</v>
      </c>
      <c r="G1320">
        <v>5459</v>
      </c>
      <c r="H1320">
        <v>3020</v>
      </c>
      <c r="I1320">
        <v>1907</v>
      </c>
      <c r="J1320">
        <v>379</v>
      </c>
      <c r="K1320">
        <v>694</v>
      </c>
      <c r="L1320">
        <v>604</v>
      </c>
      <c r="M1320">
        <v>542</v>
      </c>
      <c r="N1320">
        <v>478</v>
      </c>
      <c r="O1320">
        <v>1662</v>
      </c>
      <c r="P1320">
        <v>726.80968429999996</v>
      </c>
      <c r="Q1320">
        <v>58</v>
      </c>
      <c r="R1320">
        <v>0.299622098</v>
      </c>
      <c r="S1320">
        <v>2908</v>
      </c>
      <c r="T1320">
        <v>287</v>
      </c>
      <c r="U1320">
        <v>539</v>
      </c>
      <c r="V1320">
        <v>1470</v>
      </c>
      <c r="W1320">
        <v>1618</v>
      </c>
      <c r="X1320">
        <v>1390</v>
      </c>
      <c r="Y1320">
        <v>161</v>
      </c>
      <c r="Z1320">
        <v>215</v>
      </c>
      <c r="AA1320">
        <v>1573</v>
      </c>
      <c r="AB1320">
        <v>290</v>
      </c>
      <c r="AC1320">
        <v>482</v>
      </c>
      <c r="AD1320">
        <v>187</v>
      </c>
      <c r="AE1320">
        <v>0</v>
      </c>
      <c r="AF1320">
        <v>0</v>
      </c>
      <c r="AG1320">
        <v>4</v>
      </c>
      <c r="AH1320">
        <v>243</v>
      </c>
      <c r="AI1320">
        <v>0</v>
      </c>
      <c r="AJ1320">
        <v>0</v>
      </c>
      <c r="AK1320">
        <v>1.1625399999999999</v>
      </c>
      <c r="AL1320">
        <v>2</v>
      </c>
      <c r="AM1320">
        <v>0</v>
      </c>
      <c r="AN1320">
        <v>2325</v>
      </c>
      <c r="AO1320">
        <v>17</v>
      </c>
      <c r="AP1320">
        <v>0</v>
      </c>
      <c r="AQ1320">
        <v>0</v>
      </c>
    </row>
    <row r="1321" spans="1:43" x14ac:dyDescent="0.25">
      <c r="A1321">
        <v>1318</v>
      </c>
      <c r="B1321">
        <v>29</v>
      </c>
      <c r="C1321">
        <v>29</v>
      </c>
      <c r="D1321">
        <v>8</v>
      </c>
      <c r="E1321">
        <v>1953</v>
      </c>
      <c r="F1321">
        <v>4184</v>
      </c>
      <c r="G1321">
        <v>4267</v>
      </c>
      <c r="H1321">
        <v>2115</v>
      </c>
      <c r="I1321">
        <v>2086</v>
      </c>
      <c r="J1321">
        <v>186</v>
      </c>
      <c r="K1321">
        <v>304</v>
      </c>
      <c r="L1321">
        <v>299</v>
      </c>
      <c r="M1321">
        <v>456</v>
      </c>
      <c r="N1321">
        <v>892</v>
      </c>
      <c r="O1321">
        <v>24850</v>
      </c>
      <c r="P1321">
        <v>6705.9952069999999</v>
      </c>
      <c r="Q1321">
        <v>1741</v>
      </c>
      <c r="R1321">
        <v>0.31397945500000002</v>
      </c>
      <c r="S1321">
        <v>1689</v>
      </c>
      <c r="T1321">
        <v>37</v>
      </c>
      <c r="U1321">
        <v>448</v>
      </c>
      <c r="V1321">
        <v>793</v>
      </c>
      <c r="W1321">
        <v>2168</v>
      </c>
      <c r="X1321">
        <v>953</v>
      </c>
      <c r="Y1321">
        <v>119</v>
      </c>
      <c r="Z1321">
        <v>177</v>
      </c>
      <c r="AA1321">
        <v>806</v>
      </c>
      <c r="AB1321">
        <v>167</v>
      </c>
      <c r="AC1321">
        <v>325</v>
      </c>
      <c r="AD1321">
        <v>95</v>
      </c>
      <c r="AE1321">
        <v>0</v>
      </c>
      <c r="AF1321">
        <v>0</v>
      </c>
      <c r="AG1321">
        <v>4</v>
      </c>
      <c r="AH1321">
        <v>0</v>
      </c>
      <c r="AI1321">
        <v>0</v>
      </c>
      <c r="AJ1321">
        <v>0</v>
      </c>
      <c r="AK1321">
        <v>0.92435</v>
      </c>
      <c r="AL1321">
        <v>1</v>
      </c>
      <c r="AM1321">
        <v>0</v>
      </c>
      <c r="AN1321">
        <v>1953</v>
      </c>
      <c r="AO1321">
        <v>83</v>
      </c>
      <c r="AP1321">
        <v>0</v>
      </c>
      <c r="AQ1321">
        <v>0</v>
      </c>
    </row>
    <row r="1322" spans="1:43" x14ac:dyDescent="0.25">
      <c r="A1322">
        <v>1319</v>
      </c>
      <c r="B1322">
        <v>29</v>
      </c>
      <c r="C1322">
        <v>29</v>
      </c>
      <c r="D1322">
        <v>8</v>
      </c>
      <c r="E1322">
        <v>3450</v>
      </c>
      <c r="F1322">
        <v>9611</v>
      </c>
      <c r="G1322">
        <v>9668</v>
      </c>
      <c r="H1322">
        <v>5288</v>
      </c>
      <c r="I1322">
        <v>2747</v>
      </c>
      <c r="J1322">
        <v>609</v>
      </c>
      <c r="K1322">
        <v>848</v>
      </c>
      <c r="L1322">
        <v>883</v>
      </c>
      <c r="M1322">
        <v>918</v>
      </c>
      <c r="N1322">
        <v>807</v>
      </c>
      <c r="O1322">
        <v>3884</v>
      </c>
      <c r="P1322">
        <v>1334.3303450000001</v>
      </c>
      <c r="Q1322">
        <v>118.75116149999999</v>
      </c>
      <c r="R1322">
        <v>0.20388062600000001</v>
      </c>
      <c r="S1322">
        <v>1294</v>
      </c>
      <c r="T1322">
        <v>863</v>
      </c>
      <c r="U1322">
        <v>1980</v>
      </c>
      <c r="V1322">
        <v>3258</v>
      </c>
      <c r="W1322">
        <v>2276</v>
      </c>
      <c r="X1322">
        <v>1582</v>
      </c>
      <c r="Y1322">
        <v>139</v>
      </c>
      <c r="Z1322">
        <v>241</v>
      </c>
      <c r="AA1322">
        <v>508</v>
      </c>
      <c r="AB1322">
        <v>53</v>
      </c>
      <c r="AC1322">
        <v>127</v>
      </c>
      <c r="AD1322">
        <v>226</v>
      </c>
      <c r="AE1322">
        <v>0</v>
      </c>
      <c r="AF1322">
        <v>0</v>
      </c>
      <c r="AG1322">
        <v>4</v>
      </c>
      <c r="AH1322">
        <v>0</v>
      </c>
      <c r="AI1322">
        <v>0</v>
      </c>
      <c r="AJ1322">
        <v>0</v>
      </c>
      <c r="AK1322">
        <v>1.07792</v>
      </c>
      <c r="AL1322">
        <v>1</v>
      </c>
      <c r="AM1322">
        <v>0</v>
      </c>
      <c r="AN1322">
        <v>3450</v>
      </c>
      <c r="AO1322">
        <v>57</v>
      </c>
      <c r="AP1322">
        <v>0</v>
      </c>
      <c r="AQ1322">
        <v>0</v>
      </c>
    </row>
    <row r="1323" spans="1:43" x14ac:dyDescent="0.25">
      <c r="A1323">
        <v>1320</v>
      </c>
      <c r="B1323">
        <v>29</v>
      </c>
      <c r="C1323">
        <v>29</v>
      </c>
      <c r="D1323">
        <v>8</v>
      </c>
      <c r="E1323">
        <v>2620</v>
      </c>
      <c r="F1323">
        <v>5539</v>
      </c>
      <c r="G1323">
        <v>5604</v>
      </c>
      <c r="H1323">
        <v>2858</v>
      </c>
      <c r="I1323">
        <v>2130</v>
      </c>
      <c r="J1323">
        <v>622</v>
      </c>
      <c r="K1323">
        <v>654</v>
      </c>
      <c r="L1323">
        <v>791</v>
      </c>
      <c r="M1323">
        <v>495</v>
      </c>
      <c r="N1323">
        <v>705</v>
      </c>
      <c r="O1323">
        <v>7896</v>
      </c>
      <c r="P1323">
        <v>2990.855145</v>
      </c>
      <c r="Q1323">
        <v>334</v>
      </c>
      <c r="R1323">
        <v>0.37684469399999998</v>
      </c>
      <c r="S1323">
        <v>3816</v>
      </c>
      <c r="T1323">
        <v>200</v>
      </c>
      <c r="U1323">
        <v>526</v>
      </c>
      <c r="V1323">
        <v>1128</v>
      </c>
      <c r="W1323">
        <v>1866</v>
      </c>
      <c r="X1323">
        <v>1876</v>
      </c>
      <c r="Y1323">
        <v>378</v>
      </c>
      <c r="Z1323">
        <v>1092</v>
      </c>
      <c r="AA1323">
        <v>1585</v>
      </c>
      <c r="AB1323">
        <v>116</v>
      </c>
      <c r="AC1323">
        <v>313</v>
      </c>
      <c r="AD1323">
        <v>332</v>
      </c>
      <c r="AE1323">
        <v>0</v>
      </c>
      <c r="AF1323">
        <v>0</v>
      </c>
      <c r="AG1323">
        <v>4</v>
      </c>
      <c r="AH1323">
        <v>0</v>
      </c>
      <c r="AI1323">
        <v>0</v>
      </c>
      <c r="AJ1323">
        <v>0</v>
      </c>
      <c r="AK1323">
        <v>0.99529999999999996</v>
      </c>
      <c r="AL1323">
        <v>2</v>
      </c>
      <c r="AM1323">
        <v>0</v>
      </c>
      <c r="AN1323">
        <v>2620</v>
      </c>
      <c r="AO1323">
        <v>65</v>
      </c>
      <c r="AP1323">
        <v>0</v>
      </c>
      <c r="AQ1323">
        <v>0</v>
      </c>
    </row>
    <row r="1324" spans="1:43" x14ac:dyDescent="0.25">
      <c r="A1324">
        <v>1321</v>
      </c>
      <c r="B1324">
        <v>29</v>
      </c>
      <c r="C1324">
        <v>29</v>
      </c>
      <c r="D1324">
        <v>8</v>
      </c>
      <c r="E1324">
        <v>2552</v>
      </c>
      <c r="F1324">
        <v>6249</v>
      </c>
      <c r="G1324">
        <v>6272</v>
      </c>
      <c r="H1324">
        <v>2793</v>
      </c>
      <c r="I1324">
        <v>2321</v>
      </c>
      <c r="J1324">
        <v>183</v>
      </c>
      <c r="K1324">
        <v>747</v>
      </c>
      <c r="L1324">
        <v>753</v>
      </c>
      <c r="M1324">
        <v>584</v>
      </c>
      <c r="N1324">
        <v>476</v>
      </c>
      <c r="O1324">
        <v>752</v>
      </c>
      <c r="P1324">
        <v>489</v>
      </c>
      <c r="Q1324">
        <v>30</v>
      </c>
      <c r="R1324">
        <v>0.325097529</v>
      </c>
      <c r="S1324">
        <v>917</v>
      </c>
      <c r="T1324">
        <v>335</v>
      </c>
      <c r="U1324">
        <v>528</v>
      </c>
      <c r="V1324">
        <v>1853</v>
      </c>
      <c r="W1324">
        <v>1767</v>
      </c>
      <c r="X1324">
        <v>1570</v>
      </c>
      <c r="Y1324">
        <v>39</v>
      </c>
      <c r="Z1324">
        <v>198</v>
      </c>
      <c r="AA1324">
        <v>282</v>
      </c>
      <c r="AB1324">
        <v>51</v>
      </c>
      <c r="AC1324">
        <v>140</v>
      </c>
      <c r="AD1324">
        <v>207</v>
      </c>
      <c r="AE1324">
        <v>0</v>
      </c>
      <c r="AF1324">
        <v>0</v>
      </c>
      <c r="AG1324">
        <v>4</v>
      </c>
      <c r="AH1324">
        <v>0</v>
      </c>
      <c r="AI1324">
        <v>0</v>
      </c>
      <c r="AJ1324">
        <v>0</v>
      </c>
      <c r="AK1324">
        <v>1.15184</v>
      </c>
      <c r="AL1324">
        <v>3</v>
      </c>
      <c r="AM1324">
        <v>0</v>
      </c>
      <c r="AN1324">
        <v>2552</v>
      </c>
      <c r="AO1324">
        <v>23</v>
      </c>
      <c r="AP1324">
        <v>0</v>
      </c>
      <c r="AQ1324">
        <v>0</v>
      </c>
    </row>
    <row r="1325" spans="1:43" x14ac:dyDescent="0.25">
      <c r="A1325">
        <v>1322</v>
      </c>
      <c r="B1325">
        <v>29</v>
      </c>
      <c r="C1325">
        <v>29</v>
      </c>
      <c r="D1325">
        <v>8</v>
      </c>
      <c r="E1325">
        <v>37</v>
      </c>
      <c r="F1325">
        <v>80</v>
      </c>
      <c r="G1325">
        <v>80</v>
      </c>
      <c r="H1325">
        <v>23</v>
      </c>
      <c r="I1325">
        <v>40</v>
      </c>
      <c r="J1325">
        <v>0</v>
      </c>
      <c r="K1325">
        <v>6</v>
      </c>
      <c r="L1325">
        <v>4</v>
      </c>
      <c r="M1325">
        <v>4</v>
      </c>
      <c r="N1325">
        <v>22</v>
      </c>
      <c r="O1325">
        <v>15493</v>
      </c>
      <c r="P1325">
        <v>4382.174172</v>
      </c>
      <c r="Q1325">
        <v>1197</v>
      </c>
      <c r="R1325">
        <v>0.55555555599999995</v>
      </c>
      <c r="S1325">
        <v>327</v>
      </c>
      <c r="T1325">
        <v>0</v>
      </c>
      <c r="U1325">
        <v>0</v>
      </c>
      <c r="V1325">
        <v>17</v>
      </c>
      <c r="W1325">
        <v>23</v>
      </c>
      <c r="X1325">
        <v>40</v>
      </c>
      <c r="Y1325">
        <v>31</v>
      </c>
      <c r="Z1325">
        <v>107</v>
      </c>
      <c r="AA1325">
        <v>116</v>
      </c>
      <c r="AB1325">
        <v>5</v>
      </c>
      <c r="AC1325">
        <v>30</v>
      </c>
      <c r="AD1325">
        <v>38</v>
      </c>
      <c r="AE1325">
        <v>0</v>
      </c>
      <c r="AF1325">
        <v>0</v>
      </c>
      <c r="AG1325">
        <v>4</v>
      </c>
      <c r="AH1325">
        <v>18</v>
      </c>
      <c r="AI1325">
        <v>0</v>
      </c>
      <c r="AJ1325">
        <v>0</v>
      </c>
      <c r="AK1325">
        <v>0.94135999999999997</v>
      </c>
      <c r="AL1325">
        <v>2</v>
      </c>
      <c r="AM1325">
        <v>0</v>
      </c>
      <c r="AN1325">
        <v>37</v>
      </c>
      <c r="AO1325">
        <v>0</v>
      </c>
      <c r="AP1325">
        <v>0</v>
      </c>
      <c r="AQ1325">
        <v>0</v>
      </c>
    </row>
    <row r="1326" spans="1:43" x14ac:dyDescent="0.25">
      <c r="A1326">
        <v>1323</v>
      </c>
      <c r="B1326">
        <v>29</v>
      </c>
      <c r="C1326">
        <v>29</v>
      </c>
      <c r="D1326">
        <v>8</v>
      </c>
      <c r="E1326">
        <v>4306</v>
      </c>
      <c r="F1326">
        <v>8451</v>
      </c>
      <c r="G1326">
        <v>8455</v>
      </c>
      <c r="H1326">
        <v>3589</v>
      </c>
      <c r="I1326">
        <v>3351</v>
      </c>
      <c r="J1326">
        <v>931</v>
      </c>
      <c r="K1326">
        <v>1208</v>
      </c>
      <c r="L1326">
        <v>1148</v>
      </c>
      <c r="M1326">
        <v>891</v>
      </c>
      <c r="N1326">
        <v>1063</v>
      </c>
      <c r="O1326">
        <v>1786</v>
      </c>
      <c r="P1326">
        <v>1122.8911780000001</v>
      </c>
      <c r="Q1326">
        <v>208</v>
      </c>
      <c r="R1326">
        <v>0.40907516500000002</v>
      </c>
      <c r="S1326">
        <v>4801</v>
      </c>
      <c r="T1326">
        <v>258</v>
      </c>
      <c r="U1326">
        <v>1074</v>
      </c>
      <c r="V1326">
        <v>1551</v>
      </c>
      <c r="W1326">
        <v>2523</v>
      </c>
      <c r="X1326">
        <v>3079</v>
      </c>
      <c r="Y1326">
        <v>613</v>
      </c>
      <c r="Z1326">
        <v>779</v>
      </c>
      <c r="AA1326">
        <v>2365</v>
      </c>
      <c r="AB1326">
        <v>170</v>
      </c>
      <c r="AC1326">
        <v>340</v>
      </c>
      <c r="AD1326">
        <v>534</v>
      </c>
      <c r="AE1326">
        <v>0</v>
      </c>
      <c r="AF1326">
        <v>0</v>
      </c>
      <c r="AG1326">
        <v>4</v>
      </c>
      <c r="AH1326">
        <v>1119</v>
      </c>
      <c r="AI1326">
        <v>0</v>
      </c>
      <c r="AJ1326">
        <v>0</v>
      </c>
      <c r="AK1326">
        <v>1.2228300000000001</v>
      </c>
      <c r="AL1326">
        <v>3</v>
      </c>
      <c r="AM1326">
        <v>0</v>
      </c>
      <c r="AN1326">
        <v>4306</v>
      </c>
      <c r="AO1326">
        <v>4</v>
      </c>
      <c r="AP1326">
        <v>0</v>
      </c>
      <c r="AQ1326">
        <v>0</v>
      </c>
    </row>
    <row r="1327" spans="1:43" x14ac:dyDescent="0.25">
      <c r="A1327">
        <v>1324</v>
      </c>
      <c r="B1327">
        <v>29</v>
      </c>
      <c r="C1327">
        <v>29</v>
      </c>
      <c r="D1327">
        <v>8</v>
      </c>
      <c r="E1327">
        <v>2014</v>
      </c>
      <c r="F1327">
        <v>4087</v>
      </c>
      <c r="G1327">
        <v>4091</v>
      </c>
      <c r="H1327">
        <v>1725</v>
      </c>
      <c r="I1327">
        <v>2181</v>
      </c>
      <c r="J1327">
        <v>55</v>
      </c>
      <c r="K1327">
        <v>656</v>
      </c>
      <c r="L1327">
        <v>441</v>
      </c>
      <c r="M1327">
        <v>359</v>
      </c>
      <c r="N1327">
        <v>554</v>
      </c>
      <c r="O1327">
        <v>39085</v>
      </c>
      <c r="P1327">
        <v>3444.43777</v>
      </c>
      <c r="Q1327">
        <v>1204.2591259999999</v>
      </c>
      <c r="R1327">
        <v>0.54604500099999997</v>
      </c>
      <c r="S1327">
        <v>3988</v>
      </c>
      <c r="T1327">
        <v>98</v>
      </c>
      <c r="U1327">
        <v>332</v>
      </c>
      <c r="V1327">
        <v>789</v>
      </c>
      <c r="W1327">
        <v>950</v>
      </c>
      <c r="X1327">
        <v>2078</v>
      </c>
      <c r="Y1327">
        <v>125</v>
      </c>
      <c r="Z1327">
        <v>733</v>
      </c>
      <c r="AA1327">
        <v>389</v>
      </c>
      <c r="AB1327">
        <v>413</v>
      </c>
      <c r="AC1327">
        <v>1704</v>
      </c>
      <c r="AD1327">
        <v>624</v>
      </c>
      <c r="AE1327">
        <v>0</v>
      </c>
      <c r="AF1327">
        <v>0</v>
      </c>
      <c r="AG1327">
        <v>5</v>
      </c>
      <c r="AH1327">
        <v>0</v>
      </c>
      <c r="AI1327">
        <v>0</v>
      </c>
      <c r="AJ1327">
        <v>0</v>
      </c>
      <c r="AK1327">
        <v>0.94279000000000002</v>
      </c>
      <c r="AL1327">
        <v>3</v>
      </c>
      <c r="AM1327">
        <v>0</v>
      </c>
      <c r="AN1327">
        <v>2014</v>
      </c>
      <c r="AO1327">
        <v>4</v>
      </c>
      <c r="AP1327">
        <v>0</v>
      </c>
      <c r="AQ1327">
        <v>0</v>
      </c>
    </row>
    <row r="1328" spans="1:43" x14ac:dyDescent="0.25">
      <c r="A1328">
        <v>1325</v>
      </c>
      <c r="B1328">
        <v>29</v>
      </c>
      <c r="C1328">
        <v>29</v>
      </c>
      <c r="D1328">
        <v>8</v>
      </c>
      <c r="E1328">
        <v>3691</v>
      </c>
      <c r="F1328">
        <v>9841</v>
      </c>
      <c r="G1328">
        <v>9860</v>
      </c>
      <c r="H1328">
        <v>5056</v>
      </c>
      <c r="I1328">
        <v>2711</v>
      </c>
      <c r="J1328">
        <v>736</v>
      </c>
      <c r="K1328">
        <v>527</v>
      </c>
      <c r="L1328">
        <v>1006</v>
      </c>
      <c r="M1328">
        <v>942</v>
      </c>
      <c r="N1328">
        <v>1222</v>
      </c>
      <c r="O1328">
        <v>43455</v>
      </c>
      <c r="P1328">
        <v>3208.8787929999999</v>
      </c>
      <c r="Q1328">
        <v>1017</v>
      </c>
      <c r="R1328">
        <v>0.21669150500000001</v>
      </c>
      <c r="S1328">
        <v>8544</v>
      </c>
      <c r="T1328">
        <v>518</v>
      </c>
      <c r="U1328">
        <v>1793</v>
      </c>
      <c r="V1328">
        <v>3028</v>
      </c>
      <c r="W1328">
        <v>2700</v>
      </c>
      <c r="X1328">
        <v>1838</v>
      </c>
      <c r="Y1328">
        <v>486</v>
      </c>
      <c r="Z1328">
        <v>1574</v>
      </c>
      <c r="AA1328">
        <v>1584</v>
      </c>
      <c r="AB1328">
        <v>89</v>
      </c>
      <c r="AC1328">
        <v>4306</v>
      </c>
      <c r="AD1328">
        <v>505</v>
      </c>
      <c r="AE1328">
        <v>0</v>
      </c>
      <c r="AF1328">
        <v>0</v>
      </c>
      <c r="AG1328">
        <v>4</v>
      </c>
      <c r="AH1328">
        <v>38</v>
      </c>
      <c r="AI1328">
        <v>0</v>
      </c>
      <c r="AJ1328">
        <v>0</v>
      </c>
      <c r="AK1328">
        <v>1.0262</v>
      </c>
      <c r="AL1328">
        <v>2</v>
      </c>
      <c r="AM1328">
        <v>0</v>
      </c>
      <c r="AN1328">
        <v>3691</v>
      </c>
      <c r="AO1328">
        <v>19</v>
      </c>
      <c r="AP1328">
        <v>0</v>
      </c>
      <c r="AQ1328">
        <v>0</v>
      </c>
    </row>
    <row r="1329" spans="1:43" x14ac:dyDescent="0.25">
      <c r="A1329">
        <v>1326</v>
      </c>
      <c r="B1329">
        <v>29</v>
      </c>
      <c r="C1329">
        <v>29</v>
      </c>
      <c r="D1329">
        <v>8</v>
      </c>
      <c r="E1329">
        <v>1929</v>
      </c>
      <c r="F1329">
        <v>4620</v>
      </c>
      <c r="G1329">
        <v>4656</v>
      </c>
      <c r="H1329">
        <v>2441</v>
      </c>
      <c r="I1329">
        <v>1757</v>
      </c>
      <c r="J1329">
        <v>60</v>
      </c>
      <c r="K1329">
        <v>405</v>
      </c>
      <c r="L1329">
        <v>455</v>
      </c>
      <c r="M1329">
        <v>301</v>
      </c>
      <c r="N1329">
        <v>776</v>
      </c>
      <c r="O1329">
        <v>5043</v>
      </c>
      <c r="P1329">
        <v>1365</v>
      </c>
      <c r="Q1329">
        <v>453</v>
      </c>
      <c r="R1329">
        <v>0.29540004399999997</v>
      </c>
      <c r="S1329">
        <v>749</v>
      </c>
      <c r="T1329">
        <v>171</v>
      </c>
      <c r="U1329">
        <v>869</v>
      </c>
      <c r="V1329">
        <v>1005</v>
      </c>
      <c r="W1329">
        <v>1472</v>
      </c>
      <c r="X1329">
        <v>983</v>
      </c>
      <c r="Y1329">
        <v>46</v>
      </c>
      <c r="Z1329">
        <v>190</v>
      </c>
      <c r="AA1329">
        <v>383</v>
      </c>
      <c r="AB1329">
        <v>15</v>
      </c>
      <c r="AC1329">
        <v>26</v>
      </c>
      <c r="AD1329">
        <v>89</v>
      </c>
      <c r="AE1329">
        <v>0</v>
      </c>
      <c r="AF1329">
        <v>0</v>
      </c>
      <c r="AG1329">
        <v>4</v>
      </c>
      <c r="AH1329">
        <v>0</v>
      </c>
      <c r="AI1329">
        <v>0</v>
      </c>
      <c r="AJ1329">
        <v>0</v>
      </c>
      <c r="AK1329">
        <v>0.95277000000000001</v>
      </c>
      <c r="AL1329">
        <v>1</v>
      </c>
      <c r="AM1329">
        <v>0</v>
      </c>
      <c r="AN1329">
        <v>1929</v>
      </c>
      <c r="AO1329">
        <v>36</v>
      </c>
      <c r="AP1329">
        <v>0</v>
      </c>
      <c r="AQ1329">
        <v>0</v>
      </c>
    </row>
    <row r="1330" spans="1:43" x14ac:dyDescent="0.25">
      <c r="A1330">
        <v>1327</v>
      </c>
      <c r="B1330">
        <v>29</v>
      </c>
      <c r="C1330">
        <v>29</v>
      </c>
      <c r="D1330">
        <v>8</v>
      </c>
      <c r="E1330">
        <v>1982</v>
      </c>
      <c r="F1330">
        <v>4338</v>
      </c>
      <c r="G1330">
        <v>4338</v>
      </c>
      <c r="H1330">
        <v>2372</v>
      </c>
      <c r="I1330">
        <v>1673</v>
      </c>
      <c r="J1330">
        <v>288</v>
      </c>
      <c r="K1330">
        <v>554</v>
      </c>
      <c r="L1330">
        <v>499</v>
      </c>
      <c r="M1330">
        <v>432</v>
      </c>
      <c r="N1330">
        <v>507</v>
      </c>
      <c r="O1330">
        <v>3413</v>
      </c>
      <c r="P1330">
        <v>833.49314070000003</v>
      </c>
      <c r="Q1330">
        <v>97</v>
      </c>
      <c r="R1330">
        <v>0.25824175799999999</v>
      </c>
      <c r="S1330">
        <v>1935</v>
      </c>
      <c r="T1330">
        <v>78</v>
      </c>
      <c r="U1330">
        <v>806</v>
      </c>
      <c r="V1330">
        <v>1129</v>
      </c>
      <c r="W1330">
        <v>1526</v>
      </c>
      <c r="X1330">
        <v>918</v>
      </c>
      <c r="Y1330">
        <v>35</v>
      </c>
      <c r="Z1330">
        <v>127</v>
      </c>
      <c r="AA1330">
        <v>1333</v>
      </c>
      <c r="AB1330">
        <v>20</v>
      </c>
      <c r="AC1330">
        <v>76</v>
      </c>
      <c r="AD1330">
        <v>344</v>
      </c>
      <c r="AE1330">
        <v>0</v>
      </c>
      <c r="AF1330">
        <v>0</v>
      </c>
      <c r="AG1330">
        <v>4</v>
      </c>
      <c r="AH1330">
        <v>1270</v>
      </c>
      <c r="AI1330">
        <v>0</v>
      </c>
      <c r="AJ1330">
        <v>0</v>
      </c>
      <c r="AK1330">
        <v>1.1220600000000001</v>
      </c>
      <c r="AL1330">
        <v>1</v>
      </c>
      <c r="AM1330">
        <v>0</v>
      </c>
      <c r="AN1330">
        <v>1982</v>
      </c>
      <c r="AO1330">
        <v>0</v>
      </c>
      <c r="AP1330">
        <v>0</v>
      </c>
      <c r="AQ1330">
        <v>0</v>
      </c>
    </row>
    <row r="1331" spans="1:43" x14ac:dyDescent="0.25">
      <c r="A1331">
        <v>1328</v>
      </c>
      <c r="B1331">
        <v>29</v>
      </c>
      <c r="C1331">
        <v>29</v>
      </c>
      <c r="D1331">
        <v>8</v>
      </c>
      <c r="E1331">
        <v>1778</v>
      </c>
      <c r="F1331">
        <v>4779</v>
      </c>
      <c r="G1331">
        <v>5103</v>
      </c>
      <c r="H1331">
        <v>2442</v>
      </c>
      <c r="I1331">
        <v>1617</v>
      </c>
      <c r="J1331">
        <v>174</v>
      </c>
      <c r="K1331">
        <v>365</v>
      </c>
      <c r="L1331">
        <v>444</v>
      </c>
      <c r="M1331">
        <v>346</v>
      </c>
      <c r="N1331">
        <v>622</v>
      </c>
      <c r="O1331">
        <v>29862</v>
      </c>
      <c r="P1331">
        <v>3395.7786030000002</v>
      </c>
      <c r="Q1331">
        <v>933</v>
      </c>
      <c r="R1331">
        <v>0.22156514899999999</v>
      </c>
      <c r="S1331">
        <v>1458</v>
      </c>
      <c r="T1331">
        <v>246</v>
      </c>
      <c r="U1331">
        <v>979</v>
      </c>
      <c r="V1331">
        <v>1598</v>
      </c>
      <c r="W1331">
        <v>1280</v>
      </c>
      <c r="X1331">
        <v>881</v>
      </c>
      <c r="Y1331">
        <v>67</v>
      </c>
      <c r="Z1331">
        <v>229</v>
      </c>
      <c r="AA1331">
        <v>467</v>
      </c>
      <c r="AB1331">
        <v>291</v>
      </c>
      <c r="AC1331">
        <v>116</v>
      </c>
      <c r="AD1331">
        <v>288</v>
      </c>
      <c r="AE1331">
        <v>0</v>
      </c>
      <c r="AF1331">
        <v>0</v>
      </c>
      <c r="AG1331">
        <v>4</v>
      </c>
      <c r="AH1331">
        <v>18</v>
      </c>
      <c r="AI1331">
        <v>0</v>
      </c>
      <c r="AJ1331">
        <v>0</v>
      </c>
      <c r="AK1331">
        <v>0.94920000000000004</v>
      </c>
      <c r="AL1331">
        <v>1</v>
      </c>
      <c r="AM1331">
        <v>0</v>
      </c>
      <c r="AN1331">
        <v>1778</v>
      </c>
      <c r="AO1331">
        <v>324</v>
      </c>
      <c r="AP1331">
        <v>0</v>
      </c>
      <c r="AQ1331">
        <v>0</v>
      </c>
    </row>
    <row r="1332" spans="1:43" x14ac:dyDescent="0.25">
      <c r="A1332">
        <v>1329</v>
      </c>
      <c r="B1332">
        <v>29</v>
      </c>
      <c r="C1332">
        <v>29</v>
      </c>
      <c r="D1332">
        <v>8</v>
      </c>
      <c r="E1332">
        <v>1416</v>
      </c>
      <c r="F1332">
        <v>3426</v>
      </c>
      <c r="G1332">
        <v>3426</v>
      </c>
      <c r="H1332">
        <v>1685</v>
      </c>
      <c r="I1332">
        <v>1336</v>
      </c>
      <c r="J1332">
        <v>41</v>
      </c>
      <c r="K1332">
        <v>455</v>
      </c>
      <c r="L1332">
        <v>258</v>
      </c>
      <c r="M1332">
        <v>278</v>
      </c>
      <c r="N1332">
        <v>419</v>
      </c>
      <c r="O1332">
        <v>3862</v>
      </c>
      <c r="P1332">
        <v>2392.1961630000001</v>
      </c>
      <c r="Q1332">
        <v>202</v>
      </c>
      <c r="R1332">
        <v>0.29287205500000002</v>
      </c>
      <c r="S1332">
        <v>2209</v>
      </c>
      <c r="T1332">
        <v>122</v>
      </c>
      <c r="U1332">
        <v>606</v>
      </c>
      <c r="V1332">
        <v>841</v>
      </c>
      <c r="W1332">
        <v>961</v>
      </c>
      <c r="X1332">
        <v>758</v>
      </c>
      <c r="Y1332">
        <v>442</v>
      </c>
      <c r="Z1332">
        <v>219</v>
      </c>
      <c r="AA1332">
        <v>549</v>
      </c>
      <c r="AB1332">
        <v>289</v>
      </c>
      <c r="AC1332">
        <v>470</v>
      </c>
      <c r="AD1332">
        <v>240</v>
      </c>
      <c r="AE1332">
        <v>0</v>
      </c>
      <c r="AF1332">
        <v>0</v>
      </c>
      <c r="AG1332">
        <v>4</v>
      </c>
      <c r="AH1332">
        <v>0</v>
      </c>
      <c r="AI1332">
        <v>0</v>
      </c>
      <c r="AJ1332">
        <v>0</v>
      </c>
      <c r="AK1332">
        <v>0.99546999999999997</v>
      </c>
      <c r="AL1332">
        <v>2</v>
      </c>
      <c r="AM1332">
        <v>0</v>
      </c>
      <c r="AN1332">
        <v>1416</v>
      </c>
      <c r="AO1332">
        <v>0</v>
      </c>
      <c r="AP1332">
        <v>0</v>
      </c>
      <c r="AQ1332">
        <v>0</v>
      </c>
    </row>
    <row r="1333" spans="1:43" x14ac:dyDescent="0.25">
      <c r="A1333">
        <v>1330</v>
      </c>
      <c r="B1333">
        <v>29</v>
      </c>
      <c r="C1333">
        <v>29</v>
      </c>
      <c r="D1333">
        <v>8</v>
      </c>
      <c r="E1333">
        <v>1544</v>
      </c>
      <c r="F1333">
        <v>3782</v>
      </c>
      <c r="G1333">
        <v>3813</v>
      </c>
      <c r="H1333">
        <v>1917</v>
      </c>
      <c r="I1333">
        <v>1364</v>
      </c>
      <c r="J1333">
        <v>141</v>
      </c>
      <c r="K1333">
        <v>320</v>
      </c>
      <c r="L1333">
        <v>352</v>
      </c>
      <c r="M1333">
        <v>398</v>
      </c>
      <c r="N1333">
        <v>476</v>
      </c>
      <c r="O1333">
        <v>559</v>
      </c>
      <c r="P1333">
        <v>449</v>
      </c>
      <c r="Q1333">
        <v>41</v>
      </c>
      <c r="R1333">
        <v>0.29225736099999999</v>
      </c>
      <c r="S1333">
        <v>606</v>
      </c>
      <c r="T1333">
        <v>110</v>
      </c>
      <c r="U1333">
        <v>608</v>
      </c>
      <c r="V1333">
        <v>1057</v>
      </c>
      <c r="W1333">
        <v>1088</v>
      </c>
      <c r="X1333">
        <v>743</v>
      </c>
      <c r="Y1333">
        <v>65</v>
      </c>
      <c r="Z1333">
        <v>80</v>
      </c>
      <c r="AA1333">
        <v>269</v>
      </c>
      <c r="AB1333">
        <v>2</v>
      </c>
      <c r="AC1333">
        <v>34</v>
      </c>
      <c r="AD1333">
        <v>156</v>
      </c>
      <c r="AE1333">
        <v>0</v>
      </c>
      <c r="AF1333">
        <v>0</v>
      </c>
      <c r="AG1333">
        <v>4</v>
      </c>
      <c r="AH1333">
        <v>168</v>
      </c>
      <c r="AI1333">
        <v>0</v>
      </c>
      <c r="AJ1333">
        <v>0</v>
      </c>
      <c r="AK1333">
        <v>1.06517</v>
      </c>
      <c r="AL1333">
        <v>1</v>
      </c>
      <c r="AM1333">
        <v>0</v>
      </c>
      <c r="AN1333">
        <v>1544</v>
      </c>
      <c r="AO1333">
        <v>31</v>
      </c>
      <c r="AP1333">
        <v>0</v>
      </c>
      <c r="AQ1333">
        <v>0</v>
      </c>
    </row>
    <row r="1334" spans="1:43" x14ac:dyDescent="0.25">
      <c r="A1334">
        <v>1331</v>
      </c>
      <c r="B1334">
        <v>29</v>
      </c>
      <c r="C1334">
        <v>29</v>
      </c>
      <c r="D1334">
        <v>8</v>
      </c>
      <c r="E1334">
        <v>2066</v>
      </c>
      <c r="F1334">
        <v>5119</v>
      </c>
      <c r="G1334">
        <v>5130</v>
      </c>
      <c r="H1334">
        <v>2811</v>
      </c>
      <c r="I1334">
        <v>1557</v>
      </c>
      <c r="J1334">
        <v>493</v>
      </c>
      <c r="K1334">
        <v>524</v>
      </c>
      <c r="L1334">
        <v>567</v>
      </c>
      <c r="M1334">
        <v>648</v>
      </c>
      <c r="N1334">
        <v>333</v>
      </c>
      <c r="O1334">
        <v>754</v>
      </c>
      <c r="P1334">
        <v>349.85510640000001</v>
      </c>
      <c r="Q1334">
        <v>231</v>
      </c>
      <c r="R1334">
        <v>0.22923976600000001</v>
      </c>
      <c r="S1334">
        <v>2126</v>
      </c>
      <c r="T1334">
        <v>374</v>
      </c>
      <c r="U1334">
        <v>887</v>
      </c>
      <c r="V1334">
        <v>1806</v>
      </c>
      <c r="W1334">
        <v>1046</v>
      </c>
      <c r="X1334">
        <v>934</v>
      </c>
      <c r="Y1334">
        <v>502</v>
      </c>
      <c r="Z1334">
        <v>278</v>
      </c>
      <c r="AA1334">
        <v>697</v>
      </c>
      <c r="AB1334">
        <v>5</v>
      </c>
      <c r="AC1334">
        <v>373</v>
      </c>
      <c r="AD1334">
        <v>271</v>
      </c>
      <c r="AE1334">
        <v>0</v>
      </c>
      <c r="AF1334">
        <v>0</v>
      </c>
      <c r="AG1334">
        <v>4</v>
      </c>
      <c r="AH1334">
        <v>0</v>
      </c>
      <c r="AI1334">
        <v>0</v>
      </c>
      <c r="AJ1334">
        <v>0</v>
      </c>
      <c r="AK1334">
        <v>1.26152</v>
      </c>
      <c r="AL1334">
        <v>2</v>
      </c>
      <c r="AM1334">
        <v>0</v>
      </c>
      <c r="AN1334">
        <v>2066</v>
      </c>
      <c r="AO1334">
        <v>11</v>
      </c>
      <c r="AP1334">
        <v>0</v>
      </c>
      <c r="AQ1334">
        <v>0</v>
      </c>
    </row>
    <row r="1335" spans="1:43" x14ac:dyDescent="0.25">
      <c r="A1335">
        <v>1332</v>
      </c>
      <c r="B1335">
        <v>29</v>
      </c>
      <c r="C1335">
        <v>29</v>
      </c>
      <c r="D1335">
        <v>8</v>
      </c>
      <c r="E1335">
        <v>2268</v>
      </c>
      <c r="F1335">
        <v>4805</v>
      </c>
      <c r="G1335">
        <v>5041</v>
      </c>
      <c r="H1335">
        <v>2821</v>
      </c>
      <c r="I1335">
        <v>1200</v>
      </c>
      <c r="J1335">
        <v>986</v>
      </c>
      <c r="K1335">
        <v>530</v>
      </c>
      <c r="L1335">
        <v>644</v>
      </c>
      <c r="M1335">
        <v>527</v>
      </c>
      <c r="N1335">
        <v>567</v>
      </c>
      <c r="O1335">
        <v>893</v>
      </c>
      <c r="P1335">
        <v>334.60613519999998</v>
      </c>
      <c r="Q1335">
        <v>575.75587949999999</v>
      </c>
      <c r="R1335">
        <v>0.18866000399999999</v>
      </c>
      <c r="S1335">
        <v>6154</v>
      </c>
      <c r="T1335">
        <v>74</v>
      </c>
      <c r="U1335">
        <v>745</v>
      </c>
      <c r="V1335">
        <v>1854</v>
      </c>
      <c r="W1335">
        <v>1367</v>
      </c>
      <c r="X1335">
        <v>768</v>
      </c>
      <c r="Y1335">
        <v>986</v>
      </c>
      <c r="Z1335">
        <v>935</v>
      </c>
      <c r="AA1335">
        <v>2591</v>
      </c>
      <c r="AB1335">
        <v>29</v>
      </c>
      <c r="AC1335">
        <v>1002</v>
      </c>
      <c r="AD1335">
        <v>611</v>
      </c>
      <c r="AE1335">
        <v>0</v>
      </c>
      <c r="AF1335">
        <v>0</v>
      </c>
      <c r="AG1335">
        <v>4</v>
      </c>
      <c r="AH1335">
        <v>107</v>
      </c>
      <c r="AI1335">
        <v>195</v>
      </c>
      <c r="AJ1335">
        <v>117</v>
      </c>
      <c r="AK1335">
        <v>1.39977</v>
      </c>
      <c r="AL1335">
        <v>2</v>
      </c>
      <c r="AM1335">
        <v>0</v>
      </c>
      <c r="AN1335">
        <v>2268</v>
      </c>
      <c r="AO1335">
        <v>236</v>
      </c>
      <c r="AP1335">
        <v>0</v>
      </c>
      <c r="AQ1335">
        <v>0</v>
      </c>
    </row>
    <row r="1336" spans="1:43" x14ac:dyDescent="0.25">
      <c r="A1336">
        <v>1333</v>
      </c>
      <c r="B1336">
        <v>29</v>
      </c>
      <c r="C1336">
        <v>29</v>
      </c>
      <c r="D1336">
        <v>8</v>
      </c>
      <c r="E1336">
        <v>1412</v>
      </c>
      <c r="F1336">
        <v>3768</v>
      </c>
      <c r="G1336">
        <v>3812</v>
      </c>
      <c r="H1336">
        <v>1878</v>
      </c>
      <c r="I1336">
        <v>1093</v>
      </c>
      <c r="J1336">
        <v>227</v>
      </c>
      <c r="K1336">
        <v>227</v>
      </c>
      <c r="L1336">
        <v>625</v>
      </c>
      <c r="M1336">
        <v>375</v>
      </c>
      <c r="N1336">
        <v>191</v>
      </c>
      <c r="O1336">
        <v>301</v>
      </c>
      <c r="P1336">
        <v>288.31602850000002</v>
      </c>
      <c r="Q1336">
        <v>19</v>
      </c>
      <c r="R1336">
        <v>0.199896292</v>
      </c>
      <c r="S1336">
        <v>189</v>
      </c>
      <c r="T1336">
        <v>154</v>
      </c>
      <c r="U1336">
        <v>566</v>
      </c>
      <c r="V1336">
        <v>1396</v>
      </c>
      <c r="W1336">
        <v>1106</v>
      </c>
      <c r="X1336">
        <v>577</v>
      </c>
      <c r="Y1336">
        <v>12</v>
      </c>
      <c r="Z1336">
        <v>22</v>
      </c>
      <c r="AA1336">
        <v>99</v>
      </c>
      <c r="AB1336">
        <v>0</v>
      </c>
      <c r="AC1336">
        <v>6</v>
      </c>
      <c r="AD1336">
        <v>50</v>
      </c>
      <c r="AE1336">
        <v>0</v>
      </c>
      <c r="AF1336">
        <v>0</v>
      </c>
      <c r="AG1336">
        <v>4</v>
      </c>
      <c r="AH1336">
        <v>0</v>
      </c>
      <c r="AI1336">
        <v>0</v>
      </c>
      <c r="AJ1336">
        <v>0</v>
      </c>
      <c r="AK1336">
        <v>1.1828799999999999</v>
      </c>
      <c r="AL1336">
        <v>3</v>
      </c>
      <c r="AM1336">
        <v>0</v>
      </c>
      <c r="AN1336">
        <v>1412</v>
      </c>
      <c r="AO1336">
        <v>44</v>
      </c>
      <c r="AP1336">
        <v>0</v>
      </c>
      <c r="AQ1336">
        <v>0</v>
      </c>
    </row>
    <row r="1337" spans="1:43" x14ac:dyDescent="0.25">
      <c r="A1337">
        <v>1334</v>
      </c>
      <c r="B1337">
        <v>29</v>
      </c>
      <c r="C1337">
        <v>29</v>
      </c>
      <c r="D1337">
        <v>8</v>
      </c>
      <c r="E1337">
        <v>1677</v>
      </c>
      <c r="F1337">
        <v>4819</v>
      </c>
      <c r="G1337">
        <v>4819</v>
      </c>
      <c r="H1337">
        <v>2470</v>
      </c>
      <c r="I1337">
        <v>1534</v>
      </c>
      <c r="J1337">
        <v>14</v>
      </c>
      <c r="K1337">
        <v>257</v>
      </c>
      <c r="L1337">
        <v>456</v>
      </c>
      <c r="M1337">
        <v>481</v>
      </c>
      <c r="N1337">
        <v>467</v>
      </c>
      <c r="O1337">
        <v>410</v>
      </c>
      <c r="P1337">
        <v>316</v>
      </c>
      <c r="Q1337">
        <v>91</v>
      </c>
      <c r="R1337">
        <v>0.20822144200000001</v>
      </c>
      <c r="S1337">
        <v>376</v>
      </c>
      <c r="T1337">
        <v>287</v>
      </c>
      <c r="U1337">
        <v>797</v>
      </c>
      <c r="V1337">
        <v>1279</v>
      </c>
      <c r="W1337">
        <v>1579</v>
      </c>
      <c r="X1337">
        <v>810</v>
      </c>
      <c r="Y1337">
        <v>17</v>
      </c>
      <c r="Z1337">
        <v>45</v>
      </c>
      <c r="AA1337">
        <v>210</v>
      </c>
      <c r="AB1337">
        <v>1</v>
      </c>
      <c r="AC1337">
        <v>38</v>
      </c>
      <c r="AD1337">
        <v>65</v>
      </c>
      <c r="AE1337">
        <v>0</v>
      </c>
      <c r="AF1337">
        <v>0</v>
      </c>
      <c r="AG1337">
        <v>4</v>
      </c>
      <c r="AH1337">
        <v>1674</v>
      </c>
      <c r="AI1337">
        <v>0</v>
      </c>
      <c r="AJ1337">
        <v>0</v>
      </c>
      <c r="AK1337">
        <v>1.1153</v>
      </c>
      <c r="AL1337">
        <v>3</v>
      </c>
      <c r="AM1337">
        <v>0</v>
      </c>
      <c r="AN1337">
        <v>1677</v>
      </c>
      <c r="AO1337">
        <v>0</v>
      </c>
      <c r="AP1337">
        <v>0</v>
      </c>
      <c r="AQ1337">
        <v>0</v>
      </c>
    </row>
    <row r="1338" spans="1:43" x14ac:dyDescent="0.25">
      <c r="A1338">
        <v>1335</v>
      </c>
      <c r="B1338">
        <v>29</v>
      </c>
      <c r="C1338">
        <v>29</v>
      </c>
      <c r="D1338">
        <v>8</v>
      </c>
      <c r="E1338">
        <v>3109</v>
      </c>
      <c r="F1338">
        <v>6920</v>
      </c>
      <c r="G1338">
        <v>6949</v>
      </c>
      <c r="H1338">
        <v>3389</v>
      </c>
      <c r="I1338">
        <v>1833</v>
      </c>
      <c r="J1338">
        <v>1081</v>
      </c>
      <c r="K1338">
        <v>1073</v>
      </c>
      <c r="L1338">
        <v>767</v>
      </c>
      <c r="M1338">
        <v>719</v>
      </c>
      <c r="N1338">
        <v>560</v>
      </c>
      <c r="O1338">
        <v>843</v>
      </c>
      <c r="P1338">
        <v>527.50530360000005</v>
      </c>
      <c r="Q1338">
        <v>203</v>
      </c>
      <c r="R1338">
        <v>0.29157207699999999</v>
      </c>
      <c r="S1338">
        <v>1361</v>
      </c>
      <c r="T1338">
        <v>363</v>
      </c>
      <c r="U1338">
        <v>826</v>
      </c>
      <c r="V1338">
        <v>2221</v>
      </c>
      <c r="W1338">
        <v>1774</v>
      </c>
      <c r="X1338">
        <v>1723</v>
      </c>
      <c r="Y1338">
        <v>395</v>
      </c>
      <c r="Z1338">
        <v>121</v>
      </c>
      <c r="AA1338">
        <v>695</v>
      </c>
      <c r="AB1338">
        <v>3</v>
      </c>
      <c r="AC1338">
        <v>41</v>
      </c>
      <c r="AD1338">
        <v>106</v>
      </c>
      <c r="AE1338">
        <v>0</v>
      </c>
      <c r="AF1338">
        <v>0</v>
      </c>
      <c r="AG1338">
        <v>4</v>
      </c>
      <c r="AH1338">
        <v>0</v>
      </c>
      <c r="AI1338">
        <v>0</v>
      </c>
      <c r="AJ1338">
        <v>0</v>
      </c>
      <c r="AK1338">
        <v>1.2077899999999999</v>
      </c>
      <c r="AL1338">
        <v>3</v>
      </c>
      <c r="AM1338">
        <v>0</v>
      </c>
      <c r="AN1338">
        <v>3109</v>
      </c>
      <c r="AO1338">
        <v>29</v>
      </c>
      <c r="AP1338">
        <v>0</v>
      </c>
      <c r="AQ1338">
        <v>0</v>
      </c>
    </row>
    <row r="1339" spans="1:43" x14ac:dyDescent="0.25">
      <c r="A1339">
        <v>1336</v>
      </c>
      <c r="B1339">
        <v>29</v>
      </c>
      <c r="C1339">
        <v>29</v>
      </c>
      <c r="D1339">
        <v>8</v>
      </c>
      <c r="E1339">
        <v>5196</v>
      </c>
      <c r="F1339">
        <v>13060</v>
      </c>
      <c r="G1339">
        <v>13066</v>
      </c>
      <c r="H1339">
        <v>6323</v>
      </c>
      <c r="I1339">
        <v>4327</v>
      </c>
      <c r="J1339">
        <v>614</v>
      </c>
      <c r="K1339">
        <v>1079</v>
      </c>
      <c r="L1339">
        <v>1344</v>
      </c>
      <c r="M1339">
        <v>1190</v>
      </c>
      <c r="N1339">
        <v>1587</v>
      </c>
      <c r="O1339">
        <v>3624</v>
      </c>
      <c r="P1339">
        <v>1903.9648569999999</v>
      </c>
      <c r="Q1339">
        <v>443</v>
      </c>
      <c r="R1339">
        <v>0.25698532200000002</v>
      </c>
      <c r="S1339">
        <v>6520</v>
      </c>
      <c r="T1339">
        <v>588</v>
      </c>
      <c r="U1339">
        <v>2221</v>
      </c>
      <c r="V1339">
        <v>3733</v>
      </c>
      <c r="W1339">
        <v>4025</v>
      </c>
      <c r="X1339">
        <v>2608</v>
      </c>
      <c r="Y1339">
        <v>502</v>
      </c>
      <c r="Z1339">
        <v>984</v>
      </c>
      <c r="AA1339">
        <v>2669</v>
      </c>
      <c r="AB1339">
        <v>34</v>
      </c>
      <c r="AC1339">
        <v>1644</v>
      </c>
      <c r="AD1339">
        <v>687</v>
      </c>
      <c r="AE1339">
        <v>0</v>
      </c>
      <c r="AF1339">
        <v>0</v>
      </c>
      <c r="AG1339">
        <v>4</v>
      </c>
      <c r="AH1339">
        <v>0</v>
      </c>
      <c r="AI1339">
        <v>0</v>
      </c>
      <c r="AJ1339">
        <v>0</v>
      </c>
      <c r="AK1339">
        <v>1.1543699999999999</v>
      </c>
      <c r="AL1339">
        <v>3</v>
      </c>
      <c r="AM1339">
        <v>0</v>
      </c>
      <c r="AN1339">
        <v>5196</v>
      </c>
      <c r="AO1339">
        <v>6</v>
      </c>
      <c r="AP1339">
        <v>0</v>
      </c>
      <c r="AQ1339">
        <v>0</v>
      </c>
    </row>
    <row r="1340" spans="1:43" x14ac:dyDescent="0.25">
      <c r="A1340">
        <v>1337</v>
      </c>
      <c r="B1340">
        <v>29</v>
      </c>
      <c r="C1340">
        <v>29</v>
      </c>
      <c r="D1340">
        <v>8</v>
      </c>
      <c r="E1340">
        <v>3268</v>
      </c>
      <c r="F1340">
        <v>7397</v>
      </c>
      <c r="G1340">
        <v>7432</v>
      </c>
      <c r="H1340">
        <v>3827</v>
      </c>
      <c r="I1340">
        <v>2257</v>
      </c>
      <c r="J1340">
        <v>954</v>
      </c>
      <c r="K1340">
        <v>1097</v>
      </c>
      <c r="L1340">
        <v>1012</v>
      </c>
      <c r="M1340">
        <v>500</v>
      </c>
      <c r="N1340">
        <v>680</v>
      </c>
      <c r="O1340">
        <v>7050</v>
      </c>
      <c r="P1340">
        <v>3556.6989359999998</v>
      </c>
      <c r="Q1340">
        <v>900</v>
      </c>
      <c r="R1340">
        <v>0.26748184899999999</v>
      </c>
      <c r="S1340">
        <v>9077</v>
      </c>
      <c r="T1340">
        <v>579</v>
      </c>
      <c r="U1340">
        <v>894</v>
      </c>
      <c r="V1340">
        <v>2772</v>
      </c>
      <c r="W1340">
        <v>1724</v>
      </c>
      <c r="X1340">
        <v>1747</v>
      </c>
      <c r="Y1340">
        <v>1065</v>
      </c>
      <c r="Z1340">
        <v>1187</v>
      </c>
      <c r="AA1340">
        <v>3827</v>
      </c>
      <c r="AB1340">
        <v>105</v>
      </c>
      <c r="AC1340">
        <v>1602</v>
      </c>
      <c r="AD1340">
        <v>1291</v>
      </c>
      <c r="AE1340">
        <v>0</v>
      </c>
      <c r="AF1340">
        <v>0</v>
      </c>
      <c r="AG1340">
        <v>4</v>
      </c>
      <c r="AH1340">
        <v>0</v>
      </c>
      <c r="AI1340">
        <v>0</v>
      </c>
      <c r="AJ1340">
        <v>0</v>
      </c>
      <c r="AK1340">
        <v>1.01152</v>
      </c>
      <c r="AL1340">
        <v>2</v>
      </c>
      <c r="AM1340">
        <v>0</v>
      </c>
      <c r="AN1340">
        <v>3268</v>
      </c>
      <c r="AO1340">
        <v>35</v>
      </c>
      <c r="AP1340">
        <v>0</v>
      </c>
      <c r="AQ1340">
        <v>0</v>
      </c>
    </row>
    <row r="1341" spans="1:43" x14ac:dyDescent="0.25">
      <c r="A1341">
        <v>1338</v>
      </c>
      <c r="B1341">
        <v>29</v>
      </c>
      <c r="C1341">
        <v>29</v>
      </c>
      <c r="D1341">
        <v>8</v>
      </c>
      <c r="E1341">
        <v>1349</v>
      </c>
      <c r="F1341">
        <v>3021</v>
      </c>
      <c r="G1341">
        <v>3030</v>
      </c>
      <c r="H1341">
        <v>1769</v>
      </c>
      <c r="I1341">
        <v>852</v>
      </c>
      <c r="J1341">
        <v>445</v>
      </c>
      <c r="K1341">
        <v>483</v>
      </c>
      <c r="L1341">
        <v>385</v>
      </c>
      <c r="M1341">
        <v>257</v>
      </c>
      <c r="N1341">
        <v>228</v>
      </c>
      <c r="O1341">
        <v>811</v>
      </c>
      <c r="P1341">
        <v>662</v>
      </c>
      <c r="Q1341">
        <v>75.288058399999997</v>
      </c>
      <c r="R1341">
        <v>0.21823899399999999</v>
      </c>
      <c r="S1341">
        <v>832</v>
      </c>
      <c r="T1341">
        <v>161</v>
      </c>
      <c r="U1341">
        <v>484</v>
      </c>
      <c r="V1341">
        <v>1112</v>
      </c>
      <c r="W1341">
        <v>876</v>
      </c>
      <c r="X1341">
        <v>487</v>
      </c>
      <c r="Y1341">
        <v>90</v>
      </c>
      <c r="Z1341">
        <v>129</v>
      </c>
      <c r="AA1341">
        <v>451</v>
      </c>
      <c r="AB1341">
        <v>4</v>
      </c>
      <c r="AC1341">
        <v>34</v>
      </c>
      <c r="AD1341">
        <v>124</v>
      </c>
      <c r="AE1341">
        <v>0</v>
      </c>
      <c r="AF1341">
        <v>0</v>
      </c>
      <c r="AG1341">
        <v>4</v>
      </c>
      <c r="AH1341">
        <v>0</v>
      </c>
      <c r="AI1341">
        <v>0</v>
      </c>
      <c r="AJ1341">
        <v>0</v>
      </c>
      <c r="AK1341">
        <v>1.0318700000000001</v>
      </c>
      <c r="AL1341">
        <v>1</v>
      </c>
      <c r="AM1341">
        <v>0</v>
      </c>
      <c r="AN1341">
        <v>1349</v>
      </c>
      <c r="AO1341">
        <v>9</v>
      </c>
      <c r="AP1341">
        <v>0</v>
      </c>
      <c r="AQ1341">
        <v>0</v>
      </c>
    </row>
    <row r="1342" spans="1:43" x14ac:dyDescent="0.25">
      <c r="A1342">
        <v>1339</v>
      </c>
      <c r="B1342">
        <v>29</v>
      </c>
      <c r="C1342">
        <v>29</v>
      </c>
      <c r="D1342">
        <v>8</v>
      </c>
      <c r="E1342">
        <v>2142</v>
      </c>
      <c r="F1342">
        <v>5028</v>
      </c>
      <c r="G1342">
        <v>5034</v>
      </c>
      <c r="H1342">
        <v>2554</v>
      </c>
      <c r="I1342">
        <v>1592</v>
      </c>
      <c r="J1342">
        <v>498</v>
      </c>
      <c r="K1342">
        <v>533</v>
      </c>
      <c r="L1342">
        <v>609</v>
      </c>
      <c r="M1342">
        <v>693</v>
      </c>
      <c r="N1342">
        <v>295</v>
      </c>
      <c r="O1342">
        <v>593</v>
      </c>
      <c r="P1342">
        <v>436.15906569999999</v>
      </c>
      <c r="Q1342">
        <v>59</v>
      </c>
      <c r="R1342">
        <v>0.197349043</v>
      </c>
      <c r="S1342">
        <v>853</v>
      </c>
      <c r="T1342">
        <v>379</v>
      </c>
      <c r="U1342">
        <v>558</v>
      </c>
      <c r="V1342">
        <v>1666</v>
      </c>
      <c r="W1342">
        <v>1304</v>
      </c>
      <c r="X1342">
        <v>751</v>
      </c>
      <c r="Y1342">
        <v>312</v>
      </c>
      <c r="Z1342">
        <v>90</v>
      </c>
      <c r="AA1342">
        <v>303</v>
      </c>
      <c r="AB1342">
        <v>3</v>
      </c>
      <c r="AC1342">
        <v>79</v>
      </c>
      <c r="AD1342">
        <v>66</v>
      </c>
      <c r="AE1342">
        <v>0</v>
      </c>
      <c r="AF1342">
        <v>0</v>
      </c>
      <c r="AG1342">
        <v>4</v>
      </c>
      <c r="AH1342">
        <v>0</v>
      </c>
      <c r="AI1342">
        <v>0</v>
      </c>
      <c r="AJ1342">
        <v>0</v>
      </c>
      <c r="AK1342">
        <v>1.1189800000000001</v>
      </c>
      <c r="AL1342">
        <v>3</v>
      </c>
      <c r="AM1342">
        <v>0</v>
      </c>
      <c r="AN1342">
        <v>2142</v>
      </c>
      <c r="AO1342">
        <v>6</v>
      </c>
      <c r="AP1342">
        <v>0</v>
      </c>
      <c r="AQ1342">
        <v>0</v>
      </c>
    </row>
    <row r="1343" spans="1:43" x14ac:dyDescent="0.25">
      <c r="A1343">
        <v>1340</v>
      </c>
      <c r="B1343">
        <v>29</v>
      </c>
      <c r="C1343">
        <v>29</v>
      </c>
      <c r="D1343">
        <v>8</v>
      </c>
      <c r="E1343">
        <v>2668</v>
      </c>
      <c r="F1343">
        <v>6958</v>
      </c>
      <c r="G1343">
        <v>6975</v>
      </c>
      <c r="H1343">
        <v>4383</v>
      </c>
      <c r="I1343">
        <v>1588</v>
      </c>
      <c r="J1343">
        <v>931</v>
      </c>
      <c r="K1343">
        <v>529</v>
      </c>
      <c r="L1343">
        <v>757</v>
      </c>
      <c r="M1343">
        <v>683</v>
      </c>
      <c r="N1343">
        <v>704</v>
      </c>
      <c r="O1343">
        <v>1042</v>
      </c>
      <c r="P1343">
        <v>575.90038630000004</v>
      </c>
      <c r="Q1343">
        <v>281</v>
      </c>
      <c r="R1343">
        <v>0.136746334</v>
      </c>
      <c r="S1343">
        <v>994</v>
      </c>
      <c r="T1343">
        <v>398</v>
      </c>
      <c r="U1343">
        <v>1315</v>
      </c>
      <c r="V1343">
        <v>3388</v>
      </c>
      <c r="W1343">
        <v>1472</v>
      </c>
      <c r="X1343">
        <v>675</v>
      </c>
      <c r="Y1343">
        <v>19</v>
      </c>
      <c r="Z1343">
        <v>119</v>
      </c>
      <c r="AA1343">
        <v>379</v>
      </c>
      <c r="AB1343">
        <v>2</v>
      </c>
      <c r="AC1343">
        <v>295</v>
      </c>
      <c r="AD1343">
        <v>180</v>
      </c>
      <c r="AE1343">
        <v>0</v>
      </c>
      <c r="AF1343">
        <v>0</v>
      </c>
      <c r="AG1343">
        <v>4</v>
      </c>
      <c r="AH1343">
        <v>441</v>
      </c>
      <c r="AI1343">
        <v>0</v>
      </c>
      <c r="AJ1343">
        <v>0</v>
      </c>
      <c r="AK1343">
        <v>1.09761</v>
      </c>
      <c r="AL1343">
        <v>3</v>
      </c>
      <c r="AM1343">
        <v>0</v>
      </c>
      <c r="AN1343">
        <v>2668</v>
      </c>
      <c r="AO1343">
        <v>17</v>
      </c>
      <c r="AP1343">
        <v>0</v>
      </c>
      <c r="AQ1343">
        <v>0</v>
      </c>
    </row>
    <row r="1344" spans="1:43" x14ac:dyDescent="0.25">
      <c r="A1344">
        <v>1341</v>
      </c>
      <c r="B1344">
        <v>29</v>
      </c>
      <c r="C1344">
        <v>29</v>
      </c>
      <c r="D1344">
        <v>8</v>
      </c>
      <c r="E1344">
        <v>2306</v>
      </c>
      <c r="F1344">
        <v>5736</v>
      </c>
      <c r="G1344">
        <v>5848</v>
      </c>
      <c r="H1344">
        <v>2823</v>
      </c>
      <c r="I1344">
        <v>1858</v>
      </c>
      <c r="J1344">
        <v>374</v>
      </c>
      <c r="K1344">
        <v>512</v>
      </c>
      <c r="L1344">
        <v>533</v>
      </c>
      <c r="M1344">
        <v>615</v>
      </c>
      <c r="N1344">
        <v>641</v>
      </c>
      <c r="O1344">
        <v>8834</v>
      </c>
      <c r="P1344">
        <v>2145.1225380000001</v>
      </c>
      <c r="Q1344">
        <v>78</v>
      </c>
      <c r="R1344">
        <v>0.29824267799999998</v>
      </c>
      <c r="S1344">
        <v>493</v>
      </c>
      <c r="T1344">
        <v>364</v>
      </c>
      <c r="U1344">
        <v>980</v>
      </c>
      <c r="V1344">
        <v>1661</v>
      </c>
      <c r="W1344">
        <v>1497</v>
      </c>
      <c r="X1344">
        <v>1380</v>
      </c>
      <c r="Y1344">
        <v>20</v>
      </c>
      <c r="Z1344">
        <v>69</v>
      </c>
      <c r="AA1344">
        <v>284</v>
      </c>
      <c r="AB1344">
        <v>20</v>
      </c>
      <c r="AC1344">
        <v>35</v>
      </c>
      <c r="AD1344">
        <v>65</v>
      </c>
      <c r="AE1344">
        <v>0</v>
      </c>
      <c r="AF1344">
        <v>0</v>
      </c>
      <c r="AG1344">
        <v>4</v>
      </c>
      <c r="AH1344">
        <v>0</v>
      </c>
      <c r="AI1344">
        <v>0</v>
      </c>
      <c r="AJ1344">
        <v>0</v>
      </c>
      <c r="AK1344">
        <v>0.95774999999999999</v>
      </c>
      <c r="AL1344">
        <v>2</v>
      </c>
      <c r="AM1344">
        <v>0</v>
      </c>
      <c r="AN1344">
        <v>2306</v>
      </c>
      <c r="AO1344">
        <v>112</v>
      </c>
      <c r="AP1344">
        <v>0</v>
      </c>
      <c r="AQ1344">
        <v>0</v>
      </c>
    </row>
    <row r="1345" spans="1:43" x14ac:dyDescent="0.25">
      <c r="A1345">
        <v>1342</v>
      </c>
      <c r="B1345">
        <v>29</v>
      </c>
      <c r="C1345">
        <v>29</v>
      </c>
      <c r="D1345">
        <v>8</v>
      </c>
      <c r="E1345">
        <v>1576</v>
      </c>
      <c r="F1345">
        <v>4061</v>
      </c>
      <c r="G1345">
        <v>7189</v>
      </c>
      <c r="H1345">
        <v>2339</v>
      </c>
      <c r="I1345">
        <v>853</v>
      </c>
      <c r="J1345">
        <v>603</v>
      </c>
      <c r="K1345">
        <v>447</v>
      </c>
      <c r="L1345">
        <v>534</v>
      </c>
      <c r="M1345">
        <v>382</v>
      </c>
      <c r="N1345">
        <v>211</v>
      </c>
      <c r="O1345">
        <v>542</v>
      </c>
      <c r="P1345">
        <v>182</v>
      </c>
      <c r="Q1345">
        <v>279</v>
      </c>
      <c r="R1345">
        <v>0.10769501099999999</v>
      </c>
      <c r="S1345">
        <v>1554</v>
      </c>
      <c r="T1345">
        <v>177</v>
      </c>
      <c r="U1345">
        <v>1496</v>
      </c>
      <c r="V1345">
        <v>2471</v>
      </c>
      <c r="W1345">
        <v>1044</v>
      </c>
      <c r="X1345">
        <v>389</v>
      </c>
      <c r="Y1345">
        <v>39</v>
      </c>
      <c r="Z1345">
        <v>49</v>
      </c>
      <c r="AA1345">
        <v>1394</v>
      </c>
      <c r="AB1345">
        <v>2</v>
      </c>
      <c r="AC1345">
        <v>35</v>
      </c>
      <c r="AD1345">
        <v>35</v>
      </c>
      <c r="AE1345">
        <v>0</v>
      </c>
      <c r="AF1345">
        <v>0</v>
      </c>
      <c r="AG1345">
        <v>4</v>
      </c>
      <c r="AH1345">
        <v>1803</v>
      </c>
      <c r="AI1345">
        <v>5321</v>
      </c>
      <c r="AJ1345">
        <v>1374</v>
      </c>
      <c r="AK1345">
        <v>1.1715199999999999</v>
      </c>
      <c r="AL1345">
        <v>3</v>
      </c>
      <c r="AM1345">
        <v>0</v>
      </c>
      <c r="AN1345">
        <v>1576</v>
      </c>
      <c r="AO1345">
        <v>3128</v>
      </c>
      <c r="AP1345">
        <v>0</v>
      </c>
      <c r="AQ1345">
        <v>0</v>
      </c>
    </row>
    <row r="1346" spans="1:43" x14ac:dyDescent="0.25">
      <c r="A1346">
        <v>1343</v>
      </c>
      <c r="B1346">
        <v>29</v>
      </c>
      <c r="C1346">
        <v>29</v>
      </c>
      <c r="D1346">
        <v>8</v>
      </c>
      <c r="E1346">
        <v>1458</v>
      </c>
      <c r="F1346">
        <v>3940</v>
      </c>
      <c r="G1346">
        <v>4011</v>
      </c>
      <c r="H1346">
        <v>1724</v>
      </c>
      <c r="I1346">
        <v>921</v>
      </c>
      <c r="J1346">
        <v>488</v>
      </c>
      <c r="K1346">
        <v>503</v>
      </c>
      <c r="L1346">
        <v>553</v>
      </c>
      <c r="M1346">
        <v>264</v>
      </c>
      <c r="N1346">
        <v>135</v>
      </c>
      <c r="O1346">
        <v>306</v>
      </c>
      <c r="P1346">
        <v>176.7415508</v>
      </c>
      <c r="Q1346">
        <v>45</v>
      </c>
      <c r="R1346">
        <v>0.178400383</v>
      </c>
      <c r="S1346">
        <v>527</v>
      </c>
      <c r="T1346">
        <v>365</v>
      </c>
      <c r="U1346">
        <v>734</v>
      </c>
      <c r="V1346">
        <v>1796</v>
      </c>
      <c r="W1346">
        <v>620</v>
      </c>
      <c r="X1346">
        <v>590</v>
      </c>
      <c r="Y1346">
        <v>26</v>
      </c>
      <c r="Z1346">
        <v>42</v>
      </c>
      <c r="AA1346">
        <v>416</v>
      </c>
      <c r="AB1346">
        <v>1</v>
      </c>
      <c r="AC1346">
        <v>10</v>
      </c>
      <c r="AD1346">
        <v>32</v>
      </c>
      <c r="AE1346">
        <v>0</v>
      </c>
      <c r="AF1346">
        <v>0</v>
      </c>
      <c r="AG1346">
        <v>4</v>
      </c>
      <c r="AH1346">
        <v>343</v>
      </c>
      <c r="AI1346">
        <v>0</v>
      </c>
      <c r="AJ1346">
        <v>0</v>
      </c>
      <c r="AK1346">
        <v>1.3422000000000001</v>
      </c>
      <c r="AL1346">
        <v>3</v>
      </c>
      <c r="AM1346">
        <v>0</v>
      </c>
      <c r="AN1346">
        <v>1458</v>
      </c>
      <c r="AO1346">
        <v>71</v>
      </c>
      <c r="AP1346">
        <v>0</v>
      </c>
      <c r="AQ1346">
        <v>0</v>
      </c>
    </row>
    <row r="1347" spans="1:43" x14ac:dyDescent="0.25">
      <c r="A1347">
        <v>1344</v>
      </c>
      <c r="B1347">
        <v>29</v>
      </c>
      <c r="C1347">
        <v>29</v>
      </c>
      <c r="D1347">
        <v>8</v>
      </c>
      <c r="E1347">
        <v>2541</v>
      </c>
      <c r="F1347">
        <v>6250</v>
      </c>
      <c r="G1347">
        <v>6263</v>
      </c>
      <c r="H1347">
        <v>3271</v>
      </c>
      <c r="I1347">
        <v>813</v>
      </c>
      <c r="J1347">
        <v>1588</v>
      </c>
      <c r="K1347">
        <v>900</v>
      </c>
      <c r="L1347">
        <v>943</v>
      </c>
      <c r="M1347">
        <v>541</v>
      </c>
      <c r="N1347">
        <v>162</v>
      </c>
      <c r="O1347">
        <v>431</v>
      </c>
      <c r="P1347">
        <v>178.0321969</v>
      </c>
      <c r="Q1347">
        <v>137</v>
      </c>
      <c r="R1347">
        <v>0.133437745</v>
      </c>
      <c r="S1347">
        <v>1506</v>
      </c>
      <c r="T1347">
        <v>331</v>
      </c>
      <c r="U1347">
        <v>1363</v>
      </c>
      <c r="V1347">
        <v>2829</v>
      </c>
      <c r="W1347">
        <v>1149</v>
      </c>
      <c r="X1347">
        <v>596</v>
      </c>
      <c r="Y1347">
        <v>320</v>
      </c>
      <c r="Z1347">
        <v>219</v>
      </c>
      <c r="AA1347">
        <v>673</v>
      </c>
      <c r="AB1347">
        <v>2</v>
      </c>
      <c r="AC1347">
        <v>37</v>
      </c>
      <c r="AD1347">
        <v>255</v>
      </c>
      <c r="AE1347">
        <v>0</v>
      </c>
      <c r="AF1347">
        <v>0</v>
      </c>
      <c r="AG1347">
        <v>3</v>
      </c>
      <c r="AH1347">
        <v>0</v>
      </c>
      <c r="AI1347">
        <v>0</v>
      </c>
      <c r="AJ1347">
        <v>0</v>
      </c>
      <c r="AK1347">
        <v>1.58762</v>
      </c>
      <c r="AL1347">
        <v>3</v>
      </c>
      <c r="AM1347">
        <v>0</v>
      </c>
      <c r="AN1347">
        <v>2541</v>
      </c>
      <c r="AO1347">
        <v>13</v>
      </c>
      <c r="AP1347">
        <v>0</v>
      </c>
      <c r="AQ1347">
        <v>0</v>
      </c>
    </row>
    <row r="1348" spans="1:43" x14ac:dyDescent="0.25">
      <c r="A1348">
        <v>1345</v>
      </c>
      <c r="B1348">
        <v>29</v>
      </c>
      <c r="C1348">
        <v>29</v>
      </c>
      <c r="D1348">
        <v>8</v>
      </c>
      <c r="E1348">
        <v>1783</v>
      </c>
      <c r="F1348">
        <v>3846</v>
      </c>
      <c r="G1348">
        <v>3846</v>
      </c>
      <c r="H1348">
        <v>2362</v>
      </c>
      <c r="I1348">
        <v>1057</v>
      </c>
      <c r="J1348">
        <v>633</v>
      </c>
      <c r="K1348">
        <v>454</v>
      </c>
      <c r="L1348">
        <v>634</v>
      </c>
      <c r="M1348">
        <v>491</v>
      </c>
      <c r="N1348">
        <v>202</v>
      </c>
      <c r="O1348">
        <v>275</v>
      </c>
      <c r="P1348">
        <v>172</v>
      </c>
      <c r="Q1348">
        <v>19</v>
      </c>
      <c r="R1348">
        <v>0.19111461599999999</v>
      </c>
      <c r="S1348">
        <v>132</v>
      </c>
      <c r="T1348">
        <v>201</v>
      </c>
      <c r="U1348">
        <v>481</v>
      </c>
      <c r="V1348">
        <v>1283</v>
      </c>
      <c r="W1348">
        <v>1191</v>
      </c>
      <c r="X1348">
        <v>573</v>
      </c>
      <c r="Y1348">
        <v>9</v>
      </c>
      <c r="Z1348">
        <v>33</v>
      </c>
      <c r="AA1348">
        <v>54</v>
      </c>
      <c r="AB1348">
        <v>0</v>
      </c>
      <c r="AC1348">
        <v>18</v>
      </c>
      <c r="AD1348">
        <v>18</v>
      </c>
      <c r="AE1348">
        <v>0</v>
      </c>
      <c r="AF1348">
        <v>0</v>
      </c>
      <c r="AG1348">
        <v>3</v>
      </c>
      <c r="AH1348">
        <v>0</v>
      </c>
      <c r="AI1348">
        <v>0</v>
      </c>
      <c r="AJ1348">
        <v>0</v>
      </c>
      <c r="AK1348">
        <v>1.3580300000000001</v>
      </c>
      <c r="AL1348">
        <v>3</v>
      </c>
      <c r="AM1348">
        <v>0</v>
      </c>
      <c r="AN1348">
        <v>1783</v>
      </c>
      <c r="AO1348">
        <v>0</v>
      </c>
      <c r="AP1348">
        <v>0</v>
      </c>
      <c r="AQ1348">
        <v>0</v>
      </c>
    </row>
    <row r="1349" spans="1:43" x14ac:dyDescent="0.25">
      <c r="A1349">
        <v>1346</v>
      </c>
      <c r="B1349">
        <v>29</v>
      </c>
      <c r="C1349">
        <v>29</v>
      </c>
      <c r="D1349">
        <v>8</v>
      </c>
      <c r="E1349">
        <v>1958</v>
      </c>
      <c r="F1349">
        <v>5107</v>
      </c>
      <c r="G1349">
        <v>5115</v>
      </c>
      <c r="H1349">
        <v>2863</v>
      </c>
      <c r="I1349">
        <v>1221</v>
      </c>
      <c r="J1349">
        <v>772</v>
      </c>
      <c r="K1349">
        <v>462</v>
      </c>
      <c r="L1349">
        <v>485</v>
      </c>
      <c r="M1349">
        <v>533</v>
      </c>
      <c r="N1349">
        <v>483</v>
      </c>
      <c r="O1349">
        <v>735</v>
      </c>
      <c r="P1349">
        <v>316</v>
      </c>
      <c r="Q1349">
        <v>171.42735709999999</v>
      </c>
      <c r="R1349">
        <v>0.232443126</v>
      </c>
      <c r="S1349">
        <v>2534</v>
      </c>
      <c r="T1349">
        <v>225</v>
      </c>
      <c r="U1349">
        <v>908</v>
      </c>
      <c r="V1349">
        <v>1906</v>
      </c>
      <c r="W1349">
        <v>895</v>
      </c>
      <c r="X1349">
        <v>1043</v>
      </c>
      <c r="Y1349">
        <v>92</v>
      </c>
      <c r="Z1349">
        <v>489</v>
      </c>
      <c r="AA1349">
        <v>1314</v>
      </c>
      <c r="AB1349">
        <v>4</v>
      </c>
      <c r="AC1349">
        <v>344</v>
      </c>
      <c r="AD1349">
        <v>291</v>
      </c>
      <c r="AE1349">
        <v>0</v>
      </c>
      <c r="AF1349">
        <v>0</v>
      </c>
      <c r="AG1349">
        <v>4</v>
      </c>
      <c r="AH1349">
        <v>149</v>
      </c>
      <c r="AI1349">
        <v>0</v>
      </c>
      <c r="AJ1349">
        <v>0</v>
      </c>
      <c r="AK1349">
        <v>1.26668</v>
      </c>
      <c r="AL1349">
        <v>3</v>
      </c>
      <c r="AM1349">
        <v>0</v>
      </c>
      <c r="AN1349">
        <v>1958</v>
      </c>
      <c r="AO1349">
        <v>8</v>
      </c>
      <c r="AP1349">
        <v>0</v>
      </c>
      <c r="AQ1349">
        <v>0</v>
      </c>
    </row>
    <row r="1350" spans="1:43" x14ac:dyDescent="0.25">
      <c r="A1350">
        <v>1347</v>
      </c>
      <c r="B1350">
        <v>29</v>
      </c>
      <c r="C1350">
        <v>29</v>
      </c>
      <c r="D1350">
        <v>8</v>
      </c>
      <c r="E1350">
        <v>1866</v>
      </c>
      <c r="F1350">
        <v>5056</v>
      </c>
      <c r="G1350">
        <v>5100</v>
      </c>
      <c r="H1350">
        <v>2647</v>
      </c>
      <c r="I1350">
        <v>1616</v>
      </c>
      <c r="J1350">
        <v>127</v>
      </c>
      <c r="K1350">
        <v>321</v>
      </c>
      <c r="L1350">
        <v>471</v>
      </c>
      <c r="M1350">
        <v>589</v>
      </c>
      <c r="N1350">
        <v>476</v>
      </c>
      <c r="O1350">
        <v>1032</v>
      </c>
      <c r="P1350">
        <v>286</v>
      </c>
      <c r="Q1350">
        <v>40</v>
      </c>
      <c r="R1350">
        <v>0.21526455999999999</v>
      </c>
      <c r="S1350">
        <v>907</v>
      </c>
      <c r="T1350">
        <v>330</v>
      </c>
      <c r="U1350">
        <v>775</v>
      </c>
      <c r="V1350">
        <v>1671</v>
      </c>
      <c r="W1350">
        <v>1564</v>
      </c>
      <c r="X1350">
        <v>824</v>
      </c>
      <c r="Y1350">
        <v>128</v>
      </c>
      <c r="Z1350">
        <v>181</v>
      </c>
      <c r="AA1350">
        <v>371</v>
      </c>
      <c r="AB1350">
        <v>6</v>
      </c>
      <c r="AC1350">
        <v>34</v>
      </c>
      <c r="AD1350">
        <v>187</v>
      </c>
      <c r="AE1350">
        <v>0</v>
      </c>
      <c r="AF1350">
        <v>0</v>
      </c>
      <c r="AG1350">
        <v>4</v>
      </c>
      <c r="AH1350">
        <v>0</v>
      </c>
      <c r="AI1350">
        <v>0</v>
      </c>
      <c r="AJ1350">
        <v>0</v>
      </c>
      <c r="AK1350">
        <v>1.3376999999999999</v>
      </c>
      <c r="AL1350">
        <v>3</v>
      </c>
      <c r="AM1350">
        <v>0</v>
      </c>
      <c r="AN1350">
        <v>1866</v>
      </c>
      <c r="AO1350">
        <v>44</v>
      </c>
      <c r="AP1350">
        <v>0</v>
      </c>
      <c r="AQ1350">
        <v>0</v>
      </c>
    </row>
    <row r="1351" spans="1:43" x14ac:dyDescent="0.25">
      <c r="A1351">
        <v>1348</v>
      </c>
      <c r="B1351">
        <v>30</v>
      </c>
      <c r="C1351">
        <v>30</v>
      </c>
      <c r="D1351">
        <v>8</v>
      </c>
      <c r="E1351">
        <v>3850</v>
      </c>
      <c r="F1351">
        <v>9918</v>
      </c>
      <c r="G1351">
        <v>9972</v>
      </c>
      <c r="H1351">
        <v>4994</v>
      </c>
      <c r="I1351">
        <v>2142</v>
      </c>
      <c r="J1351">
        <v>1541</v>
      </c>
      <c r="K1351">
        <v>1745</v>
      </c>
      <c r="L1351">
        <v>1337</v>
      </c>
      <c r="M1351">
        <v>540</v>
      </c>
      <c r="N1351">
        <v>219</v>
      </c>
      <c r="O1351">
        <v>2113</v>
      </c>
      <c r="P1351">
        <v>476.44893089999999</v>
      </c>
      <c r="Q1351">
        <v>600</v>
      </c>
      <c r="R1351">
        <v>0.14031659199999999</v>
      </c>
      <c r="S1351">
        <v>5347</v>
      </c>
      <c r="T1351">
        <v>507</v>
      </c>
      <c r="U1351">
        <v>2214</v>
      </c>
      <c r="V1351">
        <v>4222</v>
      </c>
      <c r="W1351">
        <v>1980</v>
      </c>
      <c r="X1351">
        <v>1137</v>
      </c>
      <c r="Y1351">
        <v>2003</v>
      </c>
      <c r="Z1351">
        <v>684</v>
      </c>
      <c r="AA1351">
        <v>1424</v>
      </c>
      <c r="AB1351">
        <v>92</v>
      </c>
      <c r="AC1351">
        <v>607</v>
      </c>
      <c r="AD1351">
        <v>537</v>
      </c>
      <c r="AE1351">
        <v>0</v>
      </c>
      <c r="AF1351">
        <v>0</v>
      </c>
      <c r="AG1351">
        <v>4</v>
      </c>
      <c r="AH1351">
        <v>3</v>
      </c>
      <c r="AI1351">
        <v>0</v>
      </c>
      <c r="AJ1351">
        <v>0</v>
      </c>
      <c r="AK1351">
        <v>1.3433999999999999</v>
      </c>
      <c r="AL1351">
        <v>3</v>
      </c>
      <c r="AM1351">
        <v>0</v>
      </c>
      <c r="AN1351">
        <v>3850</v>
      </c>
      <c r="AO1351">
        <v>54</v>
      </c>
      <c r="AP1351">
        <v>0</v>
      </c>
      <c r="AQ1351">
        <v>0</v>
      </c>
    </row>
    <row r="1352" spans="1:43" x14ac:dyDescent="0.25">
      <c r="A1352">
        <v>1349</v>
      </c>
      <c r="B1352">
        <v>30</v>
      </c>
      <c r="C1352">
        <v>30</v>
      </c>
      <c r="D1352">
        <v>8</v>
      </c>
      <c r="E1352">
        <v>2752</v>
      </c>
      <c r="F1352">
        <v>7342</v>
      </c>
      <c r="G1352">
        <v>7496</v>
      </c>
      <c r="H1352">
        <v>4010</v>
      </c>
      <c r="I1352">
        <v>2021</v>
      </c>
      <c r="J1352">
        <v>592</v>
      </c>
      <c r="K1352">
        <v>661</v>
      </c>
      <c r="L1352">
        <v>1172</v>
      </c>
      <c r="M1352">
        <v>617</v>
      </c>
      <c r="N1352">
        <v>297</v>
      </c>
      <c r="O1352">
        <v>2993</v>
      </c>
      <c r="P1352">
        <v>1373.776255</v>
      </c>
      <c r="Q1352">
        <v>88</v>
      </c>
      <c r="R1352">
        <v>0.112779061</v>
      </c>
      <c r="S1352">
        <v>1454</v>
      </c>
      <c r="T1352">
        <v>623</v>
      </c>
      <c r="U1352">
        <v>1784</v>
      </c>
      <c r="V1352">
        <v>2811</v>
      </c>
      <c r="W1352">
        <v>1665</v>
      </c>
      <c r="X1352">
        <v>773</v>
      </c>
      <c r="Y1352">
        <v>324</v>
      </c>
      <c r="Z1352">
        <v>183</v>
      </c>
      <c r="AA1352">
        <v>777</v>
      </c>
      <c r="AB1352">
        <v>9</v>
      </c>
      <c r="AC1352">
        <v>73</v>
      </c>
      <c r="AD1352">
        <v>88</v>
      </c>
      <c r="AE1352">
        <v>0</v>
      </c>
      <c r="AF1352">
        <v>0</v>
      </c>
      <c r="AG1352">
        <v>4</v>
      </c>
      <c r="AH1352">
        <v>334</v>
      </c>
      <c r="AI1352">
        <v>0</v>
      </c>
      <c r="AJ1352">
        <v>0</v>
      </c>
      <c r="AK1352">
        <v>1.04619</v>
      </c>
      <c r="AL1352">
        <v>2</v>
      </c>
      <c r="AM1352">
        <v>0</v>
      </c>
      <c r="AN1352">
        <v>2752</v>
      </c>
      <c r="AO1352">
        <v>154</v>
      </c>
      <c r="AP1352">
        <v>0</v>
      </c>
      <c r="AQ1352">
        <v>0</v>
      </c>
    </row>
    <row r="1353" spans="1:43" x14ac:dyDescent="0.25">
      <c r="A1353">
        <v>1350</v>
      </c>
      <c r="B1353">
        <v>30</v>
      </c>
      <c r="C1353">
        <v>30</v>
      </c>
      <c r="D1353">
        <v>8</v>
      </c>
      <c r="E1353">
        <v>3078</v>
      </c>
      <c r="F1353">
        <v>8130</v>
      </c>
      <c r="G1353">
        <v>8195</v>
      </c>
      <c r="H1353">
        <v>3853</v>
      </c>
      <c r="I1353">
        <v>2186</v>
      </c>
      <c r="J1353">
        <v>807</v>
      </c>
      <c r="K1353">
        <v>774</v>
      </c>
      <c r="L1353">
        <v>766</v>
      </c>
      <c r="M1353">
        <v>873</v>
      </c>
      <c r="N1353">
        <v>671</v>
      </c>
      <c r="O1353">
        <v>5640</v>
      </c>
      <c r="P1353">
        <v>2306.1164090000002</v>
      </c>
      <c r="Q1353">
        <v>57</v>
      </c>
      <c r="R1353">
        <v>0.23363302499999999</v>
      </c>
      <c r="S1353">
        <v>1548</v>
      </c>
      <c r="T1353">
        <v>228</v>
      </c>
      <c r="U1353">
        <v>1559</v>
      </c>
      <c r="V1353">
        <v>2463</v>
      </c>
      <c r="W1353">
        <v>1937</v>
      </c>
      <c r="X1353">
        <v>1561</v>
      </c>
      <c r="Y1353">
        <v>323</v>
      </c>
      <c r="Z1353">
        <v>295</v>
      </c>
      <c r="AA1353">
        <v>662</v>
      </c>
      <c r="AB1353">
        <v>11</v>
      </c>
      <c r="AC1353">
        <v>62</v>
      </c>
      <c r="AD1353">
        <v>195</v>
      </c>
      <c r="AE1353">
        <v>0</v>
      </c>
      <c r="AF1353">
        <v>0</v>
      </c>
      <c r="AG1353">
        <v>4</v>
      </c>
      <c r="AH1353">
        <v>61</v>
      </c>
      <c r="AI1353">
        <v>0</v>
      </c>
      <c r="AJ1353">
        <v>0</v>
      </c>
      <c r="AK1353">
        <v>1.0031000000000001</v>
      </c>
      <c r="AL1353">
        <v>1</v>
      </c>
      <c r="AM1353">
        <v>0</v>
      </c>
      <c r="AN1353">
        <v>3078</v>
      </c>
      <c r="AO1353">
        <v>65</v>
      </c>
      <c r="AP1353">
        <v>0</v>
      </c>
      <c r="AQ1353">
        <v>0</v>
      </c>
    </row>
    <row r="1354" spans="1:43" x14ac:dyDescent="0.25">
      <c r="A1354">
        <v>1351</v>
      </c>
      <c r="B1354">
        <v>30</v>
      </c>
      <c r="C1354">
        <v>30</v>
      </c>
      <c r="D1354">
        <v>8</v>
      </c>
      <c r="E1354">
        <v>1418</v>
      </c>
      <c r="F1354">
        <v>4091</v>
      </c>
      <c r="G1354">
        <v>4271</v>
      </c>
      <c r="H1354">
        <v>1973</v>
      </c>
      <c r="I1354">
        <v>1327</v>
      </c>
      <c r="J1354">
        <v>49</v>
      </c>
      <c r="K1354">
        <v>132</v>
      </c>
      <c r="L1354">
        <v>335</v>
      </c>
      <c r="M1354">
        <v>395</v>
      </c>
      <c r="N1354">
        <v>560</v>
      </c>
      <c r="O1354">
        <v>386</v>
      </c>
      <c r="P1354">
        <v>354</v>
      </c>
      <c r="Q1354">
        <v>27</v>
      </c>
      <c r="R1354">
        <v>0.25825753899999998</v>
      </c>
      <c r="S1354">
        <v>588</v>
      </c>
      <c r="T1354">
        <v>142</v>
      </c>
      <c r="U1354">
        <v>732</v>
      </c>
      <c r="V1354">
        <v>1176</v>
      </c>
      <c r="W1354">
        <v>1189</v>
      </c>
      <c r="X1354">
        <v>871</v>
      </c>
      <c r="Y1354">
        <v>17</v>
      </c>
      <c r="Z1354">
        <v>88</v>
      </c>
      <c r="AA1354">
        <v>378</v>
      </c>
      <c r="AB1354">
        <v>3</v>
      </c>
      <c r="AC1354">
        <v>18</v>
      </c>
      <c r="AD1354">
        <v>84</v>
      </c>
      <c r="AE1354">
        <v>0</v>
      </c>
      <c r="AF1354">
        <v>0</v>
      </c>
      <c r="AG1354">
        <v>4</v>
      </c>
      <c r="AH1354">
        <v>0</v>
      </c>
      <c r="AI1354">
        <v>0</v>
      </c>
      <c r="AJ1354">
        <v>0</v>
      </c>
      <c r="AK1354">
        <v>1.10521</v>
      </c>
      <c r="AL1354">
        <v>3</v>
      </c>
      <c r="AM1354">
        <v>0</v>
      </c>
      <c r="AN1354">
        <v>1418</v>
      </c>
      <c r="AO1354">
        <v>180</v>
      </c>
      <c r="AP1354">
        <v>0</v>
      </c>
      <c r="AQ1354">
        <v>0</v>
      </c>
    </row>
    <row r="1355" spans="1:43" x14ac:dyDescent="0.25">
      <c r="A1355">
        <v>1352</v>
      </c>
      <c r="B1355">
        <v>30</v>
      </c>
      <c r="C1355">
        <v>30</v>
      </c>
      <c r="D1355">
        <v>8</v>
      </c>
      <c r="E1355">
        <v>1083</v>
      </c>
      <c r="F1355">
        <v>2721</v>
      </c>
      <c r="G1355">
        <v>2751</v>
      </c>
      <c r="H1355">
        <v>1369</v>
      </c>
      <c r="I1355">
        <v>1016</v>
      </c>
      <c r="J1355">
        <v>6</v>
      </c>
      <c r="K1355">
        <v>198</v>
      </c>
      <c r="L1355">
        <v>159</v>
      </c>
      <c r="M1355">
        <v>257</v>
      </c>
      <c r="N1355">
        <v>466</v>
      </c>
      <c r="O1355">
        <v>3558</v>
      </c>
      <c r="P1355">
        <v>1421.1580289999999</v>
      </c>
      <c r="Q1355">
        <v>24</v>
      </c>
      <c r="R1355">
        <v>0.41785583599999998</v>
      </c>
      <c r="S1355">
        <v>276</v>
      </c>
      <c r="T1355">
        <v>39</v>
      </c>
      <c r="U1355">
        <v>362</v>
      </c>
      <c r="V1355">
        <v>490</v>
      </c>
      <c r="W1355">
        <v>874</v>
      </c>
      <c r="X1355">
        <v>918</v>
      </c>
      <c r="Y1355">
        <v>12</v>
      </c>
      <c r="Z1355">
        <v>50</v>
      </c>
      <c r="AA1355">
        <v>96</v>
      </c>
      <c r="AB1355">
        <v>2</v>
      </c>
      <c r="AC1355">
        <v>67</v>
      </c>
      <c r="AD1355">
        <v>49</v>
      </c>
      <c r="AE1355">
        <v>0</v>
      </c>
      <c r="AF1355">
        <v>0</v>
      </c>
      <c r="AG1355">
        <v>4</v>
      </c>
      <c r="AH1355">
        <v>0</v>
      </c>
      <c r="AI1355">
        <v>0</v>
      </c>
      <c r="AJ1355">
        <v>0</v>
      </c>
      <c r="AK1355">
        <v>0.95326</v>
      </c>
      <c r="AL1355">
        <v>1</v>
      </c>
      <c r="AM1355">
        <v>0</v>
      </c>
      <c r="AN1355">
        <v>1083</v>
      </c>
      <c r="AO1355">
        <v>30</v>
      </c>
      <c r="AP1355">
        <v>0</v>
      </c>
      <c r="AQ1355">
        <v>0</v>
      </c>
    </row>
    <row r="1356" spans="1:43" x14ac:dyDescent="0.25">
      <c r="A1356">
        <v>1353</v>
      </c>
      <c r="B1356">
        <v>30</v>
      </c>
      <c r="C1356">
        <v>30</v>
      </c>
      <c r="D1356">
        <v>8</v>
      </c>
      <c r="E1356">
        <v>3457</v>
      </c>
      <c r="F1356">
        <v>5826</v>
      </c>
      <c r="G1356">
        <v>5826</v>
      </c>
      <c r="H1356">
        <v>1406</v>
      </c>
      <c r="I1356">
        <v>3350</v>
      </c>
      <c r="J1356">
        <v>362</v>
      </c>
      <c r="K1356">
        <v>950</v>
      </c>
      <c r="L1356">
        <v>992</v>
      </c>
      <c r="M1356">
        <v>762</v>
      </c>
      <c r="N1356">
        <v>765</v>
      </c>
      <c r="O1356">
        <v>21662</v>
      </c>
      <c r="P1356">
        <v>6935.4906870000004</v>
      </c>
      <c r="Q1356">
        <v>330</v>
      </c>
      <c r="R1356">
        <v>0.73996273099999998</v>
      </c>
      <c r="S1356">
        <v>931</v>
      </c>
      <c r="T1356">
        <v>132</v>
      </c>
      <c r="U1356">
        <v>168</v>
      </c>
      <c r="V1356">
        <v>644</v>
      </c>
      <c r="W1356">
        <v>821</v>
      </c>
      <c r="X1356">
        <v>4027</v>
      </c>
      <c r="Y1356">
        <v>111</v>
      </c>
      <c r="Z1356">
        <v>112</v>
      </c>
      <c r="AA1356">
        <v>337</v>
      </c>
      <c r="AB1356">
        <v>44</v>
      </c>
      <c r="AC1356">
        <v>279</v>
      </c>
      <c r="AD1356">
        <v>48</v>
      </c>
      <c r="AE1356">
        <v>0</v>
      </c>
      <c r="AF1356">
        <v>0</v>
      </c>
      <c r="AG1356">
        <v>4</v>
      </c>
      <c r="AH1356">
        <v>0</v>
      </c>
      <c r="AI1356">
        <v>0</v>
      </c>
      <c r="AJ1356">
        <v>0</v>
      </c>
      <c r="AK1356">
        <v>0.93328999999999995</v>
      </c>
      <c r="AL1356">
        <v>1</v>
      </c>
      <c r="AM1356">
        <v>0</v>
      </c>
      <c r="AN1356">
        <v>3457</v>
      </c>
      <c r="AO1356">
        <v>0</v>
      </c>
      <c r="AP1356">
        <v>0</v>
      </c>
      <c r="AQ1356">
        <v>0</v>
      </c>
    </row>
    <row r="1357" spans="1:43" x14ac:dyDescent="0.25">
      <c r="A1357">
        <v>1354</v>
      </c>
      <c r="B1357">
        <v>30</v>
      </c>
      <c r="C1357">
        <v>30</v>
      </c>
      <c r="D1357">
        <v>8</v>
      </c>
      <c r="E1357">
        <v>3095</v>
      </c>
      <c r="F1357">
        <v>7801</v>
      </c>
      <c r="G1357">
        <v>7855</v>
      </c>
      <c r="H1357">
        <v>3555</v>
      </c>
      <c r="I1357">
        <v>2912</v>
      </c>
      <c r="J1357">
        <v>85</v>
      </c>
      <c r="K1357">
        <v>459</v>
      </c>
      <c r="L1357">
        <v>691</v>
      </c>
      <c r="M1357">
        <v>739</v>
      </c>
      <c r="N1357">
        <v>1210</v>
      </c>
      <c r="O1357">
        <v>30337</v>
      </c>
      <c r="P1357">
        <v>9100.6441180000002</v>
      </c>
      <c r="Q1357">
        <v>574</v>
      </c>
      <c r="R1357">
        <v>0.26439452600000002</v>
      </c>
      <c r="S1357">
        <v>1619</v>
      </c>
      <c r="T1357">
        <v>316</v>
      </c>
      <c r="U1357">
        <v>1460</v>
      </c>
      <c r="V1357">
        <v>1689</v>
      </c>
      <c r="W1357">
        <v>2366</v>
      </c>
      <c r="X1357">
        <v>1760</v>
      </c>
      <c r="Y1357">
        <v>213</v>
      </c>
      <c r="Z1357">
        <v>354</v>
      </c>
      <c r="AA1357">
        <v>541</v>
      </c>
      <c r="AB1357">
        <v>104</v>
      </c>
      <c r="AC1357">
        <v>131</v>
      </c>
      <c r="AD1357">
        <v>276</v>
      </c>
      <c r="AE1357">
        <v>0</v>
      </c>
      <c r="AF1357">
        <v>0</v>
      </c>
      <c r="AG1357">
        <v>4</v>
      </c>
      <c r="AH1357">
        <v>36</v>
      </c>
      <c r="AI1357">
        <v>0</v>
      </c>
      <c r="AJ1357">
        <v>0</v>
      </c>
      <c r="AK1357">
        <v>0.91774</v>
      </c>
      <c r="AL1357">
        <v>1</v>
      </c>
      <c r="AM1357">
        <v>0</v>
      </c>
      <c r="AN1357">
        <v>3095</v>
      </c>
      <c r="AO1357">
        <v>54</v>
      </c>
      <c r="AP1357">
        <v>0</v>
      </c>
      <c r="AQ1357">
        <v>0</v>
      </c>
    </row>
    <row r="1358" spans="1:43" x14ac:dyDescent="0.25">
      <c r="A1358">
        <v>1355</v>
      </c>
      <c r="B1358">
        <v>30</v>
      </c>
      <c r="C1358">
        <v>30</v>
      </c>
      <c r="D1358">
        <v>8</v>
      </c>
      <c r="E1358">
        <v>1622</v>
      </c>
      <c r="F1358">
        <v>3896</v>
      </c>
      <c r="G1358">
        <v>3923</v>
      </c>
      <c r="H1358">
        <v>1768</v>
      </c>
      <c r="I1358">
        <v>1375</v>
      </c>
      <c r="J1358">
        <v>213</v>
      </c>
      <c r="K1358">
        <v>573</v>
      </c>
      <c r="L1358">
        <v>416</v>
      </c>
      <c r="M1358">
        <v>410</v>
      </c>
      <c r="N1358">
        <v>218</v>
      </c>
      <c r="O1358">
        <v>451</v>
      </c>
      <c r="P1358">
        <v>398.36812529999997</v>
      </c>
      <c r="Q1358">
        <v>65</v>
      </c>
      <c r="R1358">
        <v>0.27122940400000001</v>
      </c>
      <c r="S1358">
        <v>454</v>
      </c>
      <c r="T1358">
        <v>102</v>
      </c>
      <c r="U1358">
        <v>804</v>
      </c>
      <c r="V1358">
        <v>1210</v>
      </c>
      <c r="W1358">
        <v>838</v>
      </c>
      <c r="X1358">
        <v>937</v>
      </c>
      <c r="Y1358">
        <v>51</v>
      </c>
      <c r="Z1358">
        <v>70</v>
      </c>
      <c r="AA1358">
        <v>264</v>
      </c>
      <c r="AB1358">
        <v>2</v>
      </c>
      <c r="AC1358">
        <v>22</v>
      </c>
      <c r="AD1358">
        <v>45</v>
      </c>
      <c r="AE1358">
        <v>0</v>
      </c>
      <c r="AF1358">
        <v>0</v>
      </c>
      <c r="AG1358">
        <v>4</v>
      </c>
      <c r="AH1358">
        <v>1584</v>
      </c>
      <c r="AI1358">
        <v>0</v>
      </c>
      <c r="AJ1358">
        <v>0</v>
      </c>
      <c r="AK1358">
        <v>1.0790599999999999</v>
      </c>
      <c r="AL1358">
        <v>2</v>
      </c>
      <c r="AM1358">
        <v>0</v>
      </c>
      <c r="AN1358">
        <v>1622</v>
      </c>
      <c r="AO1358">
        <v>27</v>
      </c>
      <c r="AP1358">
        <v>0</v>
      </c>
      <c r="AQ1358">
        <v>0</v>
      </c>
    </row>
    <row r="1359" spans="1:43" x14ac:dyDescent="0.25">
      <c r="A1359">
        <v>1356</v>
      </c>
      <c r="B1359">
        <v>30</v>
      </c>
      <c r="C1359">
        <v>30</v>
      </c>
      <c r="D1359">
        <v>8</v>
      </c>
      <c r="E1359">
        <v>2868</v>
      </c>
      <c r="F1359">
        <v>6375</v>
      </c>
      <c r="G1359">
        <v>6462</v>
      </c>
      <c r="H1359">
        <v>3060</v>
      </c>
      <c r="I1359">
        <v>2156</v>
      </c>
      <c r="J1359">
        <v>639</v>
      </c>
      <c r="K1359">
        <v>869</v>
      </c>
      <c r="L1359">
        <v>737</v>
      </c>
      <c r="M1359">
        <v>561</v>
      </c>
      <c r="N1359">
        <v>694</v>
      </c>
      <c r="O1359">
        <v>688</v>
      </c>
      <c r="P1359">
        <v>618.36697389999995</v>
      </c>
      <c r="Q1359">
        <v>73</v>
      </c>
      <c r="R1359">
        <v>0.33977379800000002</v>
      </c>
      <c r="S1359">
        <v>1409</v>
      </c>
      <c r="T1359">
        <v>198</v>
      </c>
      <c r="U1359">
        <v>1028</v>
      </c>
      <c r="V1359">
        <v>1551</v>
      </c>
      <c r="W1359">
        <v>1770</v>
      </c>
      <c r="X1359">
        <v>1707</v>
      </c>
      <c r="Y1359">
        <v>374</v>
      </c>
      <c r="Z1359">
        <v>178</v>
      </c>
      <c r="AA1359">
        <v>682</v>
      </c>
      <c r="AB1359">
        <v>5</v>
      </c>
      <c r="AC1359">
        <v>73</v>
      </c>
      <c r="AD1359">
        <v>97</v>
      </c>
      <c r="AE1359">
        <v>0</v>
      </c>
      <c r="AF1359">
        <v>0</v>
      </c>
      <c r="AG1359">
        <v>4</v>
      </c>
      <c r="AH1359">
        <v>0</v>
      </c>
      <c r="AI1359">
        <v>0</v>
      </c>
      <c r="AJ1359">
        <v>0</v>
      </c>
      <c r="AK1359">
        <v>1.1579900000000001</v>
      </c>
      <c r="AL1359">
        <v>2</v>
      </c>
      <c r="AM1359">
        <v>0</v>
      </c>
      <c r="AN1359">
        <v>2868</v>
      </c>
      <c r="AO1359">
        <v>87</v>
      </c>
      <c r="AP1359">
        <v>0</v>
      </c>
      <c r="AQ1359">
        <v>0</v>
      </c>
    </row>
    <row r="1360" spans="1:43" x14ac:dyDescent="0.25">
      <c r="A1360">
        <v>1357</v>
      </c>
      <c r="B1360">
        <v>30</v>
      </c>
      <c r="C1360">
        <v>30</v>
      </c>
      <c r="D1360">
        <v>8</v>
      </c>
      <c r="E1360">
        <v>1569</v>
      </c>
      <c r="F1360">
        <v>4069</v>
      </c>
      <c r="G1360">
        <v>4115</v>
      </c>
      <c r="H1360">
        <v>2198</v>
      </c>
      <c r="I1360">
        <v>995</v>
      </c>
      <c r="J1360">
        <v>518</v>
      </c>
      <c r="K1360">
        <v>450</v>
      </c>
      <c r="L1360">
        <v>325</v>
      </c>
      <c r="M1360">
        <v>422</v>
      </c>
      <c r="N1360">
        <v>375</v>
      </c>
      <c r="O1360">
        <v>494</v>
      </c>
      <c r="P1360">
        <v>452</v>
      </c>
      <c r="Q1360">
        <v>36</v>
      </c>
      <c r="R1360">
        <v>0.154171856</v>
      </c>
      <c r="S1360">
        <v>612</v>
      </c>
      <c r="T1360">
        <v>220</v>
      </c>
      <c r="U1360">
        <v>761</v>
      </c>
      <c r="V1360">
        <v>1556</v>
      </c>
      <c r="W1360">
        <v>901</v>
      </c>
      <c r="X1360">
        <v>501</v>
      </c>
      <c r="Y1360">
        <v>80</v>
      </c>
      <c r="Z1360">
        <v>102</v>
      </c>
      <c r="AA1360">
        <v>343</v>
      </c>
      <c r="AB1360">
        <v>3</v>
      </c>
      <c r="AC1360">
        <v>29</v>
      </c>
      <c r="AD1360">
        <v>55</v>
      </c>
      <c r="AE1360">
        <v>0</v>
      </c>
      <c r="AF1360">
        <v>0</v>
      </c>
      <c r="AG1360">
        <v>4</v>
      </c>
      <c r="AH1360">
        <v>0</v>
      </c>
      <c r="AI1360">
        <v>0</v>
      </c>
      <c r="AJ1360">
        <v>0</v>
      </c>
      <c r="AK1360">
        <v>1.1269199999999999</v>
      </c>
      <c r="AL1360">
        <v>2</v>
      </c>
      <c r="AM1360">
        <v>0</v>
      </c>
      <c r="AN1360">
        <v>1569</v>
      </c>
      <c r="AO1360">
        <v>46</v>
      </c>
      <c r="AP1360">
        <v>0</v>
      </c>
      <c r="AQ1360">
        <v>0</v>
      </c>
    </row>
    <row r="1361" spans="1:43" x14ac:dyDescent="0.25">
      <c r="A1361">
        <v>1358</v>
      </c>
      <c r="B1361">
        <v>30</v>
      </c>
      <c r="C1361">
        <v>30</v>
      </c>
      <c r="D1361">
        <v>8</v>
      </c>
      <c r="E1361">
        <v>3559</v>
      </c>
      <c r="F1361">
        <v>7820</v>
      </c>
      <c r="G1361">
        <v>7902</v>
      </c>
      <c r="H1361">
        <v>3926</v>
      </c>
      <c r="I1361">
        <v>1869</v>
      </c>
      <c r="J1361">
        <v>1515</v>
      </c>
      <c r="K1361">
        <v>1090</v>
      </c>
      <c r="L1361">
        <v>1033</v>
      </c>
      <c r="M1361">
        <v>1014</v>
      </c>
      <c r="N1361">
        <v>415</v>
      </c>
      <c r="O1361">
        <v>1405</v>
      </c>
      <c r="P1361">
        <v>827</v>
      </c>
      <c r="Q1361">
        <v>133</v>
      </c>
      <c r="R1361">
        <v>0.28442029000000002</v>
      </c>
      <c r="S1361">
        <v>2018</v>
      </c>
      <c r="T1361">
        <v>507</v>
      </c>
      <c r="U1361">
        <v>992</v>
      </c>
      <c r="V1361">
        <v>2798</v>
      </c>
      <c r="W1361">
        <v>1687</v>
      </c>
      <c r="X1361">
        <v>2145</v>
      </c>
      <c r="Y1361">
        <v>226</v>
      </c>
      <c r="Z1361">
        <v>115</v>
      </c>
      <c r="AA1361">
        <v>1569</v>
      </c>
      <c r="AB1361">
        <v>3</v>
      </c>
      <c r="AC1361">
        <v>20</v>
      </c>
      <c r="AD1361">
        <v>85</v>
      </c>
      <c r="AE1361">
        <v>0</v>
      </c>
      <c r="AF1361">
        <v>0</v>
      </c>
      <c r="AG1361">
        <v>4</v>
      </c>
      <c r="AH1361">
        <v>1253</v>
      </c>
      <c r="AI1361">
        <v>0</v>
      </c>
      <c r="AJ1361">
        <v>0</v>
      </c>
      <c r="AK1361">
        <v>1.1150500000000001</v>
      </c>
      <c r="AL1361">
        <v>2</v>
      </c>
      <c r="AM1361">
        <v>0</v>
      </c>
      <c r="AN1361">
        <v>3559</v>
      </c>
      <c r="AO1361">
        <v>82</v>
      </c>
      <c r="AP1361">
        <v>0</v>
      </c>
      <c r="AQ1361">
        <v>0</v>
      </c>
    </row>
    <row r="1362" spans="1:43" x14ac:dyDescent="0.25">
      <c r="A1362">
        <v>1359</v>
      </c>
      <c r="B1362">
        <v>30</v>
      </c>
      <c r="C1362">
        <v>30</v>
      </c>
      <c r="D1362">
        <v>8</v>
      </c>
      <c r="E1362">
        <v>2049</v>
      </c>
      <c r="F1362">
        <v>4612</v>
      </c>
      <c r="G1362">
        <v>4646</v>
      </c>
      <c r="H1362">
        <v>2721</v>
      </c>
      <c r="I1362">
        <v>1823</v>
      </c>
      <c r="J1362">
        <v>130</v>
      </c>
      <c r="K1362">
        <v>199</v>
      </c>
      <c r="L1362">
        <v>677</v>
      </c>
      <c r="M1362">
        <v>606</v>
      </c>
      <c r="N1362">
        <v>559</v>
      </c>
      <c r="O1362">
        <v>615</v>
      </c>
      <c r="P1362">
        <v>480</v>
      </c>
      <c r="Q1362">
        <v>114</v>
      </c>
      <c r="R1362">
        <v>0.215515453</v>
      </c>
      <c r="S1362">
        <v>4548</v>
      </c>
      <c r="T1362">
        <v>238</v>
      </c>
      <c r="U1362">
        <v>836</v>
      </c>
      <c r="V1362">
        <v>1476</v>
      </c>
      <c r="W1362">
        <v>1319</v>
      </c>
      <c r="X1362">
        <v>855</v>
      </c>
      <c r="Y1362">
        <v>447</v>
      </c>
      <c r="Z1362">
        <v>265</v>
      </c>
      <c r="AA1362">
        <v>3634</v>
      </c>
      <c r="AB1362">
        <v>8</v>
      </c>
      <c r="AC1362">
        <v>80</v>
      </c>
      <c r="AD1362">
        <v>114</v>
      </c>
      <c r="AE1362">
        <v>0</v>
      </c>
      <c r="AF1362">
        <v>0</v>
      </c>
      <c r="AG1362">
        <v>4</v>
      </c>
      <c r="AH1362">
        <v>0</v>
      </c>
      <c r="AI1362">
        <v>0</v>
      </c>
      <c r="AJ1362">
        <v>0</v>
      </c>
      <c r="AK1362">
        <v>1.43615</v>
      </c>
      <c r="AL1362">
        <v>3</v>
      </c>
      <c r="AM1362">
        <v>0</v>
      </c>
      <c r="AN1362">
        <v>2049</v>
      </c>
      <c r="AO1362">
        <v>34</v>
      </c>
      <c r="AP1362">
        <v>0</v>
      </c>
      <c r="AQ1362">
        <v>0</v>
      </c>
    </row>
    <row r="1363" spans="1:43" x14ac:dyDescent="0.25">
      <c r="A1363">
        <v>1360</v>
      </c>
      <c r="B1363">
        <v>30</v>
      </c>
      <c r="C1363">
        <v>30</v>
      </c>
      <c r="D1363">
        <v>8</v>
      </c>
      <c r="E1363">
        <v>1314</v>
      </c>
      <c r="F1363">
        <v>2718</v>
      </c>
      <c r="G1363">
        <v>2773</v>
      </c>
      <c r="H1363">
        <v>1453</v>
      </c>
      <c r="I1363">
        <v>950</v>
      </c>
      <c r="J1363">
        <v>356</v>
      </c>
      <c r="K1363">
        <v>543</v>
      </c>
      <c r="L1363">
        <v>376</v>
      </c>
      <c r="M1363">
        <v>255</v>
      </c>
      <c r="N1363">
        <v>140</v>
      </c>
      <c r="O1363">
        <v>229</v>
      </c>
      <c r="P1363">
        <v>151</v>
      </c>
      <c r="Q1363">
        <v>62</v>
      </c>
      <c r="R1363">
        <v>0.21624436</v>
      </c>
      <c r="S1363">
        <v>708</v>
      </c>
      <c r="T1363">
        <v>204</v>
      </c>
      <c r="U1363">
        <v>370</v>
      </c>
      <c r="V1363">
        <v>973</v>
      </c>
      <c r="W1363">
        <v>751</v>
      </c>
      <c r="X1363">
        <v>530</v>
      </c>
      <c r="Y1363">
        <v>59</v>
      </c>
      <c r="Z1363">
        <v>241</v>
      </c>
      <c r="AA1363">
        <v>285</v>
      </c>
      <c r="AB1363">
        <v>23</v>
      </c>
      <c r="AC1363">
        <v>28</v>
      </c>
      <c r="AD1363">
        <v>72</v>
      </c>
      <c r="AE1363">
        <v>0</v>
      </c>
      <c r="AF1363">
        <v>0</v>
      </c>
      <c r="AG1363">
        <v>4</v>
      </c>
      <c r="AH1363">
        <v>0</v>
      </c>
      <c r="AI1363">
        <v>0</v>
      </c>
      <c r="AJ1363">
        <v>0</v>
      </c>
      <c r="AK1363">
        <v>1.3726100000000001</v>
      </c>
      <c r="AL1363">
        <v>3</v>
      </c>
      <c r="AM1363">
        <v>0</v>
      </c>
      <c r="AN1363">
        <v>1314</v>
      </c>
      <c r="AO1363">
        <v>55</v>
      </c>
      <c r="AP1363">
        <v>0</v>
      </c>
      <c r="AQ1363">
        <v>0</v>
      </c>
    </row>
    <row r="1364" spans="1:43" x14ac:dyDescent="0.25">
      <c r="A1364">
        <v>1361</v>
      </c>
      <c r="B1364">
        <v>30</v>
      </c>
      <c r="C1364">
        <v>30</v>
      </c>
      <c r="D1364">
        <v>8</v>
      </c>
      <c r="E1364">
        <v>1091</v>
      </c>
      <c r="F1364">
        <v>2143</v>
      </c>
      <c r="G1364">
        <v>2176</v>
      </c>
      <c r="H1364">
        <v>1358</v>
      </c>
      <c r="I1364">
        <v>180</v>
      </c>
      <c r="J1364">
        <v>860</v>
      </c>
      <c r="K1364">
        <v>429</v>
      </c>
      <c r="L1364">
        <v>452</v>
      </c>
      <c r="M1364">
        <v>139</v>
      </c>
      <c r="N1364">
        <v>73</v>
      </c>
      <c r="O1364">
        <v>305</v>
      </c>
      <c r="P1364">
        <v>80.326643340000004</v>
      </c>
      <c r="Q1364">
        <v>226</v>
      </c>
      <c r="R1364">
        <v>6.1407248999999997E-2</v>
      </c>
      <c r="S1364">
        <v>5836</v>
      </c>
      <c r="T1364">
        <v>130</v>
      </c>
      <c r="U1364">
        <v>228</v>
      </c>
      <c r="V1364">
        <v>1364</v>
      </c>
      <c r="W1364">
        <v>437</v>
      </c>
      <c r="X1364">
        <v>138</v>
      </c>
      <c r="Y1364">
        <v>846</v>
      </c>
      <c r="Z1364">
        <v>1534</v>
      </c>
      <c r="AA1364">
        <v>1857</v>
      </c>
      <c r="AB1364">
        <v>24</v>
      </c>
      <c r="AC1364">
        <v>279</v>
      </c>
      <c r="AD1364">
        <v>1296</v>
      </c>
      <c r="AE1364">
        <v>0</v>
      </c>
      <c r="AF1364">
        <v>0</v>
      </c>
      <c r="AG1364">
        <v>2</v>
      </c>
      <c r="AH1364">
        <v>14</v>
      </c>
      <c r="AI1364">
        <v>0</v>
      </c>
      <c r="AJ1364">
        <v>0</v>
      </c>
      <c r="AK1364">
        <v>2.5249999999999999</v>
      </c>
      <c r="AL1364">
        <v>3</v>
      </c>
      <c r="AM1364">
        <v>0</v>
      </c>
      <c r="AN1364">
        <v>1091</v>
      </c>
      <c r="AO1364">
        <v>33</v>
      </c>
      <c r="AP1364">
        <v>0</v>
      </c>
      <c r="AQ1364">
        <v>0</v>
      </c>
    </row>
    <row r="1365" spans="1:43" x14ac:dyDescent="0.25">
      <c r="A1365">
        <v>1362</v>
      </c>
      <c r="B1365">
        <v>30</v>
      </c>
      <c r="C1365">
        <v>30</v>
      </c>
      <c r="D1365">
        <v>8</v>
      </c>
      <c r="E1365">
        <v>1817</v>
      </c>
      <c r="F1365">
        <v>3360</v>
      </c>
      <c r="G1365">
        <v>3373</v>
      </c>
      <c r="H1365">
        <v>1749</v>
      </c>
      <c r="I1365">
        <v>941</v>
      </c>
      <c r="J1365">
        <v>827</v>
      </c>
      <c r="K1365">
        <v>752</v>
      </c>
      <c r="L1365">
        <v>410</v>
      </c>
      <c r="M1365">
        <v>414</v>
      </c>
      <c r="N1365">
        <v>248</v>
      </c>
      <c r="O1365">
        <v>328</v>
      </c>
      <c r="P1365">
        <v>260.48310620000001</v>
      </c>
      <c r="Q1365">
        <v>69</v>
      </c>
      <c r="R1365">
        <v>0.27959547899999998</v>
      </c>
      <c r="S1365">
        <v>2189</v>
      </c>
      <c r="T1365">
        <v>132</v>
      </c>
      <c r="U1365">
        <v>372</v>
      </c>
      <c r="V1365">
        <v>1125</v>
      </c>
      <c r="W1365">
        <v>900</v>
      </c>
      <c r="X1365">
        <v>778</v>
      </c>
      <c r="Y1365">
        <v>226</v>
      </c>
      <c r="Z1365">
        <v>589</v>
      </c>
      <c r="AA1365">
        <v>975</v>
      </c>
      <c r="AB1365">
        <v>11</v>
      </c>
      <c r="AC1365">
        <v>127</v>
      </c>
      <c r="AD1365">
        <v>261</v>
      </c>
      <c r="AE1365">
        <v>0</v>
      </c>
      <c r="AF1365">
        <v>0</v>
      </c>
      <c r="AG1365">
        <v>3</v>
      </c>
      <c r="AH1365">
        <v>0</v>
      </c>
      <c r="AI1365">
        <v>0</v>
      </c>
      <c r="AJ1365">
        <v>0</v>
      </c>
      <c r="AK1365">
        <v>1.34392</v>
      </c>
      <c r="AL1365">
        <v>3</v>
      </c>
      <c r="AM1365">
        <v>0</v>
      </c>
      <c r="AN1365">
        <v>1817</v>
      </c>
      <c r="AO1365">
        <v>13</v>
      </c>
      <c r="AP1365">
        <v>0</v>
      </c>
      <c r="AQ1365">
        <v>0</v>
      </c>
    </row>
    <row r="1366" spans="1:43" x14ac:dyDescent="0.25">
      <c r="A1366">
        <v>1363</v>
      </c>
      <c r="B1366">
        <v>30</v>
      </c>
      <c r="C1366">
        <v>30</v>
      </c>
      <c r="D1366">
        <v>8</v>
      </c>
      <c r="E1366">
        <v>964</v>
      </c>
      <c r="F1366">
        <v>2229</v>
      </c>
      <c r="G1366">
        <v>2237</v>
      </c>
      <c r="H1366">
        <v>1402</v>
      </c>
      <c r="I1366">
        <v>551</v>
      </c>
      <c r="J1366">
        <v>366</v>
      </c>
      <c r="K1366">
        <v>245</v>
      </c>
      <c r="L1366">
        <v>337</v>
      </c>
      <c r="M1366">
        <v>240</v>
      </c>
      <c r="N1366">
        <v>135</v>
      </c>
      <c r="O1366">
        <v>510</v>
      </c>
      <c r="P1366">
        <v>146</v>
      </c>
      <c r="Q1366">
        <v>357</v>
      </c>
      <c r="R1366">
        <v>9.7154072999999994E-2</v>
      </c>
      <c r="S1366">
        <v>9373</v>
      </c>
      <c r="T1366">
        <v>75</v>
      </c>
      <c r="U1366">
        <v>553</v>
      </c>
      <c r="V1366">
        <v>1546</v>
      </c>
      <c r="W1366">
        <v>678</v>
      </c>
      <c r="X1366">
        <v>159</v>
      </c>
      <c r="Y1366">
        <v>227</v>
      </c>
      <c r="Z1366">
        <v>432</v>
      </c>
      <c r="AA1366">
        <v>6751</v>
      </c>
      <c r="AB1366">
        <v>6</v>
      </c>
      <c r="AC1366">
        <v>37</v>
      </c>
      <c r="AD1366">
        <v>1920</v>
      </c>
      <c r="AE1366">
        <v>0</v>
      </c>
      <c r="AF1366">
        <v>0</v>
      </c>
      <c r="AG1366">
        <v>3</v>
      </c>
      <c r="AH1366">
        <v>1805</v>
      </c>
      <c r="AI1366">
        <v>5491</v>
      </c>
      <c r="AJ1366">
        <v>18718</v>
      </c>
      <c r="AK1366">
        <v>1.48854</v>
      </c>
      <c r="AL1366">
        <v>3</v>
      </c>
      <c r="AM1366">
        <v>0</v>
      </c>
      <c r="AN1366">
        <v>964</v>
      </c>
      <c r="AO1366">
        <v>8</v>
      </c>
      <c r="AP1366">
        <v>0</v>
      </c>
      <c r="AQ1366">
        <v>0</v>
      </c>
    </row>
    <row r="1367" spans="1:43" x14ac:dyDescent="0.25">
      <c r="A1367">
        <v>1364</v>
      </c>
      <c r="B1367">
        <v>30</v>
      </c>
      <c r="C1367">
        <v>30</v>
      </c>
      <c r="D1367">
        <v>8</v>
      </c>
      <c r="E1367">
        <v>1870</v>
      </c>
      <c r="F1367">
        <v>4255</v>
      </c>
      <c r="G1367">
        <v>4288</v>
      </c>
      <c r="H1367">
        <v>2615</v>
      </c>
      <c r="I1367">
        <v>1144</v>
      </c>
      <c r="J1367">
        <v>668</v>
      </c>
      <c r="K1367">
        <v>614</v>
      </c>
      <c r="L1367">
        <v>559</v>
      </c>
      <c r="M1367">
        <v>506</v>
      </c>
      <c r="N1367">
        <v>193</v>
      </c>
      <c r="O1367">
        <v>291</v>
      </c>
      <c r="P1367">
        <v>244</v>
      </c>
      <c r="Q1367">
        <v>31</v>
      </c>
      <c r="R1367">
        <v>0.181228273</v>
      </c>
      <c r="S1367">
        <v>897</v>
      </c>
      <c r="T1367">
        <v>287</v>
      </c>
      <c r="U1367">
        <v>742</v>
      </c>
      <c r="V1367">
        <v>1753</v>
      </c>
      <c r="W1367">
        <v>873</v>
      </c>
      <c r="X1367">
        <v>583</v>
      </c>
      <c r="Y1367">
        <v>156</v>
      </c>
      <c r="Z1367">
        <v>92</v>
      </c>
      <c r="AA1367">
        <v>547</v>
      </c>
      <c r="AB1367">
        <v>3</v>
      </c>
      <c r="AC1367">
        <v>42</v>
      </c>
      <c r="AD1367">
        <v>57</v>
      </c>
      <c r="AE1367">
        <v>0</v>
      </c>
      <c r="AF1367">
        <v>0</v>
      </c>
      <c r="AG1367">
        <v>3</v>
      </c>
      <c r="AH1367">
        <v>32</v>
      </c>
      <c r="AI1367">
        <v>0</v>
      </c>
      <c r="AJ1367">
        <v>0</v>
      </c>
      <c r="AK1367">
        <v>1.2527999999999999</v>
      </c>
      <c r="AL1367">
        <v>3</v>
      </c>
      <c r="AM1367">
        <v>0</v>
      </c>
      <c r="AN1367">
        <v>1870</v>
      </c>
      <c r="AO1367">
        <v>33</v>
      </c>
      <c r="AP1367">
        <v>0</v>
      </c>
      <c r="AQ1367">
        <v>0</v>
      </c>
    </row>
    <row r="1368" spans="1:43" x14ac:dyDescent="0.25">
      <c r="A1368">
        <v>1365</v>
      </c>
      <c r="B1368">
        <v>30</v>
      </c>
      <c r="C1368">
        <v>30</v>
      </c>
      <c r="D1368">
        <v>8</v>
      </c>
      <c r="E1368">
        <v>1854</v>
      </c>
      <c r="F1368">
        <v>4031</v>
      </c>
      <c r="G1368">
        <v>4076</v>
      </c>
      <c r="H1368">
        <v>1787</v>
      </c>
      <c r="I1368">
        <v>1684</v>
      </c>
      <c r="J1368">
        <v>204</v>
      </c>
      <c r="K1368">
        <v>301</v>
      </c>
      <c r="L1368">
        <v>482</v>
      </c>
      <c r="M1368">
        <v>482</v>
      </c>
      <c r="N1368">
        <v>592</v>
      </c>
      <c r="O1368">
        <v>862</v>
      </c>
      <c r="P1368">
        <v>676.52608529999998</v>
      </c>
      <c r="Q1368">
        <v>134</v>
      </c>
      <c r="R1368">
        <v>0.359515152</v>
      </c>
      <c r="S1368">
        <v>2613</v>
      </c>
      <c r="T1368">
        <v>147</v>
      </c>
      <c r="U1368">
        <v>502</v>
      </c>
      <c r="V1368">
        <v>900</v>
      </c>
      <c r="W1368">
        <v>1280</v>
      </c>
      <c r="X1368">
        <v>1224</v>
      </c>
      <c r="Y1368">
        <v>84</v>
      </c>
      <c r="Z1368">
        <v>220</v>
      </c>
      <c r="AA1368">
        <v>907</v>
      </c>
      <c r="AB1368">
        <v>5</v>
      </c>
      <c r="AC1368">
        <v>55</v>
      </c>
      <c r="AD1368">
        <v>1342</v>
      </c>
      <c r="AE1368">
        <v>0</v>
      </c>
      <c r="AF1368">
        <v>0</v>
      </c>
      <c r="AG1368">
        <v>4</v>
      </c>
      <c r="AH1368">
        <v>0</v>
      </c>
      <c r="AI1368">
        <v>0</v>
      </c>
      <c r="AJ1368">
        <v>0</v>
      </c>
      <c r="AK1368">
        <v>1.07962</v>
      </c>
      <c r="AL1368">
        <v>1</v>
      </c>
      <c r="AM1368">
        <v>0</v>
      </c>
      <c r="AN1368">
        <v>1854</v>
      </c>
      <c r="AO1368">
        <v>45</v>
      </c>
      <c r="AP1368">
        <v>0</v>
      </c>
      <c r="AQ1368">
        <v>0</v>
      </c>
    </row>
    <row r="1369" spans="1:43" x14ac:dyDescent="0.25">
      <c r="A1369">
        <v>1366</v>
      </c>
      <c r="B1369">
        <v>30</v>
      </c>
      <c r="C1369">
        <v>30</v>
      </c>
      <c r="D1369">
        <v>8</v>
      </c>
      <c r="E1369">
        <v>3608</v>
      </c>
      <c r="F1369">
        <v>7275</v>
      </c>
      <c r="G1369">
        <v>7661</v>
      </c>
      <c r="H1369">
        <v>3472</v>
      </c>
      <c r="I1369">
        <v>2469</v>
      </c>
      <c r="J1369">
        <v>1128</v>
      </c>
      <c r="K1369">
        <v>680</v>
      </c>
      <c r="L1369">
        <v>726</v>
      </c>
      <c r="M1369">
        <v>841</v>
      </c>
      <c r="N1369">
        <v>1361</v>
      </c>
      <c r="O1369">
        <v>5217</v>
      </c>
      <c r="P1369">
        <v>4081.8675819999999</v>
      </c>
      <c r="Q1369">
        <v>556</v>
      </c>
      <c r="R1369">
        <v>0.37359589500000001</v>
      </c>
      <c r="S1369">
        <v>6276</v>
      </c>
      <c r="T1369">
        <v>167</v>
      </c>
      <c r="U1369">
        <v>914</v>
      </c>
      <c r="V1369">
        <v>1390</v>
      </c>
      <c r="W1369">
        <v>2364</v>
      </c>
      <c r="X1369">
        <v>2259</v>
      </c>
      <c r="Y1369">
        <v>324</v>
      </c>
      <c r="Z1369">
        <v>897</v>
      </c>
      <c r="AA1369">
        <v>2325</v>
      </c>
      <c r="AB1369">
        <v>20</v>
      </c>
      <c r="AC1369">
        <v>2416</v>
      </c>
      <c r="AD1369">
        <v>294</v>
      </c>
      <c r="AE1369">
        <v>0</v>
      </c>
      <c r="AF1369">
        <v>0</v>
      </c>
      <c r="AG1369">
        <v>4</v>
      </c>
      <c r="AH1369">
        <v>550</v>
      </c>
      <c r="AI1369">
        <v>0</v>
      </c>
      <c r="AJ1369">
        <v>0</v>
      </c>
      <c r="AK1369">
        <v>1.00796</v>
      </c>
      <c r="AL1369">
        <v>1</v>
      </c>
      <c r="AM1369">
        <v>0</v>
      </c>
      <c r="AN1369">
        <v>3608</v>
      </c>
      <c r="AO1369">
        <v>386</v>
      </c>
      <c r="AP1369">
        <v>0</v>
      </c>
      <c r="AQ1369">
        <v>0</v>
      </c>
    </row>
    <row r="1370" spans="1:43" x14ac:dyDescent="0.25">
      <c r="A1370">
        <v>1367</v>
      </c>
      <c r="B1370">
        <v>30</v>
      </c>
      <c r="C1370">
        <v>30</v>
      </c>
      <c r="D1370">
        <v>8</v>
      </c>
      <c r="E1370">
        <v>1704</v>
      </c>
      <c r="F1370">
        <v>3975</v>
      </c>
      <c r="G1370">
        <v>4058</v>
      </c>
      <c r="H1370">
        <v>1643</v>
      </c>
      <c r="I1370">
        <v>1443</v>
      </c>
      <c r="J1370">
        <v>305</v>
      </c>
      <c r="K1370">
        <v>545</v>
      </c>
      <c r="L1370">
        <v>546</v>
      </c>
      <c r="M1370">
        <v>288</v>
      </c>
      <c r="N1370">
        <v>333</v>
      </c>
      <c r="O1370">
        <v>3352</v>
      </c>
      <c r="P1370">
        <v>921</v>
      </c>
      <c r="Q1370">
        <v>79</v>
      </c>
      <c r="R1370">
        <v>0.36197857300000003</v>
      </c>
      <c r="S1370">
        <v>1352</v>
      </c>
      <c r="T1370">
        <v>278</v>
      </c>
      <c r="U1370">
        <v>848</v>
      </c>
      <c r="V1370">
        <v>922</v>
      </c>
      <c r="W1370">
        <v>881</v>
      </c>
      <c r="X1370">
        <v>1381</v>
      </c>
      <c r="Y1370">
        <v>75</v>
      </c>
      <c r="Z1370">
        <v>292</v>
      </c>
      <c r="AA1370">
        <v>568</v>
      </c>
      <c r="AB1370">
        <v>16</v>
      </c>
      <c r="AC1370">
        <v>131</v>
      </c>
      <c r="AD1370">
        <v>270</v>
      </c>
      <c r="AE1370">
        <v>0</v>
      </c>
      <c r="AF1370">
        <v>0</v>
      </c>
      <c r="AG1370">
        <v>5</v>
      </c>
      <c r="AH1370">
        <v>0</v>
      </c>
      <c r="AI1370">
        <v>188</v>
      </c>
      <c r="AJ1370">
        <v>0</v>
      </c>
      <c r="AK1370">
        <v>1.0382499999999999</v>
      </c>
      <c r="AL1370">
        <v>1</v>
      </c>
      <c r="AM1370">
        <v>0</v>
      </c>
      <c r="AN1370">
        <v>1704</v>
      </c>
      <c r="AO1370">
        <v>83</v>
      </c>
      <c r="AP1370">
        <v>0</v>
      </c>
      <c r="AQ1370">
        <v>0</v>
      </c>
    </row>
    <row r="1371" spans="1:43" x14ac:dyDescent="0.25">
      <c r="A1371">
        <v>1368</v>
      </c>
      <c r="B1371">
        <v>30</v>
      </c>
      <c r="C1371">
        <v>30</v>
      </c>
      <c r="D1371">
        <v>8</v>
      </c>
      <c r="E1371">
        <v>1566</v>
      </c>
      <c r="F1371">
        <v>4019</v>
      </c>
      <c r="G1371">
        <v>4077</v>
      </c>
      <c r="H1371">
        <v>1986</v>
      </c>
      <c r="I1371">
        <v>1134</v>
      </c>
      <c r="J1371">
        <v>456</v>
      </c>
      <c r="K1371">
        <v>378</v>
      </c>
      <c r="L1371">
        <v>412</v>
      </c>
      <c r="M1371">
        <v>425</v>
      </c>
      <c r="N1371">
        <v>343</v>
      </c>
      <c r="O1371">
        <v>5122</v>
      </c>
      <c r="P1371">
        <v>582.96652359999996</v>
      </c>
      <c r="Q1371">
        <v>2193.6545740000001</v>
      </c>
      <c r="R1371">
        <v>0.14610315800000001</v>
      </c>
      <c r="S1371">
        <v>10812</v>
      </c>
      <c r="T1371">
        <v>193</v>
      </c>
      <c r="U1371">
        <v>858</v>
      </c>
      <c r="V1371">
        <v>1622</v>
      </c>
      <c r="W1371">
        <v>1162</v>
      </c>
      <c r="X1371">
        <v>481</v>
      </c>
      <c r="Y1371">
        <v>313</v>
      </c>
      <c r="Z1371">
        <v>1719</v>
      </c>
      <c r="AA1371">
        <v>3190</v>
      </c>
      <c r="AB1371">
        <v>149</v>
      </c>
      <c r="AC1371">
        <v>4232</v>
      </c>
      <c r="AD1371">
        <v>1209</v>
      </c>
      <c r="AE1371">
        <v>0</v>
      </c>
      <c r="AF1371">
        <v>0</v>
      </c>
      <c r="AG1371">
        <v>5</v>
      </c>
      <c r="AH1371">
        <v>210</v>
      </c>
      <c r="AI1371">
        <v>0</v>
      </c>
      <c r="AJ1371">
        <v>0</v>
      </c>
      <c r="AK1371">
        <v>1.13344</v>
      </c>
      <c r="AL1371">
        <v>3</v>
      </c>
      <c r="AM1371">
        <v>0</v>
      </c>
      <c r="AN1371">
        <v>1566</v>
      </c>
      <c r="AO1371">
        <v>58</v>
      </c>
      <c r="AP1371">
        <v>0</v>
      </c>
      <c r="AQ1371">
        <v>0</v>
      </c>
    </row>
    <row r="1372" spans="1:43" x14ac:dyDescent="0.25">
      <c r="A1372">
        <v>1369</v>
      </c>
      <c r="B1372">
        <v>30</v>
      </c>
      <c r="C1372">
        <v>30</v>
      </c>
      <c r="D1372">
        <v>8</v>
      </c>
      <c r="E1372">
        <v>1531</v>
      </c>
      <c r="F1372">
        <v>3887</v>
      </c>
      <c r="G1372">
        <v>3973</v>
      </c>
      <c r="H1372">
        <v>2041</v>
      </c>
      <c r="I1372">
        <v>1457</v>
      </c>
      <c r="J1372">
        <v>12</v>
      </c>
      <c r="K1372">
        <v>496</v>
      </c>
      <c r="L1372">
        <v>419</v>
      </c>
      <c r="M1372">
        <v>415</v>
      </c>
      <c r="N1372">
        <v>194</v>
      </c>
      <c r="O1372">
        <v>1288</v>
      </c>
      <c r="P1372">
        <v>426.39570759999998</v>
      </c>
      <c r="Q1372">
        <v>286</v>
      </c>
      <c r="R1372">
        <v>0.27112232000000003</v>
      </c>
      <c r="S1372">
        <v>3845</v>
      </c>
      <c r="T1372">
        <v>126</v>
      </c>
      <c r="U1372">
        <v>675</v>
      </c>
      <c r="V1372">
        <v>1088</v>
      </c>
      <c r="W1372">
        <v>1122</v>
      </c>
      <c r="X1372">
        <v>886</v>
      </c>
      <c r="Y1372">
        <v>542</v>
      </c>
      <c r="Z1372">
        <v>378</v>
      </c>
      <c r="AA1372">
        <v>1556</v>
      </c>
      <c r="AB1372">
        <v>22</v>
      </c>
      <c r="AC1372">
        <v>820</v>
      </c>
      <c r="AD1372">
        <v>527</v>
      </c>
      <c r="AE1372">
        <v>0</v>
      </c>
      <c r="AF1372">
        <v>0</v>
      </c>
      <c r="AG1372">
        <v>4</v>
      </c>
      <c r="AH1372">
        <v>32</v>
      </c>
      <c r="AI1372">
        <v>0</v>
      </c>
      <c r="AJ1372">
        <v>0</v>
      </c>
      <c r="AK1372">
        <v>1.5678000000000001</v>
      </c>
      <c r="AL1372">
        <v>3</v>
      </c>
      <c r="AM1372">
        <v>0</v>
      </c>
      <c r="AN1372">
        <v>1531</v>
      </c>
      <c r="AO1372">
        <v>86</v>
      </c>
      <c r="AP1372">
        <v>0</v>
      </c>
      <c r="AQ1372">
        <v>0</v>
      </c>
    </row>
    <row r="1373" spans="1:43" x14ac:dyDescent="0.25">
      <c r="A1373">
        <v>1370</v>
      </c>
      <c r="B1373">
        <v>30</v>
      </c>
      <c r="C1373">
        <v>30</v>
      </c>
      <c r="D1373">
        <v>8</v>
      </c>
      <c r="E1373">
        <v>3758</v>
      </c>
      <c r="F1373">
        <v>9863</v>
      </c>
      <c r="G1373">
        <v>9918</v>
      </c>
      <c r="H1373">
        <v>5232</v>
      </c>
      <c r="I1373">
        <v>3138</v>
      </c>
      <c r="J1373">
        <v>448</v>
      </c>
      <c r="K1373">
        <v>948</v>
      </c>
      <c r="L1373">
        <v>645</v>
      </c>
      <c r="M1373">
        <v>1059</v>
      </c>
      <c r="N1373">
        <v>1089</v>
      </c>
      <c r="O1373">
        <v>6797</v>
      </c>
      <c r="P1373">
        <v>6703.8548970000002</v>
      </c>
      <c r="Q1373">
        <v>34</v>
      </c>
      <c r="R1373">
        <v>0.21170346100000001</v>
      </c>
      <c r="S1373">
        <v>1395</v>
      </c>
      <c r="T1373">
        <v>689</v>
      </c>
      <c r="U1373">
        <v>1541</v>
      </c>
      <c r="V1373">
        <v>3325</v>
      </c>
      <c r="W1373">
        <v>2910</v>
      </c>
      <c r="X1373">
        <v>1687</v>
      </c>
      <c r="Y1373">
        <v>139</v>
      </c>
      <c r="Z1373">
        <v>188</v>
      </c>
      <c r="AA1373">
        <v>440</v>
      </c>
      <c r="AB1373">
        <v>178</v>
      </c>
      <c r="AC1373">
        <v>215</v>
      </c>
      <c r="AD1373">
        <v>235</v>
      </c>
      <c r="AE1373">
        <v>0</v>
      </c>
      <c r="AF1373">
        <v>0</v>
      </c>
      <c r="AG1373">
        <v>5</v>
      </c>
      <c r="AH1373">
        <v>85</v>
      </c>
      <c r="AI1373">
        <v>0</v>
      </c>
      <c r="AJ1373">
        <v>0</v>
      </c>
      <c r="AK1373">
        <v>0.93398000000000003</v>
      </c>
      <c r="AL1373">
        <v>3</v>
      </c>
      <c r="AM1373">
        <v>0</v>
      </c>
      <c r="AN1373">
        <v>3758</v>
      </c>
      <c r="AO1373">
        <v>55</v>
      </c>
      <c r="AP1373">
        <v>0</v>
      </c>
      <c r="AQ1373">
        <v>0</v>
      </c>
    </row>
    <row r="1374" spans="1:43" x14ac:dyDescent="0.25">
      <c r="A1374">
        <v>1371</v>
      </c>
      <c r="B1374">
        <v>30</v>
      </c>
      <c r="C1374">
        <v>30</v>
      </c>
      <c r="D1374">
        <v>8</v>
      </c>
      <c r="E1374">
        <v>1985</v>
      </c>
      <c r="F1374">
        <v>5470</v>
      </c>
      <c r="G1374">
        <v>5500</v>
      </c>
      <c r="H1374">
        <v>3257</v>
      </c>
      <c r="I1374">
        <v>1547</v>
      </c>
      <c r="J1374">
        <v>366</v>
      </c>
      <c r="K1374">
        <v>299</v>
      </c>
      <c r="L1374">
        <v>536</v>
      </c>
      <c r="M1374">
        <v>722</v>
      </c>
      <c r="N1374">
        <v>432</v>
      </c>
      <c r="O1374">
        <v>550</v>
      </c>
      <c r="P1374">
        <v>501</v>
      </c>
      <c r="Q1374">
        <v>45</v>
      </c>
      <c r="R1374">
        <v>0.19132791299999999</v>
      </c>
      <c r="S1374">
        <v>773</v>
      </c>
      <c r="T1374">
        <v>170</v>
      </c>
      <c r="U1374">
        <v>1146</v>
      </c>
      <c r="V1374">
        <v>1670</v>
      </c>
      <c r="W1374">
        <v>1610</v>
      </c>
      <c r="X1374">
        <v>844</v>
      </c>
      <c r="Y1374">
        <v>57</v>
      </c>
      <c r="Z1374">
        <v>99</v>
      </c>
      <c r="AA1374">
        <v>491</v>
      </c>
      <c r="AB1374">
        <v>14</v>
      </c>
      <c r="AC1374">
        <v>29</v>
      </c>
      <c r="AD1374">
        <v>83</v>
      </c>
      <c r="AE1374">
        <v>0</v>
      </c>
      <c r="AF1374">
        <v>0</v>
      </c>
      <c r="AG1374">
        <v>4</v>
      </c>
      <c r="AH1374">
        <v>1434</v>
      </c>
      <c r="AI1374">
        <v>0</v>
      </c>
      <c r="AJ1374">
        <v>0</v>
      </c>
      <c r="AK1374">
        <v>1.1016300000000001</v>
      </c>
      <c r="AL1374">
        <v>3</v>
      </c>
      <c r="AM1374">
        <v>0</v>
      </c>
      <c r="AN1374">
        <v>1985</v>
      </c>
      <c r="AO1374">
        <v>30</v>
      </c>
      <c r="AP1374">
        <v>0</v>
      </c>
      <c r="AQ1374">
        <v>0</v>
      </c>
    </row>
    <row r="1375" spans="1:43" x14ac:dyDescent="0.25">
      <c r="A1375">
        <v>1372</v>
      </c>
      <c r="B1375">
        <v>30</v>
      </c>
      <c r="C1375">
        <v>30</v>
      </c>
      <c r="D1375">
        <v>8</v>
      </c>
      <c r="E1375">
        <v>1679</v>
      </c>
      <c r="F1375">
        <v>4723</v>
      </c>
      <c r="G1375">
        <v>4798</v>
      </c>
      <c r="H1375">
        <v>2437</v>
      </c>
      <c r="I1375">
        <v>1174</v>
      </c>
      <c r="J1375">
        <v>384</v>
      </c>
      <c r="K1375">
        <v>452</v>
      </c>
      <c r="L1375">
        <v>498</v>
      </c>
      <c r="M1375">
        <v>554</v>
      </c>
      <c r="N1375">
        <v>172</v>
      </c>
      <c r="O1375">
        <v>418</v>
      </c>
      <c r="P1375">
        <v>347.96966559999998</v>
      </c>
      <c r="Q1375">
        <v>20</v>
      </c>
      <c r="R1375">
        <v>0.18603263</v>
      </c>
      <c r="S1375">
        <v>425</v>
      </c>
      <c r="T1375">
        <v>336</v>
      </c>
      <c r="U1375">
        <v>931</v>
      </c>
      <c r="V1375">
        <v>1503</v>
      </c>
      <c r="W1375">
        <v>1441</v>
      </c>
      <c r="X1375">
        <v>721</v>
      </c>
      <c r="Y1375">
        <v>31</v>
      </c>
      <c r="Z1375">
        <v>66</v>
      </c>
      <c r="AA1375">
        <v>240</v>
      </c>
      <c r="AB1375">
        <v>6</v>
      </c>
      <c r="AC1375">
        <v>21</v>
      </c>
      <c r="AD1375">
        <v>61</v>
      </c>
      <c r="AE1375">
        <v>0</v>
      </c>
      <c r="AF1375">
        <v>0</v>
      </c>
      <c r="AG1375">
        <v>4</v>
      </c>
      <c r="AH1375">
        <v>0</v>
      </c>
      <c r="AI1375">
        <v>0</v>
      </c>
      <c r="AJ1375">
        <v>0</v>
      </c>
      <c r="AK1375">
        <v>1.1864399999999999</v>
      </c>
      <c r="AL1375">
        <v>3</v>
      </c>
      <c r="AM1375">
        <v>0</v>
      </c>
      <c r="AN1375">
        <v>1679</v>
      </c>
      <c r="AO1375">
        <v>75</v>
      </c>
      <c r="AP1375">
        <v>0</v>
      </c>
      <c r="AQ1375">
        <v>0</v>
      </c>
    </row>
    <row r="1376" spans="1:43" x14ac:dyDescent="0.25">
      <c r="A1376">
        <v>1373</v>
      </c>
      <c r="B1376">
        <v>30</v>
      </c>
      <c r="C1376">
        <v>30</v>
      </c>
      <c r="D1376">
        <v>8</v>
      </c>
      <c r="E1376">
        <v>2910</v>
      </c>
      <c r="F1376">
        <v>7476</v>
      </c>
      <c r="G1376">
        <v>7559</v>
      </c>
      <c r="H1376">
        <v>3863</v>
      </c>
      <c r="I1376">
        <v>931</v>
      </c>
      <c r="J1376">
        <v>1896</v>
      </c>
      <c r="K1376">
        <v>1021</v>
      </c>
      <c r="L1376">
        <v>1163</v>
      </c>
      <c r="M1376">
        <v>599</v>
      </c>
      <c r="N1376">
        <v>127</v>
      </c>
      <c r="O1376">
        <v>499</v>
      </c>
      <c r="P1376">
        <v>296</v>
      </c>
      <c r="Q1376">
        <v>196</v>
      </c>
      <c r="R1376">
        <v>0.119068708</v>
      </c>
      <c r="S1376">
        <v>3032</v>
      </c>
      <c r="T1376">
        <v>387</v>
      </c>
      <c r="U1376">
        <v>1914</v>
      </c>
      <c r="V1376">
        <v>3061</v>
      </c>
      <c r="W1376">
        <v>1679</v>
      </c>
      <c r="X1376">
        <v>751</v>
      </c>
      <c r="Y1376">
        <v>251</v>
      </c>
      <c r="Z1376">
        <v>783</v>
      </c>
      <c r="AA1376">
        <v>1291</v>
      </c>
      <c r="AB1376">
        <v>20</v>
      </c>
      <c r="AC1376">
        <v>301</v>
      </c>
      <c r="AD1376">
        <v>386</v>
      </c>
      <c r="AE1376">
        <v>0</v>
      </c>
      <c r="AF1376">
        <v>0</v>
      </c>
      <c r="AG1376">
        <v>4</v>
      </c>
      <c r="AH1376">
        <v>366</v>
      </c>
      <c r="AI1376">
        <v>0</v>
      </c>
      <c r="AJ1376">
        <v>0</v>
      </c>
      <c r="AK1376">
        <v>1.56454</v>
      </c>
      <c r="AL1376">
        <v>3</v>
      </c>
      <c r="AM1376">
        <v>0</v>
      </c>
      <c r="AN1376">
        <v>2910</v>
      </c>
      <c r="AO1376">
        <v>83</v>
      </c>
      <c r="AP1376">
        <v>0</v>
      </c>
      <c r="AQ1376">
        <v>0</v>
      </c>
    </row>
    <row r="1377" spans="1:43" x14ac:dyDescent="0.25">
      <c r="A1377">
        <v>1374</v>
      </c>
      <c r="B1377">
        <v>30</v>
      </c>
      <c r="C1377">
        <v>30</v>
      </c>
      <c r="D1377">
        <v>8</v>
      </c>
      <c r="E1377">
        <v>2830</v>
      </c>
      <c r="F1377">
        <v>6989</v>
      </c>
      <c r="G1377">
        <v>7031</v>
      </c>
      <c r="H1377">
        <v>4066</v>
      </c>
      <c r="I1377">
        <v>1293</v>
      </c>
      <c r="J1377">
        <v>1496</v>
      </c>
      <c r="K1377">
        <v>991</v>
      </c>
      <c r="L1377">
        <v>788</v>
      </c>
      <c r="M1377">
        <v>653</v>
      </c>
      <c r="N1377">
        <v>404</v>
      </c>
      <c r="O1377">
        <v>617</v>
      </c>
      <c r="P1377">
        <v>356</v>
      </c>
      <c r="Q1377">
        <v>252.2611564</v>
      </c>
      <c r="R1377">
        <v>0.21122661100000001</v>
      </c>
      <c r="S1377">
        <v>4285</v>
      </c>
      <c r="T1377">
        <v>236</v>
      </c>
      <c r="U1377">
        <v>1345</v>
      </c>
      <c r="V1377">
        <v>2720</v>
      </c>
      <c r="W1377">
        <v>1614</v>
      </c>
      <c r="X1377">
        <v>1180</v>
      </c>
      <c r="Y1377">
        <v>788</v>
      </c>
      <c r="Z1377">
        <v>863</v>
      </c>
      <c r="AA1377">
        <v>1491</v>
      </c>
      <c r="AB1377">
        <v>16</v>
      </c>
      <c r="AC1377">
        <v>536</v>
      </c>
      <c r="AD1377">
        <v>591</v>
      </c>
      <c r="AE1377">
        <v>0</v>
      </c>
      <c r="AF1377">
        <v>0</v>
      </c>
      <c r="AG1377">
        <v>4</v>
      </c>
      <c r="AH1377">
        <v>0</v>
      </c>
      <c r="AI1377">
        <v>0</v>
      </c>
      <c r="AJ1377">
        <v>0</v>
      </c>
      <c r="AK1377">
        <v>1.5100199999999999</v>
      </c>
      <c r="AL1377">
        <v>3</v>
      </c>
      <c r="AM1377">
        <v>0</v>
      </c>
      <c r="AN1377">
        <v>2830</v>
      </c>
      <c r="AO1377">
        <v>42</v>
      </c>
      <c r="AP1377">
        <v>0</v>
      </c>
      <c r="AQ1377">
        <v>0</v>
      </c>
    </row>
    <row r="1378" spans="1:43" x14ac:dyDescent="0.25">
      <c r="A1378">
        <v>1375</v>
      </c>
      <c r="B1378">
        <v>30</v>
      </c>
      <c r="C1378">
        <v>30</v>
      </c>
      <c r="D1378">
        <v>8</v>
      </c>
      <c r="E1378">
        <v>2974</v>
      </c>
      <c r="F1378">
        <v>7231</v>
      </c>
      <c r="G1378">
        <v>7347</v>
      </c>
      <c r="H1378">
        <v>4157</v>
      </c>
      <c r="I1378">
        <v>2433</v>
      </c>
      <c r="J1378">
        <v>399</v>
      </c>
      <c r="K1378">
        <v>678</v>
      </c>
      <c r="L1378">
        <v>1080</v>
      </c>
      <c r="M1378">
        <v>758</v>
      </c>
      <c r="N1378">
        <v>442</v>
      </c>
      <c r="O1378">
        <v>843</v>
      </c>
      <c r="P1378">
        <v>625.35035570000002</v>
      </c>
      <c r="Q1378">
        <v>204</v>
      </c>
      <c r="R1378">
        <v>0.27574490299999999</v>
      </c>
      <c r="S1378">
        <v>1897</v>
      </c>
      <c r="T1378">
        <v>628</v>
      </c>
      <c r="U1378">
        <v>968</v>
      </c>
      <c r="V1378">
        <v>2058</v>
      </c>
      <c r="W1378">
        <v>2088</v>
      </c>
      <c r="X1378">
        <v>1754</v>
      </c>
      <c r="Y1378">
        <v>171</v>
      </c>
      <c r="Z1378">
        <v>342</v>
      </c>
      <c r="AA1378">
        <v>873</v>
      </c>
      <c r="AB1378">
        <v>7</v>
      </c>
      <c r="AC1378">
        <v>403</v>
      </c>
      <c r="AD1378">
        <v>101</v>
      </c>
      <c r="AE1378">
        <v>0</v>
      </c>
      <c r="AF1378">
        <v>0</v>
      </c>
      <c r="AG1378">
        <v>4</v>
      </c>
      <c r="AH1378">
        <v>0</v>
      </c>
      <c r="AI1378">
        <v>0</v>
      </c>
      <c r="AJ1378">
        <v>0</v>
      </c>
      <c r="AK1378">
        <v>1.2074800000000001</v>
      </c>
      <c r="AL1378">
        <v>3</v>
      </c>
      <c r="AM1378">
        <v>0</v>
      </c>
      <c r="AN1378">
        <v>2974</v>
      </c>
      <c r="AO1378">
        <v>116</v>
      </c>
      <c r="AP1378">
        <v>0</v>
      </c>
      <c r="AQ1378">
        <v>0</v>
      </c>
    </row>
    <row r="1379" spans="1:43" x14ac:dyDescent="0.25">
      <c r="A1379">
        <v>1376</v>
      </c>
      <c r="B1379">
        <v>30</v>
      </c>
      <c r="C1379">
        <v>30</v>
      </c>
      <c r="D1379">
        <v>8</v>
      </c>
      <c r="E1379">
        <v>2146</v>
      </c>
      <c r="F1379">
        <v>6384</v>
      </c>
      <c r="G1379">
        <v>6633</v>
      </c>
      <c r="H1379">
        <v>3385</v>
      </c>
      <c r="I1379">
        <v>1671</v>
      </c>
      <c r="J1379">
        <v>339</v>
      </c>
      <c r="K1379">
        <v>719</v>
      </c>
      <c r="L1379">
        <v>812</v>
      </c>
      <c r="M1379">
        <v>481</v>
      </c>
      <c r="N1379">
        <v>140</v>
      </c>
      <c r="O1379">
        <v>541</v>
      </c>
      <c r="P1379">
        <v>380</v>
      </c>
      <c r="Q1379">
        <v>133</v>
      </c>
      <c r="R1379">
        <v>0.15045718999999999</v>
      </c>
      <c r="S1379">
        <v>2560</v>
      </c>
      <c r="T1379">
        <v>436</v>
      </c>
      <c r="U1379">
        <v>1133</v>
      </c>
      <c r="V1379">
        <v>3082</v>
      </c>
      <c r="W1379">
        <v>1733</v>
      </c>
      <c r="X1379">
        <v>686</v>
      </c>
      <c r="Y1379">
        <v>239</v>
      </c>
      <c r="Z1379">
        <v>640</v>
      </c>
      <c r="AA1379">
        <v>1189</v>
      </c>
      <c r="AB1379">
        <v>9</v>
      </c>
      <c r="AC1379">
        <v>199</v>
      </c>
      <c r="AD1379">
        <v>284</v>
      </c>
      <c r="AE1379">
        <v>0</v>
      </c>
      <c r="AF1379">
        <v>0</v>
      </c>
      <c r="AG1379">
        <v>4</v>
      </c>
      <c r="AH1379">
        <v>0</v>
      </c>
      <c r="AI1379">
        <v>0</v>
      </c>
      <c r="AJ1379">
        <v>0</v>
      </c>
      <c r="AK1379">
        <v>1.41568</v>
      </c>
      <c r="AL1379">
        <v>3</v>
      </c>
      <c r="AM1379">
        <v>0</v>
      </c>
      <c r="AN1379">
        <v>2146</v>
      </c>
      <c r="AO1379">
        <v>249</v>
      </c>
      <c r="AP1379">
        <v>0</v>
      </c>
      <c r="AQ1379">
        <v>0</v>
      </c>
    </row>
    <row r="1380" spans="1:43" x14ac:dyDescent="0.25">
      <c r="A1380">
        <v>1377</v>
      </c>
      <c r="B1380">
        <v>30</v>
      </c>
      <c r="C1380">
        <v>30</v>
      </c>
      <c r="D1380">
        <v>8</v>
      </c>
      <c r="E1380">
        <v>2014</v>
      </c>
      <c r="F1380">
        <v>5473</v>
      </c>
      <c r="G1380">
        <v>5500</v>
      </c>
      <c r="H1380">
        <v>2696</v>
      </c>
      <c r="I1380">
        <v>1125</v>
      </c>
      <c r="J1380">
        <v>859</v>
      </c>
      <c r="K1380">
        <v>716</v>
      </c>
      <c r="L1380">
        <v>680</v>
      </c>
      <c r="M1380">
        <v>483</v>
      </c>
      <c r="N1380">
        <v>142</v>
      </c>
      <c r="O1380">
        <v>403</v>
      </c>
      <c r="P1380">
        <v>352.37819710000002</v>
      </c>
      <c r="Q1380">
        <v>53</v>
      </c>
      <c r="R1380">
        <v>0.13029913700000001</v>
      </c>
      <c r="S1380">
        <v>1561</v>
      </c>
      <c r="T1380">
        <v>295</v>
      </c>
      <c r="U1380">
        <v>1154</v>
      </c>
      <c r="V1380">
        <v>2156</v>
      </c>
      <c r="W1380">
        <v>1159</v>
      </c>
      <c r="X1380">
        <v>582</v>
      </c>
      <c r="Y1380">
        <v>356</v>
      </c>
      <c r="Z1380">
        <v>363</v>
      </c>
      <c r="AA1380">
        <v>648</v>
      </c>
      <c r="AB1380">
        <v>14</v>
      </c>
      <c r="AC1380">
        <v>53</v>
      </c>
      <c r="AD1380">
        <v>127</v>
      </c>
      <c r="AE1380">
        <v>0</v>
      </c>
      <c r="AF1380">
        <v>0</v>
      </c>
      <c r="AG1380">
        <v>4</v>
      </c>
      <c r="AH1380">
        <v>0</v>
      </c>
      <c r="AI1380">
        <v>0</v>
      </c>
      <c r="AJ1380">
        <v>0</v>
      </c>
      <c r="AK1380">
        <v>1.2505999999999999</v>
      </c>
      <c r="AL1380">
        <v>3</v>
      </c>
      <c r="AM1380">
        <v>0</v>
      </c>
      <c r="AN1380">
        <v>2014</v>
      </c>
      <c r="AO1380">
        <v>27</v>
      </c>
      <c r="AP1380">
        <v>0</v>
      </c>
      <c r="AQ1380">
        <v>0</v>
      </c>
    </row>
    <row r="1381" spans="1:43" x14ac:dyDescent="0.25">
      <c r="A1381">
        <v>1378</v>
      </c>
      <c r="B1381">
        <v>30</v>
      </c>
      <c r="C1381">
        <v>30</v>
      </c>
      <c r="D1381">
        <v>8</v>
      </c>
      <c r="E1381">
        <v>2842</v>
      </c>
      <c r="F1381">
        <v>8023</v>
      </c>
      <c r="G1381">
        <v>8130</v>
      </c>
      <c r="H1381">
        <v>4169</v>
      </c>
      <c r="I1381">
        <v>1691</v>
      </c>
      <c r="J1381">
        <v>992</v>
      </c>
      <c r="K1381">
        <v>1132</v>
      </c>
      <c r="L1381">
        <v>980</v>
      </c>
      <c r="M1381">
        <v>557</v>
      </c>
      <c r="N1381">
        <v>190</v>
      </c>
      <c r="O1381">
        <v>796</v>
      </c>
      <c r="P1381">
        <v>688.64647579999996</v>
      </c>
      <c r="Q1381">
        <v>114</v>
      </c>
      <c r="R1381">
        <v>0.119238707</v>
      </c>
      <c r="S1381">
        <v>1720</v>
      </c>
      <c r="T1381">
        <v>493</v>
      </c>
      <c r="U1381">
        <v>2019</v>
      </c>
      <c r="V1381">
        <v>3142</v>
      </c>
      <c r="W1381">
        <v>2075</v>
      </c>
      <c r="X1381">
        <v>824</v>
      </c>
      <c r="Y1381">
        <v>237</v>
      </c>
      <c r="Z1381">
        <v>135</v>
      </c>
      <c r="AA1381">
        <v>870</v>
      </c>
      <c r="AB1381">
        <v>2</v>
      </c>
      <c r="AC1381">
        <v>314</v>
      </c>
      <c r="AD1381">
        <v>162</v>
      </c>
      <c r="AE1381">
        <v>0</v>
      </c>
      <c r="AF1381">
        <v>0</v>
      </c>
      <c r="AG1381">
        <v>4</v>
      </c>
      <c r="AH1381">
        <v>775</v>
      </c>
      <c r="AI1381">
        <v>0</v>
      </c>
      <c r="AJ1381">
        <v>0</v>
      </c>
      <c r="AK1381">
        <v>1.1796899999999999</v>
      </c>
      <c r="AL1381">
        <v>3</v>
      </c>
      <c r="AM1381">
        <v>0</v>
      </c>
      <c r="AN1381">
        <v>2842</v>
      </c>
      <c r="AO1381">
        <v>107</v>
      </c>
      <c r="AP1381">
        <v>0</v>
      </c>
      <c r="AQ1381">
        <v>0</v>
      </c>
    </row>
    <row r="1382" spans="1:43" x14ac:dyDescent="0.25">
      <c r="A1382">
        <v>1379</v>
      </c>
      <c r="B1382">
        <v>30</v>
      </c>
      <c r="C1382">
        <v>30</v>
      </c>
      <c r="D1382">
        <v>8</v>
      </c>
      <c r="E1382">
        <v>1486</v>
      </c>
      <c r="F1382">
        <v>5085</v>
      </c>
      <c r="G1382">
        <v>5139</v>
      </c>
      <c r="H1382">
        <v>2964</v>
      </c>
      <c r="I1382">
        <v>1046</v>
      </c>
      <c r="J1382">
        <v>337</v>
      </c>
      <c r="K1382">
        <v>388</v>
      </c>
      <c r="L1382">
        <v>490</v>
      </c>
      <c r="M1382">
        <v>462</v>
      </c>
      <c r="N1382">
        <v>143</v>
      </c>
      <c r="O1382">
        <v>305</v>
      </c>
      <c r="P1382">
        <v>296.22675409999999</v>
      </c>
      <c r="Q1382">
        <v>16</v>
      </c>
      <c r="R1382">
        <v>8.3333332999999996E-2</v>
      </c>
      <c r="S1382">
        <v>293</v>
      </c>
      <c r="T1382">
        <v>331</v>
      </c>
      <c r="U1382">
        <v>1613</v>
      </c>
      <c r="V1382">
        <v>2134</v>
      </c>
      <c r="W1382">
        <v>1419</v>
      </c>
      <c r="X1382">
        <v>406</v>
      </c>
      <c r="Y1382">
        <v>60</v>
      </c>
      <c r="Z1382">
        <v>19</v>
      </c>
      <c r="AA1382">
        <v>170</v>
      </c>
      <c r="AB1382">
        <v>0</v>
      </c>
      <c r="AC1382">
        <v>1</v>
      </c>
      <c r="AD1382">
        <v>43</v>
      </c>
      <c r="AE1382">
        <v>0</v>
      </c>
      <c r="AF1382">
        <v>0</v>
      </c>
      <c r="AG1382">
        <v>4</v>
      </c>
      <c r="AH1382">
        <v>0</v>
      </c>
      <c r="AI1382">
        <v>0</v>
      </c>
      <c r="AJ1382">
        <v>0</v>
      </c>
      <c r="AK1382">
        <v>1.2423299999999999</v>
      </c>
      <c r="AL1382">
        <v>3</v>
      </c>
      <c r="AM1382">
        <v>0</v>
      </c>
      <c r="AN1382">
        <v>1486</v>
      </c>
      <c r="AO1382">
        <v>54</v>
      </c>
      <c r="AP1382">
        <v>0</v>
      </c>
      <c r="AQ1382">
        <v>0</v>
      </c>
    </row>
    <row r="1383" spans="1:43" x14ac:dyDescent="0.25">
      <c r="A1383">
        <v>1380</v>
      </c>
      <c r="B1383">
        <v>30</v>
      </c>
      <c r="C1383">
        <v>30</v>
      </c>
      <c r="D1383">
        <v>8</v>
      </c>
      <c r="E1383">
        <v>2488</v>
      </c>
      <c r="F1383">
        <v>7322</v>
      </c>
      <c r="G1383">
        <v>7505</v>
      </c>
      <c r="H1383">
        <v>3659</v>
      </c>
      <c r="I1383">
        <v>1817</v>
      </c>
      <c r="J1383">
        <v>464</v>
      </c>
      <c r="K1383">
        <v>768</v>
      </c>
      <c r="L1383">
        <v>817</v>
      </c>
      <c r="M1383">
        <v>654</v>
      </c>
      <c r="N1383">
        <v>251</v>
      </c>
      <c r="O1383">
        <v>3167</v>
      </c>
      <c r="P1383">
        <v>1380.2311380000001</v>
      </c>
      <c r="Q1383">
        <v>824.42605790000005</v>
      </c>
      <c r="R1383">
        <v>0.15679209999999999</v>
      </c>
      <c r="S1383">
        <v>6353</v>
      </c>
      <c r="T1383">
        <v>273</v>
      </c>
      <c r="U1383">
        <v>1896</v>
      </c>
      <c r="V1383">
        <v>2525</v>
      </c>
      <c r="W1383">
        <v>1776</v>
      </c>
      <c r="X1383">
        <v>893</v>
      </c>
      <c r="Y1383">
        <v>1626</v>
      </c>
      <c r="Z1383">
        <v>720</v>
      </c>
      <c r="AA1383">
        <v>1216</v>
      </c>
      <c r="AB1383">
        <v>62</v>
      </c>
      <c r="AC1383">
        <v>1243</v>
      </c>
      <c r="AD1383">
        <v>1486</v>
      </c>
      <c r="AE1383">
        <v>0</v>
      </c>
      <c r="AF1383">
        <v>0</v>
      </c>
      <c r="AG1383">
        <v>4</v>
      </c>
      <c r="AH1383">
        <v>1057</v>
      </c>
      <c r="AI1383">
        <v>0</v>
      </c>
      <c r="AJ1383">
        <v>0</v>
      </c>
      <c r="AK1383">
        <v>1.1362399999999999</v>
      </c>
      <c r="AL1383">
        <v>3</v>
      </c>
      <c r="AM1383">
        <v>0</v>
      </c>
      <c r="AN1383">
        <v>2488</v>
      </c>
      <c r="AO1383">
        <v>183</v>
      </c>
      <c r="AP1383">
        <v>0</v>
      </c>
      <c r="AQ1383">
        <v>0</v>
      </c>
    </row>
    <row r="1384" spans="1:43" x14ac:dyDescent="0.25">
      <c r="A1384">
        <v>1381</v>
      </c>
      <c r="B1384">
        <v>30</v>
      </c>
      <c r="C1384">
        <v>30</v>
      </c>
      <c r="D1384">
        <v>8</v>
      </c>
      <c r="E1384">
        <v>3890</v>
      </c>
      <c r="F1384">
        <v>11023</v>
      </c>
      <c r="G1384">
        <v>11578</v>
      </c>
      <c r="H1384">
        <v>5801</v>
      </c>
      <c r="I1384">
        <v>2781</v>
      </c>
      <c r="J1384">
        <v>788</v>
      </c>
      <c r="K1384">
        <v>999</v>
      </c>
      <c r="L1384">
        <v>1420</v>
      </c>
      <c r="M1384">
        <v>848</v>
      </c>
      <c r="N1384">
        <v>615</v>
      </c>
      <c r="O1384">
        <v>7886</v>
      </c>
      <c r="P1384">
        <v>3012.0292119999999</v>
      </c>
      <c r="Q1384">
        <v>519</v>
      </c>
      <c r="R1384">
        <v>0.177943833</v>
      </c>
      <c r="S1384">
        <v>4718</v>
      </c>
      <c r="T1384">
        <v>526</v>
      </c>
      <c r="U1384">
        <v>2426</v>
      </c>
      <c r="V1384">
        <v>4230</v>
      </c>
      <c r="W1384">
        <v>3246</v>
      </c>
      <c r="X1384">
        <v>1526</v>
      </c>
      <c r="Y1384">
        <v>319</v>
      </c>
      <c r="Z1384">
        <v>891</v>
      </c>
      <c r="AA1384">
        <v>1340</v>
      </c>
      <c r="AB1384">
        <v>95</v>
      </c>
      <c r="AC1384">
        <v>905</v>
      </c>
      <c r="AD1384">
        <v>1168</v>
      </c>
      <c r="AE1384">
        <v>0</v>
      </c>
      <c r="AF1384">
        <v>0</v>
      </c>
      <c r="AG1384">
        <v>4</v>
      </c>
      <c r="AH1384">
        <v>0</v>
      </c>
      <c r="AI1384">
        <v>0</v>
      </c>
      <c r="AJ1384">
        <v>0</v>
      </c>
      <c r="AK1384">
        <v>1.0376099999999999</v>
      </c>
      <c r="AL1384">
        <v>3</v>
      </c>
      <c r="AM1384">
        <v>0</v>
      </c>
      <c r="AN1384">
        <v>3890</v>
      </c>
      <c r="AO1384">
        <v>555</v>
      </c>
      <c r="AP1384">
        <v>0</v>
      </c>
      <c r="AQ1384">
        <v>0</v>
      </c>
    </row>
    <row r="1385" spans="1:43" x14ac:dyDescent="0.25">
      <c r="A1385">
        <v>1382</v>
      </c>
      <c r="B1385">
        <v>30</v>
      </c>
      <c r="C1385">
        <v>30</v>
      </c>
      <c r="D1385">
        <v>8</v>
      </c>
      <c r="E1385">
        <v>2431</v>
      </c>
      <c r="F1385">
        <v>6179</v>
      </c>
      <c r="G1385">
        <v>6207</v>
      </c>
      <c r="H1385">
        <v>3199</v>
      </c>
      <c r="I1385">
        <v>2096</v>
      </c>
      <c r="J1385">
        <v>200</v>
      </c>
      <c r="K1385">
        <v>555</v>
      </c>
      <c r="L1385">
        <v>569</v>
      </c>
      <c r="M1385">
        <v>684</v>
      </c>
      <c r="N1385">
        <v>629</v>
      </c>
      <c r="O1385">
        <v>6085</v>
      </c>
      <c r="P1385">
        <v>1801.852022</v>
      </c>
      <c r="Q1385">
        <v>90.475171250000002</v>
      </c>
      <c r="R1385">
        <v>0.231803431</v>
      </c>
      <c r="S1385">
        <v>1585</v>
      </c>
      <c r="T1385">
        <v>207</v>
      </c>
      <c r="U1385">
        <v>1179</v>
      </c>
      <c r="V1385">
        <v>1729</v>
      </c>
      <c r="W1385">
        <v>1969</v>
      </c>
      <c r="X1385">
        <v>1256</v>
      </c>
      <c r="Y1385">
        <v>48</v>
      </c>
      <c r="Z1385">
        <v>133</v>
      </c>
      <c r="AA1385">
        <v>810</v>
      </c>
      <c r="AB1385">
        <v>210</v>
      </c>
      <c r="AC1385">
        <v>225</v>
      </c>
      <c r="AD1385">
        <v>159</v>
      </c>
      <c r="AE1385">
        <v>0</v>
      </c>
      <c r="AF1385">
        <v>0</v>
      </c>
      <c r="AG1385">
        <v>4</v>
      </c>
      <c r="AH1385">
        <v>124</v>
      </c>
      <c r="AI1385">
        <v>0</v>
      </c>
      <c r="AJ1385">
        <v>0</v>
      </c>
      <c r="AK1385">
        <v>1.0110699999999999</v>
      </c>
      <c r="AL1385">
        <v>3</v>
      </c>
      <c r="AM1385">
        <v>0</v>
      </c>
      <c r="AN1385">
        <v>2431</v>
      </c>
      <c r="AO1385">
        <v>28</v>
      </c>
      <c r="AP1385">
        <v>0</v>
      </c>
      <c r="AQ1385">
        <v>0</v>
      </c>
    </row>
    <row r="1386" spans="1:43" x14ac:dyDescent="0.25">
      <c r="A1386">
        <v>1383</v>
      </c>
      <c r="B1386">
        <v>30</v>
      </c>
      <c r="C1386">
        <v>30</v>
      </c>
      <c r="D1386">
        <v>8</v>
      </c>
      <c r="E1386">
        <v>2792</v>
      </c>
      <c r="F1386">
        <v>6280</v>
      </c>
      <c r="G1386">
        <v>6302</v>
      </c>
      <c r="H1386">
        <v>3345</v>
      </c>
      <c r="I1386">
        <v>2751</v>
      </c>
      <c r="J1386">
        <v>131</v>
      </c>
      <c r="K1386">
        <v>715</v>
      </c>
      <c r="L1386">
        <v>385</v>
      </c>
      <c r="M1386">
        <v>619</v>
      </c>
      <c r="N1386">
        <v>1076</v>
      </c>
      <c r="O1386">
        <v>10243</v>
      </c>
      <c r="P1386">
        <v>4882.7611420000003</v>
      </c>
      <c r="Q1386">
        <v>197</v>
      </c>
      <c r="R1386">
        <v>0.41951664399999999</v>
      </c>
      <c r="S1386">
        <v>1747</v>
      </c>
      <c r="T1386">
        <v>152</v>
      </c>
      <c r="U1386">
        <v>607</v>
      </c>
      <c r="V1386">
        <v>1313</v>
      </c>
      <c r="W1386">
        <v>2195</v>
      </c>
      <c r="X1386">
        <v>2179</v>
      </c>
      <c r="Y1386">
        <v>108</v>
      </c>
      <c r="Z1386">
        <v>242</v>
      </c>
      <c r="AA1386">
        <v>403</v>
      </c>
      <c r="AB1386">
        <v>321</v>
      </c>
      <c r="AC1386">
        <v>450</v>
      </c>
      <c r="AD1386">
        <v>223</v>
      </c>
      <c r="AE1386">
        <v>0</v>
      </c>
      <c r="AF1386">
        <v>0</v>
      </c>
      <c r="AG1386">
        <v>5</v>
      </c>
      <c r="AH1386">
        <v>13</v>
      </c>
      <c r="AI1386">
        <v>0</v>
      </c>
      <c r="AJ1386">
        <v>0</v>
      </c>
      <c r="AK1386">
        <v>0.93096000000000001</v>
      </c>
      <c r="AL1386">
        <v>1</v>
      </c>
      <c r="AM1386">
        <v>0</v>
      </c>
      <c r="AN1386">
        <v>2792</v>
      </c>
      <c r="AO1386">
        <v>22</v>
      </c>
      <c r="AP1386">
        <v>0</v>
      </c>
      <c r="AQ1386">
        <v>0</v>
      </c>
    </row>
    <row r="1387" spans="1:43" x14ac:dyDescent="0.25">
      <c r="A1387">
        <v>1384</v>
      </c>
      <c r="B1387">
        <v>30</v>
      </c>
      <c r="C1387">
        <v>30</v>
      </c>
      <c r="D1387">
        <v>8</v>
      </c>
      <c r="E1387">
        <v>2411</v>
      </c>
      <c r="F1387">
        <v>6009</v>
      </c>
      <c r="G1387">
        <v>6029</v>
      </c>
      <c r="H1387">
        <v>3231</v>
      </c>
      <c r="I1387">
        <v>1836</v>
      </c>
      <c r="J1387">
        <v>515</v>
      </c>
      <c r="K1387">
        <v>544</v>
      </c>
      <c r="L1387">
        <v>688</v>
      </c>
      <c r="M1387">
        <v>760</v>
      </c>
      <c r="N1387">
        <v>408</v>
      </c>
      <c r="O1387">
        <v>2712</v>
      </c>
      <c r="P1387">
        <v>1380</v>
      </c>
      <c r="Q1387">
        <v>332.42822890000002</v>
      </c>
      <c r="R1387">
        <v>0.287754432</v>
      </c>
      <c r="S1387">
        <v>4378</v>
      </c>
      <c r="T1387">
        <v>205</v>
      </c>
      <c r="U1387">
        <v>1051</v>
      </c>
      <c r="V1387">
        <v>1718</v>
      </c>
      <c r="W1387">
        <v>1532</v>
      </c>
      <c r="X1387">
        <v>1485</v>
      </c>
      <c r="Y1387">
        <v>630</v>
      </c>
      <c r="Z1387">
        <v>764</v>
      </c>
      <c r="AA1387">
        <v>1720</v>
      </c>
      <c r="AB1387">
        <v>37</v>
      </c>
      <c r="AC1387">
        <v>716</v>
      </c>
      <c r="AD1387">
        <v>511</v>
      </c>
      <c r="AE1387">
        <v>0</v>
      </c>
      <c r="AF1387">
        <v>0</v>
      </c>
      <c r="AG1387">
        <v>4</v>
      </c>
      <c r="AH1387">
        <v>1548</v>
      </c>
      <c r="AI1387">
        <v>0</v>
      </c>
      <c r="AJ1387">
        <v>0</v>
      </c>
      <c r="AK1387">
        <v>1.08053</v>
      </c>
      <c r="AL1387">
        <v>1</v>
      </c>
      <c r="AM1387">
        <v>0</v>
      </c>
      <c r="AN1387">
        <v>2411</v>
      </c>
      <c r="AO1387">
        <v>20</v>
      </c>
      <c r="AP1387">
        <v>0</v>
      </c>
      <c r="AQ1387">
        <v>0</v>
      </c>
    </row>
    <row r="1388" spans="1:43" x14ac:dyDescent="0.25">
      <c r="A1388">
        <v>1385</v>
      </c>
      <c r="B1388">
        <v>30</v>
      </c>
      <c r="C1388">
        <v>30</v>
      </c>
      <c r="D1388">
        <v>8</v>
      </c>
      <c r="E1388">
        <v>1873</v>
      </c>
      <c r="F1388">
        <v>4426</v>
      </c>
      <c r="G1388">
        <v>4426</v>
      </c>
      <c r="H1388">
        <v>2050</v>
      </c>
      <c r="I1388">
        <v>1584</v>
      </c>
      <c r="J1388">
        <v>286</v>
      </c>
      <c r="K1388">
        <v>584</v>
      </c>
      <c r="L1388">
        <v>416</v>
      </c>
      <c r="M1388">
        <v>444</v>
      </c>
      <c r="N1388">
        <v>424</v>
      </c>
      <c r="O1388">
        <v>2130</v>
      </c>
      <c r="P1388">
        <v>1398</v>
      </c>
      <c r="Q1388">
        <v>83</v>
      </c>
      <c r="R1388">
        <v>0.364452424</v>
      </c>
      <c r="S1388">
        <v>771</v>
      </c>
      <c r="T1388">
        <v>130</v>
      </c>
      <c r="U1388">
        <v>661</v>
      </c>
      <c r="V1388">
        <v>931</v>
      </c>
      <c r="W1388">
        <v>1235</v>
      </c>
      <c r="X1388">
        <v>1421</v>
      </c>
      <c r="Y1388">
        <v>46</v>
      </c>
      <c r="Z1388">
        <v>122</v>
      </c>
      <c r="AA1388">
        <v>411</v>
      </c>
      <c r="AB1388">
        <v>30</v>
      </c>
      <c r="AC1388">
        <v>34</v>
      </c>
      <c r="AD1388">
        <v>128</v>
      </c>
      <c r="AE1388">
        <v>0</v>
      </c>
      <c r="AF1388">
        <v>0</v>
      </c>
      <c r="AG1388">
        <v>5</v>
      </c>
      <c r="AH1388">
        <v>0</v>
      </c>
      <c r="AI1388">
        <v>0</v>
      </c>
      <c r="AJ1388">
        <v>0</v>
      </c>
      <c r="AK1388">
        <v>0.97070999999999996</v>
      </c>
      <c r="AL1388">
        <v>1</v>
      </c>
      <c r="AM1388">
        <v>0</v>
      </c>
      <c r="AN1388">
        <v>1873</v>
      </c>
      <c r="AO1388">
        <v>0</v>
      </c>
      <c r="AP1388">
        <v>0</v>
      </c>
      <c r="AQ1388">
        <v>0</v>
      </c>
    </row>
    <row r="1389" spans="1:43" x14ac:dyDescent="0.25">
      <c r="A1389">
        <v>1386</v>
      </c>
      <c r="B1389">
        <v>30</v>
      </c>
      <c r="C1389">
        <v>30</v>
      </c>
      <c r="D1389">
        <v>8</v>
      </c>
      <c r="E1389">
        <v>1578</v>
      </c>
      <c r="F1389">
        <v>3431</v>
      </c>
      <c r="G1389">
        <v>3488</v>
      </c>
      <c r="H1389">
        <v>1608</v>
      </c>
      <c r="I1389">
        <v>1381</v>
      </c>
      <c r="J1389">
        <v>195</v>
      </c>
      <c r="K1389">
        <v>488</v>
      </c>
      <c r="L1389">
        <v>412</v>
      </c>
      <c r="M1389">
        <v>357</v>
      </c>
      <c r="N1389">
        <v>327</v>
      </c>
      <c r="O1389">
        <v>2077</v>
      </c>
      <c r="P1389">
        <v>1286</v>
      </c>
      <c r="Q1389">
        <v>205.4092909</v>
      </c>
      <c r="R1389">
        <v>0.36026023299999999</v>
      </c>
      <c r="S1389">
        <v>2145</v>
      </c>
      <c r="T1389">
        <v>87</v>
      </c>
      <c r="U1389">
        <v>538</v>
      </c>
      <c r="V1389">
        <v>851</v>
      </c>
      <c r="W1389">
        <v>1112</v>
      </c>
      <c r="X1389">
        <v>1024</v>
      </c>
      <c r="Y1389">
        <v>357</v>
      </c>
      <c r="Z1389">
        <v>401</v>
      </c>
      <c r="AA1389">
        <v>895</v>
      </c>
      <c r="AB1389">
        <v>85</v>
      </c>
      <c r="AC1389">
        <v>223</v>
      </c>
      <c r="AD1389">
        <v>184</v>
      </c>
      <c r="AE1389">
        <v>0</v>
      </c>
      <c r="AF1389">
        <v>0</v>
      </c>
      <c r="AG1389">
        <v>5</v>
      </c>
      <c r="AH1389">
        <v>0</v>
      </c>
      <c r="AI1389">
        <v>0</v>
      </c>
      <c r="AJ1389">
        <v>0</v>
      </c>
      <c r="AK1389">
        <v>1.01034</v>
      </c>
      <c r="AL1389">
        <v>1</v>
      </c>
      <c r="AM1389">
        <v>0</v>
      </c>
      <c r="AN1389">
        <v>1578</v>
      </c>
      <c r="AO1389">
        <v>57</v>
      </c>
      <c r="AP1389">
        <v>0</v>
      </c>
      <c r="AQ1389">
        <v>0</v>
      </c>
    </row>
    <row r="1390" spans="1:43" x14ac:dyDescent="0.25">
      <c r="A1390">
        <v>1387</v>
      </c>
      <c r="B1390">
        <v>30</v>
      </c>
      <c r="C1390">
        <v>30</v>
      </c>
      <c r="D1390">
        <v>8</v>
      </c>
      <c r="E1390">
        <v>1808</v>
      </c>
      <c r="F1390">
        <v>4554</v>
      </c>
      <c r="G1390">
        <v>4554</v>
      </c>
      <c r="H1390">
        <v>2171</v>
      </c>
      <c r="I1390">
        <v>1796</v>
      </c>
      <c r="J1390">
        <v>32</v>
      </c>
      <c r="K1390">
        <v>439</v>
      </c>
      <c r="L1390">
        <v>447</v>
      </c>
      <c r="M1390">
        <v>553</v>
      </c>
      <c r="N1390">
        <v>358</v>
      </c>
      <c r="O1390">
        <v>11005</v>
      </c>
      <c r="P1390">
        <v>4036.4030579999999</v>
      </c>
      <c r="Q1390">
        <v>96</v>
      </c>
      <c r="R1390">
        <v>0.28760294800000002</v>
      </c>
      <c r="S1390">
        <v>849</v>
      </c>
      <c r="T1390">
        <v>140</v>
      </c>
      <c r="U1390">
        <v>857</v>
      </c>
      <c r="V1390">
        <v>1029</v>
      </c>
      <c r="W1390">
        <v>1347</v>
      </c>
      <c r="X1390">
        <v>1157</v>
      </c>
      <c r="Y1390">
        <v>30</v>
      </c>
      <c r="Z1390">
        <v>187</v>
      </c>
      <c r="AA1390">
        <v>265</v>
      </c>
      <c r="AB1390">
        <v>100</v>
      </c>
      <c r="AC1390">
        <v>64</v>
      </c>
      <c r="AD1390">
        <v>203</v>
      </c>
      <c r="AE1390">
        <v>0</v>
      </c>
      <c r="AF1390">
        <v>0</v>
      </c>
      <c r="AG1390">
        <v>5</v>
      </c>
      <c r="AH1390">
        <v>0</v>
      </c>
      <c r="AI1390">
        <v>0</v>
      </c>
      <c r="AJ1390">
        <v>0</v>
      </c>
      <c r="AK1390">
        <v>0.92410000000000003</v>
      </c>
      <c r="AL1390">
        <v>1</v>
      </c>
      <c r="AM1390">
        <v>0</v>
      </c>
      <c r="AN1390">
        <v>1808</v>
      </c>
      <c r="AO1390">
        <v>0</v>
      </c>
      <c r="AP1390">
        <v>0</v>
      </c>
      <c r="AQ1390">
        <v>0</v>
      </c>
    </row>
    <row r="1391" spans="1:43" x14ac:dyDescent="0.25">
      <c r="A1391">
        <v>1388</v>
      </c>
      <c r="B1391">
        <v>30</v>
      </c>
      <c r="C1391">
        <v>30</v>
      </c>
      <c r="D1391">
        <v>8</v>
      </c>
      <c r="E1391">
        <v>405</v>
      </c>
      <c r="F1391">
        <v>1101</v>
      </c>
      <c r="G1391">
        <v>1101</v>
      </c>
      <c r="H1391">
        <v>447</v>
      </c>
      <c r="I1391">
        <v>373</v>
      </c>
      <c r="J1391">
        <v>6</v>
      </c>
      <c r="K1391">
        <v>61</v>
      </c>
      <c r="L1391">
        <v>97</v>
      </c>
      <c r="M1391">
        <v>118</v>
      </c>
      <c r="N1391">
        <v>128</v>
      </c>
      <c r="O1391">
        <v>17124</v>
      </c>
      <c r="P1391">
        <v>5000.1441150000001</v>
      </c>
      <c r="Q1391">
        <v>39</v>
      </c>
      <c r="R1391">
        <v>0.30952381000000001</v>
      </c>
      <c r="S1391">
        <v>544</v>
      </c>
      <c r="T1391">
        <v>19</v>
      </c>
      <c r="U1391">
        <v>265</v>
      </c>
      <c r="V1391">
        <v>223</v>
      </c>
      <c r="W1391">
        <v>276</v>
      </c>
      <c r="X1391">
        <v>284</v>
      </c>
      <c r="Y1391">
        <v>39</v>
      </c>
      <c r="Z1391">
        <v>143</v>
      </c>
      <c r="AA1391">
        <v>218</v>
      </c>
      <c r="AB1391">
        <v>7</v>
      </c>
      <c r="AC1391">
        <v>42</v>
      </c>
      <c r="AD1391">
        <v>95</v>
      </c>
      <c r="AE1391">
        <v>0</v>
      </c>
      <c r="AF1391">
        <v>0</v>
      </c>
      <c r="AG1391">
        <v>5</v>
      </c>
      <c r="AH1391">
        <v>107</v>
      </c>
      <c r="AI1391">
        <v>0</v>
      </c>
      <c r="AJ1391">
        <v>0</v>
      </c>
      <c r="AK1391">
        <v>0.91871999999999998</v>
      </c>
      <c r="AL1391">
        <v>1</v>
      </c>
      <c r="AM1391">
        <v>0</v>
      </c>
      <c r="AN1391">
        <v>405</v>
      </c>
      <c r="AO1391">
        <v>0</v>
      </c>
      <c r="AP1391">
        <v>0</v>
      </c>
      <c r="AQ1391">
        <v>0</v>
      </c>
    </row>
    <row r="1392" spans="1:43" x14ac:dyDescent="0.25">
      <c r="A1392">
        <v>1389</v>
      </c>
      <c r="B1392">
        <v>31</v>
      </c>
      <c r="C1392">
        <v>31</v>
      </c>
      <c r="D1392">
        <v>8</v>
      </c>
      <c r="E1392">
        <v>1747</v>
      </c>
      <c r="F1392">
        <v>3644</v>
      </c>
      <c r="G1392">
        <v>3673</v>
      </c>
      <c r="H1392">
        <v>1788</v>
      </c>
      <c r="I1392">
        <v>2452</v>
      </c>
      <c r="J1392">
        <v>32</v>
      </c>
      <c r="K1392">
        <v>302</v>
      </c>
      <c r="L1392">
        <v>456</v>
      </c>
      <c r="M1392">
        <v>421</v>
      </c>
      <c r="N1392">
        <v>567</v>
      </c>
      <c r="O1392">
        <v>36280</v>
      </c>
      <c r="P1392">
        <v>5856.5638300000001</v>
      </c>
      <c r="Q1392">
        <v>554</v>
      </c>
      <c r="R1392">
        <v>0.39909995300000001</v>
      </c>
      <c r="S1392">
        <v>1308</v>
      </c>
      <c r="T1392">
        <v>111</v>
      </c>
      <c r="U1392">
        <v>556</v>
      </c>
      <c r="V1392">
        <v>803</v>
      </c>
      <c r="W1392">
        <v>1290</v>
      </c>
      <c r="X1392">
        <v>1386</v>
      </c>
      <c r="Y1392">
        <v>87</v>
      </c>
      <c r="Z1392">
        <v>128</v>
      </c>
      <c r="AA1392">
        <v>840</v>
      </c>
      <c r="AB1392">
        <v>62</v>
      </c>
      <c r="AC1392">
        <v>71</v>
      </c>
      <c r="AD1392">
        <v>120</v>
      </c>
      <c r="AE1392">
        <v>0</v>
      </c>
      <c r="AF1392">
        <v>0</v>
      </c>
      <c r="AG1392">
        <v>5</v>
      </c>
      <c r="AH1392">
        <v>0</v>
      </c>
      <c r="AI1392">
        <v>0</v>
      </c>
      <c r="AJ1392">
        <v>0</v>
      </c>
      <c r="AK1392">
        <v>0.92449000000000003</v>
      </c>
      <c r="AL1392">
        <v>1</v>
      </c>
      <c r="AM1392">
        <v>0</v>
      </c>
      <c r="AN1392">
        <v>1747</v>
      </c>
      <c r="AO1392">
        <v>29</v>
      </c>
      <c r="AP1392">
        <v>0</v>
      </c>
      <c r="AQ1392">
        <v>0</v>
      </c>
    </row>
    <row r="1393" spans="1:43" x14ac:dyDescent="0.25">
      <c r="A1393">
        <v>1390</v>
      </c>
      <c r="B1393">
        <v>31</v>
      </c>
      <c r="C1393">
        <v>31</v>
      </c>
      <c r="D1393">
        <v>8</v>
      </c>
      <c r="E1393">
        <v>1635</v>
      </c>
      <c r="F1393">
        <v>3119</v>
      </c>
      <c r="G1393">
        <v>3176</v>
      </c>
      <c r="H1393">
        <v>1413</v>
      </c>
      <c r="I1393">
        <v>2244</v>
      </c>
      <c r="J1393">
        <v>156</v>
      </c>
      <c r="K1393">
        <v>640</v>
      </c>
      <c r="L1393">
        <v>470</v>
      </c>
      <c r="M1393">
        <v>268</v>
      </c>
      <c r="N1393">
        <v>255</v>
      </c>
      <c r="O1393">
        <v>18508</v>
      </c>
      <c r="P1393">
        <v>2514.8297699999998</v>
      </c>
      <c r="Q1393">
        <v>744.76347869999995</v>
      </c>
      <c r="R1393">
        <v>0.41279261499999997</v>
      </c>
      <c r="S1393">
        <v>631</v>
      </c>
      <c r="T1393">
        <v>50</v>
      </c>
      <c r="U1393">
        <v>293</v>
      </c>
      <c r="V1393">
        <v>592</v>
      </c>
      <c r="W1393">
        <v>1053</v>
      </c>
      <c r="X1393">
        <v>988</v>
      </c>
      <c r="Y1393">
        <v>44</v>
      </c>
      <c r="Z1393">
        <v>94</v>
      </c>
      <c r="AA1393">
        <v>306</v>
      </c>
      <c r="AB1393">
        <v>72</v>
      </c>
      <c r="AC1393">
        <v>44</v>
      </c>
      <c r="AD1393">
        <v>71</v>
      </c>
      <c r="AE1393">
        <v>0</v>
      </c>
      <c r="AF1393">
        <v>0</v>
      </c>
      <c r="AG1393">
        <v>5</v>
      </c>
      <c r="AH1393">
        <v>0</v>
      </c>
      <c r="AI1393">
        <v>0</v>
      </c>
      <c r="AJ1393">
        <v>0</v>
      </c>
      <c r="AK1393">
        <v>0.92886999999999997</v>
      </c>
      <c r="AL1393">
        <v>1</v>
      </c>
      <c r="AM1393">
        <v>0</v>
      </c>
      <c r="AN1393">
        <v>1635</v>
      </c>
      <c r="AO1393">
        <v>57</v>
      </c>
      <c r="AP1393">
        <v>0</v>
      </c>
      <c r="AQ1393">
        <v>0</v>
      </c>
    </row>
    <row r="1394" spans="1:43" x14ac:dyDescent="0.25">
      <c r="A1394">
        <v>1391</v>
      </c>
      <c r="B1394">
        <v>31</v>
      </c>
      <c r="C1394">
        <v>31</v>
      </c>
      <c r="D1394">
        <v>8</v>
      </c>
      <c r="E1394">
        <v>1977</v>
      </c>
      <c r="F1394">
        <v>3972</v>
      </c>
      <c r="G1394">
        <v>4164</v>
      </c>
      <c r="H1394">
        <v>1942</v>
      </c>
      <c r="I1394">
        <v>2075</v>
      </c>
      <c r="J1394">
        <v>242</v>
      </c>
      <c r="K1394">
        <v>654</v>
      </c>
      <c r="L1394">
        <v>571</v>
      </c>
      <c r="M1394">
        <v>387</v>
      </c>
      <c r="N1394">
        <v>351</v>
      </c>
      <c r="O1394">
        <v>14817</v>
      </c>
      <c r="P1394">
        <v>1854.4843289999999</v>
      </c>
      <c r="Q1394">
        <v>450</v>
      </c>
      <c r="R1394">
        <v>0.33827967799999997</v>
      </c>
      <c r="S1394">
        <v>1183</v>
      </c>
      <c r="T1394">
        <v>41</v>
      </c>
      <c r="U1394">
        <v>486</v>
      </c>
      <c r="V1394">
        <v>1094</v>
      </c>
      <c r="W1394">
        <v>1184</v>
      </c>
      <c r="X1394">
        <v>1086</v>
      </c>
      <c r="Y1394">
        <v>170</v>
      </c>
      <c r="Z1394">
        <v>135</v>
      </c>
      <c r="AA1394">
        <v>731</v>
      </c>
      <c r="AB1394">
        <v>22</v>
      </c>
      <c r="AC1394">
        <v>50</v>
      </c>
      <c r="AD1394">
        <v>75</v>
      </c>
      <c r="AE1394">
        <v>0</v>
      </c>
      <c r="AF1394">
        <v>0</v>
      </c>
      <c r="AG1394">
        <v>5</v>
      </c>
      <c r="AH1394">
        <v>97</v>
      </c>
      <c r="AI1394">
        <v>0</v>
      </c>
      <c r="AJ1394">
        <v>0</v>
      </c>
      <c r="AK1394">
        <v>0.96633999999999998</v>
      </c>
      <c r="AL1394">
        <v>1</v>
      </c>
      <c r="AM1394">
        <v>0</v>
      </c>
      <c r="AN1394">
        <v>1977</v>
      </c>
      <c r="AO1394">
        <v>192</v>
      </c>
      <c r="AP1394">
        <v>0</v>
      </c>
      <c r="AQ1394">
        <v>0</v>
      </c>
    </row>
    <row r="1395" spans="1:43" x14ac:dyDescent="0.25">
      <c r="A1395">
        <v>1392</v>
      </c>
      <c r="B1395">
        <v>31</v>
      </c>
      <c r="C1395">
        <v>31</v>
      </c>
      <c r="D1395">
        <v>8</v>
      </c>
      <c r="E1395">
        <v>1982</v>
      </c>
      <c r="F1395">
        <v>5150</v>
      </c>
      <c r="G1395">
        <v>5150</v>
      </c>
      <c r="H1395">
        <v>2210</v>
      </c>
      <c r="I1395">
        <v>2121</v>
      </c>
      <c r="J1395">
        <v>60</v>
      </c>
      <c r="K1395">
        <v>499</v>
      </c>
      <c r="L1395">
        <v>613</v>
      </c>
      <c r="M1395">
        <v>472</v>
      </c>
      <c r="N1395">
        <v>386</v>
      </c>
      <c r="O1395">
        <v>10141</v>
      </c>
      <c r="P1395">
        <v>3610.1658120000002</v>
      </c>
      <c r="Q1395">
        <v>408.353117</v>
      </c>
      <c r="R1395">
        <v>0.25072105500000003</v>
      </c>
      <c r="S1395">
        <v>1070</v>
      </c>
      <c r="T1395">
        <v>453</v>
      </c>
      <c r="U1395">
        <v>835</v>
      </c>
      <c r="V1395">
        <v>1298</v>
      </c>
      <c r="W1395">
        <v>1199</v>
      </c>
      <c r="X1395">
        <v>979</v>
      </c>
      <c r="Y1395">
        <v>58</v>
      </c>
      <c r="Z1395">
        <v>147</v>
      </c>
      <c r="AA1395">
        <v>285</v>
      </c>
      <c r="AB1395">
        <v>102</v>
      </c>
      <c r="AC1395">
        <v>361</v>
      </c>
      <c r="AD1395">
        <v>117</v>
      </c>
      <c r="AE1395">
        <v>0</v>
      </c>
      <c r="AF1395">
        <v>0</v>
      </c>
      <c r="AG1395">
        <v>5</v>
      </c>
      <c r="AH1395">
        <v>0</v>
      </c>
      <c r="AI1395">
        <v>0</v>
      </c>
      <c r="AJ1395">
        <v>0</v>
      </c>
      <c r="AK1395">
        <v>0.93354999999999999</v>
      </c>
      <c r="AL1395">
        <v>1</v>
      </c>
      <c r="AM1395">
        <v>0</v>
      </c>
      <c r="AN1395">
        <v>1982</v>
      </c>
      <c r="AO1395">
        <v>0</v>
      </c>
      <c r="AP1395">
        <v>0</v>
      </c>
      <c r="AQ1395">
        <v>0</v>
      </c>
    </row>
    <row r="1396" spans="1:43" x14ac:dyDescent="0.25">
      <c r="A1396">
        <v>1393</v>
      </c>
      <c r="B1396">
        <v>31</v>
      </c>
      <c r="C1396">
        <v>31</v>
      </c>
      <c r="D1396">
        <v>8</v>
      </c>
      <c r="E1396">
        <v>1470</v>
      </c>
      <c r="F1396">
        <v>3193</v>
      </c>
      <c r="G1396">
        <v>3193</v>
      </c>
      <c r="H1396">
        <v>1785</v>
      </c>
      <c r="I1396">
        <v>1434</v>
      </c>
      <c r="J1396">
        <v>45</v>
      </c>
      <c r="K1396">
        <v>394</v>
      </c>
      <c r="L1396">
        <v>381</v>
      </c>
      <c r="M1396">
        <v>345</v>
      </c>
      <c r="N1396">
        <v>350</v>
      </c>
      <c r="O1396">
        <v>11502</v>
      </c>
      <c r="P1396">
        <v>2410.1544829999998</v>
      </c>
      <c r="Q1396">
        <v>302</v>
      </c>
      <c r="R1396">
        <v>0.29137323900000001</v>
      </c>
      <c r="S1396">
        <v>979</v>
      </c>
      <c r="T1396">
        <v>130</v>
      </c>
      <c r="U1396">
        <v>442</v>
      </c>
      <c r="V1396">
        <v>979</v>
      </c>
      <c r="W1396">
        <v>996</v>
      </c>
      <c r="X1396">
        <v>799</v>
      </c>
      <c r="Y1396">
        <v>58</v>
      </c>
      <c r="Z1396">
        <v>90</v>
      </c>
      <c r="AA1396">
        <v>345</v>
      </c>
      <c r="AB1396">
        <v>11</v>
      </c>
      <c r="AC1396">
        <v>413</v>
      </c>
      <c r="AD1396">
        <v>62</v>
      </c>
      <c r="AE1396">
        <v>0</v>
      </c>
      <c r="AF1396">
        <v>0</v>
      </c>
      <c r="AG1396">
        <v>5</v>
      </c>
      <c r="AH1396">
        <v>57</v>
      </c>
      <c r="AI1396">
        <v>0</v>
      </c>
      <c r="AJ1396">
        <v>0</v>
      </c>
      <c r="AK1396">
        <v>0.94559000000000004</v>
      </c>
      <c r="AL1396">
        <v>1</v>
      </c>
      <c r="AM1396">
        <v>0</v>
      </c>
      <c r="AN1396">
        <v>1470</v>
      </c>
      <c r="AO1396">
        <v>0</v>
      </c>
      <c r="AP1396">
        <v>0</v>
      </c>
      <c r="AQ1396">
        <v>0</v>
      </c>
    </row>
    <row r="1397" spans="1:43" x14ac:dyDescent="0.25">
      <c r="A1397">
        <v>1394</v>
      </c>
      <c r="B1397">
        <v>31</v>
      </c>
      <c r="C1397">
        <v>31</v>
      </c>
      <c r="D1397">
        <v>8</v>
      </c>
      <c r="E1397">
        <v>2938</v>
      </c>
      <c r="F1397">
        <v>8973</v>
      </c>
      <c r="G1397">
        <v>9068</v>
      </c>
      <c r="H1397">
        <v>4815</v>
      </c>
      <c r="I1397">
        <v>2575</v>
      </c>
      <c r="J1397">
        <v>356</v>
      </c>
      <c r="K1397">
        <v>426</v>
      </c>
      <c r="L1397">
        <v>571</v>
      </c>
      <c r="M1397">
        <v>924</v>
      </c>
      <c r="N1397">
        <v>1016</v>
      </c>
      <c r="O1397">
        <v>7847</v>
      </c>
      <c r="P1397">
        <v>2882.1348509999998</v>
      </c>
      <c r="Q1397">
        <v>821</v>
      </c>
      <c r="R1397">
        <v>0.143860396</v>
      </c>
      <c r="S1397">
        <v>1812</v>
      </c>
      <c r="T1397">
        <v>649</v>
      </c>
      <c r="U1397">
        <v>2183</v>
      </c>
      <c r="V1397">
        <v>2766</v>
      </c>
      <c r="W1397">
        <v>2612</v>
      </c>
      <c r="X1397">
        <v>1021</v>
      </c>
      <c r="Y1397">
        <v>27</v>
      </c>
      <c r="Z1397">
        <v>416</v>
      </c>
      <c r="AA1397">
        <v>613</v>
      </c>
      <c r="AB1397">
        <v>186</v>
      </c>
      <c r="AC1397">
        <v>397</v>
      </c>
      <c r="AD1397">
        <v>173</v>
      </c>
      <c r="AE1397">
        <v>0</v>
      </c>
      <c r="AF1397">
        <v>0</v>
      </c>
      <c r="AG1397">
        <v>4</v>
      </c>
      <c r="AH1397">
        <v>1817</v>
      </c>
      <c r="AI1397">
        <v>0</v>
      </c>
      <c r="AJ1397">
        <v>0</v>
      </c>
      <c r="AK1397">
        <v>0.96740000000000004</v>
      </c>
      <c r="AL1397">
        <v>2</v>
      </c>
      <c r="AM1397">
        <v>0</v>
      </c>
      <c r="AN1397">
        <v>2938</v>
      </c>
      <c r="AO1397">
        <v>95</v>
      </c>
      <c r="AP1397">
        <v>0</v>
      </c>
      <c r="AQ1397">
        <v>0</v>
      </c>
    </row>
    <row r="1398" spans="1:43" x14ac:dyDescent="0.25">
      <c r="A1398">
        <v>1395</v>
      </c>
      <c r="B1398">
        <v>31</v>
      </c>
      <c r="C1398">
        <v>31</v>
      </c>
      <c r="D1398">
        <v>8</v>
      </c>
      <c r="E1398">
        <v>3111</v>
      </c>
      <c r="F1398">
        <v>8138</v>
      </c>
      <c r="G1398">
        <v>8192</v>
      </c>
      <c r="H1398">
        <v>3994</v>
      </c>
      <c r="I1398">
        <v>2415</v>
      </c>
      <c r="J1398">
        <v>551</v>
      </c>
      <c r="K1398">
        <v>859</v>
      </c>
      <c r="L1398">
        <v>684</v>
      </c>
      <c r="M1398">
        <v>939</v>
      </c>
      <c r="N1398">
        <v>619</v>
      </c>
      <c r="O1398">
        <v>1718</v>
      </c>
      <c r="P1398">
        <v>961.15538690000005</v>
      </c>
      <c r="Q1398">
        <v>417.0190331</v>
      </c>
      <c r="R1398">
        <v>0.21332379900000001</v>
      </c>
      <c r="S1398">
        <v>3851</v>
      </c>
      <c r="T1398">
        <v>291</v>
      </c>
      <c r="U1398">
        <v>1546</v>
      </c>
      <c r="V1398">
        <v>2672</v>
      </c>
      <c r="W1398">
        <v>2293</v>
      </c>
      <c r="X1398">
        <v>1414</v>
      </c>
      <c r="Y1398">
        <v>647</v>
      </c>
      <c r="Z1398">
        <v>619</v>
      </c>
      <c r="AA1398">
        <v>1128</v>
      </c>
      <c r="AB1398">
        <v>85</v>
      </c>
      <c r="AC1398">
        <v>695</v>
      </c>
      <c r="AD1398">
        <v>677</v>
      </c>
      <c r="AE1398">
        <v>0</v>
      </c>
      <c r="AF1398">
        <v>0</v>
      </c>
      <c r="AG1398">
        <v>4</v>
      </c>
      <c r="AH1398">
        <v>0</v>
      </c>
      <c r="AI1398">
        <v>0</v>
      </c>
      <c r="AJ1398">
        <v>0</v>
      </c>
      <c r="AK1398">
        <v>1.16811</v>
      </c>
      <c r="AL1398">
        <v>3</v>
      </c>
      <c r="AM1398">
        <v>0</v>
      </c>
      <c r="AN1398">
        <v>3111</v>
      </c>
      <c r="AO1398">
        <v>54</v>
      </c>
      <c r="AP1398">
        <v>0</v>
      </c>
      <c r="AQ1398">
        <v>0</v>
      </c>
    </row>
    <row r="1399" spans="1:43" x14ac:dyDescent="0.25">
      <c r="A1399">
        <v>1396</v>
      </c>
      <c r="B1399">
        <v>31</v>
      </c>
      <c r="C1399">
        <v>31</v>
      </c>
      <c r="D1399">
        <v>8</v>
      </c>
      <c r="E1399">
        <v>3880</v>
      </c>
      <c r="F1399">
        <v>10103</v>
      </c>
      <c r="G1399">
        <v>10242</v>
      </c>
      <c r="H1399">
        <v>5315</v>
      </c>
      <c r="I1399">
        <v>3460</v>
      </c>
      <c r="J1399">
        <v>193</v>
      </c>
      <c r="K1399">
        <v>781</v>
      </c>
      <c r="L1399">
        <v>904</v>
      </c>
      <c r="M1399">
        <v>1053</v>
      </c>
      <c r="N1399">
        <v>1153</v>
      </c>
      <c r="O1399">
        <v>15393</v>
      </c>
      <c r="P1399">
        <v>3225.0473590000001</v>
      </c>
      <c r="Q1399">
        <v>172</v>
      </c>
      <c r="R1399">
        <v>0.236228191</v>
      </c>
      <c r="S1399">
        <v>1706</v>
      </c>
      <c r="T1399">
        <v>358</v>
      </c>
      <c r="U1399">
        <v>1982</v>
      </c>
      <c r="V1399">
        <v>2613</v>
      </c>
      <c r="W1399">
        <v>3102</v>
      </c>
      <c r="X1399">
        <v>1975</v>
      </c>
      <c r="Y1399">
        <v>231</v>
      </c>
      <c r="Z1399">
        <v>203</v>
      </c>
      <c r="AA1399">
        <v>923</v>
      </c>
      <c r="AB1399">
        <v>100</v>
      </c>
      <c r="AC1399">
        <v>115</v>
      </c>
      <c r="AD1399">
        <v>134</v>
      </c>
      <c r="AE1399">
        <v>0</v>
      </c>
      <c r="AF1399">
        <v>0</v>
      </c>
      <c r="AG1399">
        <v>4</v>
      </c>
      <c r="AH1399">
        <v>0</v>
      </c>
      <c r="AI1399">
        <v>0</v>
      </c>
      <c r="AJ1399">
        <v>0</v>
      </c>
      <c r="AK1399">
        <v>0.99236000000000002</v>
      </c>
      <c r="AL1399">
        <v>3</v>
      </c>
      <c r="AM1399">
        <v>0</v>
      </c>
      <c r="AN1399">
        <v>3880</v>
      </c>
      <c r="AO1399">
        <v>139</v>
      </c>
      <c r="AP1399">
        <v>0</v>
      </c>
      <c r="AQ1399">
        <v>0</v>
      </c>
    </row>
    <row r="1400" spans="1:43" x14ac:dyDescent="0.25">
      <c r="A1400">
        <v>1397</v>
      </c>
      <c r="B1400">
        <v>31</v>
      </c>
      <c r="C1400">
        <v>31</v>
      </c>
      <c r="D1400">
        <v>8</v>
      </c>
      <c r="E1400">
        <v>2286</v>
      </c>
      <c r="F1400">
        <v>5188</v>
      </c>
      <c r="G1400">
        <v>5188</v>
      </c>
      <c r="H1400">
        <v>2400</v>
      </c>
      <c r="I1400">
        <v>2320</v>
      </c>
      <c r="J1400">
        <v>244</v>
      </c>
      <c r="K1400">
        <v>593</v>
      </c>
      <c r="L1400">
        <v>692</v>
      </c>
      <c r="M1400">
        <v>539</v>
      </c>
      <c r="N1400">
        <v>461</v>
      </c>
      <c r="O1400">
        <v>16208</v>
      </c>
      <c r="P1400">
        <v>3469.0124129999999</v>
      </c>
      <c r="Q1400">
        <v>1244</v>
      </c>
      <c r="R1400">
        <v>0.36137555900000001</v>
      </c>
      <c r="S1400">
        <v>1887</v>
      </c>
      <c r="T1400">
        <v>281</v>
      </c>
      <c r="U1400">
        <v>606</v>
      </c>
      <c r="V1400">
        <v>1232</v>
      </c>
      <c r="W1400">
        <v>1215</v>
      </c>
      <c r="X1400">
        <v>1731</v>
      </c>
      <c r="Y1400">
        <v>251</v>
      </c>
      <c r="Z1400">
        <v>204</v>
      </c>
      <c r="AA1400">
        <v>569</v>
      </c>
      <c r="AB1400">
        <v>89</v>
      </c>
      <c r="AC1400">
        <v>489</v>
      </c>
      <c r="AD1400">
        <v>285</v>
      </c>
      <c r="AE1400">
        <v>0</v>
      </c>
      <c r="AF1400">
        <v>0</v>
      </c>
      <c r="AG1400">
        <v>4</v>
      </c>
      <c r="AH1400">
        <v>109</v>
      </c>
      <c r="AI1400">
        <v>0</v>
      </c>
      <c r="AJ1400">
        <v>0</v>
      </c>
      <c r="AK1400">
        <v>0.93228999999999995</v>
      </c>
      <c r="AL1400">
        <v>1</v>
      </c>
      <c r="AM1400">
        <v>0</v>
      </c>
      <c r="AN1400">
        <v>2286</v>
      </c>
      <c r="AO1400">
        <v>0</v>
      </c>
      <c r="AP1400">
        <v>0</v>
      </c>
      <c r="AQ1400">
        <v>0</v>
      </c>
    </row>
    <row r="1401" spans="1:43" x14ac:dyDescent="0.25">
      <c r="A1401">
        <v>1398</v>
      </c>
      <c r="B1401">
        <v>31</v>
      </c>
      <c r="C1401">
        <v>31</v>
      </c>
      <c r="D1401">
        <v>8</v>
      </c>
      <c r="E1401">
        <v>1736</v>
      </c>
      <c r="F1401">
        <v>4088</v>
      </c>
      <c r="G1401">
        <v>4088</v>
      </c>
      <c r="H1401">
        <v>2012</v>
      </c>
      <c r="I1401">
        <v>1641</v>
      </c>
      <c r="J1401">
        <v>154</v>
      </c>
      <c r="K1401">
        <v>481</v>
      </c>
      <c r="L1401">
        <v>439</v>
      </c>
      <c r="M1401">
        <v>351</v>
      </c>
      <c r="N1401">
        <v>465</v>
      </c>
      <c r="O1401">
        <v>807</v>
      </c>
      <c r="P1401">
        <v>691.05267470000001</v>
      </c>
      <c r="Q1401">
        <v>77</v>
      </c>
      <c r="R1401">
        <v>0.30937972800000002</v>
      </c>
      <c r="S1401">
        <v>784</v>
      </c>
      <c r="T1401">
        <v>57</v>
      </c>
      <c r="U1401">
        <v>706</v>
      </c>
      <c r="V1401">
        <v>916</v>
      </c>
      <c r="W1401">
        <v>1189</v>
      </c>
      <c r="X1401">
        <v>1031</v>
      </c>
      <c r="Y1401">
        <v>20</v>
      </c>
      <c r="Z1401">
        <v>59</v>
      </c>
      <c r="AA1401">
        <v>267</v>
      </c>
      <c r="AB1401">
        <v>349</v>
      </c>
      <c r="AC1401">
        <v>32</v>
      </c>
      <c r="AD1401">
        <v>57</v>
      </c>
      <c r="AE1401">
        <v>0</v>
      </c>
      <c r="AF1401">
        <v>0</v>
      </c>
      <c r="AG1401">
        <v>4</v>
      </c>
      <c r="AH1401">
        <v>0</v>
      </c>
      <c r="AI1401">
        <v>0</v>
      </c>
      <c r="AJ1401">
        <v>0</v>
      </c>
      <c r="AK1401">
        <v>1.06121</v>
      </c>
      <c r="AL1401">
        <v>1</v>
      </c>
      <c r="AM1401">
        <v>0</v>
      </c>
      <c r="AN1401">
        <v>1736</v>
      </c>
      <c r="AO1401">
        <v>0</v>
      </c>
      <c r="AP1401">
        <v>0</v>
      </c>
      <c r="AQ1401">
        <v>0</v>
      </c>
    </row>
    <row r="1402" spans="1:43" x14ac:dyDescent="0.25">
      <c r="A1402">
        <v>1399</v>
      </c>
      <c r="B1402">
        <v>31</v>
      </c>
      <c r="C1402">
        <v>31</v>
      </c>
      <c r="D1402">
        <v>8</v>
      </c>
      <c r="E1402">
        <v>1807</v>
      </c>
      <c r="F1402">
        <v>4401</v>
      </c>
      <c r="G1402">
        <v>4436</v>
      </c>
      <c r="H1402">
        <v>2275</v>
      </c>
      <c r="I1402">
        <v>1253</v>
      </c>
      <c r="J1402">
        <v>711</v>
      </c>
      <c r="K1402">
        <v>499</v>
      </c>
      <c r="L1402">
        <v>531</v>
      </c>
      <c r="M1402">
        <v>370</v>
      </c>
      <c r="N1402">
        <v>414</v>
      </c>
      <c r="O1402">
        <v>791</v>
      </c>
      <c r="P1402">
        <v>288.06452050000001</v>
      </c>
      <c r="Q1402">
        <v>499</v>
      </c>
      <c r="R1402">
        <v>0.248996879</v>
      </c>
      <c r="S1402">
        <v>5108</v>
      </c>
      <c r="T1402">
        <v>323</v>
      </c>
      <c r="U1402">
        <v>552</v>
      </c>
      <c r="V1402">
        <v>1606</v>
      </c>
      <c r="W1402">
        <v>1143</v>
      </c>
      <c r="X1402">
        <v>786</v>
      </c>
      <c r="Y1402">
        <v>708</v>
      </c>
      <c r="Z1402">
        <v>513</v>
      </c>
      <c r="AA1402">
        <v>2346</v>
      </c>
      <c r="AB1402">
        <v>38</v>
      </c>
      <c r="AC1402">
        <v>949</v>
      </c>
      <c r="AD1402">
        <v>554</v>
      </c>
      <c r="AE1402">
        <v>0</v>
      </c>
      <c r="AF1402">
        <v>0</v>
      </c>
      <c r="AG1402">
        <v>4</v>
      </c>
      <c r="AH1402">
        <v>527</v>
      </c>
      <c r="AI1402">
        <v>0</v>
      </c>
      <c r="AJ1402">
        <v>0</v>
      </c>
      <c r="AK1402">
        <v>1.3517699999999999</v>
      </c>
      <c r="AL1402">
        <v>2</v>
      </c>
      <c r="AM1402">
        <v>0</v>
      </c>
      <c r="AN1402">
        <v>1807</v>
      </c>
      <c r="AO1402">
        <v>35</v>
      </c>
      <c r="AP1402">
        <v>0</v>
      </c>
      <c r="AQ1402">
        <v>0</v>
      </c>
    </row>
    <row r="1403" spans="1:43" x14ac:dyDescent="0.25">
      <c r="A1403">
        <v>1400</v>
      </c>
      <c r="B1403">
        <v>31</v>
      </c>
      <c r="C1403">
        <v>31</v>
      </c>
      <c r="D1403">
        <v>8</v>
      </c>
      <c r="E1403">
        <v>939</v>
      </c>
      <c r="F1403">
        <v>2203</v>
      </c>
      <c r="G1403">
        <v>2258</v>
      </c>
      <c r="H1403">
        <v>1032</v>
      </c>
      <c r="I1403">
        <v>1218</v>
      </c>
      <c r="J1403">
        <v>18</v>
      </c>
      <c r="K1403">
        <v>168</v>
      </c>
      <c r="L1403">
        <v>188</v>
      </c>
      <c r="M1403">
        <v>220</v>
      </c>
      <c r="N1403">
        <v>360</v>
      </c>
      <c r="O1403">
        <v>55176</v>
      </c>
      <c r="P1403">
        <v>3897.0371850000001</v>
      </c>
      <c r="Q1403">
        <v>1309</v>
      </c>
      <c r="R1403">
        <v>0.36647602299999998</v>
      </c>
      <c r="S1403">
        <v>1258</v>
      </c>
      <c r="T1403">
        <v>129</v>
      </c>
      <c r="U1403">
        <v>224</v>
      </c>
      <c r="V1403">
        <v>550</v>
      </c>
      <c r="W1403">
        <v>651</v>
      </c>
      <c r="X1403">
        <v>681</v>
      </c>
      <c r="Y1403">
        <v>55</v>
      </c>
      <c r="Z1403">
        <v>160</v>
      </c>
      <c r="AA1403">
        <v>251</v>
      </c>
      <c r="AB1403">
        <v>219</v>
      </c>
      <c r="AC1403">
        <v>484</v>
      </c>
      <c r="AD1403">
        <v>89</v>
      </c>
      <c r="AE1403">
        <v>0</v>
      </c>
      <c r="AF1403">
        <v>0</v>
      </c>
      <c r="AG1403">
        <v>4</v>
      </c>
      <c r="AH1403">
        <v>0</v>
      </c>
      <c r="AI1403">
        <v>0</v>
      </c>
      <c r="AJ1403">
        <v>0</v>
      </c>
      <c r="AK1403">
        <v>0.91859999999999997</v>
      </c>
      <c r="AL1403">
        <v>1</v>
      </c>
      <c r="AM1403">
        <v>0</v>
      </c>
      <c r="AN1403">
        <v>939</v>
      </c>
      <c r="AO1403">
        <v>55</v>
      </c>
      <c r="AP1403">
        <v>0</v>
      </c>
      <c r="AQ1403">
        <v>0</v>
      </c>
    </row>
    <row r="1404" spans="1:43" x14ac:dyDescent="0.25">
      <c r="A1404">
        <v>1401</v>
      </c>
      <c r="B1404">
        <v>31</v>
      </c>
      <c r="C1404">
        <v>31</v>
      </c>
      <c r="D1404">
        <v>8</v>
      </c>
      <c r="E1404">
        <v>1513</v>
      </c>
      <c r="F1404">
        <v>3496</v>
      </c>
      <c r="G1404">
        <v>3542</v>
      </c>
      <c r="H1404">
        <v>1905</v>
      </c>
      <c r="I1404">
        <v>1621</v>
      </c>
      <c r="J1404">
        <v>21</v>
      </c>
      <c r="K1404">
        <v>307</v>
      </c>
      <c r="L1404">
        <v>307</v>
      </c>
      <c r="M1404">
        <v>395</v>
      </c>
      <c r="N1404">
        <v>506</v>
      </c>
      <c r="O1404">
        <v>142961</v>
      </c>
      <c r="P1404">
        <v>5022.4321369999998</v>
      </c>
      <c r="Q1404">
        <v>2348</v>
      </c>
      <c r="R1404">
        <v>0.39320128500000001</v>
      </c>
      <c r="S1404">
        <v>3820</v>
      </c>
      <c r="T1404">
        <v>81</v>
      </c>
      <c r="U1404">
        <v>420</v>
      </c>
      <c r="V1404">
        <v>698</v>
      </c>
      <c r="W1404">
        <v>1291</v>
      </c>
      <c r="X1404">
        <v>1181</v>
      </c>
      <c r="Y1404">
        <v>84</v>
      </c>
      <c r="Z1404">
        <v>244</v>
      </c>
      <c r="AA1404">
        <v>760</v>
      </c>
      <c r="AB1404">
        <v>1350</v>
      </c>
      <c r="AC1404">
        <v>1196</v>
      </c>
      <c r="AD1404">
        <v>186</v>
      </c>
      <c r="AE1404">
        <v>0</v>
      </c>
      <c r="AF1404">
        <v>0</v>
      </c>
      <c r="AG1404">
        <v>4</v>
      </c>
      <c r="AH1404">
        <v>64</v>
      </c>
      <c r="AI1404">
        <v>0</v>
      </c>
      <c r="AJ1404">
        <v>0</v>
      </c>
      <c r="AK1404">
        <v>0.92606999999999995</v>
      </c>
      <c r="AL1404">
        <v>1</v>
      </c>
      <c r="AM1404">
        <v>0</v>
      </c>
      <c r="AN1404">
        <v>1513</v>
      </c>
      <c r="AO1404">
        <v>46</v>
      </c>
      <c r="AP1404">
        <v>0</v>
      </c>
      <c r="AQ1404">
        <v>0</v>
      </c>
    </row>
    <row r="1405" spans="1:43" x14ac:dyDescent="0.25">
      <c r="A1405">
        <v>1402</v>
      </c>
      <c r="B1405">
        <v>31</v>
      </c>
      <c r="C1405">
        <v>31</v>
      </c>
      <c r="D1405">
        <v>8</v>
      </c>
      <c r="E1405">
        <v>4001</v>
      </c>
      <c r="F1405">
        <v>10270</v>
      </c>
      <c r="G1405">
        <v>10305</v>
      </c>
      <c r="H1405">
        <v>5119</v>
      </c>
      <c r="I1405">
        <v>3184</v>
      </c>
      <c r="J1405">
        <v>605</v>
      </c>
      <c r="K1405">
        <v>1166</v>
      </c>
      <c r="L1405">
        <v>1036</v>
      </c>
      <c r="M1405">
        <v>1056</v>
      </c>
      <c r="N1405">
        <v>737</v>
      </c>
      <c r="O1405">
        <v>53379</v>
      </c>
      <c r="P1405">
        <v>3498.8701230000001</v>
      </c>
      <c r="Q1405">
        <v>1688</v>
      </c>
      <c r="R1405">
        <v>0.24030172399999999</v>
      </c>
      <c r="S1405">
        <v>2544</v>
      </c>
      <c r="T1405">
        <v>290</v>
      </c>
      <c r="U1405">
        <v>1985</v>
      </c>
      <c r="V1405">
        <v>3183</v>
      </c>
      <c r="W1405">
        <v>2495</v>
      </c>
      <c r="X1405">
        <v>2065</v>
      </c>
      <c r="Y1405">
        <v>271</v>
      </c>
      <c r="Z1405">
        <v>241</v>
      </c>
      <c r="AA1405">
        <v>840</v>
      </c>
      <c r="AB1405">
        <v>67</v>
      </c>
      <c r="AC1405">
        <v>859</v>
      </c>
      <c r="AD1405">
        <v>266</v>
      </c>
      <c r="AE1405">
        <v>0</v>
      </c>
      <c r="AF1405">
        <v>0</v>
      </c>
      <c r="AG1405">
        <v>4</v>
      </c>
      <c r="AH1405">
        <v>413</v>
      </c>
      <c r="AI1405">
        <v>0</v>
      </c>
      <c r="AJ1405">
        <v>0</v>
      </c>
      <c r="AK1405">
        <v>0.95515000000000005</v>
      </c>
      <c r="AL1405">
        <v>1</v>
      </c>
      <c r="AM1405">
        <v>0</v>
      </c>
      <c r="AN1405">
        <v>4001</v>
      </c>
      <c r="AO1405">
        <v>35</v>
      </c>
      <c r="AP1405">
        <v>0</v>
      </c>
      <c r="AQ1405">
        <v>0</v>
      </c>
    </row>
    <row r="1406" spans="1:43" x14ac:dyDescent="0.25">
      <c r="A1406">
        <v>1403</v>
      </c>
      <c r="B1406">
        <v>31</v>
      </c>
      <c r="C1406">
        <v>31</v>
      </c>
      <c r="D1406">
        <v>8</v>
      </c>
      <c r="E1406">
        <v>1809</v>
      </c>
      <c r="F1406">
        <v>3585</v>
      </c>
      <c r="G1406">
        <v>3643</v>
      </c>
      <c r="H1406">
        <v>1364</v>
      </c>
      <c r="I1406">
        <v>3613</v>
      </c>
      <c r="J1406">
        <v>50</v>
      </c>
      <c r="K1406">
        <v>574</v>
      </c>
      <c r="L1406">
        <v>622</v>
      </c>
      <c r="M1406">
        <v>308</v>
      </c>
      <c r="N1406">
        <v>296</v>
      </c>
      <c r="O1406">
        <v>280405</v>
      </c>
      <c r="P1406">
        <v>14796.73604</v>
      </c>
      <c r="Q1406">
        <v>1278</v>
      </c>
      <c r="R1406">
        <v>0.47138314799999997</v>
      </c>
      <c r="S1406">
        <v>873</v>
      </c>
      <c r="T1406">
        <v>99</v>
      </c>
      <c r="U1406">
        <v>401</v>
      </c>
      <c r="V1406">
        <v>720</v>
      </c>
      <c r="W1406">
        <v>938</v>
      </c>
      <c r="X1406">
        <v>1546</v>
      </c>
      <c r="Y1406">
        <v>69</v>
      </c>
      <c r="Z1406">
        <v>143</v>
      </c>
      <c r="AA1406">
        <v>408</v>
      </c>
      <c r="AB1406">
        <v>63</v>
      </c>
      <c r="AC1406">
        <v>89</v>
      </c>
      <c r="AD1406">
        <v>101</v>
      </c>
      <c r="AE1406">
        <v>0</v>
      </c>
      <c r="AF1406">
        <v>0</v>
      </c>
      <c r="AG1406">
        <v>5</v>
      </c>
      <c r="AH1406">
        <v>0</v>
      </c>
      <c r="AI1406">
        <v>0</v>
      </c>
      <c r="AJ1406">
        <v>0</v>
      </c>
      <c r="AK1406">
        <v>0.90647</v>
      </c>
      <c r="AL1406">
        <v>1</v>
      </c>
      <c r="AM1406">
        <v>0</v>
      </c>
      <c r="AN1406">
        <v>1809</v>
      </c>
      <c r="AO1406">
        <v>58</v>
      </c>
      <c r="AP1406">
        <v>0</v>
      </c>
      <c r="AQ1406">
        <v>0</v>
      </c>
    </row>
    <row r="1407" spans="1:43" x14ac:dyDescent="0.25">
      <c r="A1407">
        <v>1404</v>
      </c>
      <c r="B1407">
        <v>32</v>
      </c>
      <c r="C1407">
        <v>32</v>
      </c>
      <c r="D1407">
        <v>9</v>
      </c>
      <c r="E1407">
        <v>1086</v>
      </c>
      <c r="F1407">
        <v>2443</v>
      </c>
      <c r="G1407">
        <v>2485</v>
      </c>
      <c r="H1407">
        <v>1166</v>
      </c>
      <c r="I1407">
        <v>992</v>
      </c>
      <c r="J1407">
        <v>22</v>
      </c>
      <c r="K1407">
        <v>216</v>
      </c>
      <c r="L1407">
        <v>171</v>
      </c>
      <c r="M1407">
        <v>181</v>
      </c>
      <c r="N1407">
        <v>518</v>
      </c>
      <c r="O1407">
        <v>7265</v>
      </c>
      <c r="P1407">
        <v>1053.7850490000001</v>
      </c>
      <c r="Q1407">
        <v>858</v>
      </c>
      <c r="R1407">
        <v>0.40207833700000001</v>
      </c>
      <c r="S1407">
        <v>332</v>
      </c>
      <c r="T1407">
        <v>74</v>
      </c>
      <c r="U1407">
        <v>308</v>
      </c>
      <c r="V1407">
        <v>407</v>
      </c>
      <c r="W1407">
        <v>715</v>
      </c>
      <c r="X1407">
        <v>895</v>
      </c>
      <c r="Y1407">
        <v>10</v>
      </c>
      <c r="Z1407">
        <v>116</v>
      </c>
      <c r="AA1407">
        <v>113</v>
      </c>
      <c r="AB1407">
        <v>1</v>
      </c>
      <c r="AC1407">
        <v>61</v>
      </c>
      <c r="AD1407">
        <v>31</v>
      </c>
      <c r="AE1407">
        <v>0</v>
      </c>
      <c r="AF1407">
        <v>0</v>
      </c>
      <c r="AG1407">
        <v>5</v>
      </c>
      <c r="AH1407">
        <v>0</v>
      </c>
      <c r="AI1407">
        <v>0</v>
      </c>
      <c r="AJ1407">
        <v>0</v>
      </c>
      <c r="AK1407">
        <v>0.93045999999999995</v>
      </c>
      <c r="AL1407">
        <v>1</v>
      </c>
      <c r="AM1407">
        <v>0</v>
      </c>
      <c r="AN1407">
        <v>1086</v>
      </c>
      <c r="AO1407">
        <v>42</v>
      </c>
      <c r="AP1407">
        <v>0</v>
      </c>
      <c r="AQ1407">
        <v>0</v>
      </c>
    </row>
    <row r="1408" spans="1:43" x14ac:dyDescent="0.25">
      <c r="A1408">
        <v>1405</v>
      </c>
      <c r="B1408">
        <v>32</v>
      </c>
      <c r="C1408">
        <v>32</v>
      </c>
      <c r="D1408">
        <v>9</v>
      </c>
      <c r="E1408">
        <v>1045</v>
      </c>
      <c r="F1408">
        <v>2670</v>
      </c>
      <c r="G1408">
        <v>2697</v>
      </c>
      <c r="H1408">
        <v>1417</v>
      </c>
      <c r="I1408">
        <v>986</v>
      </c>
      <c r="J1408">
        <v>15</v>
      </c>
      <c r="K1408">
        <v>169</v>
      </c>
      <c r="L1408">
        <v>193</v>
      </c>
      <c r="M1408">
        <v>199</v>
      </c>
      <c r="N1408">
        <v>480</v>
      </c>
      <c r="O1408">
        <v>2603</v>
      </c>
      <c r="P1408">
        <v>525.82560690000003</v>
      </c>
      <c r="Q1408">
        <v>189</v>
      </c>
      <c r="R1408">
        <v>0.29097472899999999</v>
      </c>
      <c r="S1408">
        <v>2512</v>
      </c>
      <c r="T1408">
        <v>142</v>
      </c>
      <c r="U1408">
        <v>378</v>
      </c>
      <c r="V1408">
        <v>598</v>
      </c>
      <c r="W1408">
        <v>976</v>
      </c>
      <c r="X1408">
        <v>542</v>
      </c>
      <c r="Y1408">
        <v>906</v>
      </c>
      <c r="Z1408">
        <v>274</v>
      </c>
      <c r="AA1408">
        <v>981</v>
      </c>
      <c r="AB1408">
        <v>1</v>
      </c>
      <c r="AC1408">
        <v>58</v>
      </c>
      <c r="AD1408">
        <v>292</v>
      </c>
      <c r="AE1408">
        <v>0</v>
      </c>
      <c r="AF1408">
        <v>0</v>
      </c>
      <c r="AG1408">
        <v>4</v>
      </c>
      <c r="AH1408">
        <v>0</v>
      </c>
      <c r="AI1408">
        <v>0</v>
      </c>
      <c r="AJ1408">
        <v>0</v>
      </c>
      <c r="AK1408">
        <v>1.2068300000000001</v>
      </c>
      <c r="AL1408">
        <v>1</v>
      </c>
      <c r="AM1408">
        <v>0</v>
      </c>
      <c r="AN1408">
        <v>1045</v>
      </c>
      <c r="AO1408">
        <v>27</v>
      </c>
      <c r="AP1408">
        <v>0</v>
      </c>
      <c r="AQ1408">
        <v>0</v>
      </c>
    </row>
    <row r="1409" spans="1:43" x14ac:dyDescent="0.25">
      <c r="A1409">
        <v>1406</v>
      </c>
      <c r="B1409">
        <v>32</v>
      </c>
      <c r="C1409">
        <v>32</v>
      </c>
      <c r="D1409">
        <v>9</v>
      </c>
      <c r="E1409">
        <v>709</v>
      </c>
      <c r="F1409">
        <v>1773</v>
      </c>
      <c r="G1409">
        <v>1773</v>
      </c>
      <c r="H1409">
        <v>951</v>
      </c>
      <c r="I1409">
        <v>643</v>
      </c>
      <c r="J1409">
        <v>42</v>
      </c>
      <c r="K1409">
        <v>101</v>
      </c>
      <c r="L1409">
        <v>94</v>
      </c>
      <c r="M1409">
        <v>171</v>
      </c>
      <c r="N1409">
        <v>342</v>
      </c>
      <c r="O1409">
        <v>2559</v>
      </c>
      <c r="P1409">
        <v>205</v>
      </c>
      <c r="Q1409">
        <v>97</v>
      </c>
      <c r="R1409">
        <v>0.382538771</v>
      </c>
      <c r="S1409">
        <v>2501</v>
      </c>
      <c r="T1409">
        <v>39</v>
      </c>
      <c r="U1409">
        <v>200</v>
      </c>
      <c r="V1409">
        <v>328</v>
      </c>
      <c r="W1409">
        <v>544</v>
      </c>
      <c r="X1409">
        <v>553</v>
      </c>
      <c r="Y1409">
        <v>34</v>
      </c>
      <c r="Z1409">
        <v>503</v>
      </c>
      <c r="AA1409">
        <v>410</v>
      </c>
      <c r="AB1409">
        <v>3</v>
      </c>
      <c r="AC1409">
        <v>208</v>
      </c>
      <c r="AD1409">
        <v>1343</v>
      </c>
      <c r="AE1409">
        <v>0</v>
      </c>
      <c r="AF1409">
        <v>0</v>
      </c>
      <c r="AG1409">
        <v>3</v>
      </c>
      <c r="AH1409">
        <v>0</v>
      </c>
      <c r="AI1409">
        <v>0</v>
      </c>
      <c r="AJ1409">
        <v>0</v>
      </c>
      <c r="AK1409">
        <v>1.3005100000000001</v>
      </c>
      <c r="AL1409">
        <v>3</v>
      </c>
      <c r="AM1409">
        <v>0</v>
      </c>
      <c r="AN1409">
        <v>709</v>
      </c>
      <c r="AO1409">
        <v>0</v>
      </c>
      <c r="AP1409">
        <v>0</v>
      </c>
      <c r="AQ1409">
        <v>0</v>
      </c>
    </row>
    <row r="1410" spans="1:43" x14ac:dyDescent="0.25">
      <c r="A1410">
        <v>1407</v>
      </c>
      <c r="B1410">
        <v>32</v>
      </c>
      <c r="C1410">
        <v>32</v>
      </c>
      <c r="D1410">
        <v>9</v>
      </c>
      <c r="E1410">
        <v>2624</v>
      </c>
      <c r="F1410">
        <v>6712</v>
      </c>
      <c r="G1410">
        <v>6814</v>
      </c>
      <c r="H1410">
        <v>2950</v>
      </c>
      <c r="I1410">
        <v>1871</v>
      </c>
      <c r="J1410">
        <v>752</v>
      </c>
      <c r="K1410">
        <v>712</v>
      </c>
      <c r="L1410">
        <v>724</v>
      </c>
      <c r="M1410">
        <v>518</v>
      </c>
      <c r="N1410">
        <v>685</v>
      </c>
      <c r="O1410">
        <v>2370</v>
      </c>
      <c r="P1410">
        <v>839.4354912</v>
      </c>
      <c r="Q1410">
        <v>506</v>
      </c>
      <c r="R1410">
        <v>0.27346497199999997</v>
      </c>
      <c r="S1410">
        <v>6811</v>
      </c>
      <c r="T1410">
        <v>465</v>
      </c>
      <c r="U1410">
        <v>1435</v>
      </c>
      <c r="V1410">
        <v>1769</v>
      </c>
      <c r="W1410">
        <v>1647</v>
      </c>
      <c r="X1410">
        <v>1791</v>
      </c>
      <c r="Y1410">
        <v>219</v>
      </c>
      <c r="Z1410">
        <v>2422</v>
      </c>
      <c r="AA1410">
        <v>1563</v>
      </c>
      <c r="AB1410">
        <v>6</v>
      </c>
      <c r="AC1410">
        <v>2102</v>
      </c>
      <c r="AD1410">
        <v>499</v>
      </c>
      <c r="AE1410">
        <v>0</v>
      </c>
      <c r="AF1410">
        <v>0</v>
      </c>
      <c r="AG1410">
        <v>5</v>
      </c>
      <c r="AH1410">
        <v>0</v>
      </c>
      <c r="AI1410">
        <v>0</v>
      </c>
      <c r="AJ1410">
        <v>0</v>
      </c>
      <c r="AK1410">
        <v>1.1422600000000001</v>
      </c>
      <c r="AL1410">
        <v>2</v>
      </c>
      <c r="AM1410">
        <v>0</v>
      </c>
      <c r="AN1410">
        <v>2624</v>
      </c>
      <c r="AO1410">
        <v>102</v>
      </c>
      <c r="AP1410">
        <v>0</v>
      </c>
      <c r="AQ1410">
        <v>0</v>
      </c>
    </row>
    <row r="1411" spans="1:43" x14ac:dyDescent="0.25">
      <c r="A1411">
        <v>1408</v>
      </c>
      <c r="B1411">
        <v>32</v>
      </c>
      <c r="C1411">
        <v>32</v>
      </c>
      <c r="D1411">
        <v>9</v>
      </c>
      <c r="E1411">
        <v>2277</v>
      </c>
      <c r="F1411">
        <v>5397</v>
      </c>
      <c r="G1411">
        <v>5397</v>
      </c>
      <c r="H1411">
        <v>2910</v>
      </c>
      <c r="I1411">
        <v>1478</v>
      </c>
      <c r="J1411">
        <v>666</v>
      </c>
      <c r="K1411">
        <v>325</v>
      </c>
      <c r="L1411">
        <v>834</v>
      </c>
      <c r="M1411">
        <v>528</v>
      </c>
      <c r="N1411">
        <v>604</v>
      </c>
      <c r="O1411">
        <v>4314</v>
      </c>
      <c r="P1411">
        <v>824</v>
      </c>
      <c r="Q1411">
        <v>54</v>
      </c>
      <c r="R1411">
        <v>0.30986676299999999</v>
      </c>
      <c r="S1411">
        <v>1108</v>
      </c>
      <c r="T1411">
        <v>308</v>
      </c>
      <c r="U1411">
        <v>656</v>
      </c>
      <c r="V1411">
        <v>1247</v>
      </c>
      <c r="W1411">
        <v>1818</v>
      </c>
      <c r="X1411">
        <v>1286</v>
      </c>
      <c r="Y1411">
        <v>223</v>
      </c>
      <c r="Z1411">
        <v>199</v>
      </c>
      <c r="AA1411">
        <v>524</v>
      </c>
      <c r="AB1411">
        <v>1</v>
      </c>
      <c r="AC1411">
        <v>58</v>
      </c>
      <c r="AD1411">
        <v>103</v>
      </c>
      <c r="AE1411">
        <v>0</v>
      </c>
      <c r="AF1411">
        <v>0</v>
      </c>
      <c r="AG1411">
        <v>4</v>
      </c>
      <c r="AH1411">
        <v>0</v>
      </c>
      <c r="AI1411">
        <v>0</v>
      </c>
      <c r="AJ1411">
        <v>0</v>
      </c>
      <c r="AK1411">
        <v>1.0702799999999999</v>
      </c>
      <c r="AL1411">
        <v>1</v>
      </c>
      <c r="AM1411">
        <v>0</v>
      </c>
      <c r="AN1411">
        <v>2277</v>
      </c>
      <c r="AO1411">
        <v>0</v>
      </c>
      <c r="AP1411">
        <v>0</v>
      </c>
      <c r="AQ1411">
        <v>0</v>
      </c>
    </row>
    <row r="1412" spans="1:43" x14ac:dyDescent="0.25">
      <c r="A1412">
        <v>1409</v>
      </c>
      <c r="B1412">
        <v>32</v>
      </c>
      <c r="C1412">
        <v>32</v>
      </c>
      <c r="D1412">
        <v>9</v>
      </c>
      <c r="E1412">
        <v>3112</v>
      </c>
      <c r="F1412">
        <v>7580</v>
      </c>
      <c r="G1412">
        <v>7594</v>
      </c>
      <c r="H1412">
        <v>3994</v>
      </c>
      <c r="I1412">
        <v>2277</v>
      </c>
      <c r="J1412">
        <v>661</v>
      </c>
      <c r="K1412">
        <v>430</v>
      </c>
      <c r="L1412">
        <v>799</v>
      </c>
      <c r="M1412">
        <v>699</v>
      </c>
      <c r="N1412">
        <v>1195</v>
      </c>
      <c r="O1412">
        <v>1468</v>
      </c>
      <c r="P1412">
        <v>658.49195810000003</v>
      </c>
      <c r="Q1412">
        <v>268</v>
      </c>
      <c r="R1412">
        <v>0.25174397300000001</v>
      </c>
      <c r="S1412">
        <v>1806</v>
      </c>
      <c r="T1412">
        <v>386</v>
      </c>
      <c r="U1412">
        <v>1148</v>
      </c>
      <c r="V1412">
        <v>2061</v>
      </c>
      <c r="W1412">
        <v>2595</v>
      </c>
      <c r="X1412">
        <v>1639</v>
      </c>
      <c r="Y1412">
        <v>210</v>
      </c>
      <c r="Z1412">
        <v>428</v>
      </c>
      <c r="AA1412">
        <v>775</v>
      </c>
      <c r="AB1412">
        <v>84</v>
      </c>
      <c r="AC1412">
        <v>166</v>
      </c>
      <c r="AD1412">
        <v>143</v>
      </c>
      <c r="AE1412">
        <v>0</v>
      </c>
      <c r="AF1412">
        <v>0</v>
      </c>
      <c r="AG1412">
        <v>4</v>
      </c>
      <c r="AH1412">
        <v>1287</v>
      </c>
      <c r="AI1412">
        <v>0</v>
      </c>
      <c r="AJ1412">
        <v>0</v>
      </c>
      <c r="AK1412">
        <v>1.1404000000000001</v>
      </c>
      <c r="AL1412">
        <v>1</v>
      </c>
      <c r="AM1412">
        <v>0</v>
      </c>
      <c r="AN1412">
        <v>3112</v>
      </c>
      <c r="AO1412">
        <v>14</v>
      </c>
      <c r="AP1412">
        <v>0</v>
      </c>
      <c r="AQ1412">
        <v>0</v>
      </c>
    </row>
    <row r="1413" spans="1:43" x14ac:dyDescent="0.25">
      <c r="A1413">
        <v>1410</v>
      </c>
      <c r="B1413">
        <v>32</v>
      </c>
      <c r="C1413">
        <v>32</v>
      </c>
      <c r="D1413">
        <v>9</v>
      </c>
      <c r="E1413">
        <v>1873</v>
      </c>
      <c r="F1413">
        <v>5198</v>
      </c>
      <c r="G1413">
        <v>5222</v>
      </c>
      <c r="H1413">
        <v>2337</v>
      </c>
      <c r="I1413">
        <v>1210</v>
      </c>
      <c r="J1413">
        <v>687</v>
      </c>
      <c r="K1413">
        <v>624</v>
      </c>
      <c r="L1413">
        <v>396</v>
      </c>
      <c r="M1413">
        <v>428</v>
      </c>
      <c r="N1413">
        <v>427</v>
      </c>
      <c r="O1413">
        <v>529</v>
      </c>
      <c r="P1413">
        <v>159</v>
      </c>
      <c r="Q1413">
        <v>69</v>
      </c>
      <c r="R1413">
        <v>0.17330299599999999</v>
      </c>
      <c r="S1413">
        <v>1196</v>
      </c>
      <c r="T1413">
        <v>314</v>
      </c>
      <c r="U1413">
        <v>1128</v>
      </c>
      <c r="V1413">
        <v>1780</v>
      </c>
      <c r="W1413">
        <v>1108</v>
      </c>
      <c r="X1413">
        <v>710</v>
      </c>
      <c r="Y1413">
        <v>278</v>
      </c>
      <c r="Z1413">
        <v>189</v>
      </c>
      <c r="AA1413">
        <v>365</v>
      </c>
      <c r="AB1413">
        <v>0</v>
      </c>
      <c r="AC1413">
        <v>12</v>
      </c>
      <c r="AD1413">
        <v>352</v>
      </c>
      <c r="AE1413">
        <v>0</v>
      </c>
      <c r="AF1413">
        <v>0</v>
      </c>
      <c r="AG1413">
        <v>3</v>
      </c>
      <c r="AH1413">
        <v>48</v>
      </c>
      <c r="AI1413">
        <v>0</v>
      </c>
      <c r="AJ1413">
        <v>0</v>
      </c>
      <c r="AK1413">
        <v>1.60592</v>
      </c>
      <c r="AL1413">
        <v>2</v>
      </c>
      <c r="AM1413">
        <v>0</v>
      </c>
      <c r="AN1413">
        <v>1873</v>
      </c>
      <c r="AO1413">
        <v>24</v>
      </c>
      <c r="AP1413">
        <v>0</v>
      </c>
      <c r="AQ1413">
        <v>0</v>
      </c>
    </row>
    <row r="1414" spans="1:43" x14ac:dyDescent="0.25">
      <c r="A1414">
        <v>1411</v>
      </c>
      <c r="B1414">
        <v>32</v>
      </c>
      <c r="C1414">
        <v>32</v>
      </c>
      <c r="D1414">
        <v>9</v>
      </c>
      <c r="E1414">
        <v>2620</v>
      </c>
      <c r="F1414">
        <v>6651</v>
      </c>
      <c r="G1414">
        <v>6709</v>
      </c>
      <c r="H1414">
        <v>2693</v>
      </c>
      <c r="I1414">
        <v>1688</v>
      </c>
      <c r="J1414">
        <v>872</v>
      </c>
      <c r="K1414">
        <v>906</v>
      </c>
      <c r="L1414">
        <v>493</v>
      </c>
      <c r="M1414">
        <v>537</v>
      </c>
      <c r="N1414">
        <v>691</v>
      </c>
      <c r="O1414">
        <v>1157</v>
      </c>
      <c r="P1414">
        <v>874.71835380000005</v>
      </c>
      <c r="Q1414">
        <v>62</v>
      </c>
      <c r="R1414">
        <v>0.37065844199999998</v>
      </c>
      <c r="S1414">
        <v>1434</v>
      </c>
      <c r="T1414">
        <v>301</v>
      </c>
      <c r="U1414">
        <v>997</v>
      </c>
      <c r="V1414">
        <v>1498</v>
      </c>
      <c r="W1414">
        <v>2052</v>
      </c>
      <c r="X1414">
        <v>2291</v>
      </c>
      <c r="Y1414">
        <v>35</v>
      </c>
      <c r="Z1414">
        <v>212</v>
      </c>
      <c r="AA1414">
        <v>935</v>
      </c>
      <c r="AB1414">
        <v>4</v>
      </c>
      <c r="AC1414">
        <v>22</v>
      </c>
      <c r="AD1414">
        <v>226</v>
      </c>
      <c r="AE1414">
        <v>0</v>
      </c>
      <c r="AF1414">
        <v>0</v>
      </c>
      <c r="AG1414">
        <v>4</v>
      </c>
      <c r="AH1414">
        <v>122</v>
      </c>
      <c r="AI1414">
        <v>0</v>
      </c>
      <c r="AJ1414">
        <v>0</v>
      </c>
      <c r="AK1414">
        <v>1.1376999999999999</v>
      </c>
      <c r="AL1414">
        <v>1</v>
      </c>
      <c r="AM1414">
        <v>0</v>
      </c>
      <c r="AN1414">
        <v>2620</v>
      </c>
      <c r="AO1414">
        <v>58</v>
      </c>
      <c r="AP1414">
        <v>0</v>
      </c>
      <c r="AQ1414">
        <v>0</v>
      </c>
    </row>
    <row r="1415" spans="1:43" x14ac:dyDescent="0.25">
      <c r="A1415">
        <v>1412</v>
      </c>
      <c r="B1415">
        <v>32</v>
      </c>
      <c r="C1415">
        <v>32</v>
      </c>
      <c r="D1415">
        <v>9</v>
      </c>
      <c r="E1415">
        <v>4347</v>
      </c>
      <c r="F1415">
        <v>10742</v>
      </c>
      <c r="G1415">
        <v>10828</v>
      </c>
      <c r="H1415">
        <v>4884</v>
      </c>
      <c r="I1415">
        <v>2933</v>
      </c>
      <c r="J1415">
        <v>1120</v>
      </c>
      <c r="K1415">
        <v>1185</v>
      </c>
      <c r="L1415">
        <v>1200</v>
      </c>
      <c r="M1415">
        <v>785</v>
      </c>
      <c r="N1415">
        <v>1149</v>
      </c>
      <c r="O1415">
        <v>1349</v>
      </c>
      <c r="P1415">
        <v>725.10170719999996</v>
      </c>
      <c r="Q1415">
        <v>150</v>
      </c>
      <c r="R1415">
        <v>0.29447513800000003</v>
      </c>
      <c r="S1415">
        <v>4788</v>
      </c>
      <c r="T1415">
        <v>445</v>
      </c>
      <c r="U1415">
        <v>1948</v>
      </c>
      <c r="V1415">
        <v>2341</v>
      </c>
      <c r="W1415">
        <v>3174</v>
      </c>
      <c r="X1415">
        <v>2478</v>
      </c>
      <c r="Y1415">
        <v>517</v>
      </c>
      <c r="Z1415">
        <v>1009</v>
      </c>
      <c r="AA1415">
        <v>2265</v>
      </c>
      <c r="AB1415">
        <v>3</v>
      </c>
      <c r="AC1415">
        <v>235</v>
      </c>
      <c r="AD1415">
        <v>759</v>
      </c>
      <c r="AE1415">
        <v>0</v>
      </c>
      <c r="AF1415">
        <v>0</v>
      </c>
      <c r="AG1415">
        <v>4</v>
      </c>
      <c r="AH1415">
        <v>0</v>
      </c>
      <c r="AI1415">
        <v>0</v>
      </c>
      <c r="AJ1415">
        <v>0</v>
      </c>
      <c r="AK1415">
        <v>1.38819</v>
      </c>
      <c r="AL1415">
        <v>1</v>
      </c>
      <c r="AM1415">
        <v>0</v>
      </c>
      <c r="AN1415">
        <v>4347</v>
      </c>
      <c r="AO1415">
        <v>86</v>
      </c>
      <c r="AP1415">
        <v>0</v>
      </c>
      <c r="AQ1415">
        <v>0</v>
      </c>
    </row>
    <row r="1416" spans="1:43" x14ac:dyDescent="0.25">
      <c r="A1416">
        <v>1413</v>
      </c>
      <c r="B1416">
        <v>32</v>
      </c>
      <c r="C1416">
        <v>32</v>
      </c>
      <c r="D1416">
        <v>9</v>
      </c>
      <c r="E1416">
        <v>971</v>
      </c>
      <c r="F1416">
        <v>2138</v>
      </c>
      <c r="G1416">
        <v>2145</v>
      </c>
      <c r="H1416">
        <v>981</v>
      </c>
      <c r="I1416">
        <v>880</v>
      </c>
      <c r="J1416">
        <v>85</v>
      </c>
      <c r="K1416">
        <v>235</v>
      </c>
      <c r="L1416">
        <v>216</v>
      </c>
      <c r="M1416">
        <v>239</v>
      </c>
      <c r="N1416">
        <v>278</v>
      </c>
      <c r="O1416">
        <v>2388</v>
      </c>
      <c r="P1416">
        <v>326.8436979</v>
      </c>
      <c r="Q1416">
        <v>102</v>
      </c>
      <c r="R1416">
        <v>0.39218455699999999</v>
      </c>
      <c r="S1416">
        <v>1167</v>
      </c>
      <c r="T1416">
        <v>73</v>
      </c>
      <c r="U1416">
        <v>272</v>
      </c>
      <c r="V1416">
        <v>373</v>
      </c>
      <c r="W1416">
        <v>631</v>
      </c>
      <c r="X1416">
        <v>670</v>
      </c>
      <c r="Y1416">
        <v>76</v>
      </c>
      <c r="Z1416">
        <v>436</v>
      </c>
      <c r="AA1416">
        <v>470</v>
      </c>
      <c r="AB1416">
        <v>1</v>
      </c>
      <c r="AC1416">
        <v>129</v>
      </c>
      <c r="AD1416">
        <v>55</v>
      </c>
      <c r="AE1416">
        <v>0</v>
      </c>
      <c r="AF1416">
        <v>0</v>
      </c>
      <c r="AG1416">
        <v>4</v>
      </c>
      <c r="AH1416">
        <v>1250</v>
      </c>
      <c r="AI1416">
        <v>0</v>
      </c>
      <c r="AJ1416">
        <v>0</v>
      </c>
      <c r="AK1416">
        <v>1.3929199999999999</v>
      </c>
      <c r="AL1416">
        <v>1</v>
      </c>
      <c r="AM1416">
        <v>0</v>
      </c>
      <c r="AN1416">
        <v>971</v>
      </c>
      <c r="AO1416">
        <v>7</v>
      </c>
      <c r="AP1416">
        <v>0</v>
      </c>
      <c r="AQ1416">
        <v>0</v>
      </c>
    </row>
    <row r="1417" spans="1:43" x14ac:dyDescent="0.25">
      <c r="A1417">
        <v>1414</v>
      </c>
      <c r="B1417">
        <v>32</v>
      </c>
      <c r="C1417">
        <v>32</v>
      </c>
      <c r="D1417">
        <v>9</v>
      </c>
      <c r="E1417">
        <v>2659</v>
      </c>
      <c r="F1417">
        <v>7092</v>
      </c>
      <c r="G1417">
        <v>7119</v>
      </c>
      <c r="H1417">
        <v>3153</v>
      </c>
      <c r="I1417">
        <v>2533</v>
      </c>
      <c r="J1417">
        <v>0</v>
      </c>
      <c r="K1417">
        <v>502</v>
      </c>
      <c r="L1417">
        <v>482</v>
      </c>
      <c r="M1417">
        <v>460</v>
      </c>
      <c r="N1417">
        <v>1203</v>
      </c>
      <c r="O1417">
        <v>10312</v>
      </c>
      <c r="P1417">
        <v>1400</v>
      </c>
      <c r="Q1417">
        <v>59</v>
      </c>
      <c r="R1417">
        <v>0.29925290500000001</v>
      </c>
      <c r="S1417">
        <v>869</v>
      </c>
      <c r="T1417">
        <v>94</v>
      </c>
      <c r="U1417">
        <v>1284</v>
      </c>
      <c r="V1417">
        <v>1551</v>
      </c>
      <c r="W1417">
        <v>2124</v>
      </c>
      <c r="X1417">
        <v>1871</v>
      </c>
      <c r="Y1417">
        <v>65</v>
      </c>
      <c r="Z1417">
        <v>247</v>
      </c>
      <c r="AA1417">
        <v>406</v>
      </c>
      <c r="AB1417">
        <v>2</v>
      </c>
      <c r="AC1417">
        <v>27</v>
      </c>
      <c r="AD1417">
        <v>122</v>
      </c>
      <c r="AE1417">
        <v>0</v>
      </c>
      <c r="AF1417">
        <v>0</v>
      </c>
      <c r="AG1417">
        <v>4</v>
      </c>
      <c r="AH1417">
        <v>0</v>
      </c>
      <c r="AI1417">
        <v>0</v>
      </c>
      <c r="AJ1417">
        <v>0</v>
      </c>
      <c r="AK1417">
        <v>1.0117499999999999</v>
      </c>
      <c r="AL1417">
        <v>1</v>
      </c>
      <c r="AM1417">
        <v>0</v>
      </c>
      <c r="AN1417">
        <v>2659</v>
      </c>
      <c r="AO1417">
        <v>27</v>
      </c>
      <c r="AP1417">
        <v>0</v>
      </c>
      <c r="AQ1417">
        <v>0</v>
      </c>
    </row>
    <row r="1418" spans="1:43" x14ac:dyDescent="0.25">
      <c r="A1418">
        <v>1415</v>
      </c>
      <c r="B1418">
        <v>33</v>
      </c>
      <c r="C1418">
        <v>33</v>
      </c>
      <c r="D1418">
        <v>9</v>
      </c>
      <c r="E1418">
        <v>1483</v>
      </c>
      <c r="F1418">
        <v>3325</v>
      </c>
      <c r="G1418">
        <v>3340</v>
      </c>
      <c r="H1418">
        <v>1742</v>
      </c>
      <c r="I1418">
        <v>1875</v>
      </c>
      <c r="J1418">
        <v>157</v>
      </c>
      <c r="K1418">
        <v>370</v>
      </c>
      <c r="L1418">
        <v>262</v>
      </c>
      <c r="M1418">
        <v>346</v>
      </c>
      <c r="N1418">
        <v>495</v>
      </c>
      <c r="O1418">
        <v>126275</v>
      </c>
      <c r="P1418">
        <v>3843.1836210000001</v>
      </c>
      <c r="Q1418">
        <v>2001</v>
      </c>
      <c r="R1418">
        <v>0.34110953100000002</v>
      </c>
      <c r="S1418">
        <v>2144</v>
      </c>
      <c r="T1418">
        <v>95</v>
      </c>
      <c r="U1418">
        <v>463</v>
      </c>
      <c r="V1418">
        <v>931</v>
      </c>
      <c r="W1418">
        <v>877</v>
      </c>
      <c r="X1418">
        <v>973</v>
      </c>
      <c r="Y1418">
        <v>141</v>
      </c>
      <c r="Z1418">
        <v>331</v>
      </c>
      <c r="AA1418">
        <v>870</v>
      </c>
      <c r="AB1418">
        <v>280</v>
      </c>
      <c r="AC1418">
        <v>258</v>
      </c>
      <c r="AD1418">
        <v>264</v>
      </c>
      <c r="AE1418">
        <v>0</v>
      </c>
      <c r="AF1418">
        <v>0</v>
      </c>
      <c r="AG1418">
        <v>5</v>
      </c>
      <c r="AH1418">
        <v>127</v>
      </c>
      <c r="AI1418">
        <v>0</v>
      </c>
      <c r="AJ1418">
        <v>0</v>
      </c>
      <c r="AK1418">
        <v>0.92952999999999997</v>
      </c>
      <c r="AL1418">
        <v>1</v>
      </c>
      <c r="AM1418">
        <v>0</v>
      </c>
      <c r="AN1418">
        <v>1483</v>
      </c>
      <c r="AO1418">
        <v>15</v>
      </c>
      <c r="AP1418">
        <v>0</v>
      </c>
      <c r="AQ1418">
        <v>0</v>
      </c>
    </row>
    <row r="1419" spans="1:43" x14ac:dyDescent="0.25">
      <c r="A1419">
        <v>1416</v>
      </c>
      <c r="B1419">
        <v>33</v>
      </c>
      <c r="C1419">
        <v>33</v>
      </c>
      <c r="D1419">
        <v>9</v>
      </c>
      <c r="E1419">
        <v>743</v>
      </c>
      <c r="F1419">
        <v>1299</v>
      </c>
      <c r="G1419">
        <v>1301</v>
      </c>
      <c r="H1419">
        <v>582</v>
      </c>
      <c r="I1419">
        <v>983</v>
      </c>
      <c r="J1419">
        <v>32</v>
      </c>
      <c r="K1419">
        <v>268</v>
      </c>
      <c r="L1419">
        <v>200</v>
      </c>
      <c r="M1419">
        <v>155</v>
      </c>
      <c r="N1419">
        <v>125</v>
      </c>
      <c r="O1419">
        <v>74340</v>
      </c>
      <c r="P1419">
        <v>1673</v>
      </c>
      <c r="Q1419">
        <v>78</v>
      </c>
      <c r="R1419">
        <v>0.498130142</v>
      </c>
      <c r="S1419">
        <v>484</v>
      </c>
      <c r="T1419">
        <v>26</v>
      </c>
      <c r="U1419">
        <v>45</v>
      </c>
      <c r="V1419">
        <v>223</v>
      </c>
      <c r="W1419">
        <v>396</v>
      </c>
      <c r="X1419">
        <v>594</v>
      </c>
      <c r="Y1419">
        <v>16</v>
      </c>
      <c r="Z1419">
        <v>77</v>
      </c>
      <c r="AA1419">
        <v>275</v>
      </c>
      <c r="AB1419">
        <v>27</v>
      </c>
      <c r="AC1419">
        <v>26</v>
      </c>
      <c r="AD1419">
        <v>63</v>
      </c>
      <c r="AE1419">
        <v>0</v>
      </c>
      <c r="AF1419">
        <v>0</v>
      </c>
      <c r="AG1419">
        <v>4</v>
      </c>
      <c r="AH1419">
        <v>0</v>
      </c>
      <c r="AI1419">
        <v>0</v>
      </c>
      <c r="AJ1419">
        <v>0</v>
      </c>
      <c r="AK1419">
        <v>0.93269000000000002</v>
      </c>
      <c r="AL1419">
        <v>1</v>
      </c>
      <c r="AM1419">
        <v>0</v>
      </c>
      <c r="AN1419">
        <v>743</v>
      </c>
      <c r="AO1419">
        <v>2</v>
      </c>
      <c r="AP1419">
        <v>0</v>
      </c>
      <c r="AQ1419">
        <v>0</v>
      </c>
    </row>
    <row r="1420" spans="1:43" x14ac:dyDescent="0.25">
      <c r="A1420">
        <v>1417</v>
      </c>
      <c r="B1420">
        <v>33</v>
      </c>
      <c r="C1420">
        <v>33</v>
      </c>
      <c r="D1420">
        <v>9</v>
      </c>
      <c r="E1420">
        <v>145</v>
      </c>
      <c r="F1420">
        <v>374</v>
      </c>
      <c r="G1420">
        <v>376</v>
      </c>
      <c r="H1420">
        <v>174</v>
      </c>
      <c r="I1420">
        <v>119</v>
      </c>
      <c r="J1420">
        <v>28</v>
      </c>
      <c r="K1420">
        <v>35</v>
      </c>
      <c r="L1420">
        <v>12</v>
      </c>
      <c r="M1420">
        <v>26</v>
      </c>
      <c r="N1420">
        <v>72</v>
      </c>
      <c r="O1420">
        <v>17892</v>
      </c>
      <c r="P1420">
        <v>274</v>
      </c>
      <c r="Q1420">
        <v>15</v>
      </c>
      <c r="R1420">
        <v>0.26327944599999997</v>
      </c>
      <c r="S1420">
        <v>132</v>
      </c>
      <c r="T1420">
        <v>37</v>
      </c>
      <c r="U1420">
        <v>66</v>
      </c>
      <c r="V1420">
        <v>107</v>
      </c>
      <c r="W1420">
        <v>125</v>
      </c>
      <c r="X1420">
        <v>87</v>
      </c>
      <c r="Y1420">
        <v>10</v>
      </c>
      <c r="Z1420">
        <v>19</v>
      </c>
      <c r="AA1420">
        <v>94</v>
      </c>
      <c r="AB1420">
        <v>0</v>
      </c>
      <c r="AC1420">
        <v>0</v>
      </c>
      <c r="AD1420">
        <v>9</v>
      </c>
      <c r="AE1420">
        <v>0</v>
      </c>
      <c r="AF1420">
        <v>0</v>
      </c>
      <c r="AG1420">
        <v>5</v>
      </c>
      <c r="AH1420">
        <v>0</v>
      </c>
      <c r="AI1420">
        <v>0</v>
      </c>
      <c r="AJ1420">
        <v>0</v>
      </c>
      <c r="AK1420">
        <v>0.95843999999999996</v>
      </c>
      <c r="AL1420">
        <v>1</v>
      </c>
      <c r="AM1420">
        <v>0</v>
      </c>
      <c r="AN1420">
        <v>145</v>
      </c>
      <c r="AO1420">
        <v>2</v>
      </c>
      <c r="AP1420">
        <v>0</v>
      </c>
      <c r="AQ1420">
        <v>0</v>
      </c>
    </row>
    <row r="1421" spans="1:43" x14ac:dyDescent="0.25">
      <c r="A1421">
        <v>1418</v>
      </c>
      <c r="B1421">
        <v>33</v>
      </c>
      <c r="C1421">
        <v>33</v>
      </c>
      <c r="D1421">
        <v>9</v>
      </c>
      <c r="E1421">
        <v>1582</v>
      </c>
      <c r="F1421">
        <v>3438</v>
      </c>
      <c r="G1421">
        <v>3448</v>
      </c>
      <c r="H1421">
        <v>1934</v>
      </c>
      <c r="I1421">
        <v>1490</v>
      </c>
      <c r="J1421">
        <v>129</v>
      </c>
      <c r="K1421">
        <v>328</v>
      </c>
      <c r="L1421">
        <v>319</v>
      </c>
      <c r="M1421">
        <v>404</v>
      </c>
      <c r="N1421">
        <v>526</v>
      </c>
      <c r="O1421">
        <v>6296</v>
      </c>
      <c r="P1421">
        <v>1444.187021</v>
      </c>
      <c r="Q1421">
        <v>72</v>
      </c>
      <c r="R1421">
        <v>0.40049682599999997</v>
      </c>
      <c r="S1421">
        <v>616</v>
      </c>
      <c r="T1421">
        <v>96</v>
      </c>
      <c r="U1421">
        <v>359</v>
      </c>
      <c r="V1421">
        <v>822</v>
      </c>
      <c r="W1421">
        <v>1067</v>
      </c>
      <c r="X1421">
        <v>1132</v>
      </c>
      <c r="Y1421">
        <v>26</v>
      </c>
      <c r="Z1421">
        <v>131</v>
      </c>
      <c r="AA1421">
        <v>347</v>
      </c>
      <c r="AB1421">
        <v>5</v>
      </c>
      <c r="AC1421">
        <v>33</v>
      </c>
      <c r="AD1421">
        <v>74</v>
      </c>
      <c r="AE1421">
        <v>0</v>
      </c>
      <c r="AF1421">
        <v>0</v>
      </c>
      <c r="AG1421">
        <v>5</v>
      </c>
      <c r="AH1421">
        <v>0</v>
      </c>
      <c r="AI1421">
        <v>0</v>
      </c>
      <c r="AJ1421">
        <v>0</v>
      </c>
      <c r="AK1421">
        <v>0.9597</v>
      </c>
      <c r="AL1421">
        <v>1</v>
      </c>
      <c r="AM1421">
        <v>0</v>
      </c>
      <c r="AN1421">
        <v>1582</v>
      </c>
      <c r="AO1421">
        <v>10</v>
      </c>
      <c r="AP1421">
        <v>0</v>
      </c>
      <c r="AQ1421">
        <v>0</v>
      </c>
    </row>
    <row r="1422" spans="1:43" x14ac:dyDescent="0.25">
      <c r="A1422">
        <v>1419</v>
      </c>
      <c r="B1422">
        <v>33</v>
      </c>
      <c r="C1422">
        <v>33</v>
      </c>
      <c r="D1422">
        <v>9</v>
      </c>
      <c r="E1422">
        <v>1358</v>
      </c>
      <c r="F1422">
        <v>3271</v>
      </c>
      <c r="G1422">
        <v>3274</v>
      </c>
      <c r="H1422">
        <v>1542</v>
      </c>
      <c r="I1422">
        <v>878</v>
      </c>
      <c r="J1422">
        <v>435</v>
      </c>
      <c r="K1422">
        <v>378</v>
      </c>
      <c r="L1422">
        <v>268</v>
      </c>
      <c r="M1422">
        <v>295</v>
      </c>
      <c r="N1422">
        <v>414</v>
      </c>
      <c r="O1422">
        <v>1120</v>
      </c>
      <c r="P1422">
        <v>266.21801720000002</v>
      </c>
      <c r="Q1422">
        <v>43</v>
      </c>
      <c r="R1422">
        <v>0.29578313299999998</v>
      </c>
      <c r="S1422">
        <v>536</v>
      </c>
      <c r="T1422">
        <v>164</v>
      </c>
      <c r="U1422">
        <v>491</v>
      </c>
      <c r="V1422">
        <v>848</v>
      </c>
      <c r="W1422">
        <v>857</v>
      </c>
      <c r="X1422">
        <v>804</v>
      </c>
      <c r="Y1422">
        <v>73</v>
      </c>
      <c r="Z1422">
        <v>104</v>
      </c>
      <c r="AA1422">
        <v>287</v>
      </c>
      <c r="AB1422">
        <v>1</v>
      </c>
      <c r="AC1422">
        <v>9</v>
      </c>
      <c r="AD1422">
        <v>62</v>
      </c>
      <c r="AE1422">
        <v>0</v>
      </c>
      <c r="AF1422">
        <v>0</v>
      </c>
      <c r="AG1422">
        <v>4</v>
      </c>
      <c r="AH1422">
        <v>0</v>
      </c>
      <c r="AI1422">
        <v>0</v>
      </c>
      <c r="AJ1422">
        <v>0</v>
      </c>
      <c r="AK1422">
        <v>1.1628400000000001</v>
      </c>
      <c r="AL1422">
        <v>1</v>
      </c>
      <c r="AM1422">
        <v>0</v>
      </c>
      <c r="AN1422">
        <v>1358</v>
      </c>
      <c r="AO1422">
        <v>3</v>
      </c>
      <c r="AP1422">
        <v>0</v>
      </c>
      <c r="AQ1422">
        <v>0</v>
      </c>
    </row>
    <row r="1423" spans="1:43" x14ac:dyDescent="0.25">
      <c r="A1423">
        <v>1420</v>
      </c>
      <c r="B1423">
        <v>33</v>
      </c>
      <c r="C1423">
        <v>33</v>
      </c>
      <c r="D1423">
        <v>9</v>
      </c>
      <c r="E1423">
        <v>2770</v>
      </c>
      <c r="F1423">
        <v>7897</v>
      </c>
      <c r="G1423">
        <v>7916</v>
      </c>
      <c r="H1423">
        <v>3422</v>
      </c>
      <c r="I1423">
        <v>2452</v>
      </c>
      <c r="J1423">
        <v>256</v>
      </c>
      <c r="K1423">
        <v>246</v>
      </c>
      <c r="L1423">
        <v>636</v>
      </c>
      <c r="M1423">
        <v>614</v>
      </c>
      <c r="N1423">
        <v>1278</v>
      </c>
      <c r="O1423">
        <v>2561</v>
      </c>
      <c r="P1423">
        <v>1120</v>
      </c>
      <c r="Q1423">
        <v>48</v>
      </c>
      <c r="R1423">
        <v>0.22787194</v>
      </c>
      <c r="S1423">
        <v>1195</v>
      </c>
      <c r="T1423">
        <v>350</v>
      </c>
      <c r="U1423">
        <v>1764</v>
      </c>
      <c r="V1423">
        <v>1776</v>
      </c>
      <c r="W1423">
        <v>2261</v>
      </c>
      <c r="X1423">
        <v>1468</v>
      </c>
      <c r="Y1423">
        <v>108</v>
      </c>
      <c r="Z1423">
        <v>214</v>
      </c>
      <c r="AA1423">
        <v>591</v>
      </c>
      <c r="AB1423">
        <v>4</v>
      </c>
      <c r="AC1423">
        <v>23</v>
      </c>
      <c r="AD1423">
        <v>255</v>
      </c>
      <c r="AE1423">
        <v>0</v>
      </c>
      <c r="AF1423">
        <v>0</v>
      </c>
      <c r="AG1423">
        <v>4</v>
      </c>
      <c r="AH1423">
        <v>418</v>
      </c>
      <c r="AI1423">
        <v>0</v>
      </c>
      <c r="AJ1423">
        <v>0</v>
      </c>
      <c r="AK1423">
        <v>1.0552600000000001</v>
      </c>
      <c r="AL1423">
        <v>1</v>
      </c>
      <c r="AM1423">
        <v>0</v>
      </c>
      <c r="AN1423">
        <v>2770</v>
      </c>
      <c r="AO1423">
        <v>19</v>
      </c>
      <c r="AP1423">
        <v>0</v>
      </c>
      <c r="AQ1423">
        <v>0</v>
      </c>
    </row>
    <row r="1424" spans="1:43" x14ac:dyDescent="0.25">
      <c r="A1424">
        <v>1421</v>
      </c>
      <c r="B1424">
        <v>33</v>
      </c>
      <c r="C1424">
        <v>33</v>
      </c>
      <c r="D1424">
        <v>9</v>
      </c>
      <c r="E1424">
        <v>3273</v>
      </c>
      <c r="F1424">
        <v>7196</v>
      </c>
      <c r="G1424">
        <v>7339</v>
      </c>
      <c r="H1424">
        <v>3142</v>
      </c>
      <c r="I1424">
        <v>1482</v>
      </c>
      <c r="J1424">
        <v>1668</v>
      </c>
      <c r="K1424">
        <v>1014</v>
      </c>
      <c r="L1424">
        <v>867</v>
      </c>
      <c r="M1424">
        <v>642</v>
      </c>
      <c r="N1424">
        <v>769</v>
      </c>
      <c r="O1424">
        <v>1238</v>
      </c>
      <c r="P1424">
        <v>672</v>
      </c>
      <c r="Q1424">
        <v>220</v>
      </c>
      <c r="R1424">
        <v>0.34504184599999999</v>
      </c>
      <c r="S1424">
        <v>5397</v>
      </c>
      <c r="T1424">
        <v>362</v>
      </c>
      <c r="U1424">
        <v>1137</v>
      </c>
      <c r="V1424">
        <v>1530</v>
      </c>
      <c r="W1424">
        <v>2223</v>
      </c>
      <c r="X1424">
        <v>2276</v>
      </c>
      <c r="Y1424">
        <v>497</v>
      </c>
      <c r="Z1424">
        <v>637</v>
      </c>
      <c r="AA1424">
        <v>3951</v>
      </c>
      <c r="AB1424">
        <v>2</v>
      </c>
      <c r="AC1424">
        <v>82</v>
      </c>
      <c r="AD1424">
        <v>228</v>
      </c>
      <c r="AE1424">
        <v>0</v>
      </c>
      <c r="AF1424">
        <v>0</v>
      </c>
      <c r="AG1424">
        <v>4</v>
      </c>
      <c r="AH1424">
        <v>1248</v>
      </c>
      <c r="AI1424">
        <v>0</v>
      </c>
      <c r="AJ1424">
        <v>0</v>
      </c>
      <c r="AK1424">
        <v>1.2514799999999999</v>
      </c>
      <c r="AL1424">
        <v>1</v>
      </c>
      <c r="AM1424">
        <v>0</v>
      </c>
      <c r="AN1424">
        <v>3273</v>
      </c>
      <c r="AO1424">
        <v>143</v>
      </c>
      <c r="AP1424">
        <v>0</v>
      </c>
      <c r="AQ1424">
        <v>0</v>
      </c>
    </row>
    <row r="1425" spans="1:43" x14ac:dyDescent="0.25">
      <c r="A1425">
        <v>1422</v>
      </c>
      <c r="B1425">
        <v>33</v>
      </c>
      <c r="C1425">
        <v>33</v>
      </c>
      <c r="D1425">
        <v>9</v>
      </c>
      <c r="E1425">
        <v>2275</v>
      </c>
      <c r="F1425">
        <v>5802</v>
      </c>
      <c r="G1425">
        <v>5828</v>
      </c>
      <c r="H1425">
        <v>2752</v>
      </c>
      <c r="I1425">
        <v>2070</v>
      </c>
      <c r="J1425">
        <v>145</v>
      </c>
      <c r="K1425">
        <v>348</v>
      </c>
      <c r="L1425">
        <v>596</v>
      </c>
      <c r="M1425">
        <v>561</v>
      </c>
      <c r="N1425">
        <v>773</v>
      </c>
      <c r="O1425">
        <v>1649</v>
      </c>
      <c r="P1425">
        <v>648</v>
      </c>
      <c r="Q1425">
        <v>87</v>
      </c>
      <c r="R1425">
        <v>0.255161994</v>
      </c>
      <c r="S1425">
        <v>2185</v>
      </c>
      <c r="T1425">
        <v>147</v>
      </c>
      <c r="U1425">
        <v>1072</v>
      </c>
      <c r="V1425">
        <v>1166</v>
      </c>
      <c r="W1425">
        <v>2109</v>
      </c>
      <c r="X1425">
        <v>1196</v>
      </c>
      <c r="Y1425">
        <v>111</v>
      </c>
      <c r="Z1425">
        <v>406</v>
      </c>
      <c r="AA1425">
        <v>1238</v>
      </c>
      <c r="AB1425">
        <v>2</v>
      </c>
      <c r="AC1425">
        <v>152</v>
      </c>
      <c r="AD1425">
        <v>276</v>
      </c>
      <c r="AE1425">
        <v>0</v>
      </c>
      <c r="AF1425">
        <v>0</v>
      </c>
      <c r="AG1425">
        <v>4</v>
      </c>
      <c r="AH1425">
        <v>162</v>
      </c>
      <c r="AI1425">
        <v>0</v>
      </c>
      <c r="AJ1425">
        <v>0</v>
      </c>
      <c r="AK1425">
        <v>1.1802299999999999</v>
      </c>
      <c r="AL1425">
        <v>1</v>
      </c>
      <c r="AM1425">
        <v>0</v>
      </c>
      <c r="AN1425">
        <v>2275</v>
      </c>
      <c r="AO1425">
        <v>26</v>
      </c>
      <c r="AP1425">
        <v>0</v>
      </c>
      <c r="AQ1425">
        <v>0</v>
      </c>
    </row>
    <row r="1426" spans="1:43" x14ac:dyDescent="0.25">
      <c r="A1426">
        <v>1423</v>
      </c>
      <c r="B1426">
        <v>33</v>
      </c>
      <c r="C1426">
        <v>33</v>
      </c>
      <c r="D1426">
        <v>9</v>
      </c>
      <c r="E1426">
        <v>2366</v>
      </c>
      <c r="F1426">
        <v>6033</v>
      </c>
      <c r="G1426">
        <v>6083</v>
      </c>
      <c r="H1426">
        <v>2939</v>
      </c>
      <c r="I1426">
        <v>2246</v>
      </c>
      <c r="J1426">
        <v>76</v>
      </c>
      <c r="K1426">
        <v>340</v>
      </c>
      <c r="L1426">
        <v>274</v>
      </c>
      <c r="M1426">
        <v>425</v>
      </c>
      <c r="N1426">
        <v>1331</v>
      </c>
      <c r="O1426">
        <v>4392</v>
      </c>
      <c r="P1426">
        <v>624</v>
      </c>
      <c r="Q1426">
        <v>69</v>
      </c>
      <c r="R1426">
        <v>0.32255520500000001</v>
      </c>
      <c r="S1426">
        <v>785</v>
      </c>
      <c r="T1426">
        <v>94</v>
      </c>
      <c r="U1426">
        <v>1273</v>
      </c>
      <c r="V1426">
        <v>1002</v>
      </c>
      <c r="W1426">
        <v>1973</v>
      </c>
      <c r="X1426">
        <v>1690</v>
      </c>
      <c r="Y1426">
        <v>60</v>
      </c>
      <c r="Z1426">
        <v>186</v>
      </c>
      <c r="AA1426">
        <v>431</v>
      </c>
      <c r="AB1426">
        <v>1</v>
      </c>
      <c r="AC1426">
        <v>38</v>
      </c>
      <c r="AD1426">
        <v>69</v>
      </c>
      <c r="AE1426">
        <v>0</v>
      </c>
      <c r="AF1426">
        <v>0</v>
      </c>
      <c r="AG1426">
        <v>4</v>
      </c>
      <c r="AH1426">
        <v>3</v>
      </c>
      <c r="AI1426">
        <v>0</v>
      </c>
      <c r="AJ1426">
        <v>0</v>
      </c>
      <c r="AK1426">
        <v>1.1316999999999999</v>
      </c>
      <c r="AL1426">
        <v>1</v>
      </c>
      <c r="AM1426">
        <v>0</v>
      </c>
      <c r="AN1426">
        <v>2366</v>
      </c>
      <c r="AO1426">
        <v>50</v>
      </c>
      <c r="AP1426">
        <v>0</v>
      </c>
      <c r="AQ1426">
        <v>0</v>
      </c>
    </row>
    <row r="1427" spans="1:43" x14ac:dyDescent="0.25">
      <c r="A1427">
        <v>1424</v>
      </c>
      <c r="B1427">
        <v>33</v>
      </c>
      <c r="C1427">
        <v>33</v>
      </c>
      <c r="D1427">
        <v>9</v>
      </c>
      <c r="E1427">
        <v>1747</v>
      </c>
      <c r="F1427">
        <v>4197</v>
      </c>
      <c r="G1427">
        <v>4210</v>
      </c>
      <c r="H1427">
        <v>2563</v>
      </c>
      <c r="I1427">
        <v>462</v>
      </c>
      <c r="J1427">
        <v>1220</v>
      </c>
      <c r="K1427">
        <v>397</v>
      </c>
      <c r="L1427">
        <v>375</v>
      </c>
      <c r="M1427">
        <v>505</v>
      </c>
      <c r="N1427">
        <v>470</v>
      </c>
      <c r="O1427">
        <v>2662</v>
      </c>
      <c r="P1427">
        <v>201.5818702</v>
      </c>
      <c r="Q1427">
        <v>202</v>
      </c>
      <c r="R1427">
        <v>0.24230449300000001</v>
      </c>
      <c r="S1427">
        <v>4148</v>
      </c>
      <c r="T1427">
        <v>0</v>
      </c>
      <c r="U1427">
        <v>579</v>
      </c>
      <c r="V1427">
        <v>2120</v>
      </c>
      <c r="W1427">
        <v>902</v>
      </c>
      <c r="X1427">
        <v>1018</v>
      </c>
      <c r="Y1427">
        <v>160</v>
      </c>
      <c r="Z1427">
        <v>1267</v>
      </c>
      <c r="AA1427">
        <v>1840</v>
      </c>
      <c r="AB1427">
        <v>3</v>
      </c>
      <c r="AC1427">
        <v>350</v>
      </c>
      <c r="AD1427">
        <v>528</v>
      </c>
      <c r="AE1427">
        <v>0</v>
      </c>
      <c r="AF1427">
        <v>0</v>
      </c>
      <c r="AG1427">
        <v>3</v>
      </c>
      <c r="AH1427">
        <v>61</v>
      </c>
      <c r="AI1427">
        <v>0</v>
      </c>
      <c r="AJ1427">
        <v>0</v>
      </c>
      <c r="AK1427">
        <v>1.8511200000000001</v>
      </c>
      <c r="AL1427">
        <v>1</v>
      </c>
      <c r="AM1427">
        <v>0</v>
      </c>
      <c r="AN1427">
        <v>1747</v>
      </c>
      <c r="AO1427">
        <v>13</v>
      </c>
      <c r="AP1427">
        <v>0</v>
      </c>
      <c r="AQ1427">
        <v>0</v>
      </c>
    </row>
    <row r="1428" spans="1:43" x14ac:dyDescent="0.25">
      <c r="A1428">
        <v>1425</v>
      </c>
      <c r="B1428">
        <v>33</v>
      </c>
      <c r="C1428">
        <v>33</v>
      </c>
      <c r="D1428">
        <v>9</v>
      </c>
      <c r="E1428">
        <v>2382</v>
      </c>
      <c r="F1428">
        <v>5544</v>
      </c>
      <c r="G1428">
        <v>5585</v>
      </c>
      <c r="H1428">
        <v>2800</v>
      </c>
      <c r="I1428">
        <v>1701</v>
      </c>
      <c r="J1428">
        <v>535</v>
      </c>
      <c r="K1428">
        <v>592</v>
      </c>
      <c r="L1428">
        <v>470</v>
      </c>
      <c r="M1428">
        <v>502</v>
      </c>
      <c r="N1428">
        <v>816</v>
      </c>
      <c r="O1428">
        <v>2772</v>
      </c>
      <c r="P1428">
        <v>505.04277569999999</v>
      </c>
      <c r="Q1428">
        <v>281</v>
      </c>
      <c r="R1428">
        <v>0.29583648800000001</v>
      </c>
      <c r="S1428">
        <v>3829</v>
      </c>
      <c r="T1428">
        <v>311</v>
      </c>
      <c r="U1428">
        <v>844</v>
      </c>
      <c r="V1428">
        <v>1800</v>
      </c>
      <c r="W1428">
        <v>1792</v>
      </c>
      <c r="X1428">
        <v>1561</v>
      </c>
      <c r="Y1428">
        <v>71</v>
      </c>
      <c r="Z1428">
        <v>624</v>
      </c>
      <c r="AA1428">
        <v>1043</v>
      </c>
      <c r="AB1428">
        <v>1</v>
      </c>
      <c r="AC1428">
        <v>26</v>
      </c>
      <c r="AD1428">
        <v>2064</v>
      </c>
      <c r="AE1428">
        <v>0</v>
      </c>
      <c r="AF1428">
        <v>0</v>
      </c>
      <c r="AG1428">
        <v>4</v>
      </c>
      <c r="AH1428">
        <v>0</v>
      </c>
      <c r="AI1428">
        <v>0</v>
      </c>
      <c r="AJ1428">
        <v>0</v>
      </c>
      <c r="AK1428">
        <v>1.3003</v>
      </c>
      <c r="AL1428">
        <v>1</v>
      </c>
      <c r="AM1428">
        <v>0</v>
      </c>
      <c r="AN1428">
        <v>2382</v>
      </c>
      <c r="AO1428">
        <v>41</v>
      </c>
      <c r="AP1428">
        <v>0</v>
      </c>
      <c r="AQ1428">
        <v>0</v>
      </c>
    </row>
    <row r="1429" spans="1:43" x14ac:dyDescent="0.25">
      <c r="A1429">
        <v>1426</v>
      </c>
      <c r="B1429">
        <v>33</v>
      </c>
      <c r="C1429">
        <v>33</v>
      </c>
      <c r="D1429">
        <v>9</v>
      </c>
      <c r="E1429">
        <v>2105</v>
      </c>
      <c r="F1429">
        <v>5280</v>
      </c>
      <c r="G1429">
        <v>5280</v>
      </c>
      <c r="H1429">
        <v>2548</v>
      </c>
      <c r="I1429">
        <v>2118</v>
      </c>
      <c r="J1429">
        <v>8</v>
      </c>
      <c r="K1429">
        <v>243</v>
      </c>
      <c r="L1429">
        <v>228</v>
      </c>
      <c r="M1429">
        <v>428</v>
      </c>
      <c r="N1429">
        <v>1217</v>
      </c>
      <c r="O1429">
        <v>2250</v>
      </c>
      <c r="P1429">
        <v>904.16779459999998</v>
      </c>
      <c r="Q1429">
        <v>344</v>
      </c>
      <c r="R1429">
        <v>0.387567153</v>
      </c>
      <c r="S1429">
        <v>659</v>
      </c>
      <c r="T1429">
        <v>180</v>
      </c>
      <c r="U1429">
        <v>674</v>
      </c>
      <c r="V1429">
        <v>882</v>
      </c>
      <c r="W1429">
        <v>1558</v>
      </c>
      <c r="X1429">
        <v>1702</v>
      </c>
      <c r="Y1429">
        <v>84</v>
      </c>
      <c r="Z1429">
        <v>164</v>
      </c>
      <c r="AA1429">
        <v>261</v>
      </c>
      <c r="AB1429">
        <v>1</v>
      </c>
      <c r="AC1429">
        <v>84</v>
      </c>
      <c r="AD1429">
        <v>65</v>
      </c>
      <c r="AE1429">
        <v>0</v>
      </c>
      <c r="AF1429">
        <v>0</v>
      </c>
      <c r="AG1429">
        <v>4</v>
      </c>
      <c r="AH1429">
        <v>0</v>
      </c>
      <c r="AI1429">
        <v>0</v>
      </c>
      <c r="AJ1429">
        <v>0</v>
      </c>
      <c r="AK1429">
        <v>0.99333000000000005</v>
      </c>
      <c r="AL1429">
        <v>1</v>
      </c>
      <c r="AM1429">
        <v>0</v>
      </c>
      <c r="AN1429">
        <v>2105</v>
      </c>
      <c r="AO1429">
        <v>0</v>
      </c>
      <c r="AP1429">
        <v>0</v>
      </c>
      <c r="AQ1429">
        <v>0</v>
      </c>
    </row>
    <row r="1430" spans="1:43" x14ac:dyDescent="0.25">
      <c r="A1430">
        <v>1427</v>
      </c>
      <c r="B1430">
        <v>33</v>
      </c>
      <c r="C1430">
        <v>33</v>
      </c>
      <c r="D1430">
        <v>9</v>
      </c>
      <c r="E1430">
        <v>2687</v>
      </c>
      <c r="F1430">
        <v>6209</v>
      </c>
      <c r="G1430">
        <v>6615</v>
      </c>
      <c r="H1430">
        <v>2897</v>
      </c>
      <c r="I1430">
        <v>1817</v>
      </c>
      <c r="J1430">
        <v>897</v>
      </c>
      <c r="K1430">
        <v>683</v>
      </c>
      <c r="L1430">
        <v>717</v>
      </c>
      <c r="M1430">
        <v>370</v>
      </c>
      <c r="N1430">
        <v>903</v>
      </c>
      <c r="O1430">
        <v>1717</v>
      </c>
      <c r="P1430">
        <v>671.36025930000005</v>
      </c>
      <c r="Q1430">
        <v>116</v>
      </c>
      <c r="R1430">
        <v>0.27845555700000002</v>
      </c>
      <c r="S1430">
        <v>3130</v>
      </c>
      <c r="T1430">
        <v>71</v>
      </c>
      <c r="U1430">
        <v>1648</v>
      </c>
      <c r="V1430">
        <v>1896</v>
      </c>
      <c r="W1430">
        <v>1728</v>
      </c>
      <c r="X1430">
        <v>1782</v>
      </c>
      <c r="Y1430">
        <v>496</v>
      </c>
      <c r="Z1430">
        <v>764</v>
      </c>
      <c r="AA1430">
        <v>1613</v>
      </c>
      <c r="AB1430">
        <v>3</v>
      </c>
      <c r="AC1430">
        <v>56</v>
      </c>
      <c r="AD1430">
        <v>198</v>
      </c>
      <c r="AE1430">
        <v>0</v>
      </c>
      <c r="AF1430">
        <v>0</v>
      </c>
      <c r="AG1430">
        <v>4</v>
      </c>
      <c r="AH1430">
        <v>1428</v>
      </c>
      <c r="AI1430">
        <v>2090</v>
      </c>
      <c r="AJ1430">
        <v>323</v>
      </c>
      <c r="AK1430">
        <v>1.3315699999999999</v>
      </c>
      <c r="AL1430">
        <v>1</v>
      </c>
      <c r="AM1430">
        <v>0</v>
      </c>
      <c r="AN1430">
        <v>2687</v>
      </c>
      <c r="AO1430">
        <v>406</v>
      </c>
      <c r="AP1430">
        <v>0</v>
      </c>
      <c r="AQ1430">
        <v>0</v>
      </c>
    </row>
    <row r="1431" spans="1:43" x14ac:dyDescent="0.25">
      <c r="A1431">
        <v>1428</v>
      </c>
      <c r="B1431">
        <v>33</v>
      </c>
      <c r="C1431">
        <v>33</v>
      </c>
      <c r="D1431">
        <v>9</v>
      </c>
      <c r="E1431">
        <v>2375</v>
      </c>
      <c r="F1431">
        <v>8026</v>
      </c>
      <c r="G1431">
        <v>8063</v>
      </c>
      <c r="H1431">
        <v>4437</v>
      </c>
      <c r="I1431">
        <v>846</v>
      </c>
      <c r="J1431">
        <v>1404</v>
      </c>
      <c r="K1431">
        <v>722</v>
      </c>
      <c r="L1431">
        <v>711</v>
      </c>
      <c r="M1431">
        <v>520</v>
      </c>
      <c r="N1431">
        <v>427</v>
      </c>
      <c r="O1431">
        <v>1037</v>
      </c>
      <c r="P1431">
        <v>120</v>
      </c>
      <c r="Q1431">
        <v>300.86287329999999</v>
      </c>
      <c r="R1431">
        <v>8.1622043000000005E-2</v>
      </c>
      <c r="S1431">
        <v>8087</v>
      </c>
      <c r="T1431">
        <v>942</v>
      </c>
      <c r="U1431">
        <v>2702</v>
      </c>
      <c r="V1431">
        <v>4431</v>
      </c>
      <c r="W1431">
        <v>2283</v>
      </c>
      <c r="X1431">
        <v>721</v>
      </c>
      <c r="Y1431">
        <v>1995</v>
      </c>
      <c r="Z1431">
        <v>1779</v>
      </c>
      <c r="AA1431">
        <v>1736</v>
      </c>
      <c r="AB1431">
        <v>3</v>
      </c>
      <c r="AC1431">
        <v>1021</v>
      </c>
      <c r="AD1431">
        <v>1553</v>
      </c>
      <c r="AE1431">
        <v>0</v>
      </c>
      <c r="AF1431">
        <v>0</v>
      </c>
      <c r="AG1431">
        <v>3</v>
      </c>
      <c r="AH1431">
        <v>17</v>
      </c>
      <c r="AI1431">
        <v>0</v>
      </c>
      <c r="AJ1431">
        <v>0</v>
      </c>
      <c r="AK1431">
        <v>2.48447</v>
      </c>
      <c r="AL1431">
        <v>2</v>
      </c>
      <c r="AM1431">
        <v>0</v>
      </c>
      <c r="AN1431">
        <v>2375</v>
      </c>
      <c r="AO1431">
        <v>37</v>
      </c>
      <c r="AP1431">
        <v>0</v>
      </c>
      <c r="AQ1431">
        <v>0</v>
      </c>
    </row>
    <row r="1432" spans="1:43" x14ac:dyDescent="0.25">
      <c r="A1432">
        <v>1429</v>
      </c>
      <c r="B1432">
        <v>33</v>
      </c>
      <c r="C1432">
        <v>33</v>
      </c>
      <c r="D1432">
        <v>9</v>
      </c>
      <c r="E1432">
        <v>1897</v>
      </c>
      <c r="F1432">
        <v>4414</v>
      </c>
      <c r="G1432">
        <v>4438</v>
      </c>
      <c r="H1432">
        <v>2465</v>
      </c>
      <c r="I1432">
        <v>1189</v>
      </c>
      <c r="J1432">
        <v>601</v>
      </c>
      <c r="K1432">
        <v>405</v>
      </c>
      <c r="L1432">
        <v>486</v>
      </c>
      <c r="M1432">
        <v>388</v>
      </c>
      <c r="N1432">
        <v>616</v>
      </c>
      <c r="O1432">
        <v>715</v>
      </c>
      <c r="P1432">
        <v>336</v>
      </c>
      <c r="Q1432">
        <v>147</v>
      </c>
      <c r="R1432">
        <v>0.21300551500000001</v>
      </c>
      <c r="S1432">
        <v>2609</v>
      </c>
      <c r="T1432">
        <v>198</v>
      </c>
      <c r="U1432">
        <v>713</v>
      </c>
      <c r="V1432">
        <v>1293</v>
      </c>
      <c r="W1432">
        <v>1222</v>
      </c>
      <c r="X1432">
        <v>736</v>
      </c>
      <c r="Y1432">
        <v>596</v>
      </c>
      <c r="Z1432">
        <v>425</v>
      </c>
      <c r="AA1432">
        <v>620</v>
      </c>
      <c r="AB1432">
        <v>2</v>
      </c>
      <c r="AC1432">
        <v>334</v>
      </c>
      <c r="AD1432">
        <v>632</v>
      </c>
      <c r="AE1432">
        <v>0</v>
      </c>
      <c r="AF1432">
        <v>0</v>
      </c>
      <c r="AG1432">
        <v>4</v>
      </c>
      <c r="AH1432">
        <v>0</v>
      </c>
      <c r="AI1432">
        <v>0</v>
      </c>
      <c r="AJ1432">
        <v>0</v>
      </c>
      <c r="AK1432">
        <v>1.4778800000000001</v>
      </c>
      <c r="AL1432">
        <v>1</v>
      </c>
      <c r="AM1432">
        <v>0</v>
      </c>
      <c r="AN1432">
        <v>1897</v>
      </c>
      <c r="AO1432">
        <v>24</v>
      </c>
      <c r="AP1432">
        <v>0</v>
      </c>
      <c r="AQ1432">
        <v>0</v>
      </c>
    </row>
    <row r="1433" spans="1:43" x14ac:dyDescent="0.25">
      <c r="A1433">
        <v>1430</v>
      </c>
      <c r="B1433">
        <v>33</v>
      </c>
      <c r="C1433">
        <v>33</v>
      </c>
      <c r="D1433">
        <v>9</v>
      </c>
      <c r="E1433">
        <v>2572</v>
      </c>
      <c r="F1433">
        <v>4613</v>
      </c>
      <c r="G1433">
        <v>4755</v>
      </c>
      <c r="H1433">
        <v>2902</v>
      </c>
      <c r="I1433">
        <v>947</v>
      </c>
      <c r="J1433">
        <v>1590</v>
      </c>
      <c r="K1433">
        <v>804</v>
      </c>
      <c r="L1433">
        <v>708</v>
      </c>
      <c r="M1433">
        <v>460</v>
      </c>
      <c r="N1433">
        <v>596</v>
      </c>
      <c r="O1433">
        <v>569</v>
      </c>
      <c r="P1433">
        <v>247.3433421</v>
      </c>
      <c r="Q1433">
        <v>117</v>
      </c>
      <c r="R1433">
        <v>0.25410846300000001</v>
      </c>
      <c r="S1433">
        <v>5915</v>
      </c>
      <c r="T1433">
        <v>66</v>
      </c>
      <c r="U1433">
        <v>419</v>
      </c>
      <c r="V1433">
        <v>1592</v>
      </c>
      <c r="W1433">
        <v>1671</v>
      </c>
      <c r="X1433">
        <v>912</v>
      </c>
      <c r="Y1433">
        <v>569</v>
      </c>
      <c r="Z1433">
        <v>1293</v>
      </c>
      <c r="AA1433">
        <v>2902</v>
      </c>
      <c r="AB1433">
        <v>4</v>
      </c>
      <c r="AC1433">
        <v>140</v>
      </c>
      <c r="AD1433">
        <v>1007</v>
      </c>
      <c r="AE1433">
        <v>0</v>
      </c>
      <c r="AF1433">
        <v>0</v>
      </c>
      <c r="AG1433">
        <v>3</v>
      </c>
      <c r="AH1433">
        <v>459</v>
      </c>
      <c r="AI1433">
        <v>0</v>
      </c>
      <c r="AJ1433">
        <v>0</v>
      </c>
      <c r="AK1433">
        <v>2.1479400000000002</v>
      </c>
      <c r="AL1433">
        <v>1</v>
      </c>
      <c r="AM1433">
        <v>0</v>
      </c>
      <c r="AN1433">
        <v>2572</v>
      </c>
      <c r="AO1433">
        <v>142</v>
      </c>
      <c r="AP1433">
        <v>0</v>
      </c>
      <c r="AQ1433">
        <v>0</v>
      </c>
    </row>
    <row r="1434" spans="1:43" x14ac:dyDescent="0.25">
      <c r="A1434">
        <v>1431</v>
      </c>
      <c r="B1434">
        <v>33</v>
      </c>
      <c r="C1434">
        <v>33</v>
      </c>
      <c r="D1434">
        <v>9</v>
      </c>
      <c r="E1434">
        <v>3675</v>
      </c>
      <c r="F1434">
        <v>8378</v>
      </c>
      <c r="G1434">
        <v>8414</v>
      </c>
      <c r="H1434">
        <v>4478</v>
      </c>
      <c r="I1434">
        <v>2110</v>
      </c>
      <c r="J1434">
        <v>1379</v>
      </c>
      <c r="K1434">
        <v>838</v>
      </c>
      <c r="L1434">
        <v>829</v>
      </c>
      <c r="M1434">
        <v>818</v>
      </c>
      <c r="N1434">
        <v>1183</v>
      </c>
      <c r="O1434">
        <v>1179</v>
      </c>
      <c r="P1434">
        <v>590.79169909999996</v>
      </c>
      <c r="Q1434">
        <v>74</v>
      </c>
      <c r="R1434">
        <v>0.271609447</v>
      </c>
      <c r="S1434">
        <v>1402</v>
      </c>
      <c r="T1434">
        <v>328</v>
      </c>
      <c r="U1434">
        <v>1137</v>
      </c>
      <c r="V1434">
        <v>2114</v>
      </c>
      <c r="W1434">
        <v>2519</v>
      </c>
      <c r="X1434">
        <v>1762</v>
      </c>
      <c r="Y1434">
        <v>120</v>
      </c>
      <c r="Z1434">
        <v>396</v>
      </c>
      <c r="AA1434">
        <v>651</v>
      </c>
      <c r="AB1434">
        <v>2</v>
      </c>
      <c r="AC1434">
        <v>73</v>
      </c>
      <c r="AD1434">
        <v>160</v>
      </c>
      <c r="AE1434">
        <v>0</v>
      </c>
      <c r="AF1434">
        <v>0</v>
      </c>
      <c r="AG1434">
        <v>4</v>
      </c>
      <c r="AH1434">
        <v>0</v>
      </c>
      <c r="AI1434">
        <v>0</v>
      </c>
      <c r="AJ1434">
        <v>0</v>
      </c>
      <c r="AK1434">
        <v>1.21132</v>
      </c>
      <c r="AL1434">
        <v>1</v>
      </c>
      <c r="AM1434">
        <v>0</v>
      </c>
      <c r="AN1434">
        <v>3675</v>
      </c>
      <c r="AO1434">
        <v>36</v>
      </c>
      <c r="AP1434">
        <v>0</v>
      </c>
      <c r="AQ1434">
        <v>0</v>
      </c>
    </row>
    <row r="1435" spans="1:43" x14ac:dyDescent="0.25">
      <c r="A1435">
        <v>1432</v>
      </c>
      <c r="B1435">
        <v>33</v>
      </c>
      <c r="C1435">
        <v>33</v>
      </c>
      <c r="D1435">
        <v>9</v>
      </c>
      <c r="E1435">
        <v>1822</v>
      </c>
      <c r="F1435">
        <v>4638</v>
      </c>
      <c r="G1435">
        <v>4665</v>
      </c>
      <c r="H1435">
        <v>2395</v>
      </c>
      <c r="I1435">
        <v>1275</v>
      </c>
      <c r="J1435">
        <v>656</v>
      </c>
      <c r="K1435">
        <v>313</v>
      </c>
      <c r="L1435">
        <v>286</v>
      </c>
      <c r="M1435">
        <v>350</v>
      </c>
      <c r="N1435">
        <v>877</v>
      </c>
      <c r="O1435">
        <v>672</v>
      </c>
      <c r="P1435">
        <v>388.20434599999999</v>
      </c>
      <c r="Q1435">
        <v>72</v>
      </c>
      <c r="R1435">
        <v>0.20148601399999999</v>
      </c>
      <c r="S1435">
        <v>2484</v>
      </c>
      <c r="T1435">
        <v>213</v>
      </c>
      <c r="U1435">
        <v>1006</v>
      </c>
      <c r="V1435">
        <v>982</v>
      </c>
      <c r="W1435">
        <v>1393</v>
      </c>
      <c r="X1435">
        <v>752</v>
      </c>
      <c r="Y1435">
        <v>251</v>
      </c>
      <c r="Z1435">
        <v>522</v>
      </c>
      <c r="AA1435">
        <v>1305</v>
      </c>
      <c r="AB1435">
        <v>2</v>
      </c>
      <c r="AC1435">
        <v>89</v>
      </c>
      <c r="AD1435">
        <v>315</v>
      </c>
      <c r="AE1435">
        <v>0</v>
      </c>
      <c r="AF1435">
        <v>0</v>
      </c>
      <c r="AG1435">
        <v>4</v>
      </c>
      <c r="AH1435">
        <v>0</v>
      </c>
      <c r="AI1435">
        <v>0</v>
      </c>
      <c r="AJ1435">
        <v>0</v>
      </c>
      <c r="AK1435">
        <v>1.30958</v>
      </c>
      <c r="AL1435">
        <v>1</v>
      </c>
      <c r="AM1435">
        <v>0</v>
      </c>
      <c r="AN1435">
        <v>1822</v>
      </c>
      <c r="AO1435">
        <v>27</v>
      </c>
      <c r="AP1435">
        <v>0</v>
      </c>
      <c r="AQ1435">
        <v>0</v>
      </c>
    </row>
    <row r="1436" spans="1:43" x14ac:dyDescent="0.25">
      <c r="A1436">
        <v>1433</v>
      </c>
      <c r="B1436">
        <v>33</v>
      </c>
      <c r="C1436">
        <v>33</v>
      </c>
      <c r="D1436">
        <v>9</v>
      </c>
      <c r="E1436">
        <v>1264</v>
      </c>
      <c r="F1436">
        <v>3128</v>
      </c>
      <c r="G1436">
        <v>3138</v>
      </c>
      <c r="H1436">
        <v>1709</v>
      </c>
      <c r="I1436">
        <v>1022</v>
      </c>
      <c r="J1436">
        <v>177</v>
      </c>
      <c r="K1436">
        <v>224</v>
      </c>
      <c r="L1436">
        <v>250</v>
      </c>
      <c r="M1436">
        <v>173</v>
      </c>
      <c r="N1436">
        <v>620</v>
      </c>
      <c r="O1436">
        <v>343</v>
      </c>
      <c r="P1436">
        <v>235.18915809999999</v>
      </c>
      <c r="Q1436">
        <v>18</v>
      </c>
      <c r="R1436">
        <v>0.26694241200000002</v>
      </c>
      <c r="S1436">
        <v>549</v>
      </c>
      <c r="T1436">
        <v>163</v>
      </c>
      <c r="U1436">
        <v>537</v>
      </c>
      <c r="V1436">
        <v>591</v>
      </c>
      <c r="W1436">
        <v>1092</v>
      </c>
      <c r="X1436">
        <v>635</v>
      </c>
      <c r="Y1436">
        <v>20</v>
      </c>
      <c r="Z1436">
        <v>180</v>
      </c>
      <c r="AA1436">
        <v>277</v>
      </c>
      <c r="AB1436">
        <v>1</v>
      </c>
      <c r="AC1436">
        <v>16</v>
      </c>
      <c r="AD1436">
        <v>55</v>
      </c>
      <c r="AE1436">
        <v>0</v>
      </c>
      <c r="AF1436">
        <v>0</v>
      </c>
      <c r="AG1436">
        <v>4</v>
      </c>
      <c r="AH1436">
        <v>1141</v>
      </c>
      <c r="AI1436">
        <v>0</v>
      </c>
      <c r="AJ1436">
        <v>0</v>
      </c>
      <c r="AK1436">
        <v>1.1778900000000001</v>
      </c>
      <c r="AL1436">
        <v>1</v>
      </c>
      <c r="AM1436">
        <v>0</v>
      </c>
      <c r="AN1436">
        <v>1264</v>
      </c>
      <c r="AO1436">
        <v>10</v>
      </c>
      <c r="AP1436">
        <v>0</v>
      </c>
      <c r="AQ1436">
        <v>0</v>
      </c>
    </row>
    <row r="1437" spans="1:43" x14ac:dyDescent="0.25">
      <c r="A1437">
        <v>1434</v>
      </c>
      <c r="B1437">
        <v>33</v>
      </c>
      <c r="C1437">
        <v>33</v>
      </c>
      <c r="D1437">
        <v>9</v>
      </c>
      <c r="E1437">
        <v>2102</v>
      </c>
      <c r="F1437">
        <v>5075</v>
      </c>
      <c r="G1437">
        <v>5083</v>
      </c>
      <c r="H1437">
        <v>2619</v>
      </c>
      <c r="I1437">
        <v>1801</v>
      </c>
      <c r="J1437">
        <v>399</v>
      </c>
      <c r="K1437">
        <v>503</v>
      </c>
      <c r="L1437">
        <v>353</v>
      </c>
      <c r="M1437">
        <v>533</v>
      </c>
      <c r="N1437">
        <v>716</v>
      </c>
      <c r="O1437">
        <v>1928</v>
      </c>
      <c r="P1437">
        <v>560.17235630000005</v>
      </c>
      <c r="Q1437">
        <v>52</v>
      </c>
      <c r="R1437">
        <v>0.22108776799999999</v>
      </c>
      <c r="S1437">
        <v>1605</v>
      </c>
      <c r="T1437">
        <v>231</v>
      </c>
      <c r="U1437">
        <v>745</v>
      </c>
      <c r="V1437">
        <v>1169</v>
      </c>
      <c r="W1437">
        <v>1847</v>
      </c>
      <c r="X1437">
        <v>888</v>
      </c>
      <c r="Y1437">
        <v>342</v>
      </c>
      <c r="Z1437">
        <v>338</v>
      </c>
      <c r="AA1437">
        <v>652</v>
      </c>
      <c r="AB1437">
        <v>3</v>
      </c>
      <c r="AC1437">
        <v>33</v>
      </c>
      <c r="AD1437">
        <v>237</v>
      </c>
      <c r="AE1437">
        <v>0</v>
      </c>
      <c r="AF1437">
        <v>0</v>
      </c>
      <c r="AG1437">
        <v>4</v>
      </c>
      <c r="AH1437">
        <v>0</v>
      </c>
      <c r="AI1437">
        <v>0</v>
      </c>
      <c r="AJ1437">
        <v>0</v>
      </c>
      <c r="AK1437">
        <v>1.14117</v>
      </c>
      <c r="AL1437">
        <v>1</v>
      </c>
      <c r="AM1437">
        <v>0</v>
      </c>
      <c r="AN1437">
        <v>2102</v>
      </c>
      <c r="AO1437">
        <v>8</v>
      </c>
      <c r="AP1437">
        <v>0</v>
      </c>
      <c r="AQ1437">
        <v>0</v>
      </c>
    </row>
    <row r="1438" spans="1:43" x14ac:dyDescent="0.25">
      <c r="A1438">
        <v>1435</v>
      </c>
      <c r="B1438">
        <v>33</v>
      </c>
      <c r="C1438">
        <v>33</v>
      </c>
      <c r="D1438">
        <v>9</v>
      </c>
      <c r="E1438">
        <v>857</v>
      </c>
      <c r="F1438">
        <v>2468</v>
      </c>
      <c r="G1438">
        <v>2509</v>
      </c>
      <c r="H1438">
        <v>1027</v>
      </c>
      <c r="I1438">
        <v>818</v>
      </c>
      <c r="J1438">
        <v>44</v>
      </c>
      <c r="K1438">
        <v>84</v>
      </c>
      <c r="L1438">
        <v>79</v>
      </c>
      <c r="M1438">
        <v>141</v>
      </c>
      <c r="N1438">
        <v>552</v>
      </c>
      <c r="O1438">
        <v>982</v>
      </c>
      <c r="P1438">
        <v>610</v>
      </c>
      <c r="Q1438">
        <v>34</v>
      </c>
      <c r="R1438">
        <v>0.220934878</v>
      </c>
      <c r="S1438">
        <v>705</v>
      </c>
      <c r="T1438">
        <v>110</v>
      </c>
      <c r="U1438">
        <v>596</v>
      </c>
      <c r="V1438">
        <v>452</v>
      </c>
      <c r="W1438">
        <v>744</v>
      </c>
      <c r="X1438">
        <v>489</v>
      </c>
      <c r="Y1438">
        <v>25</v>
      </c>
      <c r="Z1438">
        <v>149</v>
      </c>
      <c r="AA1438">
        <v>463</v>
      </c>
      <c r="AB1438">
        <v>1</v>
      </c>
      <c r="AC1438">
        <v>12</v>
      </c>
      <c r="AD1438">
        <v>55</v>
      </c>
      <c r="AE1438">
        <v>0</v>
      </c>
      <c r="AF1438">
        <v>0</v>
      </c>
      <c r="AG1438">
        <v>5</v>
      </c>
      <c r="AH1438">
        <v>370</v>
      </c>
      <c r="AI1438">
        <v>0</v>
      </c>
      <c r="AJ1438">
        <v>0</v>
      </c>
      <c r="AK1438">
        <v>1.0027999999999999</v>
      </c>
      <c r="AL1438">
        <v>1</v>
      </c>
      <c r="AM1438">
        <v>0</v>
      </c>
      <c r="AN1438">
        <v>857</v>
      </c>
      <c r="AO1438">
        <v>41</v>
      </c>
      <c r="AP1438">
        <v>0</v>
      </c>
      <c r="AQ1438">
        <v>0</v>
      </c>
    </row>
    <row r="1439" spans="1:43" x14ac:dyDescent="0.25">
      <c r="A1439">
        <v>1436</v>
      </c>
      <c r="B1439">
        <v>34</v>
      </c>
      <c r="C1439">
        <v>34</v>
      </c>
      <c r="D1439">
        <v>9</v>
      </c>
      <c r="E1439">
        <v>1935</v>
      </c>
      <c r="F1439">
        <v>5049</v>
      </c>
      <c r="G1439">
        <v>5063</v>
      </c>
      <c r="H1439">
        <v>2076</v>
      </c>
      <c r="I1439">
        <v>1561</v>
      </c>
      <c r="J1439">
        <v>315</v>
      </c>
      <c r="K1439">
        <v>379</v>
      </c>
      <c r="L1439">
        <v>264</v>
      </c>
      <c r="M1439">
        <v>281</v>
      </c>
      <c r="N1439">
        <v>997</v>
      </c>
      <c r="O1439">
        <v>1557</v>
      </c>
      <c r="P1439">
        <v>829</v>
      </c>
      <c r="Q1439">
        <v>105</v>
      </c>
      <c r="R1439">
        <v>0.23933463799999999</v>
      </c>
      <c r="S1439">
        <v>2372</v>
      </c>
      <c r="T1439">
        <v>294</v>
      </c>
      <c r="U1439">
        <v>1080</v>
      </c>
      <c r="V1439">
        <v>863</v>
      </c>
      <c r="W1439">
        <v>1625</v>
      </c>
      <c r="X1439">
        <v>1027</v>
      </c>
      <c r="Y1439">
        <v>330</v>
      </c>
      <c r="Z1439">
        <v>349</v>
      </c>
      <c r="AA1439">
        <v>1539</v>
      </c>
      <c r="AB1439">
        <v>2</v>
      </c>
      <c r="AC1439">
        <v>37</v>
      </c>
      <c r="AD1439">
        <v>115</v>
      </c>
      <c r="AE1439">
        <v>0</v>
      </c>
      <c r="AF1439">
        <v>0</v>
      </c>
      <c r="AG1439">
        <v>4</v>
      </c>
      <c r="AH1439">
        <v>791</v>
      </c>
      <c r="AI1439">
        <v>1340</v>
      </c>
      <c r="AJ1439">
        <v>5605</v>
      </c>
      <c r="AK1439">
        <v>1.1246</v>
      </c>
      <c r="AL1439">
        <v>1</v>
      </c>
      <c r="AM1439">
        <v>0</v>
      </c>
      <c r="AN1439">
        <v>1935</v>
      </c>
      <c r="AO1439">
        <v>14</v>
      </c>
      <c r="AP1439">
        <v>0</v>
      </c>
      <c r="AQ1439">
        <v>0</v>
      </c>
    </row>
    <row r="1440" spans="1:43" x14ac:dyDescent="0.25">
      <c r="A1440">
        <v>1437</v>
      </c>
      <c r="B1440">
        <v>34</v>
      </c>
      <c r="C1440">
        <v>34</v>
      </c>
      <c r="D1440">
        <v>9</v>
      </c>
      <c r="E1440">
        <v>3362</v>
      </c>
      <c r="F1440">
        <v>7536</v>
      </c>
      <c r="G1440">
        <v>7536</v>
      </c>
      <c r="H1440">
        <v>3722</v>
      </c>
      <c r="I1440">
        <v>1646</v>
      </c>
      <c r="J1440">
        <v>1548</v>
      </c>
      <c r="K1440">
        <v>731</v>
      </c>
      <c r="L1440">
        <v>672</v>
      </c>
      <c r="M1440">
        <v>535</v>
      </c>
      <c r="N1440">
        <v>1423</v>
      </c>
      <c r="O1440">
        <v>752</v>
      </c>
      <c r="P1440">
        <v>446</v>
      </c>
      <c r="Q1440">
        <v>81</v>
      </c>
      <c r="R1440">
        <v>0.34047365600000001</v>
      </c>
      <c r="S1440">
        <v>4157</v>
      </c>
      <c r="T1440">
        <v>337</v>
      </c>
      <c r="U1440">
        <v>1062</v>
      </c>
      <c r="V1440">
        <v>1340</v>
      </c>
      <c r="W1440">
        <v>2273</v>
      </c>
      <c r="X1440">
        <v>2203</v>
      </c>
      <c r="Y1440">
        <v>241</v>
      </c>
      <c r="Z1440">
        <v>509</v>
      </c>
      <c r="AA1440">
        <v>3237</v>
      </c>
      <c r="AB1440">
        <v>3</v>
      </c>
      <c r="AC1440">
        <v>72</v>
      </c>
      <c r="AD1440">
        <v>95</v>
      </c>
      <c r="AE1440">
        <v>0</v>
      </c>
      <c r="AF1440">
        <v>0</v>
      </c>
      <c r="AG1440">
        <v>4</v>
      </c>
      <c r="AH1440">
        <v>0</v>
      </c>
      <c r="AI1440">
        <v>0</v>
      </c>
      <c r="AJ1440">
        <v>0</v>
      </c>
      <c r="AK1440">
        <v>1.5016499999999999</v>
      </c>
      <c r="AL1440">
        <v>1</v>
      </c>
      <c r="AM1440">
        <v>0</v>
      </c>
      <c r="AN1440">
        <v>3362</v>
      </c>
      <c r="AO1440">
        <v>0</v>
      </c>
      <c r="AP1440">
        <v>0</v>
      </c>
      <c r="AQ1440">
        <v>0</v>
      </c>
    </row>
    <row r="1441" spans="1:43" x14ac:dyDescent="0.25">
      <c r="A1441">
        <v>1438</v>
      </c>
      <c r="B1441">
        <v>34</v>
      </c>
      <c r="C1441">
        <v>34</v>
      </c>
      <c r="D1441">
        <v>9</v>
      </c>
      <c r="E1441">
        <v>2067</v>
      </c>
      <c r="F1441">
        <v>4724</v>
      </c>
      <c r="G1441">
        <v>4736</v>
      </c>
      <c r="H1441">
        <v>2621</v>
      </c>
      <c r="I1441">
        <v>1194</v>
      </c>
      <c r="J1441">
        <v>899</v>
      </c>
      <c r="K1441">
        <v>175</v>
      </c>
      <c r="L1441">
        <v>459</v>
      </c>
      <c r="M1441">
        <v>278</v>
      </c>
      <c r="N1441">
        <v>1153</v>
      </c>
      <c r="O1441">
        <v>1637</v>
      </c>
      <c r="P1441">
        <v>409.76089309999998</v>
      </c>
      <c r="Q1441">
        <v>396.54829330000001</v>
      </c>
      <c r="R1441">
        <v>0.211126233</v>
      </c>
      <c r="S1441">
        <v>4481</v>
      </c>
      <c r="T1441">
        <v>234</v>
      </c>
      <c r="U1441">
        <v>680</v>
      </c>
      <c r="V1441">
        <v>1924</v>
      </c>
      <c r="W1441">
        <v>1919</v>
      </c>
      <c r="X1441">
        <v>875</v>
      </c>
      <c r="Y1441">
        <v>1012</v>
      </c>
      <c r="Z1441">
        <v>1408</v>
      </c>
      <c r="AA1441">
        <v>1379</v>
      </c>
      <c r="AB1441">
        <v>2</v>
      </c>
      <c r="AC1441">
        <v>299</v>
      </c>
      <c r="AD1441">
        <v>381</v>
      </c>
      <c r="AE1441">
        <v>0</v>
      </c>
      <c r="AF1441">
        <v>0</v>
      </c>
      <c r="AG1441">
        <v>4</v>
      </c>
      <c r="AH1441">
        <v>4</v>
      </c>
      <c r="AI1441">
        <v>0</v>
      </c>
      <c r="AJ1441">
        <v>0</v>
      </c>
      <c r="AK1441">
        <v>1.37436</v>
      </c>
      <c r="AL1441">
        <v>1</v>
      </c>
      <c r="AM1441">
        <v>0</v>
      </c>
      <c r="AN1441">
        <v>2067</v>
      </c>
      <c r="AO1441">
        <v>12</v>
      </c>
      <c r="AP1441">
        <v>0</v>
      </c>
      <c r="AQ1441">
        <v>0</v>
      </c>
    </row>
    <row r="1442" spans="1:43" x14ac:dyDescent="0.25">
      <c r="A1442">
        <v>1439</v>
      </c>
      <c r="B1442">
        <v>34</v>
      </c>
      <c r="C1442">
        <v>34</v>
      </c>
      <c r="D1442">
        <v>9</v>
      </c>
      <c r="E1442">
        <v>0</v>
      </c>
      <c r="F1442">
        <v>0</v>
      </c>
      <c r="G1442">
        <v>0</v>
      </c>
      <c r="H1442">
        <v>0</v>
      </c>
      <c r="I1442">
        <v>0</v>
      </c>
      <c r="J1442">
        <v>0</v>
      </c>
      <c r="K1442">
        <v>0</v>
      </c>
      <c r="L1442">
        <v>0</v>
      </c>
      <c r="M1442">
        <v>0</v>
      </c>
      <c r="N1442">
        <v>0</v>
      </c>
      <c r="O1442">
        <v>26</v>
      </c>
      <c r="P1442">
        <v>0</v>
      </c>
      <c r="Q1442">
        <v>13</v>
      </c>
      <c r="R1442">
        <v>0</v>
      </c>
      <c r="S1442">
        <v>1672</v>
      </c>
      <c r="T1442">
        <v>0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1</v>
      </c>
      <c r="AA1442">
        <v>17</v>
      </c>
      <c r="AB1442">
        <v>0</v>
      </c>
      <c r="AC1442">
        <v>0</v>
      </c>
      <c r="AD1442">
        <v>1654</v>
      </c>
      <c r="AE1442">
        <v>0</v>
      </c>
      <c r="AF1442">
        <v>0</v>
      </c>
      <c r="AG1442">
        <v>4</v>
      </c>
      <c r="AH1442">
        <v>0</v>
      </c>
      <c r="AI1442">
        <v>0</v>
      </c>
      <c r="AJ1442">
        <v>0</v>
      </c>
      <c r="AK1442">
        <v>0.89742</v>
      </c>
      <c r="AL1442">
        <v>3</v>
      </c>
      <c r="AM1442">
        <v>0</v>
      </c>
      <c r="AN1442">
        <v>0</v>
      </c>
      <c r="AO1442">
        <v>0</v>
      </c>
      <c r="AP1442">
        <v>0</v>
      </c>
      <c r="AQ1442">
        <v>0</v>
      </c>
    </row>
    <row r="1443" spans="1:43" x14ac:dyDescent="0.25">
      <c r="A1443">
        <v>1440</v>
      </c>
      <c r="B1443">
        <v>34</v>
      </c>
      <c r="C1443">
        <v>34</v>
      </c>
      <c r="D1443">
        <v>9</v>
      </c>
      <c r="E1443">
        <v>2743</v>
      </c>
      <c r="F1443">
        <v>6547</v>
      </c>
      <c r="G1443">
        <v>6556</v>
      </c>
      <c r="H1443">
        <v>3083</v>
      </c>
      <c r="I1443">
        <v>1638</v>
      </c>
      <c r="J1443">
        <v>1137</v>
      </c>
      <c r="K1443">
        <v>607</v>
      </c>
      <c r="L1443">
        <v>393</v>
      </c>
      <c r="M1443">
        <v>448</v>
      </c>
      <c r="N1443">
        <v>1284</v>
      </c>
      <c r="O1443">
        <v>1260</v>
      </c>
      <c r="P1443">
        <v>560.78572110000005</v>
      </c>
      <c r="Q1443">
        <v>120</v>
      </c>
      <c r="R1443">
        <v>0.24049844200000001</v>
      </c>
      <c r="S1443">
        <v>2134</v>
      </c>
      <c r="T1443">
        <v>412</v>
      </c>
      <c r="U1443">
        <v>1106</v>
      </c>
      <c r="V1443">
        <v>1398</v>
      </c>
      <c r="W1443">
        <v>1872</v>
      </c>
      <c r="X1443">
        <v>1345</v>
      </c>
      <c r="Y1443">
        <v>142</v>
      </c>
      <c r="Z1443">
        <v>346</v>
      </c>
      <c r="AA1443">
        <v>1369</v>
      </c>
      <c r="AB1443">
        <v>2</v>
      </c>
      <c r="AC1443">
        <v>81</v>
      </c>
      <c r="AD1443">
        <v>194</v>
      </c>
      <c r="AE1443">
        <v>0</v>
      </c>
      <c r="AF1443">
        <v>0</v>
      </c>
      <c r="AG1443">
        <v>4</v>
      </c>
      <c r="AH1443">
        <v>1892</v>
      </c>
      <c r="AI1443">
        <v>0</v>
      </c>
      <c r="AJ1443">
        <v>0</v>
      </c>
      <c r="AK1443">
        <v>1.2152000000000001</v>
      </c>
      <c r="AL1443">
        <v>1</v>
      </c>
      <c r="AM1443">
        <v>0</v>
      </c>
      <c r="AN1443">
        <v>2743</v>
      </c>
      <c r="AO1443">
        <v>9</v>
      </c>
      <c r="AP1443">
        <v>0</v>
      </c>
      <c r="AQ1443">
        <v>0</v>
      </c>
    </row>
    <row r="1444" spans="1:43" x14ac:dyDescent="0.25">
      <c r="A1444">
        <v>1441</v>
      </c>
      <c r="B1444">
        <v>34</v>
      </c>
      <c r="C1444">
        <v>34</v>
      </c>
      <c r="D1444">
        <v>9</v>
      </c>
      <c r="E1444">
        <v>2457</v>
      </c>
      <c r="F1444">
        <v>6016</v>
      </c>
      <c r="G1444">
        <v>6019</v>
      </c>
      <c r="H1444">
        <v>2523</v>
      </c>
      <c r="I1444">
        <v>1816</v>
      </c>
      <c r="J1444">
        <v>522</v>
      </c>
      <c r="K1444">
        <v>319</v>
      </c>
      <c r="L1444">
        <v>490</v>
      </c>
      <c r="M1444">
        <v>396</v>
      </c>
      <c r="N1444">
        <v>1246</v>
      </c>
      <c r="O1444">
        <v>886</v>
      </c>
      <c r="P1444">
        <v>447.8345521</v>
      </c>
      <c r="Q1444">
        <v>114</v>
      </c>
      <c r="R1444">
        <v>0.24775224800000001</v>
      </c>
      <c r="S1444">
        <v>3836</v>
      </c>
      <c r="T1444">
        <v>386</v>
      </c>
      <c r="U1444">
        <v>1207</v>
      </c>
      <c r="V1444">
        <v>1178</v>
      </c>
      <c r="W1444">
        <v>1871</v>
      </c>
      <c r="X1444">
        <v>1103</v>
      </c>
      <c r="Y1444">
        <v>1048</v>
      </c>
      <c r="Z1444">
        <v>539</v>
      </c>
      <c r="AA1444">
        <v>1651</v>
      </c>
      <c r="AB1444">
        <v>2</v>
      </c>
      <c r="AC1444">
        <v>260</v>
      </c>
      <c r="AD1444">
        <v>336</v>
      </c>
      <c r="AE1444">
        <v>0</v>
      </c>
      <c r="AF1444">
        <v>0</v>
      </c>
      <c r="AG1444">
        <v>4</v>
      </c>
      <c r="AH1444">
        <v>0</v>
      </c>
      <c r="AI1444">
        <v>0</v>
      </c>
      <c r="AJ1444">
        <v>0</v>
      </c>
      <c r="AK1444">
        <v>1.4591400000000001</v>
      </c>
      <c r="AL1444">
        <v>1</v>
      </c>
      <c r="AM1444">
        <v>0</v>
      </c>
      <c r="AN1444">
        <v>2457</v>
      </c>
      <c r="AO1444">
        <v>3</v>
      </c>
      <c r="AP1444">
        <v>0</v>
      </c>
      <c r="AQ1444">
        <v>0</v>
      </c>
    </row>
    <row r="1445" spans="1:43" x14ac:dyDescent="0.25">
      <c r="A1445">
        <v>1442</v>
      </c>
      <c r="B1445">
        <v>34</v>
      </c>
      <c r="C1445">
        <v>34</v>
      </c>
      <c r="D1445">
        <v>9</v>
      </c>
      <c r="E1445">
        <v>2313</v>
      </c>
      <c r="F1445">
        <v>6354</v>
      </c>
      <c r="G1445">
        <v>6361</v>
      </c>
      <c r="H1445">
        <v>2805</v>
      </c>
      <c r="I1445">
        <v>2136</v>
      </c>
      <c r="J1445">
        <v>274</v>
      </c>
      <c r="K1445">
        <v>234</v>
      </c>
      <c r="L1445">
        <v>298</v>
      </c>
      <c r="M1445">
        <v>370</v>
      </c>
      <c r="N1445">
        <v>1414</v>
      </c>
      <c r="O1445">
        <v>1299</v>
      </c>
      <c r="P1445">
        <v>542.16679039999997</v>
      </c>
      <c r="Q1445">
        <v>62</v>
      </c>
      <c r="R1445">
        <v>0.213759214</v>
      </c>
      <c r="S1445">
        <v>2038</v>
      </c>
      <c r="T1445">
        <v>170</v>
      </c>
      <c r="U1445">
        <v>1477</v>
      </c>
      <c r="V1445">
        <v>1194</v>
      </c>
      <c r="W1445">
        <v>2026</v>
      </c>
      <c r="X1445">
        <v>965</v>
      </c>
      <c r="Y1445">
        <v>346</v>
      </c>
      <c r="Z1445">
        <v>503</v>
      </c>
      <c r="AA1445">
        <v>932</v>
      </c>
      <c r="AB1445">
        <v>9</v>
      </c>
      <c r="AC1445">
        <v>90</v>
      </c>
      <c r="AD1445">
        <v>158</v>
      </c>
      <c r="AE1445">
        <v>0</v>
      </c>
      <c r="AF1445">
        <v>0</v>
      </c>
      <c r="AG1445">
        <v>4</v>
      </c>
      <c r="AH1445">
        <v>0</v>
      </c>
      <c r="AI1445">
        <v>0</v>
      </c>
      <c r="AJ1445">
        <v>0</v>
      </c>
      <c r="AK1445">
        <v>1.2523500000000001</v>
      </c>
      <c r="AL1445">
        <v>1</v>
      </c>
      <c r="AM1445">
        <v>0</v>
      </c>
      <c r="AN1445">
        <v>2313</v>
      </c>
      <c r="AO1445">
        <v>7</v>
      </c>
      <c r="AP1445">
        <v>0</v>
      </c>
      <c r="AQ1445">
        <v>0</v>
      </c>
    </row>
    <row r="1446" spans="1:43" x14ac:dyDescent="0.25">
      <c r="A1446">
        <v>1443</v>
      </c>
      <c r="B1446">
        <v>34</v>
      </c>
      <c r="C1446">
        <v>34</v>
      </c>
      <c r="D1446">
        <v>9</v>
      </c>
      <c r="E1446">
        <v>1720</v>
      </c>
      <c r="F1446">
        <v>4067</v>
      </c>
      <c r="G1446">
        <v>4152</v>
      </c>
      <c r="H1446">
        <v>1604</v>
      </c>
      <c r="I1446">
        <v>1098</v>
      </c>
      <c r="J1446">
        <v>700</v>
      </c>
      <c r="K1446">
        <v>246</v>
      </c>
      <c r="L1446">
        <v>306</v>
      </c>
      <c r="M1446">
        <v>402</v>
      </c>
      <c r="N1446">
        <v>766</v>
      </c>
      <c r="O1446">
        <v>832</v>
      </c>
      <c r="P1446">
        <v>283.1564841</v>
      </c>
      <c r="Q1446">
        <v>132</v>
      </c>
      <c r="R1446">
        <v>0.29856459299999999</v>
      </c>
      <c r="S1446">
        <v>2213</v>
      </c>
      <c r="T1446">
        <v>216</v>
      </c>
      <c r="U1446">
        <v>531</v>
      </c>
      <c r="V1446">
        <v>1022</v>
      </c>
      <c r="W1446">
        <v>1124</v>
      </c>
      <c r="X1446">
        <v>1117</v>
      </c>
      <c r="Y1446">
        <v>343</v>
      </c>
      <c r="Z1446">
        <v>389</v>
      </c>
      <c r="AA1446">
        <v>1255</v>
      </c>
      <c r="AB1446">
        <v>3</v>
      </c>
      <c r="AC1446">
        <v>91</v>
      </c>
      <c r="AD1446">
        <v>132</v>
      </c>
      <c r="AE1446">
        <v>0</v>
      </c>
      <c r="AF1446">
        <v>0</v>
      </c>
      <c r="AG1446">
        <v>4</v>
      </c>
      <c r="AH1446">
        <v>1470</v>
      </c>
      <c r="AI1446">
        <v>0</v>
      </c>
      <c r="AJ1446">
        <v>0</v>
      </c>
      <c r="AK1446">
        <v>1.38876</v>
      </c>
      <c r="AL1446">
        <v>1</v>
      </c>
      <c r="AM1446">
        <v>0</v>
      </c>
      <c r="AN1446">
        <v>1720</v>
      </c>
      <c r="AO1446">
        <v>85</v>
      </c>
      <c r="AP1446">
        <v>0</v>
      </c>
      <c r="AQ1446">
        <v>0</v>
      </c>
    </row>
    <row r="1447" spans="1:43" x14ac:dyDescent="0.25">
      <c r="A1447">
        <v>1444</v>
      </c>
      <c r="B1447">
        <v>34</v>
      </c>
      <c r="C1447">
        <v>34</v>
      </c>
      <c r="D1447">
        <v>9</v>
      </c>
      <c r="E1447">
        <v>1883</v>
      </c>
      <c r="F1447">
        <v>4220</v>
      </c>
      <c r="G1447">
        <v>4293</v>
      </c>
      <c r="H1447">
        <v>2000</v>
      </c>
      <c r="I1447">
        <v>869</v>
      </c>
      <c r="J1447">
        <v>942</v>
      </c>
      <c r="K1447">
        <v>369</v>
      </c>
      <c r="L1447">
        <v>507</v>
      </c>
      <c r="M1447">
        <v>293</v>
      </c>
      <c r="N1447">
        <v>710</v>
      </c>
      <c r="O1447">
        <v>557</v>
      </c>
      <c r="P1447">
        <v>320</v>
      </c>
      <c r="Q1447">
        <v>100</v>
      </c>
      <c r="R1447">
        <v>0.27174631100000002</v>
      </c>
      <c r="S1447">
        <v>1784</v>
      </c>
      <c r="T1447">
        <v>338</v>
      </c>
      <c r="U1447">
        <v>838</v>
      </c>
      <c r="V1447">
        <v>975</v>
      </c>
      <c r="W1447">
        <v>1121</v>
      </c>
      <c r="X1447">
        <v>1067</v>
      </c>
      <c r="Y1447">
        <v>409</v>
      </c>
      <c r="Z1447">
        <v>452</v>
      </c>
      <c r="AA1447">
        <v>648</v>
      </c>
      <c r="AB1447">
        <v>2</v>
      </c>
      <c r="AC1447">
        <v>91</v>
      </c>
      <c r="AD1447">
        <v>182</v>
      </c>
      <c r="AE1447">
        <v>0</v>
      </c>
      <c r="AF1447">
        <v>0</v>
      </c>
      <c r="AG1447">
        <v>4</v>
      </c>
      <c r="AH1447">
        <v>0</v>
      </c>
      <c r="AI1447">
        <v>0</v>
      </c>
      <c r="AJ1447">
        <v>0</v>
      </c>
      <c r="AK1447">
        <v>1.2784500000000001</v>
      </c>
      <c r="AL1447">
        <v>1</v>
      </c>
      <c r="AM1447">
        <v>0</v>
      </c>
      <c r="AN1447">
        <v>1883</v>
      </c>
      <c r="AO1447">
        <v>73</v>
      </c>
      <c r="AP1447">
        <v>0</v>
      </c>
      <c r="AQ1447">
        <v>0</v>
      </c>
    </row>
    <row r="1448" spans="1:43" x14ac:dyDescent="0.25">
      <c r="A1448">
        <v>1445</v>
      </c>
      <c r="B1448">
        <v>34</v>
      </c>
      <c r="C1448">
        <v>34</v>
      </c>
      <c r="D1448">
        <v>9</v>
      </c>
      <c r="E1448">
        <v>2522</v>
      </c>
      <c r="F1448">
        <v>6629</v>
      </c>
      <c r="G1448">
        <v>6630</v>
      </c>
      <c r="H1448">
        <v>3244</v>
      </c>
      <c r="I1448">
        <v>1701</v>
      </c>
      <c r="J1448">
        <v>743</v>
      </c>
      <c r="K1448">
        <v>330</v>
      </c>
      <c r="L1448">
        <v>238</v>
      </c>
      <c r="M1448">
        <v>483</v>
      </c>
      <c r="N1448">
        <v>1490</v>
      </c>
      <c r="O1448">
        <v>1403</v>
      </c>
      <c r="P1448">
        <v>724</v>
      </c>
      <c r="Q1448">
        <v>57</v>
      </c>
      <c r="R1448">
        <v>0.25011805399999998</v>
      </c>
      <c r="S1448">
        <v>1228</v>
      </c>
      <c r="T1448">
        <v>313</v>
      </c>
      <c r="U1448">
        <v>937</v>
      </c>
      <c r="V1448">
        <v>1539</v>
      </c>
      <c r="W1448">
        <v>1994</v>
      </c>
      <c r="X1448">
        <v>1299</v>
      </c>
      <c r="Y1448">
        <v>89</v>
      </c>
      <c r="Z1448">
        <v>356</v>
      </c>
      <c r="AA1448">
        <v>634</v>
      </c>
      <c r="AB1448">
        <v>6</v>
      </c>
      <c r="AC1448">
        <v>38</v>
      </c>
      <c r="AD1448">
        <v>105</v>
      </c>
      <c r="AE1448">
        <v>0</v>
      </c>
      <c r="AF1448">
        <v>0</v>
      </c>
      <c r="AG1448">
        <v>4</v>
      </c>
      <c r="AH1448">
        <v>0</v>
      </c>
      <c r="AI1448">
        <v>0</v>
      </c>
      <c r="AJ1448">
        <v>0</v>
      </c>
      <c r="AK1448">
        <v>1.0820700000000001</v>
      </c>
      <c r="AL1448">
        <v>1</v>
      </c>
      <c r="AM1448">
        <v>0</v>
      </c>
      <c r="AN1448">
        <v>2522</v>
      </c>
      <c r="AO1448">
        <v>1</v>
      </c>
      <c r="AP1448">
        <v>0</v>
      </c>
      <c r="AQ1448">
        <v>0</v>
      </c>
    </row>
    <row r="1449" spans="1:43" x14ac:dyDescent="0.25">
      <c r="A1449">
        <v>1446</v>
      </c>
      <c r="B1449">
        <v>34</v>
      </c>
      <c r="C1449">
        <v>34</v>
      </c>
      <c r="D1449">
        <v>9</v>
      </c>
      <c r="E1449">
        <v>2139</v>
      </c>
      <c r="F1449">
        <v>5438</v>
      </c>
      <c r="G1449">
        <v>5438</v>
      </c>
      <c r="H1449">
        <v>2055</v>
      </c>
      <c r="I1449">
        <v>1568</v>
      </c>
      <c r="J1449">
        <v>613</v>
      </c>
      <c r="K1449">
        <v>241</v>
      </c>
      <c r="L1449">
        <v>257</v>
      </c>
      <c r="M1449">
        <v>462</v>
      </c>
      <c r="N1449">
        <v>1178</v>
      </c>
      <c r="O1449">
        <v>2515</v>
      </c>
      <c r="P1449">
        <v>875</v>
      </c>
      <c r="Q1449">
        <v>197</v>
      </c>
      <c r="R1449">
        <v>0.31088900600000002</v>
      </c>
      <c r="S1449">
        <v>1560</v>
      </c>
      <c r="T1449">
        <v>18</v>
      </c>
      <c r="U1449">
        <v>1085</v>
      </c>
      <c r="V1449">
        <v>1010</v>
      </c>
      <c r="W1449">
        <v>1822</v>
      </c>
      <c r="X1449">
        <v>1513</v>
      </c>
      <c r="Y1449">
        <v>89</v>
      </c>
      <c r="Z1449">
        <v>396</v>
      </c>
      <c r="AA1449">
        <v>805</v>
      </c>
      <c r="AB1449">
        <v>2</v>
      </c>
      <c r="AC1449">
        <v>51</v>
      </c>
      <c r="AD1449">
        <v>217</v>
      </c>
      <c r="AE1449">
        <v>0</v>
      </c>
      <c r="AF1449">
        <v>0</v>
      </c>
      <c r="AG1449">
        <v>4</v>
      </c>
      <c r="AH1449">
        <v>0</v>
      </c>
      <c r="AI1449">
        <v>0</v>
      </c>
      <c r="AJ1449">
        <v>0</v>
      </c>
      <c r="AK1449">
        <v>1.09579</v>
      </c>
      <c r="AL1449">
        <v>1</v>
      </c>
      <c r="AM1449">
        <v>0</v>
      </c>
      <c r="AN1449">
        <v>2139</v>
      </c>
      <c r="AO1449">
        <v>0</v>
      </c>
      <c r="AP1449">
        <v>0</v>
      </c>
      <c r="AQ1449">
        <v>0</v>
      </c>
    </row>
    <row r="1450" spans="1:43" x14ac:dyDescent="0.25">
      <c r="A1450">
        <v>1447</v>
      </c>
      <c r="B1450">
        <v>34</v>
      </c>
      <c r="C1450">
        <v>34</v>
      </c>
      <c r="D1450">
        <v>9</v>
      </c>
      <c r="E1450">
        <v>864</v>
      </c>
      <c r="F1450">
        <v>2315</v>
      </c>
      <c r="G1450">
        <v>2315</v>
      </c>
      <c r="H1450">
        <v>838</v>
      </c>
      <c r="I1450">
        <v>866</v>
      </c>
      <c r="J1450">
        <v>125</v>
      </c>
      <c r="K1450">
        <v>108</v>
      </c>
      <c r="L1450">
        <v>102</v>
      </c>
      <c r="M1450">
        <v>109</v>
      </c>
      <c r="N1450">
        <v>532</v>
      </c>
      <c r="O1450">
        <v>298</v>
      </c>
      <c r="P1450">
        <v>207</v>
      </c>
      <c r="Q1450">
        <v>6</v>
      </c>
      <c r="R1450">
        <v>0.285899654</v>
      </c>
      <c r="S1450">
        <v>535</v>
      </c>
      <c r="T1450">
        <v>97</v>
      </c>
      <c r="U1450">
        <v>511</v>
      </c>
      <c r="V1450">
        <v>382</v>
      </c>
      <c r="W1450">
        <v>683</v>
      </c>
      <c r="X1450">
        <v>533</v>
      </c>
      <c r="Y1450">
        <v>80</v>
      </c>
      <c r="Z1450">
        <v>180</v>
      </c>
      <c r="AA1450">
        <v>180</v>
      </c>
      <c r="AB1450">
        <v>1</v>
      </c>
      <c r="AC1450">
        <v>7</v>
      </c>
      <c r="AD1450">
        <v>87</v>
      </c>
      <c r="AE1450">
        <v>0</v>
      </c>
      <c r="AF1450">
        <v>0</v>
      </c>
      <c r="AG1450">
        <v>4</v>
      </c>
      <c r="AH1450">
        <v>0</v>
      </c>
      <c r="AI1450">
        <v>0</v>
      </c>
      <c r="AJ1450">
        <v>0</v>
      </c>
      <c r="AK1450">
        <v>1.18703</v>
      </c>
      <c r="AL1450">
        <v>1</v>
      </c>
      <c r="AM1450">
        <v>0</v>
      </c>
      <c r="AN1450">
        <v>864</v>
      </c>
      <c r="AO1450">
        <v>0</v>
      </c>
      <c r="AP1450">
        <v>0</v>
      </c>
      <c r="AQ1450">
        <v>0</v>
      </c>
    </row>
    <row r="1451" spans="1:43" x14ac:dyDescent="0.25">
      <c r="A1451">
        <v>1448</v>
      </c>
      <c r="B1451">
        <v>34</v>
      </c>
      <c r="C1451">
        <v>34</v>
      </c>
      <c r="D1451">
        <v>9</v>
      </c>
      <c r="E1451">
        <v>4334</v>
      </c>
      <c r="F1451">
        <v>7801</v>
      </c>
      <c r="G1451">
        <v>7906</v>
      </c>
      <c r="H1451">
        <v>4150</v>
      </c>
      <c r="I1451">
        <v>2623</v>
      </c>
      <c r="J1451">
        <v>1720</v>
      </c>
      <c r="K1451">
        <v>757</v>
      </c>
      <c r="L1451">
        <v>741</v>
      </c>
      <c r="M1451">
        <v>1098</v>
      </c>
      <c r="N1451">
        <v>1747</v>
      </c>
      <c r="O1451">
        <v>1865</v>
      </c>
      <c r="P1451">
        <v>656</v>
      </c>
      <c r="Q1451">
        <v>341</v>
      </c>
      <c r="R1451">
        <v>0.37430450199999998</v>
      </c>
      <c r="S1451">
        <v>5609</v>
      </c>
      <c r="T1451">
        <v>229</v>
      </c>
      <c r="U1451">
        <v>471</v>
      </c>
      <c r="V1451">
        <v>2213</v>
      </c>
      <c r="W1451">
        <v>2217</v>
      </c>
      <c r="X1451">
        <v>2409</v>
      </c>
      <c r="Y1451">
        <v>795</v>
      </c>
      <c r="Z1451">
        <v>1704</v>
      </c>
      <c r="AA1451">
        <v>2136</v>
      </c>
      <c r="AB1451">
        <v>8</v>
      </c>
      <c r="AC1451">
        <v>346</v>
      </c>
      <c r="AD1451">
        <v>620</v>
      </c>
      <c r="AE1451">
        <v>0</v>
      </c>
      <c r="AF1451">
        <v>0</v>
      </c>
      <c r="AG1451">
        <v>4</v>
      </c>
      <c r="AH1451">
        <v>41</v>
      </c>
      <c r="AI1451">
        <v>0</v>
      </c>
      <c r="AJ1451">
        <v>0</v>
      </c>
      <c r="AK1451">
        <v>1.3565400000000001</v>
      </c>
      <c r="AL1451">
        <v>1</v>
      </c>
      <c r="AM1451">
        <v>0</v>
      </c>
      <c r="AN1451">
        <v>4334</v>
      </c>
      <c r="AO1451">
        <v>105</v>
      </c>
      <c r="AP1451">
        <v>0</v>
      </c>
      <c r="AQ1451">
        <v>0</v>
      </c>
    </row>
    <row r="1452" spans="1:43" x14ac:dyDescent="0.25">
      <c r="A1452">
        <v>1449</v>
      </c>
      <c r="B1452">
        <v>34</v>
      </c>
      <c r="C1452">
        <v>34</v>
      </c>
      <c r="D1452">
        <v>9</v>
      </c>
      <c r="E1452">
        <v>1217</v>
      </c>
      <c r="F1452">
        <v>2880</v>
      </c>
      <c r="G1452">
        <v>2892</v>
      </c>
      <c r="H1452">
        <v>1362</v>
      </c>
      <c r="I1452">
        <v>437</v>
      </c>
      <c r="J1452">
        <v>749</v>
      </c>
      <c r="K1452">
        <v>507</v>
      </c>
      <c r="L1452">
        <v>208</v>
      </c>
      <c r="M1452">
        <v>181</v>
      </c>
      <c r="N1452">
        <v>315</v>
      </c>
      <c r="O1452">
        <v>328</v>
      </c>
      <c r="P1452">
        <v>183</v>
      </c>
      <c r="Q1452">
        <v>29</v>
      </c>
      <c r="R1452">
        <v>0.130123617</v>
      </c>
      <c r="S1452">
        <v>431</v>
      </c>
      <c r="T1452">
        <v>211</v>
      </c>
      <c r="U1452">
        <v>632</v>
      </c>
      <c r="V1452">
        <v>1042</v>
      </c>
      <c r="W1452">
        <v>701</v>
      </c>
      <c r="X1452">
        <v>351</v>
      </c>
      <c r="Y1452">
        <v>89</v>
      </c>
      <c r="Z1452">
        <v>40</v>
      </c>
      <c r="AA1452">
        <v>277</v>
      </c>
      <c r="AB1452">
        <v>0</v>
      </c>
      <c r="AC1452">
        <v>3</v>
      </c>
      <c r="AD1452">
        <v>22</v>
      </c>
      <c r="AE1452">
        <v>0</v>
      </c>
      <c r="AF1452">
        <v>0</v>
      </c>
      <c r="AG1452">
        <v>4</v>
      </c>
      <c r="AH1452">
        <v>0</v>
      </c>
      <c r="AI1452">
        <v>0</v>
      </c>
      <c r="AJ1452">
        <v>0</v>
      </c>
      <c r="AK1452">
        <v>1.22411</v>
      </c>
      <c r="AL1452">
        <v>1</v>
      </c>
      <c r="AM1452">
        <v>0</v>
      </c>
      <c r="AN1452">
        <v>1217</v>
      </c>
      <c r="AO1452">
        <v>12</v>
      </c>
      <c r="AP1452">
        <v>0</v>
      </c>
      <c r="AQ1452">
        <v>0</v>
      </c>
    </row>
    <row r="1453" spans="1:43" x14ac:dyDescent="0.25">
      <c r="A1453">
        <v>1450</v>
      </c>
      <c r="B1453">
        <v>34</v>
      </c>
      <c r="C1453">
        <v>34</v>
      </c>
      <c r="D1453">
        <v>9</v>
      </c>
      <c r="E1453">
        <v>2558</v>
      </c>
      <c r="F1453">
        <v>6913</v>
      </c>
      <c r="G1453">
        <v>6925</v>
      </c>
      <c r="H1453">
        <v>3359</v>
      </c>
      <c r="I1453">
        <v>2223</v>
      </c>
      <c r="J1453">
        <v>296</v>
      </c>
      <c r="K1453">
        <v>205</v>
      </c>
      <c r="L1453">
        <v>389</v>
      </c>
      <c r="M1453">
        <v>411</v>
      </c>
      <c r="N1453">
        <v>1560</v>
      </c>
      <c r="O1453">
        <v>1320</v>
      </c>
      <c r="P1453">
        <v>630</v>
      </c>
      <c r="Q1453">
        <v>69</v>
      </c>
      <c r="R1453">
        <v>0.25901775799999999</v>
      </c>
      <c r="S1453">
        <v>1207</v>
      </c>
      <c r="T1453">
        <v>386</v>
      </c>
      <c r="U1453">
        <v>1465</v>
      </c>
      <c r="V1453">
        <v>1419</v>
      </c>
      <c r="W1453">
        <v>2172</v>
      </c>
      <c r="X1453">
        <v>1423</v>
      </c>
      <c r="Y1453">
        <v>236</v>
      </c>
      <c r="Z1453">
        <v>297</v>
      </c>
      <c r="AA1453">
        <v>567</v>
      </c>
      <c r="AB1453">
        <v>2</v>
      </c>
      <c r="AC1453">
        <v>29</v>
      </c>
      <c r="AD1453">
        <v>76</v>
      </c>
      <c r="AE1453">
        <v>0</v>
      </c>
      <c r="AF1453">
        <v>0</v>
      </c>
      <c r="AG1453">
        <v>4</v>
      </c>
      <c r="AH1453">
        <v>5</v>
      </c>
      <c r="AI1453">
        <v>0</v>
      </c>
      <c r="AJ1453">
        <v>0</v>
      </c>
      <c r="AK1453">
        <v>1.12026</v>
      </c>
      <c r="AL1453">
        <v>1</v>
      </c>
      <c r="AM1453">
        <v>0</v>
      </c>
      <c r="AN1453">
        <v>2558</v>
      </c>
      <c r="AO1453">
        <v>12</v>
      </c>
      <c r="AP1453">
        <v>0</v>
      </c>
      <c r="AQ1453">
        <v>0</v>
      </c>
    </row>
    <row r="1454" spans="1:43" x14ac:dyDescent="0.25">
      <c r="A1454">
        <v>1451</v>
      </c>
      <c r="B1454">
        <v>34</v>
      </c>
      <c r="C1454">
        <v>34</v>
      </c>
      <c r="D1454">
        <v>9</v>
      </c>
      <c r="E1454">
        <v>1893</v>
      </c>
      <c r="F1454">
        <v>5182</v>
      </c>
      <c r="G1454">
        <v>5182</v>
      </c>
      <c r="H1454">
        <v>2288</v>
      </c>
      <c r="I1454">
        <v>1826</v>
      </c>
      <c r="J1454">
        <v>126</v>
      </c>
      <c r="K1454">
        <v>286</v>
      </c>
      <c r="L1454">
        <v>219</v>
      </c>
      <c r="M1454">
        <v>267</v>
      </c>
      <c r="N1454">
        <v>1123</v>
      </c>
      <c r="O1454">
        <v>664</v>
      </c>
      <c r="P1454">
        <v>379.93183490000001</v>
      </c>
      <c r="Q1454">
        <v>43</v>
      </c>
      <c r="R1454">
        <v>0.19954691299999999</v>
      </c>
      <c r="S1454">
        <v>1338</v>
      </c>
      <c r="T1454">
        <v>194</v>
      </c>
      <c r="U1454">
        <v>1354</v>
      </c>
      <c r="V1454">
        <v>977</v>
      </c>
      <c r="W1454">
        <v>1766</v>
      </c>
      <c r="X1454">
        <v>789</v>
      </c>
      <c r="Y1454">
        <v>72</v>
      </c>
      <c r="Z1454">
        <v>530</v>
      </c>
      <c r="AA1454">
        <v>589</v>
      </c>
      <c r="AB1454">
        <v>2</v>
      </c>
      <c r="AC1454">
        <v>28</v>
      </c>
      <c r="AD1454">
        <v>117</v>
      </c>
      <c r="AE1454">
        <v>0</v>
      </c>
      <c r="AF1454">
        <v>0</v>
      </c>
      <c r="AG1454">
        <v>4</v>
      </c>
      <c r="AH1454">
        <v>0</v>
      </c>
      <c r="AI1454">
        <v>0</v>
      </c>
      <c r="AJ1454">
        <v>0</v>
      </c>
      <c r="AK1454">
        <v>1.2375400000000001</v>
      </c>
      <c r="AL1454">
        <v>1</v>
      </c>
      <c r="AM1454">
        <v>0</v>
      </c>
      <c r="AN1454">
        <v>1893</v>
      </c>
      <c r="AO1454">
        <v>0</v>
      </c>
      <c r="AP1454">
        <v>0</v>
      </c>
      <c r="AQ1454">
        <v>0</v>
      </c>
    </row>
    <row r="1455" spans="1:43" x14ac:dyDescent="0.25">
      <c r="A1455">
        <v>1452</v>
      </c>
      <c r="B1455">
        <v>34</v>
      </c>
      <c r="C1455">
        <v>34</v>
      </c>
      <c r="D1455">
        <v>9</v>
      </c>
      <c r="E1455">
        <v>1726</v>
      </c>
      <c r="F1455">
        <v>4486</v>
      </c>
      <c r="G1455">
        <v>4493</v>
      </c>
      <c r="H1455">
        <v>2110</v>
      </c>
      <c r="I1455">
        <v>1580</v>
      </c>
      <c r="J1455">
        <v>272</v>
      </c>
      <c r="K1455">
        <v>211</v>
      </c>
      <c r="L1455">
        <v>258</v>
      </c>
      <c r="M1455">
        <v>260</v>
      </c>
      <c r="N1455">
        <v>1007</v>
      </c>
      <c r="O1455">
        <v>1068</v>
      </c>
      <c r="P1455">
        <v>603.15172229999996</v>
      </c>
      <c r="Q1455">
        <v>35</v>
      </c>
      <c r="R1455">
        <v>0.25588491699999999</v>
      </c>
      <c r="S1455">
        <v>2554</v>
      </c>
      <c r="T1455">
        <v>126</v>
      </c>
      <c r="U1455">
        <v>742</v>
      </c>
      <c r="V1455">
        <v>1133</v>
      </c>
      <c r="W1455">
        <v>1506</v>
      </c>
      <c r="X1455">
        <v>882</v>
      </c>
      <c r="Y1455">
        <v>235</v>
      </c>
      <c r="Z1455">
        <v>881</v>
      </c>
      <c r="AA1455">
        <v>1036</v>
      </c>
      <c r="AB1455">
        <v>3</v>
      </c>
      <c r="AC1455">
        <v>90</v>
      </c>
      <c r="AD1455">
        <v>309</v>
      </c>
      <c r="AE1455">
        <v>0</v>
      </c>
      <c r="AF1455">
        <v>0</v>
      </c>
      <c r="AG1455">
        <v>4</v>
      </c>
      <c r="AH1455">
        <v>0</v>
      </c>
      <c r="AI1455">
        <v>0</v>
      </c>
      <c r="AJ1455">
        <v>0</v>
      </c>
      <c r="AK1455">
        <v>1.1663699999999999</v>
      </c>
      <c r="AL1455">
        <v>1</v>
      </c>
      <c r="AM1455">
        <v>0</v>
      </c>
      <c r="AN1455">
        <v>1726</v>
      </c>
      <c r="AO1455">
        <v>7</v>
      </c>
      <c r="AP1455">
        <v>0</v>
      </c>
      <c r="AQ1455">
        <v>0</v>
      </c>
    </row>
    <row r="1456" spans="1:43" x14ac:dyDescent="0.25">
      <c r="A1456">
        <v>1453</v>
      </c>
      <c r="B1456">
        <v>34</v>
      </c>
      <c r="C1456">
        <v>34</v>
      </c>
      <c r="D1456">
        <v>9</v>
      </c>
      <c r="E1456">
        <v>273</v>
      </c>
      <c r="F1456">
        <v>686</v>
      </c>
      <c r="G1456">
        <v>697</v>
      </c>
      <c r="H1456">
        <v>321</v>
      </c>
      <c r="I1456">
        <v>237</v>
      </c>
      <c r="J1456">
        <v>51</v>
      </c>
      <c r="K1456">
        <v>66</v>
      </c>
      <c r="L1456">
        <v>25</v>
      </c>
      <c r="M1456">
        <v>48</v>
      </c>
      <c r="N1456">
        <v>131</v>
      </c>
      <c r="O1456">
        <v>14195</v>
      </c>
      <c r="P1456">
        <v>429</v>
      </c>
      <c r="Q1456">
        <v>4</v>
      </c>
      <c r="R1456">
        <v>0.26399026799999997</v>
      </c>
      <c r="S1456">
        <v>725</v>
      </c>
      <c r="T1456">
        <v>67</v>
      </c>
      <c r="U1456">
        <v>120</v>
      </c>
      <c r="V1456">
        <v>203</v>
      </c>
      <c r="W1456">
        <v>234</v>
      </c>
      <c r="X1456">
        <v>167</v>
      </c>
      <c r="Y1456">
        <v>3</v>
      </c>
      <c r="Z1456">
        <v>80</v>
      </c>
      <c r="AA1456">
        <v>606</v>
      </c>
      <c r="AB1456">
        <v>10</v>
      </c>
      <c r="AC1456">
        <v>2</v>
      </c>
      <c r="AD1456">
        <v>24</v>
      </c>
      <c r="AE1456">
        <v>0</v>
      </c>
      <c r="AF1456">
        <v>0</v>
      </c>
      <c r="AG1456">
        <v>5</v>
      </c>
      <c r="AH1456">
        <v>0</v>
      </c>
      <c r="AI1456">
        <v>0</v>
      </c>
      <c r="AJ1456">
        <v>0</v>
      </c>
      <c r="AK1456">
        <v>0.98297000000000001</v>
      </c>
      <c r="AL1456">
        <v>1</v>
      </c>
      <c r="AM1456">
        <v>0</v>
      </c>
      <c r="AN1456">
        <v>273</v>
      </c>
      <c r="AO1456">
        <v>11</v>
      </c>
      <c r="AP1456">
        <v>0</v>
      </c>
      <c r="AQ1456">
        <v>0</v>
      </c>
    </row>
    <row r="1457" spans="1:43" x14ac:dyDescent="0.25">
      <c r="A1457">
        <v>1454</v>
      </c>
      <c r="B1457">
        <v>34</v>
      </c>
      <c r="C1457">
        <v>34</v>
      </c>
      <c r="D1457">
        <v>9</v>
      </c>
      <c r="E1457">
        <v>799</v>
      </c>
      <c r="F1457">
        <v>1644</v>
      </c>
      <c r="G1457">
        <v>1658</v>
      </c>
      <c r="H1457">
        <v>803</v>
      </c>
      <c r="I1457">
        <v>1577</v>
      </c>
      <c r="J1457">
        <v>30</v>
      </c>
      <c r="K1457">
        <v>298</v>
      </c>
      <c r="L1457">
        <v>146</v>
      </c>
      <c r="M1457">
        <v>105</v>
      </c>
      <c r="N1457">
        <v>247</v>
      </c>
      <c r="O1457">
        <v>10469</v>
      </c>
      <c r="P1457">
        <v>1202.7485059999999</v>
      </c>
      <c r="Q1457">
        <v>27</v>
      </c>
      <c r="R1457">
        <v>0.52307692299999997</v>
      </c>
      <c r="S1457">
        <v>643</v>
      </c>
      <c r="T1457">
        <v>36</v>
      </c>
      <c r="U1457">
        <v>67</v>
      </c>
      <c r="V1457">
        <v>335</v>
      </c>
      <c r="W1457">
        <v>422</v>
      </c>
      <c r="X1457">
        <v>821</v>
      </c>
      <c r="Y1457">
        <v>51</v>
      </c>
      <c r="Z1457">
        <v>140</v>
      </c>
      <c r="AA1457">
        <v>311</v>
      </c>
      <c r="AB1457">
        <v>53</v>
      </c>
      <c r="AC1457">
        <v>21</v>
      </c>
      <c r="AD1457">
        <v>67</v>
      </c>
      <c r="AE1457">
        <v>0</v>
      </c>
      <c r="AF1457">
        <v>0</v>
      </c>
      <c r="AG1457">
        <v>5</v>
      </c>
      <c r="AH1457">
        <v>0</v>
      </c>
      <c r="AI1457">
        <v>0</v>
      </c>
      <c r="AJ1457">
        <v>0</v>
      </c>
      <c r="AK1457">
        <v>0.95745999999999998</v>
      </c>
      <c r="AL1457">
        <v>1</v>
      </c>
      <c r="AM1457">
        <v>0</v>
      </c>
      <c r="AN1457">
        <v>799</v>
      </c>
      <c r="AO1457">
        <v>14</v>
      </c>
      <c r="AP1457">
        <v>0</v>
      </c>
      <c r="AQ1457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5917D-B461-4097-ADE1-DDBEB23745C9}">
  <dimension ref="A1:I31"/>
  <sheetViews>
    <sheetView workbookViewId="0">
      <selection activeCell="E12" sqref="E12"/>
    </sheetView>
  </sheetViews>
  <sheetFormatPr defaultRowHeight="15" x14ac:dyDescent="0.25"/>
  <sheetData>
    <row r="1" spans="1:4" x14ac:dyDescent="0.25">
      <c r="A1" s="1"/>
      <c r="B1" s="1"/>
      <c r="C1" s="1"/>
      <c r="D1" s="1"/>
    </row>
    <row r="2" spans="1:4" x14ac:dyDescent="0.25">
      <c r="A2" s="2" t="s">
        <v>421</v>
      </c>
      <c r="B2" s="1"/>
      <c r="C2" s="1"/>
      <c r="D2" s="1"/>
    </row>
    <row r="3" spans="1:4" x14ac:dyDescent="0.25">
      <c r="A3" s="16" t="s">
        <v>422</v>
      </c>
      <c r="B3" s="1"/>
      <c r="C3" s="1"/>
      <c r="D3" s="1"/>
    </row>
    <row r="4" spans="1:4" x14ac:dyDescent="0.25">
      <c r="A4" s="24" t="s">
        <v>494</v>
      </c>
      <c r="B4" s="1"/>
      <c r="C4" s="1"/>
      <c r="D4" s="1"/>
    </row>
    <row r="5" spans="1:4" x14ac:dyDescent="0.25">
      <c r="A5" s="1"/>
      <c r="B5" s="1"/>
      <c r="C5" s="1"/>
      <c r="D5" s="1"/>
    </row>
    <row r="6" spans="1:4" x14ac:dyDescent="0.25">
      <c r="A6" s="1"/>
      <c r="B6" s="1"/>
      <c r="C6" s="1"/>
      <c r="D6" s="1"/>
    </row>
    <row r="7" spans="1:4" x14ac:dyDescent="0.25">
      <c r="A7" s="1"/>
      <c r="B7" s="14" t="s">
        <v>411</v>
      </c>
      <c r="C7" s="14" t="s">
        <v>412</v>
      </c>
      <c r="D7" s="14" t="s">
        <v>413</v>
      </c>
    </row>
    <row r="8" spans="1:4" x14ac:dyDescent="0.25">
      <c r="A8" s="1"/>
      <c r="B8" s="1" t="s">
        <v>414</v>
      </c>
      <c r="C8" s="218">
        <v>2589414.5290000001</v>
      </c>
      <c r="D8" s="218">
        <f t="shared" ref="D8:D14" si="0">C8/$C$15</f>
        <v>0.65713768768047787</v>
      </c>
    </row>
    <row r="9" spans="1:4" x14ac:dyDescent="0.25">
      <c r="A9" s="1"/>
      <c r="B9" s="1" t="s">
        <v>415</v>
      </c>
      <c r="C9" s="218">
        <v>212864.00940000001</v>
      </c>
      <c r="D9" s="218">
        <f t="shared" si="0"/>
        <v>5.4020305115663275E-2</v>
      </c>
    </row>
    <row r="10" spans="1:4" x14ac:dyDescent="0.25">
      <c r="A10" s="1"/>
      <c r="B10" s="1" t="s">
        <v>416</v>
      </c>
      <c r="C10" s="218">
        <v>561030.62199999997</v>
      </c>
      <c r="D10" s="218">
        <f t="shared" si="0"/>
        <v>0.14237749944246961</v>
      </c>
    </row>
    <row r="11" spans="1:4" x14ac:dyDescent="0.25">
      <c r="A11" s="1"/>
      <c r="B11" s="1" t="s">
        <v>417</v>
      </c>
      <c r="C11" s="218">
        <v>177385.8904</v>
      </c>
      <c r="D11" s="218">
        <f t="shared" si="0"/>
        <v>4.5016721942011888E-2</v>
      </c>
    </row>
    <row r="12" spans="1:4" x14ac:dyDescent="0.25">
      <c r="A12" s="1"/>
      <c r="B12" s="1" t="s">
        <v>418</v>
      </c>
      <c r="C12" s="218">
        <v>40416.0265</v>
      </c>
      <c r="D12" s="218">
        <f t="shared" si="0"/>
        <v>1.0256717841812542E-2</v>
      </c>
    </row>
    <row r="13" spans="1:4" x14ac:dyDescent="0.25">
      <c r="A13" s="1"/>
      <c r="B13" s="1" t="s">
        <v>419</v>
      </c>
      <c r="C13" s="218">
        <v>83663.91519</v>
      </c>
      <c r="D13" s="218">
        <f t="shared" si="0"/>
        <v>2.1232101370607631E-2</v>
      </c>
    </row>
    <row r="14" spans="1:4" x14ac:dyDescent="0.25">
      <c r="A14" s="1"/>
      <c r="B14" s="1" t="s">
        <v>420</v>
      </c>
      <c r="C14" s="218">
        <v>275669.41899999999</v>
      </c>
      <c r="D14" s="218">
        <f t="shared" si="0"/>
        <v>6.995896660695719E-2</v>
      </c>
    </row>
    <row r="15" spans="1:4" x14ac:dyDescent="0.25">
      <c r="A15" s="1"/>
      <c r="B15" s="14" t="s">
        <v>450</v>
      </c>
      <c r="C15" s="219">
        <f>SUM(C8:C14)</f>
        <v>3940444.4114899999</v>
      </c>
      <c r="D15" s="215"/>
    </row>
    <row r="17" spans="1:9" x14ac:dyDescent="0.25">
      <c r="A17" s="2" t="s">
        <v>449</v>
      </c>
      <c r="B17" s="1"/>
      <c r="C17" s="1"/>
      <c r="D17" s="1"/>
      <c r="E17" s="1"/>
      <c r="F17" s="1"/>
      <c r="G17" s="1"/>
      <c r="H17" s="1"/>
      <c r="I17" s="1"/>
    </row>
    <row r="18" spans="1:9" x14ac:dyDescent="0.25">
      <c r="A18" s="1" t="s">
        <v>451</v>
      </c>
      <c r="B18" s="1"/>
      <c r="C18" s="1"/>
      <c r="D18" s="1"/>
      <c r="E18" s="1"/>
      <c r="F18" s="1"/>
      <c r="G18" s="1"/>
      <c r="H18" s="1"/>
      <c r="I18" s="1"/>
    </row>
    <row r="19" spans="1:9" x14ac:dyDescent="0.25">
      <c r="A19" s="1"/>
      <c r="B19" s="1"/>
      <c r="C19" s="1"/>
      <c r="D19" s="1"/>
      <c r="E19" s="1"/>
      <c r="F19" s="1"/>
      <c r="G19" s="1"/>
      <c r="H19" s="1"/>
      <c r="I19" s="1"/>
    </row>
    <row r="20" spans="1:9" x14ac:dyDescent="0.25">
      <c r="A20" s="1"/>
      <c r="B20" s="1"/>
      <c r="C20" s="1"/>
      <c r="D20" s="1"/>
      <c r="E20" s="1"/>
      <c r="F20" s="1"/>
      <c r="G20" s="1"/>
      <c r="H20" s="1"/>
      <c r="I20" s="1"/>
    </row>
    <row r="21" spans="1:9" x14ac:dyDescent="0.25">
      <c r="A21" s="1"/>
      <c r="B21" s="14" t="s">
        <v>423</v>
      </c>
      <c r="C21" s="14" t="s">
        <v>424</v>
      </c>
      <c r="D21" s="14" t="s">
        <v>425</v>
      </c>
      <c r="E21" s="14" t="s">
        <v>426</v>
      </c>
      <c r="F21" s="14" t="s">
        <v>427</v>
      </c>
      <c r="G21" s="1"/>
      <c r="H21" s="1"/>
      <c r="I21" s="1"/>
    </row>
    <row r="22" spans="1:9" x14ac:dyDescent="0.25">
      <c r="A22" s="14" t="s">
        <v>428</v>
      </c>
      <c r="B22" s="1"/>
      <c r="C22" s="1"/>
      <c r="D22" s="1"/>
      <c r="E22" s="1"/>
      <c r="F22" s="1"/>
      <c r="G22" s="1"/>
      <c r="H22" s="1"/>
      <c r="I22" s="1"/>
    </row>
    <row r="23" spans="1:9" x14ac:dyDescent="0.25">
      <c r="A23" s="1" t="s">
        <v>429</v>
      </c>
      <c r="B23" s="1" t="s">
        <v>430</v>
      </c>
      <c r="C23" s="8">
        <v>31334</v>
      </c>
      <c r="D23" s="8">
        <v>3194003</v>
      </c>
      <c r="E23" s="217">
        <v>0.79600000000000004</v>
      </c>
      <c r="F23" s="1" t="s">
        <v>431</v>
      </c>
      <c r="G23" s="1"/>
      <c r="H23" s="1"/>
      <c r="I23" s="1"/>
    </row>
    <row r="24" spans="1:9" x14ac:dyDescent="0.25">
      <c r="A24" s="1" t="s">
        <v>432</v>
      </c>
      <c r="B24" s="1" t="s">
        <v>433</v>
      </c>
      <c r="C24" s="8">
        <v>5821</v>
      </c>
      <c r="D24" s="8">
        <v>552132</v>
      </c>
      <c r="E24" s="217">
        <v>0.13800000000000001</v>
      </c>
      <c r="F24" s="1" t="s">
        <v>431</v>
      </c>
      <c r="G24" s="1"/>
      <c r="H24" s="1"/>
      <c r="I24" s="1"/>
    </row>
    <row r="25" spans="1:9" x14ac:dyDescent="0.25">
      <c r="A25" s="1" t="s">
        <v>434</v>
      </c>
      <c r="B25" s="1" t="s">
        <v>435</v>
      </c>
      <c r="C25" s="8">
        <v>1263</v>
      </c>
      <c r="D25" s="8">
        <v>111927</v>
      </c>
      <c r="E25" s="217">
        <v>2.8000000000000001E-2</v>
      </c>
      <c r="F25" s="1" t="s">
        <v>431</v>
      </c>
      <c r="G25" s="1"/>
      <c r="H25" s="1"/>
      <c r="I25" s="1"/>
    </row>
    <row r="26" spans="1:9" x14ac:dyDescent="0.25">
      <c r="A26" s="1" t="s">
        <v>436</v>
      </c>
      <c r="B26" s="1" t="s">
        <v>437</v>
      </c>
      <c r="C26" s="8">
        <v>1468</v>
      </c>
      <c r="D26" s="8">
        <v>156289</v>
      </c>
      <c r="E26" s="217">
        <v>3.9E-2</v>
      </c>
      <c r="F26" s="1" t="s">
        <v>431</v>
      </c>
      <c r="G26" s="1"/>
      <c r="H26" s="1"/>
      <c r="I26" s="1"/>
    </row>
    <row r="27" spans="1:9" x14ac:dyDescent="0.25">
      <c r="A27" s="1" t="s">
        <v>438</v>
      </c>
      <c r="B27" s="1" t="s">
        <v>439</v>
      </c>
      <c r="C27" s="8">
        <v>2137</v>
      </c>
      <c r="D27" s="8">
        <v>226360</v>
      </c>
      <c r="E27" s="217">
        <v>5.5E-2</v>
      </c>
      <c r="F27" s="1" t="s">
        <v>440</v>
      </c>
      <c r="G27" s="1"/>
      <c r="H27" s="1"/>
      <c r="I27" s="1"/>
    </row>
    <row r="28" spans="1:9" x14ac:dyDescent="0.25">
      <c r="A28" s="1" t="s">
        <v>441</v>
      </c>
      <c r="B28" s="1" t="s">
        <v>442</v>
      </c>
      <c r="C28" s="8">
        <v>2392</v>
      </c>
      <c r="D28" s="8">
        <v>235366</v>
      </c>
      <c r="E28" s="217">
        <v>6.5000000000000002E-2</v>
      </c>
      <c r="F28" s="1" t="s">
        <v>443</v>
      </c>
      <c r="G28" s="1"/>
      <c r="H28" s="1"/>
      <c r="I28" s="1"/>
    </row>
    <row r="29" spans="1:9" x14ac:dyDescent="0.25">
      <c r="A29" s="1" t="s">
        <v>444</v>
      </c>
      <c r="B29" s="1" t="s">
        <v>445</v>
      </c>
      <c r="C29" s="8">
        <v>36273</v>
      </c>
      <c r="D29" s="8">
        <v>3398650</v>
      </c>
      <c r="E29" s="217">
        <v>0.93500000000000005</v>
      </c>
      <c r="F29" s="1" t="s">
        <v>443</v>
      </c>
      <c r="G29" s="1"/>
      <c r="H29" s="1"/>
      <c r="I29" s="1"/>
    </row>
    <row r="30" spans="1:9" x14ac:dyDescent="0.25">
      <c r="A30" s="1" t="s">
        <v>446</v>
      </c>
      <c r="B30" s="1" t="s">
        <v>447</v>
      </c>
      <c r="C30" s="8">
        <v>3342200</v>
      </c>
      <c r="D30" s="8">
        <v>332236263</v>
      </c>
      <c r="E30" s="1" t="s">
        <v>448</v>
      </c>
      <c r="F30" s="1"/>
      <c r="G30" s="1"/>
      <c r="H30" s="1"/>
      <c r="I30" s="1"/>
    </row>
    <row r="31" spans="1:9" x14ac:dyDescent="0.25">
      <c r="A31" s="1"/>
      <c r="B31" s="1"/>
      <c r="C31" s="1"/>
      <c r="D31" s="1"/>
      <c r="E31" s="1"/>
      <c r="F31" s="1"/>
      <c r="G31" s="1"/>
      <c r="H31" s="1"/>
      <c r="I31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12FC3-EC8F-4144-8010-65232646367A}">
  <sheetPr>
    <tabColor theme="8" tint="-0.499984740745262"/>
  </sheetPr>
  <dimension ref="A1:BJ54"/>
  <sheetViews>
    <sheetView workbookViewId="0">
      <selection activeCell="C7" sqref="C7:AK41"/>
    </sheetView>
  </sheetViews>
  <sheetFormatPr defaultRowHeight="15" x14ac:dyDescent="0.25"/>
  <cols>
    <col min="1" max="1" width="10" customWidth="1"/>
    <col min="2" max="2" width="28.5703125" customWidth="1"/>
    <col min="3" max="3" width="10" customWidth="1"/>
    <col min="39" max="39" width="15.85546875" customWidth="1"/>
    <col min="40" max="40" width="32.85546875" customWidth="1"/>
    <col min="41" max="41" width="11.7109375" customWidth="1"/>
    <col min="52" max="52" width="13.140625" customWidth="1"/>
    <col min="53" max="53" width="9.42578125" bestFit="1" customWidth="1"/>
    <col min="54" max="61" width="9.28515625" bestFit="1" customWidth="1"/>
  </cols>
  <sheetData>
    <row r="1" spans="1:62" x14ac:dyDescent="0.25">
      <c r="A1" s="2" t="s">
        <v>163</v>
      </c>
      <c r="AO1" s="2" t="s">
        <v>167</v>
      </c>
      <c r="AZ1" s="2" t="s">
        <v>168</v>
      </c>
    </row>
    <row r="2" spans="1:62" x14ac:dyDescent="0.25">
      <c r="A2" s="2" t="s">
        <v>162</v>
      </c>
    </row>
    <row r="3" spans="1:62" x14ac:dyDescent="0.25">
      <c r="A3" s="1"/>
      <c r="B3" s="14" t="s">
        <v>161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</row>
    <row r="4" spans="1:62" x14ac:dyDescent="0.25">
      <c r="A4" s="1"/>
      <c r="B4" s="1"/>
      <c r="C4" s="1" t="s">
        <v>13</v>
      </c>
      <c r="D4" s="1" t="s">
        <v>13</v>
      </c>
      <c r="E4" s="1" t="s">
        <v>13</v>
      </c>
      <c r="F4" s="1" t="s">
        <v>13</v>
      </c>
      <c r="G4" s="1" t="s">
        <v>14</v>
      </c>
      <c r="H4" s="1" t="s">
        <v>14</v>
      </c>
      <c r="I4" s="1" t="s">
        <v>14</v>
      </c>
      <c r="J4" s="1" t="s">
        <v>15</v>
      </c>
      <c r="K4" s="1" t="s">
        <v>15</v>
      </c>
      <c r="L4" s="1" t="s">
        <v>15</v>
      </c>
      <c r="M4" s="1" t="s">
        <v>15</v>
      </c>
      <c r="N4" s="1" t="s">
        <v>15</v>
      </c>
      <c r="O4" s="1" t="s">
        <v>15</v>
      </c>
      <c r="P4" s="1" t="s">
        <v>15</v>
      </c>
      <c r="Q4" s="1" t="s">
        <v>16</v>
      </c>
      <c r="R4" s="1" t="s">
        <v>16</v>
      </c>
      <c r="S4" s="1" t="s">
        <v>16</v>
      </c>
      <c r="T4" s="1" t="s">
        <v>16</v>
      </c>
      <c r="U4" s="1" t="s">
        <v>16</v>
      </c>
      <c r="V4" s="1" t="s">
        <v>17</v>
      </c>
      <c r="W4" s="1" t="s">
        <v>17</v>
      </c>
      <c r="X4" s="1" t="s">
        <v>17</v>
      </c>
      <c r="Y4" s="1" t="s">
        <v>17</v>
      </c>
      <c r="Z4" s="1" t="s">
        <v>17</v>
      </c>
      <c r="AA4" s="1" t="s">
        <v>18</v>
      </c>
      <c r="AB4" s="1" t="s">
        <v>18</v>
      </c>
      <c r="AC4" s="1" t="s">
        <v>19</v>
      </c>
      <c r="AD4" s="1" t="s">
        <v>19</v>
      </c>
      <c r="AE4" s="1" t="s">
        <v>20</v>
      </c>
      <c r="AF4" s="1" t="s">
        <v>20</v>
      </c>
      <c r="AG4" s="1" t="s">
        <v>20</v>
      </c>
      <c r="AH4" s="1" t="s">
        <v>21</v>
      </c>
      <c r="AI4" s="1" t="s">
        <v>21</v>
      </c>
      <c r="AJ4" s="1" t="s">
        <v>21</v>
      </c>
      <c r="AK4" s="1"/>
    </row>
    <row r="5" spans="1:62" x14ac:dyDescent="0.25">
      <c r="A5" s="1"/>
      <c r="B5" s="1"/>
      <c r="C5" s="279" t="s">
        <v>160</v>
      </c>
      <c r="D5" s="279"/>
      <c r="E5" s="279"/>
      <c r="F5" s="279"/>
      <c r="G5" s="279"/>
      <c r="H5" s="279"/>
      <c r="I5" s="279"/>
      <c r="J5" s="279"/>
      <c r="K5" s="279"/>
      <c r="L5" s="279"/>
      <c r="M5" s="279"/>
      <c r="N5" s="279"/>
      <c r="O5" s="279"/>
      <c r="P5" s="279"/>
      <c r="Q5" s="279"/>
      <c r="R5" s="279"/>
      <c r="S5" s="279"/>
      <c r="T5" s="279"/>
      <c r="U5" s="279"/>
      <c r="V5" s="279"/>
      <c r="W5" s="279"/>
      <c r="X5" s="279"/>
      <c r="Y5" s="279"/>
      <c r="Z5" s="279"/>
      <c r="AA5" s="279"/>
      <c r="AB5" s="279"/>
      <c r="AC5" s="279"/>
      <c r="AD5" s="279"/>
      <c r="AE5" s="279"/>
      <c r="AF5" s="279"/>
      <c r="AG5" s="279"/>
      <c r="AH5" s="279"/>
      <c r="AI5" s="279"/>
      <c r="AJ5" s="279"/>
      <c r="AK5" s="279"/>
      <c r="AN5" s="1"/>
      <c r="AO5" s="14" t="s">
        <v>164</v>
      </c>
      <c r="AP5" s="1"/>
      <c r="AQ5" s="1"/>
      <c r="AR5" s="1"/>
      <c r="AS5" s="1"/>
      <c r="AT5" s="1"/>
      <c r="AU5" s="1"/>
      <c r="AV5" s="1"/>
      <c r="AW5" s="1"/>
      <c r="BA5" s="14" t="s">
        <v>164</v>
      </c>
    </row>
    <row r="6" spans="1:62" ht="65.25" thickBot="1" x14ac:dyDescent="0.3">
      <c r="A6" s="1"/>
      <c r="B6" s="1"/>
      <c r="C6" s="138" t="s">
        <v>153</v>
      </c>
      <c r="D6" s="138" t="s">
        <v>152</v>
      </c>
      <c r="E6" s="138" t="s">
        <v>151</v>
      </c>
      <c r="F6" s="138" t="s">
        <v>150</v>
      </c>
      <c r="G6" s="138" t="s">
        <v>149</v>
      </c>
      <c r="H6" s="138" t="s">
        <v>148</v>
      </c>
      <c r="I6" s="138" t="s">
        <v>147</v>
      </c>
      <c r="J6" s="138" t="s">
        <v>146</v>
      </c>
      <c r="K6" s="138" t="s">
        <v>145</v>
      </c>
      <c r="L6" s="138" t="s">
        <v>144</v>
      </c>
      <c r="M6" s="138" t="s">
        <v>143</v>
      </c>
      <c r="N6" s="138" t="s">
        <v>142</v>
      </c>
      <c r="O6" s="138" t="s">
        <v>141</v>
      </c>
      <c r="P6" s="138" t="s">
        <v>140</v>
      </c>
      <c r="Q6" s="138" t="s">
        <v>139</v>
      </c>
      <c r="R6" s="138" t="s">
        <v>138</v>
      </c>
      <c r="S6" s="138" t="s">
        <v>137</v>
      </c>
      <c r="T6" s="138" t="s">
        <v>136</v>
      </c>
      <c r="U6" s="138" t="s">
        <v>135</v>
      </c>
      <c r="V6" s="138" t="s">
        <v>134</v>
      </c>
      <c r="W6" s="138" t="s">
        <v>133</v>
      </c>
      <c r="X6" s="138" t="s">
        <v>132</v>
      </c>
      <c r="Y6" s="138" t="s">
        <v>131</v>
      </c>
      <c r="Z6" s="138" t="s">
        <v>130</v>
      </c>
      <c r="AA6" s="138" t="s">
        <v>129</v>
      </c>
      <c r="AB6" s="138" t="s">
        <v>128</v>
      </c>
      <c r="AC6" s="138" t="s">
        <v>19</v>
      </c>
      <c r="AD6" s="138" t="s">
        <v>127</v>
      </c>
      <c r="AE6" s="138" t="s">
        <v>126</v>
      </c>
      <c r="AF6" s="138" t="s">
        <v>125</v>
      </c>
      <c r="AG6" s="138" t="s">
        <v>124</v>
      </c>
      <c r="AH6" s="138" t="s">
        <v>123</v>
      </c>
      <c r="AI6" s="138" t="s">
        <v>122</v>
      </c>
      <c r="AJ6" s="138" t="s">
        <v>121</v>
      </c>
      <c r="AK6" s="137" t="s">
        <v>59</v>
      </c>
      <c r="AN6" s="14" t="s">
        <v>159</v>
      </c>
      <c r="AO6" s="3" t="s">
        <v>13</v>
      </c>
      <c r="AP6" s="3" t="s">
        <v>14</v>
      </c>
      <c r="AQ6" s="3" t="s">
        <v>15</v>
      </c>
      <c r="AR6" s="3" t="s">
        <v>16</v>
      </c>
      <c r="AS6" s="3" t="s">
        <v>17</v>
      </c>
      <c r="AT6" s="3" t="s">
        <v>18</v>
      </c>
      <c r="AU6" s="3" t="s">
        <v>19</v>
      </c>
      <c r="AV6" s="3" t="s">
        <v>20</v>
      </c>
      <c r="AW6" s="3" t="s">
        <v>21</v>
      </c>
      <c r="AZ6" s="14" t="s">
        <v>165</v>
      </c>
      <c r="BA6" s="3" t="s">
        <v>13</v>
      </c>
      <c r="BB6" s="3" t="s">
        <v>14</v>
      </c>
      <c r="BC6" s="3" t="s">
        <v>15</v>
      </c>
      <c r="BD6" s="3" t="s">
        <v>16</v>
      </c>
      <c r="BE6" s="3" t="s">
        <v>17</v>
      </c>
      <c r="BF6" s="3" t="s">
        <v>18</v>
      </c>
      <c r="BG6" s="3" t="s">
        <v>19</v>
      </c>
      <c r="BH6" s="3" t="s">
        <v>20</v>
      </c>
      <c r="BI6" s="3" t="s">
        <v>21</v>
      </c>
    </row>
    <row r="7" spans="1:62" x14ac:dyDescent="0.25">
      <c r="A7" s="280" t="s">
        <v>159</v>
      </c>
      <c r="B7" s="98" t="s">
        <v>153</v>
      </c>
      <c r="C7" s="136">
        <v>30048.711386352999</v>
      </c>
      <c r="D7" s="135">
        <v>12471.5320151181</v>
      </c>
      <c r="E7" s="135">
        <v>16842.533759634302</v>
      </c>
      <c r="F7" s="135">
        <v>2984.8432032166402</v>
      </c>
      <c r="G7" s="135">
        <v>3021.19115066619</v>
      </c>
      <c r="H7" s="135">
        <v>592.99215794320196</v>
      </c>
      <c r="I7" s="135">
        <v>797.78245295069803</v>
      </c>
      <c r="J7" s="135">
        <v>1160.8627325627201</v>
      </c>
      <c r="K7" s="135">
        <v>539.42096977778499</v>
      </c>
      <c r="L7" s="135">
        <v>42.443650905780402</v>
      </c>
      <c r="M7" s="135">
        <v>202.93999302895</v>
      </c>
      <c r="N7" s="135">
        <v>6.65165623767823</v>
      </c>
      <c r="O7" s="135">
        <v>48.519597775244399</v>
      </c>
      <c r="P7" s="135">
        <v>4.233960444899</v>
      </c>
      <c r="Q7" s="135">
        <v>364.346894263114</v>
      </c>
      <c r="R7" s="135">
        <v>336.31730902135899</v>
      </c>
      <c r="S7" s="135">
        <v>406.51307999569298</v>
      </c>
      <c r="T7" s="135">
        <v>4249.1066087305599</v>
      </c>
      <c r="U7" s="135">
        <v>1888.5202959916001</v>
      </c>
      <c r="V7" s="135">
        <v>297.16575934337402</v>
      </c>
      <c r="W7" s="135">
        <v>347.17234271582998</v>
      </c>
      <c r="X7" s="135">
        <v>434.22227348106401</v>
      </c>
      <c r="Y7" s="135">
        <v>135.73326703960299</v>
      </c>
      <c r="Z7" s="135">
        <v>20.670848812763602</v>
      </c>
      <c r="AA7" s="135">
        <v>0</v>
      </c>
      <c r="AB7" s="135">
        <v>17.4943060921143</v>
      </c>
      <c r="AC7" s="135">
        <v>13.0791306022554</v>
      </c>
      <c r="AD7" s="135">
        <v>0</v>
      </c>
      <c r="AE7" s="135">
        <v>51.679850832902197</v>
      </c>
      <c r="AF7" s="135">
        <v>16.709094277505599</v>
      </c>
      <c r="AG7" s="135">
        <v>0</v>
      </c>
      <c r="AH7" s="135">
        <v>47.3415100195636</v>
      </c>
      <c r="AI7" s="135">
        <v>274.07306363662701</v>
      </c>
      <c r="AJ7" s="134">
        <v>325.69020148608098</v>
      </c>
      <c r="AK7" s="126">
        <v>77990.494522957233</v>
      </c>
      <c r="AM7" s="1" t="s">
        <v>13</v>
      </c>
      <c r="AN7" s="98" t="s">
        <v>153</v>
      </c>
      <c r="AO7" s="139">
        <f t="shared" ref="AO7:AW16" si="0">SUMIF($C$4:$AJ$4,AO$6,$C7:$AJ7)</f>
        <v>62347.620364322043</v>
      </c>
      <c r="AP7" s="140">
        <f t="shared" si="0"/>
        <v>4411.96576156009</v>
      </c>
      <c r="AQ7" s="140">
        <f t="shared" si="0"/>
        <v>2005.0725607330571</v>
      </c>
      <c r="AR7" s="140">
        <f t="shared" si="0"/>
        <v>7244.8041880023266</v>
      </c>
      <c r="AS7" s="140">
        <f t="shared" si="0"/>
        <v>1234.9644913926347</v>
      </c>
      <c r="AT7" s="140">
        <f t="shared" si="0"/>
        <v>17.4943060921143</v>
      </c>
      <c r="AU7" s="140">
        <f t="shared" si="0"/>
        <v>13.0791306022554</v>
      </c>
      <c r="AV7" s="140">
        <f t="shared" si="0"/>
        <v>68.388945110407803</v>
      </c>
      <c r="AW7" s="141">
        <f t="shared" si="0"/>
        <v>647.10477514227159</v>
      </c>
      <c r="AX7" s="126">
        <f>SUM(AO7:AW7)</f>
        <v>77990.494522957204</v>
      </c>
      <c r="AZ7" s="1" t="s">
        <v>13</v>
      </c>
      <c r="BA7" s="5">
        <f>SUMIF($AM$7:$AM$40,$AZ7,AO$7:AO$40)</f>
        <v>340259.3106489401</v>
      </c>
      <c r="BB7" s="6">
        <f t="shared" ref="BB7:BI15" si="1">SUMIF($AM$7:$AM$40,$AZ7,AP$7:AP$40)</f>
        <v>11396.557470949421</v>
      </c>
      <c r="BC7" s="6">
        <f t="shared" si="1"/>
        <v>5872.6246055816991</v>
      </c>
      <c r="BD7" s="6">
        <f t="shared" si="1"/>
        <v>17273.737400774808</v>
      </c>
      <c r="BE7" s="6">
        <f t="shared" si="1"/>
        <v>2238.8093844179421</v>
      </c>
      <c r="BF7" s="6">
        <f t="shared" si="1"/>
        <v>107.30517232798911</v>
      </c>
      <c r="BG7" s="6">
        <f t="shared" si="1"/>
        <v>21.79424269213326</v>
      </c>
      <c r="BH7" s="6">
        <f t="shared" si="1"/>
        <v>128.95703893349713</v>
      </c>
      <c r="BI7" s="7">
        <f t="shared" si="1"/>
        <v>985.83629220168109</v>
      </c>
      <c r="BJ7" s="15">
        <f>SUM(BA7:BI7)</f>
        <v>378284.93225681916</v>
      </c>
    </row>
    <row r="8" spans="1:62" x14ac:dyDescent="0.25">
      <c r="A8" s="280"/>
      <c r="B8" s="98" t="s">
        <v>152</v>
      </c>
      <c r="C8" s="133">
        <v>59634.8054909153</v>
      </c>
      <c r="D8" s="132">
        <v>17116.096267278401</v>
      </c>
      <c r="E8" s="132">
        <v>11910.3453383407</v>
      </c>
      <c r="F8" s="132">
        <v>3449.75030720021</v>
      </c>
      <c r="G8" s="132">
        <v>705.22572530852199</v>
      </c>
      <c r="H8" s="132">
        <v>203.448195059249</v>
      </c>
      <c r="I8" s="132">
        <v>364.40655897881101</v>
      </c>
      <c r="J8" s="132">
        <v>500.650585761576</v>
      </c>
      <c r="K8" s="132">
        <v>259.939823469955</v>
      </c>
      <c r="L8" s="132">
        <v>54.7581894978671</v>
      </c>
      <c r="M8" s="132">
        <v>90.815325250101694</v>
      </c>
      <c r="N8" s="132">
        <v>2.4100273115687001</v>
      </c>
      <c r="O8" s="132">
        <v>1.6480278778950701</v>
      </c>
      <c r="P8" s="132">
        <v>0</v>
      </c>
      <c r="Q8" s="132">
        <v>156.401039384445</v>
      </c>
      <c r="R8" s="132">
        <v>35.3811701024283</v>
      </c>
      <c r="S8" s="132">
        <v>126.814490000557</v>
      </c>
      <c r="T8" s="132">
        <v>2116.2339803271002</v>
      </c>
      <c r="U8" s="132">
        <v>742.19305759353404</v>
      </c>
      <c r="V8" s="132">
        <v>88.847228599942795</v>
      </c>
      <c r="W8" s="132">
        <v>97.807680296109694</v>
      </c>
      <c r="X8" s="132">
        <v>116.730453093967</v>
      </c>
      <c r="Y8" s="132">
        <v>4.1592798902546404</v>
      </c>
      <c r="Z8" s="132">
        <v>0</v>
      </c>
      <c r="AA8" s="132">
        <v>26.145336269633599</v>
      </c>
      <c r="AB8" s="132">
        <v>0</v>
      </c>
      <c r="AC8" s="132">
        <v>0</v>
      </c>
      <c r="AD8" s="132">
        <v>0</v>
      </c>
      <c r="AE8" s="132">
        <v>36.843062699457299</v>
      </c>
      <c r="AF8" s="132">
        <v>5.1706992525745203</v>
      </c>
      <c r="AG8" s="132">
        <v>0</v>
      </c>
      <c r="AH8" s="132">
        <v>9.8528301255363893</v>
      </c>
      <c r="AI8" s="132">
        <v>48.192008173375797</v>
      </c>
      <c r="AJ8" s="131">
        <v>85.384779077855995</v>
      </c>
      <c r="AK8" s="126">
        <v>97990.45695713695</v>
      </c>
      <c r="AM8" s="1" t="s">
        <v>13</v>
      </c>
      <c r="AN8" s="98" t="s">
        <v>152</v>
      </c>
      <c r="AO8" s="142">
        <f t="shared" si="0"/>
        <v>92110.997403734626</v>
      </c>
      <c r="AP8" s="143">
        <f t="shared" si="0"/>
        <v>1273.080479346582</v>
      </c>
      <c r="AQ8" s="143">
        <f t="shared" si="0"/>
        <v>910.22197916896346</v>
      </c>
      <c r="AR8" s="143">
        <f t="shared" si="0"/>
        <v>3177.0237374080643</v>
      </c>
      <c r="AS8" s="143">
        <f t="shared" si="0"/>
        <v>307.54464188027413</v>
      </c>
      <c r="AT8" s="143">
        <f t="shared" si="0"/>
        <v>26.145336269633599</v>
      </c>
      <c r="AU8" s="143">
        <f t="shared" si="0"/>
        <v>0</v>
      </c>
      <c r="AV8" s="143">
        <f t="shared" si="0"/>
        <v>42.013761952031821</v>
      </c>
      <c r="AW8" s="144">
        <f t="shared" si="0"/>
        <v>143.42961737676819</v>
      </c>
      <c r="AX8" s="126">
        <f t="shared" ref="AX8:AX41" si="2">SUM(AO8:AW8)</f>
        <v>97990.456957136921</v>
      </c>
      <c r="AZ8" s="1" t="s">
        <v>14</v>
      </c>
      <c r="BA8" s="9">
        <f t="shared" ref="BA8:BA15" si="3">SUMIF($AM$7:$AM$40,$AZ8,AO$7:AO$40)</f>
        <v>40218.505791531854</v>
      </c>
      <c r="BB8" s="8">
        <f t="shared" si="1"/>
        <v>15348.817567531001</v>
      </c>
      <c r="BC8" s="8">
        <f t="shared" si="1"/>
        <v>5752.2192539257157</v>
      </c>
      <c r="BD8" s="8">
        <f t="shared" si="1"/>
        <v>2329.4397066411611</v>
      </c>
      <c r="BE8" s="8">
        <f t="shared" si="1"/>
        <v>244.17452492653322</v>
      </c>
      <c r="BF8" s="8">
        <f t="shared" si="1"/>
        <v>28.028037688838467</v>
      </c>
      <c r="BG8" s="8">
        <f t="shared" si="1"/>
        <v>0</v>
      </c>
      <c r="BH8" s="8">
        <f t="shared" si="1"/>
        <v>17.750293116087999</v>
      </c>
      <c r="BI8" s="10">
        <f t="shared" si="1"/>
        <v>0</v>
      </c>
      <c r="BJ8" s="15">
        <f t="shared" ref="BJ8:BJ16" si="4">SUM(BA8:BI8)</f>
        <v>63938.935175361192</v>
      </c>
    </row>
    <row r="9" spans="1:62" x14ac:dyDescent="0.25">
      <c r="A9" s="280"/>
      <c r="B9" s="98" t="s">
        <v>151</v>
      </c>
      <c r="C9" s="133">
        <v>79915.518160274805</v>
      </c>
      <c r="D9" s="132">
        <v>15160.114440076601</v>
      </c>
      <c r="E9" s="132">
        <v>37964.3710027794</v>
      </c>
      <c r="F9" s="132">
        <v>5526.5248577622497</v>
      </c>
      <c r="G9" s="132">
        <v>3713.38199448963</v>
      </c>
      <c r="H9" s="132">
        <v>548.06126356398102</v>
      </c>
      <c r="I9" s="132">
        <v>635.14895641346004</v>
      </c>
      <c r="J9" s="132">
        <v>1692.38371784781</v>
      </c>
      <c r="K9" s="132">
        <v>815.73218693070896</v>
      </c>
      <c r="L9" s="132">
        <v>43.231994361730401</v>
      </c>
      <c r="M9" s="132">
        <v>201.548203970857</v>
      </c>
      <c r="N9" s="132">
        <v>16.946224650448801</v>
      </c>
      <c r="O9" s="132">
        <v>7.2557068855746198</v>
      </c>
      <c r="P9" s="132">
        <v>0</v>
      </c>
      <c r="Q9" s="132">
        <v>234.133481635078</v>
      </c>
      <c r="R9" s="132">
        <v>181.792677304276</v>
      </c>
      <c r="S9" s="132">
        <v>220.246584527811</v>
      </c>
      <c r="T9" s="132">
        <v>3726.1906345456</v>
      </c>
      <c r="U9" s="132">
        <v>1455.6139114412299</v>
      </c>
      <c r="V9" s="132">
        <v>128.564984499144</v>
      </c>
      <c r="W9" s="132">
        <v>155.568666655378</v>
      </c>
      <c r="X9" s="132">
        <v>276.679046733002</v>
      </c>
      <c r="Y9" s="132">
        <v>19.593448738246899</v>
      </c>
      <c r="Z9" s="132">
        <v>23.681597287535102</v>
      </c>
      <c r="AA9" s="132">
        <v>63.665529966241202</v>
      </c>
      <c r="AB9" s="132">
        <v>0</v>
      </c>
      <c r="AC9" s="132">
        <v>8.7151120898778593</v>
      </c>
      <c r="AD9" s="132">
        <v>0</v>
      </c>
      <c r="AE9" s="132">
        <v>0</v>
      </c>
      <c r="AF9" s="132">
        <v>18.554331871057499</v>
      </c>
      <c r="AG9" s="132">
        <v>0</v>
      </c>
      <c r="AH9" s="132">
        <v>31.017953432419802</v>
      </c>
      <c r="AI9" s="132">
        <v>17.560117686713799</v>
      </c>
      <c r="AJ9" s="131">
        <v>135.28476844499201</v>
      </c>
      <c r="AK9" s="126">
        <v>152937.08155686592</v>
      </c>
      <c r="AM9" s="1" t="s">
        <v>13</v>
      </c>
      <c r="AN9" s="98" t="s">
        <v>151</v>
      </c>
      <c r="AO9" s="142">
        <f t="shared" si="0"/>
        <v>138566.52846089305</v>
      </c>
      <c r="AP9" s="143">
        <f t="shared" si="0"/>
        <v>4896.5922144670712</v>
      </c>
      <c r="AQ9" s="143">
        <f t="shared" si="0"/>
        <v>2777.0980346471297</v>
      </c>
      <c r="AR9" s="143">
        <f t="shared" si="0"/>
        <v>5817.9772894539947</v>
      </c>
      <c r="AS9" s="143">
        <f t="shared" si="0"/>
        <v>604.08774391330599</v>
      </c>
      <c r="AT9" s="143">
        <f t="shared" si="0"/>
        <v>63.665529966241202</v>
      </c>
      <c r="AU9" s="143">
        <f t="shared" si="0"/>
        <v>8.7151120898778593</v>
      </c>
      <c r="AV9" s="143">
        <f t="shared" si="0"/>
        <v>18.554331871057499</v>
      </c>
      <c r="AW9" s="144">
        <f t="shared" si="0"/>
        <v>183.86283956412561</v>
      </c>
      <c r="AX9" s="126">
        <f t="shared" si="2"/>
        <v>152937.08155686586</v>
      </c>
      <c r="AZ9" s="1" t="s">
        <v>15</v>
      </c>
      <c r="BA9" s="9">
        <f t="shared" si="3"/>
        <v>10933.962645069298</v>
      </c>
      <c r="BB9" s="8">
        <f t="shared" si="1"/>
        <v>4134.8492735424516</v>
      </c>
      <c r="BC9" s="8">
        <f t="shared" si="1"/>
        <v>47002.010122434927</v>
      </c>
      <c r="BD9" s="8">
        <f t="shared" si="1"/>
        <v>1228.1444812820266</v>
      </c>
      <c r="BE9" s="8">
        <f t="shared" si="1"/>
        <v>31.756382400633704</v>
      </c>
      <c r="BF9" s="8">
        <f t="shared" si="1"/>
        <v>0</v>
      </c>
      <c r="BG9" s="8">
        <f t="shared" si="1"/>
        <v>0</v>
      </c>
      <c r="BH9" s="8">
        <f t="shared" si="1"/>
        <v>17.7106627941398</v>
      </c>
      <c r="BI9" s="10">
        <f t="shared" si="1"/>
        <v>14.86887329150351</v>
      </c>
      <c r="BJ9" s="15">
        <f t="shared" si="4"/>
        <v>63363.302440814979</v>
      </c>
    </row>
    <row r="10" spans="1:62" x14ac:dyDescent="0.25">
      <c r="A10" s="280"/>
      <c r="B10" s="98" t="s">
        <v>150</v>
      </c>
      <c r="C10" s="133">
        <v>26406.3595643513</v>
      </c>
      <c r="D10" s="132">
        <v>7305.2090611146796</v>
      </c>
      <c r="E10" s="132">
        <v>7787.26878010983</v>
      </c>
      <c r="F10" s="132">
        <v>5735.3270144145499</v>
      </c>
      <c r="G10" s="132">
        <v>667.35222227100098</v>
      </c>
      <c r="H10" s="132">
        <v>63.194213315507</v>
      </c>
      <c r="I10" s="132">
        <v>84.372579989168997</v>
      </c>
      <c r="J10" s="132">
        <v>64.425772232674007</v>
      </c>
      <c r="K10" s="132">
        <v>71.909121252562002</v>
      </c>
      <c r="L10" s="132">
        <v>11.993092115588899</v>
      </c>
      <c r="M10" s="132">
        <v>31.161161269383999</v>
      </c>
      <c r="N10" s="132">
        <v>0.74288416233938903</v>
      </c>
      <c r="O10" s="132">
        <v>0</v>
      </c>
      <c r="P10" s="132">
        <v>0</v>
      </c>
      <c r="Q10" s="132">
        <v>56.259333031611803</v>
      </c>
      <c r="R10" s="132">
        <v>15.491754197439301</v>
      </c>
      <c r="S10" s="132">
        <v>73.846614489055696</v>
      </c>
      <c r="T10" s="132">
        <v>708.13022623173003</v>
      </c>
      <c r="U10" s="132">
        <v>180.20425796058501</v>
      </c>
      <c r="V10" s="132">
        <v>21.794711600035299</v>
      </c>
      <c r="W10" s="132">
        <v>21.0464306455161</v>
      </c>
      <c r="X10" s="132">
        <v>46.970171661638503</v>
      </c>
      <c r="Y10" s="132">
        <v>2.40119332453706</v>
      </c>
      <c r="Z10" s="132">
        <v>0</v>
      </c>
      <c r="AA10" s="132">
        <v>0</v>
      </c>
      <c r="AB10" s="132">
        <v>0</v>
      </c>
      <c r="AC10" s="132">
        <v>0</v>
      </c>
      <c r="AD10" s="132">
        <v>0</v>
      </c>
      <c r="AE10" s="132">
        <v>0</v>
      </c>
      <c r="AF10" s="132">
        <v>0</v>
      </c>
      <c r="AG10" s="132">
        <v>0</v>
      </c>
      <c r="AH10" s="132">
        <v>0</v>
      </c>
      <c r="AI10" s="132">
        <v>11.4390601185157</v>
      </c>
      <c r="AJ10" s="131">
        <v>0</v>
      </c>
      <c r="AK10" s="126">
        <v>49366.899219859253</v>
      </c>
      <c r="AM10" s="1" t="s">
        <v>13</v>
      </c>
      <c r="AN10" s="98" t="s">
        <v>150</v>
      </c>
      <c r="AO10" s="142">
        <f t="shared" si="0"/>
        <v>47234.16441999036</v>
      </c>
      <c r="AP10" s="143">
        <f t="shared" si="0"/>
        <v>814.91901557567701</v>
      </c>
      <c r="AQ10" s="143">
        <f t="shared" si="0"/>
        <v>180.23203103254829</v>
      </c>
      <c r="AR10" s="143">
        <f t="shared" si="0"/>
        <v>1033.9321859104218</v>
      </c>
      <c r="AS10" s="143">
        <f t="shared" si="0"/>
        <v>92.21250723172696</v>
      </c>
      <c r="AT10" s="143">
        <f t="shared" si="0"/>
        <v>0</v>
      </c>
      <c r="AU10" s="143">
        <f t="shared" si="0"/>
        <v>0</v>
      </c>
      <c r="AV10" s="143">
        <f t="shared" si="0"/>
        <v>0</v>
      </c>
      <c r="AW10" s="144">
        <f t="shared" si="0"/>
        <v>11.4390601185157</v>
      </c>
      <c r="AX10" s="126">
        <f t="shared" si="2"/>
        <v>49366.899219859253</v>
      </c>
      <c r="AZ10" s="1" t="s">
        <v>16</v>
      </c>
      <c r="BA10" s="9">
        <f t="shared" si="3"/>
        <v>110317.30359412645</v>
      </c>
      <c r="BB10" s="8">
        <f t="shared" si="1"/>
        <v>2802.2650648744147</v>
      </c>
      <c r="BC10" s="8">
        <f t="shared" si="1"/>
        <v>3291.2465856565095</v>
      </c>
      <c r="BD10" s="8">
        <f t="shared" si="1"/>
        <v>67959.189463599716</v>
      </c>
      <c r="BE10" s="8">
        <f t="shared" si="1"/>
        <v>5486.1111920492622</v>
      </c>
      <c r="BF10" s="8">
        <f t="shared" si="1"/>
        <v>34.594357672634345</v>
      </c>
      <c r="BG10" s="8">
        <f t="shared" si="1"/>
        <v>9.9877770817220686</v>
      </c>
      <c r="BH10" s="8">
        <f t="shared" si="1"/>
        <v>2.3817787895567299</v>
      </c>
      <c r="BI10" s="10">
        <f t="shared" si="1"/>
        <v>200.2386458798573</v>
      </c>
      <c r="BJ10" s="15">
        <f t="shared" si="4"/>
        <v>190103.31845973013</v>
      </c>
    </row>
    <row r="11" spans="1:62" x14ac:dyDescent="0.25">
      <c r="A11" s="280"/>
      <c r="B11" s="98" t="s">
        <v>149</v>
      </c>
      <c r="C11" s="133">
        <v>23088.026097403701</v>
      </c>
      <c r="D11" s="132">
        <v>1596.8489357890701</v>
      </c>
      <c r="E11" s="132">
        <v>4902.9240235404404</v>
      </c>
      <c r="F11" s="132">
        <v>553.75789703624503</v>
      </c>
      <c r="G11" s="132">
        <v>5001.8427622661202</v>
      </c>
      <c r="H11" s="132">
        <v>1262.6689704749299</v>
      </c>
      <c r="I11" s="132">
        <v>645.48143014229299</v>
      </c>
      <c r="J11" s="132">
        <v>663.57849414942905</v>
      </c>
      <c r="K11" s="132">
        <v>379.16921162767898</v>
      </c>
      <c r="L11" s="132">
        <v>23.5210980881212</v>
      </c>
      <c r="M11" s="132">
        <v>102.78721963175499</v>
      </c>
      <c r="N11" s="132">
        <v>3.0007122473417098</v>
      </c>
      <c r="O11" s="132">
        <v>0</v>
      </c>
      <c r="P11" s="132">
        <v>0</v>
      </c>
      <c r="Q11" s="132">
        <v>78.919948787659095</v>
      </c>
      <c r="R11" s="132">
        <v>33.259481422166402</v>
      </c>
      <c r="S11" s="132">
        <v>133.683735530679</v>
      </c>
      <c r="T11" s="132">
        <v>1310.6822222994799</v>
      </c>
      <c r="U11" s="132">
        <v>290.151193916745</v>
      </c>
      <c r="V11" s="132">
        <v>37.989658222697102</v>
      </c>
      <c r="W11" s="132">
        <v>65.931470445791206</v>
      </c>
      <c r="X11" s="132">
        <v>96.242825930430698</v>
      </c>
      <c r="Y11" s="132">
        <v>4.8646930628511003</v>
      </c>
      <c r="Z11" s="132">
        <v>12.2091017751188</v>
      </c>
      <c r="AA11" s="132">
        <v>0.355865477639768</v>
      </c>
      <c r="AB11" s="132">
        <v>27.672172211198699</v>
      </c>
      <c r="AC11" s="132">
        <v>0</v>
      </c>
      <c r="AD11" s="132">
        <v>0</v>
      </c>
      <c r="AE11" s="132">
        <v>17.750293116087999</v>
      </c>
      <c r="AF11" s="132">
        <v>0</v>
      </c>
      <c r="AG11" s="132">
        <v>0</v>
      </c>
      <c r="AH11" s="132">
        <v>0</v>
      </c>
      <c r="AI11" s="132">
        <v>0</v>
      </c>
      <c r="AJ11" s="131">
        <v>0</v>
      </c>
      <c r="AK11" s="126">
        <v>40333.319514595663</v>
      </c>
      <c r="AM11" s="1" t="s">
        <v>14</v>
      </c>
      <c r="AN11" s="98" t="s">
        <v>149</v>
      </c>
      <c r="AO11" s="142">
        <f t="shared" si="0"/>
        <v>30141.556953769454</v>
      </c>
      <c r="AP11" s="143">
        <f t="shared" si="0"/>
        <v>6909.9931628833428</v>
      </c>
      <c r="AQ11" s="143">
        <f t="shared" si="0"/>
        <v>1172.0567357443258</v>
      </c>
      <c r="AR11" s="143">
        <f t="shared" si="0"/>
        <v>1846.6965819567295</v>
      </c>
      <c r="AS11" s="143">
        <f t="shared" si="0"/>
        <v>217.23774943688892</v>
      </c>
      <c r="AT11" s="143">
        <f t="shared" si="0"/>
        <v>28.028037688838467</v>
      </c>
      <c r="AU11" s="143">
        <f t="shared" si="0"/>
        <v>0</v>
      </c>
      <c r="AV11" s="143">
        <f t="shared" si="0"/>
        <v>17.750293116087999</v>
      </c>
      <c r="AW11" s="144">
        <f t="shared" si="0"/>
        <v>0</v>
      </c>
      <c r="AX11" s="126">
        <f t="shared" si="2"/>
        <v>40333.319514595671</v>
      </c>
      <c r="AZ11" s="1" t="s">
        <v>17</v>
      </c>
      <c r="BA11" s="9">
        <f t="shared" si="3"/>
        <v>51445.5087040176</v>
      </c>
      <c r="BB11" s="8">
        <f t="shared" si="1"/>
        <v>1293.5501255171571</v>
      </c>
      <c r="BC11" s="8">
        <f t="shared" si="1"/>
        <v>389.31794260350995</v>
      </c>
      <c r="BD11" s="8">
        <f t="shared" si="1"/>
        <v>18020.348303235492</v>
      </c>
      <c r="BE11" s="8">
        <f t="shared" si="1"/>
        <v>10118.728965797107</v>
      </c>
      <c r="BF11" s="8">
        <f t="shared" si="1"/>
        <v>31.73217029490047</v>
      </c>
      <c r="BG11" s="8">
        <f t="shared" si="1"/>
        <v>6.0206612942209503</v>
      </c>
      <c r="BH11" s="8">
        <f t="shared" si="1"/>
        <v>0</v>
      </c>
      <c r="BI11" s="10">
        <f t="shared" si="1"/>
        <v>251.4997669919743</v>
      </c>
      <c r="BJ11" s="15">
        <f t="shared" si="4"/>
        <v>81556.706639751967</v>
      </c>
    </row>
    <row r="12" spans="1:62" x14ac:dyDescent="0.25">
      <c r="A12" s="280"/>
      <c r="B12" s="98" t="s">
        <v>148</v>
      </c>
      <c r="C12" s="133">
        <v>5613.1516853866997</v>
      </c>
      <c r="D12" s="132">
        <v>246.80481517197001</v>
      </c>
      <c r="E12" s="132">
        <v>682.38502357660605</v>
      </c>
      <c r="F12" s="132">
        <v>20.078578209924199</v>
      </c>
      <c r="G12" s="132">
        <v>1208.6740599974501</v>
      </c>
      <c r="H12" s="132">
        <v>2123.7966864987302</v>
      </c>
      <c r="I12" s="132">
        <v>1484.6674536010801</v>
      </c>
      <c r="J12" s="132">
        <v>1509.9903586765199</v>
      </c>
      <c r="K12" s="132">
        <v>540.77904869366898</v>
      </c>
      <c r="L12" s="132">
        <v>72.804832137550207</v>
      </c>
      <c r="M12" s="132">
        <v>211.56645412073499</v>
      </c>
      <c r="N12" s="132">
        <v>16.9897656400057</v>
      </c>
      <c r="O12" s="132">
        <v>20.5797927431591</v>
      </c>
      <c r="P12" s="132">
        <v>0</v>
      </c>
      <c r="Q12" s="132">
        <v>0</v>
      </c>
      <c r="R12" s="132">
        <v>10.9167335774571</v>
      </c>
      <c r="S12" s="132">
        <v>20.212075156733601</v>
      </c>
      <c r="T12" s="132">
        <v>265.28393851194897</v>
      </c>
      <c r="U12" s="132">
        <v>27.748931572081599</v>
      </c>
      <c r="V12" s="132">
        <v>4.1662450135537199</v>
      </c>
      <c r="W12" s="132">
        <v>0.53200091636871905</v>
      </c>
      <c r="X12" s="132">
        <v>6.8800659037773597</v>
      </c>
      <c r="Y12" s="132">
        <v>0</v>
      </c>
      <c r="Z12" s="132">
        <v>0.99929901815375799</v>
      </c>
      <c r="AA12" s="132">
        <v>0</v>
      </c>
      <c r="AB12" s="132">
        <v>0</v>
      </c>
      <c r="AC12" s="132">
        <v>0</v>
      </c>
      <c r="AD12" s="132">
        <v>0</v>
      </c>
      <c r="AE12" s="132">
        <v>0</v>
      </c>
      <c r="AF12" s="132">
        <v>0</v>
      </c>
      <c r="AG12" s="132">
        <v>0</v>
      </c>
      <c r="AH12" s="132">
        <v>0</v>
      </c>
      <c r="AI12" s="132">
        <v>0</v>
      </c>
      <c r="AJ12" s="131">
        <v>0</v>
      </c>
      <c r="AK12" s="126">
        <v>14089.007844124173</v>
      </c>
      <c r="AM12" s="1" t="s">
        <v>14</v>
      </c>
      <c r="AN12" s="98" t="s">
        <v>148</v>
      </c>
      <c r="AO12" s="142">
        <f t="shared" si="0"/>
        <v>6562.4201023451997</v>
      </c>
      <c r="AP12" s="143">
        <f t="shared" si="0"/>
        <v>4817.1382000972608</v>
      </c>
      <c r="AQ12" s="143">
        <f t="shared" si="0"/>
        <v>2372.7102520116387</v>
      </c>
      <c r="AR12" s="143">
        <f t="shared" si="0"/>
        <v>324.16167881822128</v>
      </c>
      <c r="AS12" s="143">
        <f t="shared" si="0"/>
        <v>12.577610851853557</v>
      </c>
      <c r="AT12" s="143">
        <f t="shared" si="0"/>
        <v>0</v>
      </c>
      <c r="AU12" s="143">
        <f t="shared" si="0"/>
        <v>0</v>
      </c>
      <c r="AV12" s="143">
        <f t="shared" si="0"/>
        <v>0</v>
      </c>
      <c r="AW12" s="144">
        <f t="shared" si="0"/>
        <v>0</v>
      </c>
      <c r="AX12" s="126">
        <f t="shared" si="2"/>
        <v>14089.007844124173</v>
      </c>
      <c r="AZ12" s="1" t="s">
        <v>18</v>
      </c>
      <c r="BA12" s="9">
        <f t="shared" si="3"/>
        <v>2922.3239899495479</v>
      </c>
      <c r="BB12" s="8">
        <f t="shared" si="1"/>
        <v>83.423120015024779</v>
      </c>
      <c r="BC12" s="8">
        <f t="shared" si="1"/>
        <v>3.9589335441901499</v>
      </c>
      <c r="BD12" s="8">
        <f t="shared" si="1"/>
        <v>633.12602874075355</v>
      </c>
      <c r="BE12" s="8">
        <f t="shared" si="1"/>
        <v>130.91253457409786</v>
      </c>
      <c r="BF12" s="8">
        <f t="shared" si="1"/>
        <v>12.794045155932</v>
      </c>
      <c r="BG12" s="8">
        <f t="shared" si="1"/>
        <v>74.053308849222731</v>
      </c>
      <c r="BH12" s="8">
        <f t="shared" si="1"/>
        <v>2.7889009458028702</v>
      </c>
      <c r="BI12" s="10">
        <f t="shared" si="1"/>
        <v>0</v>
      </c>
      <c r="BJ12" s="15">
        <f t="shared" si="4"/>
        <v>3863.3808617745713</v>
      </c>
    </row>
    <row r="13" spans="1:62" x14ac:dyDescent="0.25">
      <c r="A13" s="280"/>
      <c r="B13" s="98" t="s">
        <v>147</v>
      </c>
      <c r="C13" s="133">
        <v>2778.2290164382798</v>
      </c>
      <c r="D13" s="132">
        <v>181.54256177873401</v>
      </c>
      <c r="E13" s="132">
        <v>535.19096816477895</v>
      </c>
      <c r="F13" s="132">
        <v>19.566189035409401</v>
      </c>
      <c r="G13" s="132">
        <v>712.90801052454799</v>
      </c>
      <c r="H13" s="132">
        <v>1044.1878687416299</v>
      </c>
      <c r="I13" s="132">
        <v>1864.5903252842199</v>
      </c>
      <c r="J13" s="132">
        <v>1385.46381357719</v>
      </c>
      <c r="K13" s="132">
        <v>491.14845127861798</v>
      </c>
      <c r="L13" s="132">
        <v>89.169808814777099</v>
      </c>
      <c r="M13" s="132">
        <v>214.52550245051799</v>
      </c>
      <c r="N13" s="132">
        <v>27.144690048647501</v>
      </c>
      <c r="O13" s="132">
        <v>0</v>
      </c>
      <c r="P13" s="132">
        <v>0</v>
      </c>
      <c r="Q13" s="132">
        <v>9.3752454145932091</v>
      </c>
      <c r="R13" s="132">
        <v>45.730010784365199</v>
      </c>
      <c r="S13" s="132">
        <v>8.8774829068005907</v>
      </c>
      <c r="T13" s="132">
        <v>66.1676655541131</v>
      </c>
      <c r="U13" s="132">
        <v>28.4310412063382</v>
      </c>
      <c r="V13" s="132">
        <v>3.8246552350961398</v>
      </c>
      <c r="W13" s="132">
        <v>0</v>
      </c>
      <c r="X13" s="132">
        <v>10.534509402694599</v>
      </c>
      <c r="Y13" s="132">
        <v>0</v>
      </c>
      <c r="Z13" s="132">
        <v>0</v>
      </c>
      <c r="AA13" s="132">
        <v>0</v>
      </c>
      <c r="AB13" s="132">
        <v>0</v>
      </c>
      <c r="AC13" s="132">
        <v>0</v>
      </c>
      <c r="AD13" s="132">
        <v>0</v>
      </c>
      <c r="AE13" s="132">
        <v>0</v>
      </c>
      <c r="AF13" s="132">
        <v>0</v>
      </c>
      <c r="AG13" s="132">
        <v>0</v>
      </c>
      <c r="AH13" s="132">
        <v>0</v>
      </c>
      <c r="AI13" s="132">
        <v>0</v>
      </c>
      <c r="AJ13" s="131">
        <v>0</v>
      </c>
      <c r="AK13" s="126">
        <v>9516.6078166413499</v>
      </c>
      <c r="AM13" s="1" t="s">
        <v>14</v>
      </c>
      <c r="AN13" s="98" t="s">
        <v>147</v>
      </c>
      <c r="AO13" s="142">
        <f t="shared" si="0"/>
        <v>3514.5287354172024</v>
      </c>
      <c r="AP13" s="143">
        <f t="shared" si="0"/>
        <v>3621.6862045503976</v>
      </c>
      <c r="AQ13" s="143">
        <f t="shared" si="0"/>
        <v>2207.4522661697506</v>
      </c>
      <c r="AR13" s="143">
        <f t="shared" si="0"/>
        <v>158.58144586621029</v>
      </c>
      <c r="AS13" s="143">
        <f t="shared" si="0"/>
        <v>14.359164637790739</v>
      </c>
      <c r="AT13" s="143">
        <f t="shared" si="0"/>
        <v>0</v>
      </c>
      <c r="AU13" s="143">
        <f t="shared" si="0"/>
        <v>0</v>
      </c>
      <c r="AV13" s="143">
        <f t="shared" si="0"/>
        <v>0</v>
      </c>
      <c r="AW13" s="144">
        <f t="shared" si="0"/>
        <v>0</v>
      </c>
      <c r="AX13" s="126">
        <f t="shared" si="2"/>
        <v>9516.6078166413499</v>
      </c>
      <c r="AZ13" s="1" t="s">
        <v>19</v>
      </c>
      <c r="BA13" s="9">
        <f t="shared" si="3"/>
        <v>433.8598136877078</v>
      </c>
      <c r="BB13" s="8">
        <f t="shared" si="1"/>
        <v>0.97413681276793496</v>
      </c>
      <c r="BC13" s="8">
        <f t="shared" si="1"/>
        <v>1.3039414347193701</v>
      </c>
      <c r="BD13" s="8">
        <f t="shared" si="1"/>
        <v>85.243724130867008</v>
      </c>
      <c r="BE13" s="8">
        <f t="shared" si="1"/>
        <v>18.818811643363102</v>
      </c>
      <c r="BF13" s="8">
        <f t="shared" si="1"/>
        <v>19.003508637891628</v>
      </c>
      <c r="BG13" s="8">
        <f t="shared" si="1"/>
        <v>445.28221462997971</v>
      </c>
      <c r="BH13" s="8">
        <f t="shared" si="1"/>
        <v>0</v>
      </c>
      <c r="BI13" s="10">
        <f t="shared" si="1"/>
        <v>0</v>
      </c>
      <c r="BJ13" s="15">
        <f t="shared" si="4"/>
        <v>1004.4861509772966</v>
      </c>
    </row>
    <row r="14" spans="1:62" x14ac:dyDescent="0.25">
      <c r="A14" s="280"/>
      <c r="B14" s="98" t="s">
        <v>146</v>
      </c>
      <c r="C14" s="133">
        <v>2630.2922508916899</v>
      </c>
      <c r="D14" s="132">
        <v>185.63329569271301</v>
      </c>
      <c r="E14" s="132">
        <v>558.17441449709497</v>
      </c>
      <c r="F14" s="132">
        <v>4.1520016004311397</v>
      </c>
      <c r="G14" s="132">
        <v>322.78426313326798</v>
      </c>
      <c r="H14" s="132">
        <v>374.102511411455</v>
      </c>
      <c r="I14" s="132">
        <v>504.41874663350399</v>
      </c>
      <c r="J14" s="132">
        <v>1682.60834060299</v>
      </c>
      <c r="K14" s="132">
        <v>999.44700270178498</v>
      </c>
      <c r="L14" s="132">
        <v>104.751314897369</v>
      </c>
      <c r="M14" s="132">
        <v>580.79628886785304</v>
      </c>
      <c r="N14" s="132">
        <v>50.111922649525098</v>
      </c>
      <c r="O14" s="132">
        <v>72.991148112456202</v>
      </c>
      <c r="P14" s="132">
        <v>11.477455885641399</v>
      </c>
      <c r="Q14" s="132">
        <v>1.47002054956474</v>
      </c>
      <c r="R14" s="132">
        <v>27.4377717556373</v>
      </c>
      <c r="S14" s="132">
        <v>5.9526583581144497</v>
      </c>
      <c r="T14" s="132">
        <v>61.089221751430003</v>
      </c>
      <c r="U14" s="132">
        <v>55.293205624596297</v>
      </c>
      <c r="V14" s="132">
        <v>0</v>
      </c>
      <c r="W14" s="132">
        <v>0</v>
      </c>
      <c r="X14" s="132">
        <v>1.6535163612697299</v>
      </c>
      <c r="Y14" s="132">
        <v>0</v>
      </c>
      <c r="Z14" s="132">
        <v>0</v>
      </c>
      <c r="AA14" s="132">
        <v>0</v>
      </c>
      <c r="AB14" s="132">
        <v>0</v>
      </c>
      <c r="AC14" s="132">
        <v>0</v>
      </c>
      <c r="AD14" s="132">
        <v>0</v>
      </c>
      <c r="AE14" s="132">
        <v>17.7106627941398</v>
      </c>
      <c r="AF14" s="132">
        <v>0</v>
      </c>
      <c r="AG14" s="132">
        <v>0</v>
      </c>
      <c r="AH14" s="132">
        <v>0</v>
      </c>
      <c r="AI14" s="132">
        <v>9.6085451214792901</v>
      </c>
      <c r="AJ14" s="131">
        <v>0</v>
      </c>
      <c r="AK14" s="126">
        <v>8261.9565598940062</v>
      </c>
      <c r="AM14" s="1" t="s">
        <v>15</v>
      </c>
      <c r="AN14" s="98" t="s">
        <v>146</v>
      </c>
      <c r="AO14" s="142">
        <f t="shared" si="0"/>
        <v>3378.2519626819289</v>
      </c>
      <c r="AP14" s="143">
        <f t="shared" si="0"/>
        <v>1201.3055211782271</v>
      </c>
      <c r="AQ14" s="143">
        <f t="shared" si="0"/>
        <v>3502.18347371762</v>
      </c>
      <c r="AR14" s="143">
        <f t="shared" si="0"/>
        <v>151.24287803934277</v>
      </c>
      <c r="AS14" s="143">
        <f t="shared" si="0"/>
        <v>1.6535163612697299</v>
      </c>
      <c r="AT14" s="143">
        <f t="shared" si="0"/>
        <v>0</v>
      </c>
      <c r="AU14" s="143">
        <f t="shared" si="0"/>
        <v>0</v>
      </c>
      <c r="AV14" s="143">
        <f t="shared" si="0"/>
        <v>17.7106627941398</v>
      </c>
      <c r="AW14" s="144">
        <f t="shared" si="0"/>
        <v>9.6085451214792901</v>
      </c>
      <c r="AX14" s="126">
        <f t="shared" si="2"/>
        <v>8261.9565598940062</v>
      </c>
      <c r="AZ14" s="1" t="s">
        <v>20</v>
      </c>
      <c r="BA14" s="9">
        <f t="shared" si="3"/>
        <v>1909.3846887075608</v>
      </c>
      <c r="BB14" s="8">
        <f t="shared" si="1"/>
        <v>12.47993868562266</v>
      </c>
      <c r="BC14" s="8">
        <f t="shared" si="1"/>
        <v>0</v>
      </c>
      <c r="BD14" s="8">
        <f t="shared" si="1"/>
        <v>13.31900397152133</v>
      </c>
      <c r="BE14" s="8">
        <f t="shared" si="1"/>
        <v>24.30928408056473</v>
      </c>
      <c r="BF14" s="8">
        <f t="shared" si="1"/>
        <v>0</v>
      </c>
      <c r="BG14" s="8">
        <f t="shared" si="1"/>
        <v>14.473568841328801</v>
      </c>
      <c r="BH14" s="8">
        <f t="shared" si="1"/>
        <v>3726.0806280588181</v>
      </c>
      <c r="BI14" s="10">
        <f t="shared" si="1"/>
        <v>273.78472739447921</v>
      </c>
      <c r="BJ14" s="15">
        <f t="shared" si="4"/>
        <v>5973.8318397398962</v>
      </c>
    </row>
    <row r="15" spans="1:62" x14ac:dyDescent="0.25">
      <c r="A15" s="280"/>
      <c r="B15" s="98" t="s">
        <v>145</v>
      </c>
      <c r="C15" s="133">
        <v>2275.6458773235099</v>
      </c>
      <c r="D15" s="132">
        <v>12.562944183514199</v>
      </c>
      <c r="E15" s="132">
        <v>523.41746357911097</v>
      </c>
      <c r="F15" s="132">
        <v>21.1581032556855</v>
      </c>
      <c r="G15" s="132">
        <v>238.70621601736499</v>
      </c>
      <c r="H15" s="132">
        <v>265.26087375640401</v>
      </c>
      <c r="I15" s="132">
        <v>522.56456527310399</v>
      </c>
      <c r="J15" s="132">
        <v>2083.9710386738002</v>
      </c>
      <c r="K15" s="132">
        <v>3485.4811767759202</v>
      </c>
      <c r="L15" s="132">
        <v>664.26149266370101</v>
      </c>
      <c r="M15" s="132">
        <v>1129.1423621616</v>
      </c>
      <c r="N15" s="132">
        <v>549.13766526002701</v>
      </c>
      <c r="O15" s="132">
        <v>112.098984256503</v>
      </c>
      <c r="P15" s="132">
        <v>17.189482447820399</v>
      </c>
      <c r="Q15" s="132">
        <v>34.114347534496702</v>
      </c>
      <c r="R15" s="132">
        <v>14.8770391240298</v>
      </c>
      <c r="S15" s="132">
        <v>8.8430565975512003</v>
      </c>
      <c r="T15" s="132">
        <v>138.574679685967</v>
      </c>
      <c r="U15" s="132">
        <v>47.2488477581797</v>
      </c>
      <c r="V15" s="132">
        <v>0</v>
      </c>
      <c r="W15" s="132">
        <v>0</v>
      </c>
      <c r="X15" s="132">
        <v>1.77573278801697</v>
      </c>
      <c r="Y15" s="132">
        <v>0</v>
      </c>
      <c r="Z15" s="132">
        <v>2.7599998005300099</v>
      </c>
      <c r="AA15" s="132">
        <v>0</v>
      </c>
      <c r="AB15" s="132">
        <v>0</v>
      </c>
      <c r="AC15" s="132">
        <v>0</v>
      </c>
      <c r="AD15" s="132">
        <v>0</v>
      </c>
      <c r="AE15" s="132">
        <v>0</v>
      </c>
      <c r="AF15" s="132">
        <v>0</v>
      </c>
      <c r="AG15" s="132">
        <v>0</v>
      </c>
      <c r="AH15" s="132">
        <v>0</v>
      </c>
      <c r="AI15" s="132">
        <v>0</v>
      </c>
      <c r="AJ15" s="131">
        <v>0</v>
      </c>
      <c r="AK15" s="126">
        <v>12148.791948916836</v>
      </c>
      <c r="AM15" s="1" t="s">
        <v>15</v>
      </c>
      <c r="AN15" s="98" t="s">
        <v>145</v>
      </c>
      <c r="AO15" s="142">
        <f t="shared" si="0"/>
        <v>2832.7843883418204</v>
      </c>
      <c r="AP15" s="143">
        <f t="shared" si="0"/>
        <v>1026.5316550468729</v>
      </c>
      <c r="AQ15" s="143">
        <f t="shared" si="0"/>
        <v>8041.2822022393721</v>
      </c>
      <c r="AR15" s="143">
        <f t="shared" si="0"/>
        <v>243.65797070022438</v>
      </c>
      <c r="AS15" s="143">
        <f t="shared" si="0"/>
        <v>4.5357325885469795</v>
      </c>
      <c r="AT15" s="143">
        <f t="shared" si="0"/>
        <v>0</v>
      </c>
      <c r="AU15" s="143">
        <f t="shared" si="0"/>
        <v>0</v>
      </c>
      <c r="AV15" s="143">
        <f t="shared" si="0"/>
        <v>0</v>
      </c>
      <c r="AW15" s="144">
        <f t="shared" si="0"/>
        <v>0</v>
      </c>
      <c r="AX15" s="126">
        <f t="shared" si="2"/>
        <v>12148.791948916836</v>
      </c>
      <c r="AZ15" s="1" t="s">
        <v>21</v>
      </c>
      <c r="BA15" s="11">
        <f t="shared" si="3"/>
        <v>9381.7655526688795</v>
      </c>
      <c r="BB15" s="12">
        <f t="shared" si="1"/>
        <v>1.9004220881681622</v>
      </c>
      <c r="BC15" s="12">
        <f t="shared" si="1"/>
        <v>22.427056976283531</v>
      </c>
      <c r="BD15" s="12">
        <f t="shared" si="1"/>
        <v>256.94124368304824</v>
      </c>
      <c r="BE15" s="12">
        <f t="shared" si="1"/>
        <v>57.806567722395243</v>
      </c>
      <c r="BF15" s="12">
        <f t="shared" si="1"/>
        <v>0</v>
      </c>
      <c r="BG15" s="12">
        <f t="shared" si="1"/>
        <v>0</v>
      </c>
      <c r="BH15" s="12">
        <f t="shared" si="1"/>
        <v>75.922202644154908</v>
      </c>
      <c r="BI15" s="13">
        <f t="shared" si="1"/>
        <v>585.05987478180896</v>
      </c>
      <c r="BJ15" s="15">
        <f t="shared" si="4"/>
        <v>10381.822920564739</v>
      </c>
    </row>
    <row r="16" spans="1:62" x14ac:dyDescent="0.25">
      <c r="A16" s="280"/>
      <c r="B16" s="98" t="s">
        <v>144</v>
      </c>
      <c r="C16" s="133">
        <v>829.61722939132903</v>
      </c>
      <c r="D16" s="132">
        <v>49.700679089620998</v>
      </c>
      <c r="E16" s="132">
        <v>149.61060363889101</v>
      </c>
      <c r="F16" s="132">
        <v>0</v>
      </c>
      <c r="G16" s="132">
        <v>33.465897934374098</v>
      </c>
      <c r="H16" s="132">
        <v>153.32341981924299</v>
      </c>
      <c r="I16" s="132">
        <v>193.66490815922299</v>
      </c>
      <c r="J16" s="132">
        <v>309.84776499490903</v>
      </c>
      <c r="K16" s="132">
        <v>869.68847312465095</v>
      </c>
      <c r="L16" s="132">
        <v>928.38318135881605</v>
      </c>
      <c r="M16" s="132">
        <v>1414.2324189989999</v>
      </c>
      <c r="N16" s="132">
        <v>182.892745893409</v>
      </c>
      <c r="O16" s="132">
        <v>118.96368881247299</v>
      </c>
      <c r="P16" s="132">
        <v>0</v>
      </c>
      <c r="Q16" s="132">
        <v>0</v>
      </c>
      <c r="R16" s="132">
        <v>22.007047283508399</v>
      </c>
      <c r="S16" s="132">
        <v>3.30887505184737</v>
      </c>
      <c r="T16" s="132">
        <v>29.4578330468484</v>
      </c>
      <c r="U16" s="132">
        <v>15.8581541299896</v>
      </c>
      <c r="V16" s="132">
        <v>0</v>
      </c>
      <c r="W16" s="132">
        <v>0</v>
      </c>
      <c r="X16" s="132">
        <v>0</v>
      </c>
      <c r="Y16" s="132">
        <v>0</v>
      </c>
      <c r="Z16" s="132">
        <v>0</v>
      </c>
      <c r="AA16" s="132">
        <v>0</v>
      </c>
      <c r="AB16" s="132">
        <v>0</v>
      </c>
      <c r="AC16" s="132">
        <v>0</v>
      </c>
      <c r="AD16" s="132">
        <v>0</v>
      </c>
      <c r="AE16" s="132">
        <v>0</v>
      </c>
      <c r="AF16" s="132">
        <v>0</v>
      </c>
      <c r="AG16" s="132">
        <v>0</v>
      </c>
      <c r="AH16" s="132">
        <v>0</v>
      </c>
      <c r="AI16" s="132">
        <v>0</v>
      </c>
      <c r="AJ16" s="131">
        <v>5.2603281700242199</v>
      </c>
      <c r="AK16" s="126">
        <v>5309.2832488981576</v>
      </c>
      <c r="AM16" s="1" t="s">
        <v>15</v>
      </c>
      <c r="AN16" s="98" t="s">
        <v>144</v>
      </c>
      <c r="AO16" s="142">
        <f t="shared" si="0"/>
        <v>1028.9285121198409</v>
      </c>
      <c r="AP16" s="143">
        <f t="shared" si="0"/>
        <v>380.45422591284006</v>
      </c>
      <c r="AQ16" s="143">
        <f t="shared" si="0"/>
        <v>3824.0082731832576</v>
      </c>
      <c r="AR16" s="143">
        <f t="shared" si="0"/>
        <v>70.631909512193772</v>
      </c>
      <c r="AS16" s="143">
        <f t="shared" si="0"/>
        <v>0</v>
      </c>
      <c r="AT16" s="143">
        <f t="shared" si="0"/>
        <v>0</v>
      </c>
      <c r="AU16" s="143">
        <f t="shared" si="0"/>
        <v>0</v>
      </c>
      <c r="AV16" s="143">
        <f t="shared" si="0"/>
        <v>0</v>
      </c>
      <c r="AW16" s="144">
        <f t="shared" si="0"/>
        <v>5.2603281700242199</v>
      </c>
      <c r="AX16" s="126">
        <f t="shared" si="2"/>
        <v>5309.2832488981558</v>
      </c>
      <c r="BA16" s="15">
        <f>SUM(BA7:BA15)</f>
        <v>567821.925428699</v>
      </c>
      <c r="BB16" s="15">
        <f t="shared" ref="BB16:BI16" si="5">SUM(BB7:BB15)</f>
        <v>35074.817120016029</v>
      </c>
      <c r="BC16" s="15">
        <f t="shared" si="5"/>
        <v>62335.108442157565</v>
      </c>
      <c r="BD16" s="15">
        <f t="shared" si="5"/>
        <v>107799.48935605939</v>
      </c>
      <c r="BE16" s="15">
        <f t="shared" si="5"/>
        <v>18351.427647611901</v>
      </c>
      <c r="BF16" s="15">
        <f t="shared" si="5"/>
        <v>233.45729177818603</v>
      </c>
      <c r="BG16" s="15">
        <f t="shared" si="5"/>
        <v>571.6117733886075</v>
      </c>
      <c r="BH16" s="15">
        <f t="shared" si="5"/>
        <v>3971.5915052820574</v>
      </c>
      <c r="BI16" s="15">
        <f t="shared" si="5"/>
        <v>2311.2881805413044</v>
      </c>
      <c r="BJ16" s="15">
        <f t="shared" si="4"/>
        <v>798470.71674553398</v>
      </c>
    </row>
    <row r="17" spans="1:50" x14ac:dyDescent="0.25">
      <c r="A17" s="280"/>
      <c r="B17" s="98" t="s">
        <v>143</v>
      </c>
      <c r="C17" s="133">
        <v>1269.1704442483699</v>
      </c>
      <c r="D17" s="132">
        <v>34.339934193089597</v>
      </c>
      <c r="E17" s="132">
        <v>341.47812177504602</v>
      </c>
      <c r="F17" s="132">
        <v>10.2565049607301</v>
      </c>
      <c r="G17" s="132">
        <v>107.867179715116</v>
      </c>
      <c r="H17" s="132">
        <v>179.91867526316801</v>
      </c>
      <c r="I17" s="132">
        <v>523.03672687851201</v>
      </c>
      <c r="J17" s="132">
        <v>1651.1972501530599</v>
      </c>
      <c r="K17" s="132">
        <v>3039.3607611698299</v>
      </c>
      <c r="L17" s="132">
        <v>1547.2205926041299</v>
      </c>
      <c r="M17" s="132">
        <v>4412.5950286868301</v>
      </c>
      <c r="N17" s="132">
        <v>2369.80745012546</v>
      </c>
      <c r="O17" s="132">
        <v>1294.4039809201399</v>
      </c>
      <c r="P17" s="132">
        <v>190.38005625998099</v>
      </c>
      <c r="Q17" s="132">
        <v>24.162512259928899</v>
      </c>
      <c r="R17" s="132">
        <v>180.12093529466901</v>
      </c>
      <c r="S17" s="132">
        <v>11.9398895686085</v>
      </c>
      <c r="T17" s="132">
        <v>83.183815507474804</v>
      </c>
      <c r="U17" s="132">
        <v>23.6163673944151</v>
      </c>
      <c r="V17" s="132">
        <v>1.6499217602310301</v>
      </c>
      <c r="W17" s="132">
        <v>0</v>
      </c>
      <c r="X17" s="132">
        <v>0</v>
      </c>
      <c r="Y17" s="132">
        <v>1.3050797251025501</v>
      </c>
      <c r="Z17" s="132">
        <v>0</v>
      </c>
      <c r="AA17" s="132">
        <v>0</v>
      </c>
      <c r="AB17" s="132">
        <v>0</v>
      </c>
      <c r="AC17" s="132">
        <v>0</v>
      </c>
      <c r="AD17" s="132">
        <v>0</v>
      </c>
      <c r="AE17" s="132">
        <v>0</v>
      </c>
      <c r="AF17" s="132">
        <v>0</v>
      </c>
      <c r="AG17" s="132">
        <v>0</v>
      </c>
      <c r="AH17" s="132">
        <v>0</v>
      </c>
      <c r="AI17" s="132">
        <v>0</v>
      </c>
      <c r="AJ17" s="131">
        <v>0</v>
      </c>
      <c r="AK17" s="126">
        <v>17297.011228463896</v>
      </c>
      <c r="AM17" s="1" t="s">
        <v>15</v>
      </c>
      <c r="AN17" s="98" t="s">
        <v>143</v>
      </c>
      <c r="AO17" s="142">
        <f t="shared" ref="AO17:AW26" si="6">SUMIF($C$4:$AJ$4,AO$6,$C17:$AJ17)</f>
        <v>1655.2450051772357</v>
      </c>
      <c r="AP17" s="143">
        <f t="shared" si="6"/>
        <v>810.82258185679598</v>
      </c>
      <c r="AQ17" s="143">
        <f t="shared" si="6"/>
        <v>14504.96511991943</v>
      </c>
      <c r="AR17" s="143">
        <f t="shared" si="6"/>
        <v>323.02352002509627</v>
      </c>
      <c r="AS17" s="143">
        <f t="shared" si="6"/>
        <v>2.9550014853335802</v>
      </c>
      <c r="AT17" s="143">
        <f t="shared" si="6"/>
        <v>0</v>
      </c>
      <c r="AU17" s="143">
        <f t="shared" si="6"/>
        <v>0</v>
      </c>
      <c r="AV17" s="143">
        <f t="shared" si="6"/>
        <v>0</v>
      </c>
      <c r="AW17" s="144">
        <f t="shared" si="6"/>
        <v>0</v>
      </c>
      <c r="AX17" s="126">
        <f t="shared" si="2"/>
        <v>17297.011228463893</v>
      </c>
    </row>
    <row r="18" spans="1:50" x14ac:dyDescent="0.25">
      <c r="A18" s="280"/>
      <c r="B18" s="98" t="s">
        <v>142</v>
      </c>
      <c r="C18" s="133">
        <v>1328.3119153008599</v>
      </c>
      <c r="D18" s="132">
        <v>11.2336386464664</v>
      </c>
      <c r="E18" s="132">
        <v>136.511744088368</v>
      </c>
      <c r="F18" s="132">
        <v>3.74980491569334</v>
      </c>
      <c r="G18" s="132">
        <v>68.603820395994106</v>
      </c>
      <c r="H18" s="132">
        <v>94.701600007107999</v>
      </c>
      <c r="I18" s="132">
        <v>203.24538097809301</v>
      </c>
      <c r="J18" s="132">
        <v>587.36421776307304</v>
      </c>
      <c r="K18" s="132">
        <v>2290.0149096528098</v>
      </c>
      <c r="L18" s="132">
        <v>634.28671993761395</v>
      </c>
      <c r="M18" s="132">
        <v>3033.1002496742499</v>
      </c>
      <c r="N18" s="132">
        <v>3837.35168287946</v>
      </c>
      <c r="O18" s="132">
        <v>338.08283044320098</v>
      </c>
      <c r="P18" s="132">
        <v>10.3257698200135</v>
      </c>
      <c r="Q18" s="132">
        <v>3.9152391753076499</v>
      </c>
      <c r="R18" s="132">
        <v>168.545439938084</v>
      </c>
      <c r="S18" s="132">
        <v>40.0364222728264</v>
      </c>
      <c r="T18" s="132">
        <v>115.102883108066</v>
      </c>
      <c r="U18" s="132">
        <v>8.1549509807718099</v>
      </c>
      <c r="V18" s="132">
        <v>8.4110914602495903</v>
      </c>
      <c r="W18" s="132">
        <v>2.7678426047788101</v>
      </c>
      <c r="X18" s="132">
        <v>0</v>
      </c>
      <c r="Y18" s="132">
        <v>0</v>
      </c>
      <c r="Z18" s="132">
        <v>0</v>
      </c>
      <c r="AA18" s="132">
        <v>0</v>
      </c>
      <c r="AB18" s="132">
        <v>0</v>
      </c>
      <c r="AC18" s="132">
        <v>0</v>
      </c>
      <c r="AD18" s="132">
        <v>0</v>
      </c>
      <c r="AE18" s="132">
        <v>0</v>
      </c>
      <c r="AF18" s="132">
        <v>0</v>
      </c>
      <c r="AG18" s="132">
        <v>0</v>
      </c>
      <c r="AH18" s="132">
        <v>0</v>
      </c>
      <c r="AI18" s="132">
        <v>0</v>
      </c>
      <c r="AJ18" s="131">
        <v>0</v>
      </c>
      <c r="AK18" s="126">
        <v>12923.818154043087</v>
      </c>
      <c r="AM18" s="1" t="s">
        <v>15</v>
      </c>
      <c r="AN18" s="98" t="s">
        <v>142</v>
      </c>
      <c r="AO18" s="142">
        <f t="shared" si="6"/>
        <v>1479.8071029513878</v>
      </c>
      <c r="AP18" s="143">
        <f t="shared" si="6"/>
        <v>366.55080138119513</v>
      </c>
      <c r="AQ18" s="143">
        <f t="shared" si="6"/>
        <v>10730.526380170422</v>
      </c>
      <c r="AR18" s="143">
        <f t="shared" si="6"/>
        <v>335.75493547505585</v>
      </c>
      <c r="AS18" s="143">
        <f t="shared" si="6"/>
        <v>11.1789340650284</v>
      </c>
      <c r="AT18" s="143">
        <f t="shared" si="6"/>
        <v>0</v>
      </c>
      <c r="AU18" s="143">
        <f t="shared" si="6"/>
        <v>0</v>
      </c>
      <c r="AV18" s="143">
        <f t="shared" si="6"/>
        <v>0</v>
      </c>
      <c r="AW18" s="144">
        <f t="shared" si="6"/>
        <v>0</v>
      </c>
      <c r="AX18" s="126">
        <f t="shared" si="2"/>
        <v>12923.818154043089</v>
      </c>
    </row>
    <row r="19" spans="1:50" x14ac:dyDescent="0.25">
      <c r="A19" s="280"/>
      <c r="B19" s="98" t="s">
        <v>141</v>
      </c>
      <c r="C19" s="133">
        <v>382.348452825035</v>
      </c>
      <c r="D19" s="132">
        <v>0</v>
      </c>
      <c r="E19" s="132">
        <v>14.2201159717757</v>
      </c>
      <c r="F19" s="132">
        <v>0</v>
      </c>
      <c r="G19" s="132">
        <v>24.0662293898386</v>
      </c>
      <c r="H19" s="132">
        <v>58.711670197374197</v>
      </c>
      <c r="I19" s="132">
        <v>176.62056769575301</v>
      </c>
      <c r="J19" s="132">
        <v>503.07745530562403</v>
      </c>
      <c r="K19" s="132">
        <v>781.99119234279203</v>
      </c>
      <c r="L19" s="132">
        <v>265.44092734599599</v>
      </c>
      <c r="M19" s="132">
        <v>2009.4983537251501</v>
      </c>
      <c r="N19" s="132">
        <v>370.75489834941999</v>
      </c>
      <c r="O19" s="132">
        <v>653.00641682196704</v>
      </c>
      <c r="P19" s="132">
        <v>142.57811644766599</v>
      </c>
      <c r="Q19" s="132">
        <v>0</v>
      </c>
      <c r="R19" s="132">
        <v>65.2360349398529</v>
      </c>
      <c r="S19" s="132">
        <v>0</v>
      </c>
      <c r="T19" s="132">
        <v>18.004914737197598</v>
      </c>
      <c r="U19" s="132">
        <v>0</v>
      </c>
      <c r="V19" s="132">
        <v>10.484223293072899</v>
      </c>
      <c r="W19" s="132">
        <v>0.94897460738211203</v>
      </c>
      <c r="X19" s="132">
        <v>0</v>
      </c>
      <c r="Y19" s="132">
        <v>0</v>
      </c>
      <c r="Z19" s="132">
        <v>0</v>
      </c>
      <c r="AA19" s="132">
        <v>0</v>
      </c>
      <c r="AB19" s="132">
        <v>0</v>
      </c>
      <c r="AC19" s="132">
        <v>0</v>
      </c>
      <c r="AD19" s="132">
        <v>0</v>
      </c>
      <c r="AE19" s="132">
        <v>0</v>
      </c>
      <c r="AF19" s="132">
        <v>0</v>
      </c>
      <c r="AG19" s="132">
        <v>0</v>
      </c>
      <c r="AH19" s="132">
        <v>0</v>
      </c>
      <c r="AI19" s="132">
        <v>0</v>
      </c>
      <c r="AJ19" s="131">
        <v>0</v>
      </c>
      <c r="AK19" s="126">
        <v>5476.9885439958971</v>
      </c>
      <c r="AM19" s="1" t="s">
        <v>15</v>
      </c>
      <c r="AN19" s="98" t="s">
        <v>141</v>
      </c>
      <c r="AO19" s="142">
        <f t="shared" si="6"/>
        <v>396.56856879681072</v>
      </c>
      <c r="AP19" s="143">
        <f t="shared" si="6"/>
        <v>259.39846728296584</v>
      </c>
      <c r="AQ19" s="143">
        <f t="shared" si="6"/>
        <v>4726.3473603386146</v>
      </c>
      <c r="AR19" s="143">
        <f t="shared" si="6"/>
        <v>83.240949677050494</v>
      </c>
      <c r="AS19" s="143">
        <f t="shared" si="6"/>
        <v>11.433197900455012</v>
      </c>
      <c r="AT19" s="143">
        <f t="shared" si="6"/>
        <v>0</v>
      </c>
      <c r="AU19" s="143">
        <f t="shared" si="6"/>
        <v>0</v>
      </c>
      <c r="AV19" s="143">
        <f t="shared" si="6"/>
        <v>0</v>
      </c>
      <c r="AW19" s="144">
        <f t="shared" si="6"/>
        <v>0</v>
      </c>
      <c r="AX19" s="126">
        <f t="shared" si="2"/>
        <v>5476.9885439958962</v>
      </c>
    </row>
    <row r="20" spans="1:50" x14ac:dyDescent="0.25">
      <c r="A20" s="280"/>
      <c r="B20" s="98" t="s">
        <v>140</v>
      </c>
      <c r="C20" s="133">
        <v>118.93617986625399</v>
      </c>
      <c r="D20" s="132">
        <v>14.4862681497404</v>
      </c>
      <c r="E20" s="132">
        <v>28.954656984278099</v>
      </c>
      <c r="F20" s="132">
        <v>0</v>
      </c>
      <c r="G20" s="132">
        <v>6.6462054047266399</v>
      </c>
      <c r="H20" s="132">
        <v>20.562390174961401</v>
      </c>
      <c r="I20" s="132">
        <v>62.577425303866498</v>
      </c>
      <c r="J20" s="132">
        <v>148.41425131775199</v>
      </c>
      <c r="K20" s="132">
        <v>557.75059707951903</v>
      </c>
      <c r="L20" s="132">
        <v>47.565271964535903</v>
      </c>
      <c r="M20" s="132">
        <v>324.86588551702903</v>
      </c>
      <c r="N20" s="132">
        <v>43.859824074711597</v>
      </c>
      <c r="O20" s="132">
        <v>163.19066015259199</v>
      </c>
      <c r="P20" s="132">
        <v>387.05082276007403</v>
      </c>
      <c r="Q20" s="132">
        <v>0</v>
      </c>
      <c r="R20" s="132">
        <v>5.5872283676019796</v>
      </c>
      <c r="S20" s="132">
        <v>0</v>
      </c>
      <c r="T20" s="132">
        <v>15.0050894854609</v>
      </c>
      <c r="U20" s="132">
        <v>0</v>
      </c>
      <c r="V20" s="132">
        <v>0</v>
      </c>
      <c r="W20" s="132">
        <v>0</v>
      </c>
      <c r="X20" s="132">
        <v>0</v>
      </c>
      <c r="Y20" s="132">
        <v>0</v>
      </c>
      <c r="Z20" s="132">
        <v>0</v>
      </c>
      <c r="AA20" s="132">
        <v>0</v>
      </c>
      <c r="AB20" s="132">
        <v>0</v>
      </c>
      <c r="AC20" s="132">
        <v>0</v>
      </c>
      <c r="AD20" s="132">
        <v>0</v>
      </c>
      <c r="AE20" s="132">
        <v>0</v>
      </c>
      <c r="AF20" s="132">
        <v>0</v>
      </c>
      <c r="AG20" s="132">
        <v>0</v>
      </c>
      <c r="AH20" s="132">
        <v>0</v>
      </c>
      <c r="AI20" s="132">
        <v>0</v>
      </c>
      <c r="AJ20" s="131">
        <v>0</v>
      </c>
      <c r="AK20" s="126">
        <v>1945.4527566031036</v>
      </c>
      <c r="AM20" s="1" t="s">
        <v>15</v>
      </c>
      <c r="AN20" s="98" t="s">
        <v>140</v>
      </c>
      <c r="AO20" s="142">
        <f t="shared" si="6"/>
        <v>162.37710500027251</v>
      </c>
      <c r="AP20" s="143">
        <f t="shared" si="6"/>
        <v>89.786020883554542</v>
      </c>
      <c r="AQ20" s="143">
        <f t="shared" si="6"/>
        <v>1672.6973128662137</v>
      </c>
      <c r="AR20" s="143">
        <f t="shared" si="6"/>
        <v>20.59231785306288</v>
      </c>
      <c r="AS20" s="143">
        <f t="shared" si="6"/>
        <v>0</v>
      </c>
      <c r="AT20" s="143">
        <f t="shared" si="6"/>
        <v>0</v>
      </c>
      <c r="AU20" s="143">
        <f t="shared" si="6"/>
        <v>0</v>
      </c>
      <c r="AV20" s="143">
        <f t="shared" si="6"/>
        <v>0</v>
      </c>
      <c r="AW20" s="144">
        <f t="shared" si="6"/>
        <v>0</v>
      </c>
      <c r="AX20" s="126">
        <f t="shared" si="2"/>
        <v>1945.4527566031036</v>
      </c>
    </row>
    <row r="21" spans="1:50" x14ac:dyDescent="0.25">
      <c r="A21" s="280"/>
      <c r="B21" s="98" t="s">
        <v>139</v>
      </c>
      <c r="C21" s="133">
        <v>7733.1409748432097</v>
      </c>
      <c r="D21" s="132">
        <v>232.78001837900501</v>
      </c>
      <c r="E21" s="132">
        <v>445.22567399854103</v>
      </c>
      <c r="F21" s="132">
        <v>17.504132394431501</v>
      </c>
      <c r="G21" s="132">
        <v>98.484356132460405</v>
      </c>
      <c r="H21" s="132">
        <v>20.212075156733601</v>
      </c>
      <c r="I21" s="132">
        <v>0</v>
      </c>
      <c r="J21" s="132">
        <v>76.342576478542796</v>
      </c>
      <c r="K21" s="132">
        <v>429.95309348731502</v>
      </c>
      <c r="L21" s="132">
        <v>16.5797488017527</v>
      </c>
      <c r="M21" s="132">
        <v>131.82670917057101</v>
      </c>
      <c r="N21" s="132">
        <v>3.5398867871370001</v>
      </c>
      <c r="O21" s="132">
        <v>8.3157993990026995</v>
      </c>
      <c r="P21" s="132">
        <v>0</v>
      </c>
      <c r="Q21" s="132">
        <v>1739.25383438074</v>
      </c>
      <c r="R21" s="132">
        <v>112.92794117016599</v>
      </c>
      <c r="S21" s="132">
        <v>220.47849080084299</v>
      </c>
      <c r="T21" s="132">
        <v>1439.8738215262899</v>
      </c>
      <c r="U21" s="132">
        <v>197.886065827658</v>
      </c>
      <c r="V21" s="132">
        <v>21.9298989241207</v>
      </c>
      <c r="W21" s="132">
        <v>10.5474232724182</v>
      </c>
      <c r="X21" s="132">
        <v>9.6628139122554693</v>
      </c>
      <c r="Y21" s="132">
        <v>747.32502773913495</v>
      </c>
      <c r="Z21" s="132">
        <v>8.2475278660932592</v>
      </c>
      <c r="AA21" s="132">
        <v>0</v>
      </c>
      <c r="AB21" s="132">
        <v>0</v>
      </c>
      <c r="AC21" s="132">
        <v>8.3346810207108195</v>
      </c>
      <c r="AD21" s="132">
        <v>0</v>
      </c>
      <c r="AE21" s="132">
        <v>0</v>
      </c>
      <c r="AF21" s="132">
        <v>0</v>
      </c>
      <c r="AG21" s="132">
        <v>0</v>
      </c>
      <c r="AH21" s="132">
        <v>2.0848684550669598</v>
      </c>
      <c r="AI21" s="132">
        <v>0</v>
      </c>
      <c r="AJ21" s="131">
        <v>0</v>
      </c>
      <c r="AK21" s="126">
        <v>13732.457439924199</v>
      </c>
      <c r="AM21" s="1" t="s">
        <v>16</v>
      </c>
      <c r="AN21" s="98" t="s">
        <v>139</v>
      </c>
      <c r="AO21" s="142">
        <f t="shared" si="6"/>
        <v>8428.6507996151868</v>
      </c>
      <c r="AP21" s="143">
        <f t="shared" si="6"/>
        <v>118.69643128919401</v>
      </c>
      <c r="AQ21" s="143">
        <f t="shared" si="6"/>
        <v>666.55781412432123</v>
      </c>
      <c r="AR21" s="143">
        <f t="shared" si="6"/>
        <v>3710.420153705697</v>
      </c>
      <c r="AS21" s="143">
        <f t="shared" si="6"/>
        <v>797.71269171402253</v>
      </c>
      <c r="AT21" s="143">
        <f t="shared" si="6"/>
        <v>0</v>
      </c>
      <c r="AU21" s="143">
        <f t="shared" si="6"/>
        <v>8.3346810207108195</v>
      </c>
      <c r="AV21" s="143">
        <f t="shared" si="6"/>
        <v>0</v>
      </c>
      <c r="AW21" s="144">
        <f t="shared" si="6"/>
        <v>2.0848684550669598</v>
      </c>
      <c r="AX21" s="126">
        <f t="shared" si="2"/>
        <v>13732.457439924199</v>
      </c>
    </row>
    <row r="22" spans="1:50" x14ac:dyDescent="0.25">
      <c r="A22" s="280"/>
      <c r="B22" s="98" t="s">
        <v>138</v>
      </c>
      <c r="C22" s="133">
        <v>11254.9231428688</v>
      </c>
      <c r="D22" s="132">
        <v>222.04467260618301</v>
      </c>
      <c r="E22" s="132">
        <v>800.95400425875005</v>
      </c>
      <c r="F22" s="132">
        <v>31.6812197588233</v>
      </c>
      <c r="G22" s="132">
        <v>111.68052140507901</v>
      </c>
      <c r="H22" s="132">
        <v>57.440685070684701</v>
      </c>
      <c r="I22" s="132">
        <v>87.674567695192906</v>
      </c>
      <c r="J22" s="132">
        <v>705.64496625685501</v>
      </c>
      <c r="K22" s="132">
        <v>460.87990593890203</v>
      </c>
      <c r="L22" s="132">
        <v>23.890493553607101</v>
      </c>
      <c r="M22" s="132">
        <v>298.38011647508898</v>
      </c>
      <c r="N22" s="132">
        <v>194.422713037845</v>
      </c>
      <c r="O22" s="132">
        <v>4.6305436677011196</v>
      </c>
      <c r="P22" s="132">
        <v>0</v>
      </c>
      <c r="Q22" s="132">
        <v>191.82192915873901</v>
      </c>
      <c r="R22" s="132">
        <v>1950.3634202252699</v>
      </c>
      <c r="S22" s="132">
        <v>918.38983963863905</v>
      </c>
      <c r="T22" s="132">
        <v>2573.8895153151302</v>
      </c>
      <c r="U22" s="132">
        <v>543.72420182135397</v>
      </c>
      <c r="V22" s="132">
        <v>76.195096210520305</v>
      </c>
      <c r="W22" s="132">
        <v>18.1239771598974</v>
      </c>
      <c r="X22" s="132">
        <v>35.088368540360001</v>
      </c>
      <c r="Y22" s="132">
        <v>25.277318250949701</v>
      </c>
      <c r="Z22" s="132">
        <v>0</v>
      </c>
      <c r="AA22" s="132">
        <v>0</v>
      </c>
      <c r="AB22" s="132">
        <v>0.82496088002983503</v>
      </c>
      <c r="AC22" s="132">
        <v>0</v>
      </c>
      <c r="AD22" s="132">
        <v>0</v>
      </c>
      <c r="AE22" s="132">
        <v>0</v>
      </c>
      <c r="AF22" s="132">
        <v>0</v>
      </c>
      <c r="AG22" s="132">
        <v>0</v>
      </c>
      <c r="AH22" s="132">
        <v>0</v>
      </c>
      <c r="AI22" s="132">
        <v>6.9168704364136504</v>
      </c>
      <c r="AJ22" s="131">
        <v>4.5124221853932003</v>
      </c>
      <c r="AK22" s="126">
        <v>20599.37547241621</v>
      </c>
      <c r="AM22" s="1" t="s">
        <v>16</v>
      </c>
      <c r="AN22" s="98" t="s">
        <v>138</v>
      </c>
      <c r="AO22" s="142">
        <f t="shared" si="6"/>
        <v>12309.603039492556</v>
      </c>
      <c r="AP22" s="143">
        <f t="shared" si="6"/>
        <v>256.79577417095663</v>
      </c>
      <c r="AQ22" s="143">
        <f t="shared" si="6"/>
        <v>1687.8487389299992</v>
      </c>
      <c r="AR22" s="143">
        <f t="shared" si="6"/>
        <v>6178.1889061591319</v>
      </c>
      <c r="AS22" s="143">
        <f t="shared" si="6"/>
        <v>154.68476016172738</v>
      </c>
      <c r="AT22" s="143">
        <f t="shared" si="6"/>
        <v>0.82496088002983503</v>
      </c>
      <c r="AU22" s="143">
        <f t="shared" si="6"/>
        <v>0</v>
      </c>
      <c r="AV22" s="143">
        <f t="shared" si="6"/>
        <v>0</v>
      </c>
      <c r="AW22" s="144">
        <f t="shared" si="6"/>
        <v>11.429292621806852</v>
      </c>
      <c r="AX22" s="126">
        <f t="shared" si="2"/>
        <v>20599.375472416206</v>
      </c>
    </row>
    <row r="23" spans="1:50" x14ac:dyDescent="0.25">
      <c r="A23" s="280"/>
      <c r="B23" s="98" t="s">
        <v>137</v>
      </c>
      <c r="C23" s="133">
        <v>13885.9070019388</v>
      </c>
      <c r="D23" s="132">
        <v>1106.8669480778699</v>
      </c>
      <c r="E23" s="132">
        <v>2010.54030922272</v>
      </c>
      <c r="F23" s="132">
        <v>115.566220633448</v>
      </c>
      <c r="G23" s="132">
        <v>429.19607471163198</v>
      </c>
      <c r="H23" s="132">
        <v>141.96269008572301</v>
      </c>
      <c r="I23" s="132">
        <v>72.536333061780596</v>
      </c>
      <c r="J23" s="132">
        <v>110.453328314819</v>
      </c>
      <c r="K23" s="132">
        <v>102.482447541461</v>
      </c>
      <c r="L23" s="132">
        <v>11.120222251775999</v>
      </c>
      <c r="M23" s="132">
        <v>51.182806006517602</v>
      </c>
      <c r="N23" s="132">
        <v>69.619961600526494</v>
      </c>
      <c r="O23" s="132">
        <v>0</v>
      </c>
      <c r="P23" s="132">
        <v>0</v>
      </c>
      <c r="Q23" s="132">
        <v>842.31335668487202</v>
      </c>
      <c r="R23" s="132">
        <v>1577.93628237097</v>
      </c>
      <c r="S23" s="132">
        <v>3428.6735263734299</v>
      </c>
      <c r="T23" s="132">
        <v>6255.3932067834303</v>
      </c>
      <c r="U23" s="132">
        <v>1107.53296664809</v>
      </c>
      <c r="V23" s="132">
        <v>183.544051849254</v>
      </c>
      <c r="W23" s="132">
        <v>58.994441829335003</v>
      </c>
      <c r="X23" s="132">
        <v>107.338057028796</v>
      </c>
      <c r="Y23" s="132">
        <v>70.416128071066893</v>
      </c>
      <c r="Z23" s="132">
        <v>15.8497930621787</v>
      </c>
      <c r="AA23" s="132">
        <v>1.1364929482292601</v>
      </c>
      <c r="AB23" s="132">
        <v>8.6270418759447506E-2</v>
      </c>
      <c r="AC23" s="132">
        <v>0</v>
      </c>
      <c r="AD23" s="132">
        <v>0</v>
      </c>
      <c r="AE23" s="132">
        <v>0</v>
      </c>
      <c r="AF23" s="132">
        <v>0</v>
      </c>
      <c r="AG23" s="132">
        <v>0</v>
      </c>
      <c r="AH23" s="132">
        <v>0</v>
      </c>
      <c r="AI23" s="132">
        <v>21.617459712027401</v>
      </c>
      <c r="AJ23" s="131">
        <v>36.8211881560878</v>
      </c>
      <c r="AK23" s="126">
        <v>31815.087565383597</v>
      </c>
      <c r="AM23" s="1" t="s">
        <v>16</v>
      </c>
      <c r="AN23" s="98" t="s">
        <v>137</v>
      </c>
      <c r="AO23" s="142">
        <f t="shared" si="6"/>
        <v>17118.880479872838</v>
      </c>
      <c r="AP23" s="143">
        <f t="shared" si="6"/>
        <v>643.69509785913556</v>
      </c>
      <c r="AQ23" s="143">
        <f t="shared" si="6"/>
        <v>344.85876571510011</v>
      </c>
      <c r="AR23" s="143">
        <f t="shared" si="6"/>
        <v>13211.849338860793</v>
      </c>
      <c r="AS23" s="143">
        <f t="shared" si="6"/>
        <v>436.14247184063066</v>
      </c>
      <c r="AT23" s="143">
        <f t="shared" si="6"/>
        <v>1.2227633669887075</v>
      </c>
      <c r="AU23" s="143">
        <f t="shared" si="6"/>
        <v>0</v>
      </c>
      <c r="AV23" s="143">
        <f t="shared" si="6"/>
        <v>0</v>
      </c>
      <c r="AW23" s="144">
        <f t="shared" si="6"/>
        <v>58.438647868115197</v>
      </c>
      <c r="AX23" s="126">
        <f t="shared" si="2"/>
        <v>31815.087565383601</v>
      </c>
    </row>
    <row r="24" spans="1:50" x14ac:dyDescent="0.25">
      <c r="A24" s="280"/>
      <c r="B24" s="98" t="s">
        <v>136</v>
      </c>
      <c r="C24" s="133">
        <v>40773.416433393599</v>
      </c>
      <c r="D24" s="132">
        <v>3693.7993299536602</v>
      </c>
      <c r="E24" s="132">
        <v>7297.3355640252303</v>
      </c>
      <c r="F24" s="132">
        <v>502.07216031880398</v>
      </c>
      <c r="G24" s="132">
        <v>1134.5538004212799</v>
      </c>
      <c r="H24" s="132">
        <v>65.411543553809295</v>
      </c>
      <c r="I24" s="132">
        <v>118.30584405529</v>
      </c>
      <c r="J24" s="132">
        <v>190.274201753695</v>
      </c>
      <c r="K24" s="132">
        <v>75.818040090775796</v>
      </c>
      <c r="L24" s="132">
        <v>20.851080951476401</v>
      </c>
      <c r="M24" s="132">
        <v>87.646639385279698</v>
      </c>
      <c r="N24" s="132">
        <v>34.321599830916703</v>
      </c>
      <c r="O24" s="132">
        <v>17.0240293155735</v>
      </c>
      <c r="P24" s="132">
        <v>0</v>
      </c>
      <c r="Q24" s="132">
        <v>788.87607807779204</v>
      </c>
      <c r="R24" s="132">
        <v>969.37785930985501</v>
      </c>
      <c r="S24" s="132">
        <v>3127.3846357237298</v>
      </c>
      <c r="T24" s="132">
        <v>19469.3517047405</v>
      </c>
      <c r="U24" s="132">
        <v>7305.66761054371</v>
      </c>
      <c r="V24" s="132">
        <v>1235.79241080366</v>
      </c>
      <c r="W24" s="132">
        <v>501.05636165477898</v>
      </c>
      <c r="X24" s="132">
        <v>640.76244386251506</v>
      </c>
      <c r="Y24" s="132">
        <v>91.389006663037193</v>
      </c>
      <c r="Z24" s="132">
        <v>78.0692835396448</v>
      </c>
      <c r="AA24" s="132">
        <v>16.8740867290099</v>
      </c>
      <c r="AB24" s="132">
        <v>4.0617256120063203</v>
      </c>
      <c r="AC24" s="132">
        <v>0</v>
      </c>
      <c r="AD24" s="132">
        <v>1.65309606101125</v>
      </c>
      <c r="AE24" s="132">
        <v>0</v>
      </c>
      <c r="AF24" s="132">
        <v>2.3817787895567299</v>
      </c>
      <c r="AG24" s="132">
        <v>0</v>
      </c>
      <c r="AH24" s="132">
        <v>6.5685534169916897</v>
      </c>
      <c r="AI24" s="132">
        <v>44.131592840638397</v>
      </c>
      <c r="AJ24" s="131">
        <v>23.326482011720501</v>
      </c>
      <c r="AK24" s="126">
        <v>88317.554977429536</v>
      </c>
      <c r="AM24" s="1" t="s">
        <v>16</v>
      </c>
      <c r="AN24" s="98" t="s">
        <v>136</v>
      </c>
      <c r="AO24" s="142">
        <f t="shared" si="6"/>
        <v>52266.6234876913</v>
      </c>
      <c r="AP24" s="143">
        <f t="shared" si="6"/>
        <v>1318.2711880303791</v>
      </c>
      <c r="AQ24" s="143">
        <f t="shared" si="6"/>
        <v>425.93559132771702</v>
      </c>
      <c r="AR24" s="143">
        <f t="shared" si="6"/>
        <v>31660.657888395588</v>
      </c>
      <c r="AS24" s="143">
        <f t="shared" si="6"/>
        <v>2547.0695065236359</v>
      </c>
      <c r="AT24" s="143">
        <f t="shared" si="6"/>
        <v>20.93581234101622</v>
      </c>
      <c r="AU24" s="143">
        <f t="shared" si="6"/>
        <v>1.65309606101125</v>
      </c>
      <c r="AV24" s="143">
        <f t="shared" si="6"/>
        <v>2.3817787895567299</v>
      </c>
      <c r="AW24" s="144">
        <f t="shared" si="6"/>
        <v>74.026628269350596</v>
      </c>
      <c r="AX24" s="126">
        <f t="shared" si="2"/>
        <v>88317.55497742955</v>
      </c>
    </row>
    <row r="25" spans="1:50" x14ac:dyDescent="0.25">
      <c r="A25" s="280"/>
      <c r="B25" s="98" t="s">
        <v>135</v>
      </c>
      <c r="C25" s="133">
        <v>15544.7589643012</v>
      </c>
      <c r="D25" s="132">
        <v>1423.6783662881901</v>
      </c>
      <c r="E25" s="132">
        <v>3068.0667275680298</v>
      </c>
      <c r="F25" s="132">
        <v>157.04172929716299</v>
      </c>
      <c r="G25" s="132">
        <v>379.82450573995402</v>
      </c>
      <c r="H25" s="132">
        <v>43.869239027182601</v>
      </c>
      <c r="I25" s="132">
        <v>41.112828757612697</v>
      </c>
      <c r="J25" s="132">
        <v>86.655143870680504</v>
      </c>
      <c r="K25" s="132">
        <v>46.157335562957897</v>
      </c>
      <c r="L25" s="132">
        <v>10.564143970925301</v>
      </c>
      <c r="M25" s="132">
        <v>22.6690521548086</v>
      </c>
      <c r="N25" s="132">
        <v>0</v>
      </c>
      <c r="O25" s="132">
        <v>0</v>
      </c>
      <c r="P25" s="132">
        <v>0</v>
      </c>
      <c r="Q25" s="132">
        <v>119.36927761870101</v>
      </c>
      <c r="R25" s="132">
        <v>235.11238893128501</v>
      </c>
      <c r="S25" s="132">
        <v>369.163198305967</v>
      </c>
      <c r="T25" s="132">
        <v>6305.45436585678</v>
      </c>
      <c r="U25" s="132">
        <v>6168.9739457657697</v>
      </c>
      <c r="V25" s="132">
        <v>1118.9266857128</v>
      </c>
      <c r="W25" s="132">
        <v>156.77828447071801</v>
      </c>
      <c r="X25" s="132">
        <v>221.03631175243899</v>
      </c>
      <c r="Y25" s="132">
        <v>14.1788172120102</v>
      </c>
      <c r="Z25" s="132">
        <v>39.581662661278799</v>
      </c>
      <c r="AA25" s="132">
        <v>4.8700849639807302</v>
      </c>
      <c r="AB25" s="132">
        <v>6.7407361206188501</v>
      </c>
      <c r="AC25" s="132">
        <v>0</v>
      </c>
      <c r="AD25" s="132">
        <v>0</v>
      </c>
      <c r="AE25" s="132">
        <v>0</v>
      </c>
      <c r="AF25" s="132">
        <v>0</v>
      </c>
      <c r="AG25" s="132">
        <v>0</v>
      </c>
      <c r="AH25" s="132">
        <v>0</v>
      </c>
      <c r="AI25" s="132">
        <v>37.210163102514898</v>
      </c>
      <c r="AJ25" s="131">
        <v>17.049045563002799</v>
      </c>
      <c r="AK25" s="126">
        <v>35638.843004576578</v>
      </c>
      <c r="AM25" s="1" t="s">
        <v>16</v>
      </c>
      <c r="AN25" s="98" t="s">
        <v>135</v>
      </c>
      <c r="AO25" s="142">
        <f t="shared" si="6"/>
        <v>20193.545787454583</v>
      </c>
      <c r="AP25" s="143">
        <f t="shared" si="6"/>
        <v>464.80657352474935</v>
      </c>
      <c r="AQ25" s="143">
        <f t="shared" si="6"/>
        <v>166.04567555937231</v>
      </c>
      <c r="AR25" s="143">
        <f t="shared" si="6"/>
        <v>13198.073176478501</v>
      </c>
      <c r="AS25" s="143">
        <f t="shared" si="6"/>
        <v>1550.5017618092461</v>
      </c>
      <c r="AT25" s="143">
        <f t="shared" si="6"/>
        <v>11.61082108459958</v>
      </c>
      <c r="AU25" s="143">
        <f t="shared" si="6"/>
        <v>0</v>
      </c>
      <c r="AV25" s="143">
        <f t="shared" si="6"/>
        <v>0</v>
      </c>
      <c r="AW25" s="144">
        <f t="shared" si="6"/>
        <v>54.259208665517697</v>
      </c>
      <c r="AX25" s="126">
        <f t="shared" si="2"/>
        <v>35638.843004576578</v>
      </c>
    </row>
    <row r="26" spans="1:50" x14ac:dyDescent="0.25">
      <c r="A26" s="280"/>
      <c r="B26" s="98" t="s">
        <v>134</v>
      </c>
      <c r="C26" s="133">
        <v>11041.279625004399</v>
      </c>
      <c r="D26" s="132">
        <v>1148.73266959548</v>
      </c>
      <c r="E26" s="132">
        <v>2010.94102892513</v>
      </c>
      <c r="F26" s="132">
        <v>177.008861797045</v>
      </c>
      <c r="G26" s="132">
        <v>441.414201853836</v>
      </c>
      <c r="H26" s="132">
        <v>26.226657926737801</v>
      </c>
      <c r="I26" s="132">
        <v>29.467092299712199</v>
      </c>
      <c r="J26" s="132">
        <v>17.290046558057</v>
      </c>
      <c r="K26" s="132">
        <v>7.1069041945926701</v>
      </c>
      <c r="L26" s="132">
        <v>3.5115255673871002</v>
      </c>
      <c r="M26" s="132">
        <v>33.290219537580697</v>
      </c>
      <c r="N26" s="132">
        <v>3.2461309330376902</v>
      </c>
      <c r="O26" s="132">
        <v>0</v>
      </c>
      <c r="P26" s="132">
        <v>0</v>
      </c>
      <c r="Q26" s="132">
        <v>76.2779678560359</v>
      </c>
      <c r="R26" s="132">
        <v>190.63884956206101</v>
      </c>
      <c r="S26" s="132">
        <v>341.19684624718599</v>
      </c>
      <c r="T26" s="132">
        <v>4355.1889466885596</v>
      </c>
      <c r="U26" s="132">
        <v>3613.3388592513902</v>
      </c>
      <c r="V26" s="132">
        <v>2448.5777175155399</v>
      </c>
      <c r="W26" s="132">
        <v>103.581917653456</v>
      </c>
      <c r="X26" s="132">
        <v>77.437942661018397</v>
      </c>
      <c r="Y26" s="132">
        <v>21.928384262108899</v>
      </c>
      <c r="Z26" s="132">
        <v>26.097791101819698</v>
      </c>
      <c r="AA26" s="132">
        <v>0</v>
      </c>
      <c r="AB26" s="132">
        <v>16.490729438683299</v>
      </c>
      <c r="AC26" s="132">
        <v>6.0206612942209503</v>
      </c>
      <c r="AD26" s="132">
        <v>0</v>
      </c>
      <c r="AE26" s="132">
        <v>0</v>
      </c>
      <c r="AF26" s="132">
        <v>0</v>
      </c>
      <c r="AG26" s="132">
        <v>0</v>
      </c>
      <c r="AH26" s="132">
        <v>13.835413432379401</v>
      </c>
      <c r="AI26" s="132">
        <v>176.57140751019401</v>
      </c>
      <c r="AJ26" s="131">
        <v>52.020147770328002</v>
      </c>
      <c r="AK26" s="126">
        <v>26458.718546437976</v>
      </c>
      <c r="AM26" s="1" t="s">
        <v>17</v>
      </c>
      <c r="AN26" s="98" t="s">
        <v>134</v>
      </c>
      <c r="AO26" s="142">
        <f t="shared" si="6"/>
        <v>14377.962185322054</v>
      </c>
      <c r="AP26" s="143">
        <f t="shared" si="6"/>
        <v>497.107952080286</v>
      </c>
      <c r="AQ26" s="143">
        <f t="shared" si="6"/>
        <v>64.444826790655156</v>
      </c>
      <c r="AR26" s="143">
        <f t="shared" si="6"/>
        <v>8576.6414696052325</v>
      </c>
      <c r="AS26" s="143">
        <f t="shared" si="6"/>
        <v>2677.6237531939432</v>
      </c>
      <c r="AT26" s="143">
        <f t="shared" si="6"/>
        <v>16.490729438683299</v>
      </c>
      <c r="AU26" s="143">
        <f t="shared" si="6"/>
        <v>6.0206612942209503</v>
      </c>
      <c r="AV26" s="143">
        <f t="shared" si="6"/>
        <v>0</v>
      </c>
      <c r="AW26" s="144">
        <f t="shared" si="6"/>
        <v>242.42696871290141</v>
      </c>
      <c r="AX26" s="126">
        <f t="shared" si="2"/>
        <v>26458.718546437976</v>
      </c>
    </row>
    <row r="27" spans="1:50" x14ac:dyDescent="0.25">
      <c r="A27" s="280"/>
      <c r="B27" s="98" t="s">
        <v>133</v>
      </c>
      <c r="C27" s="133">
        <v>10680.7003955618</v>
      </c>
      <c r="D27" s="132">
        <v>477.81018964997401</v>
      </c>
      <c r="E27" s="132">
        <v>1166.8855434546899</v>
      </c>
      <c r="F27" s="132">
        <v>106.71721457928901</v>
      </c>
      <c r="G27" s="132">
        <v>191.907853764756</v>
      </c>
      <c r="H27" s="132">
        <v>28.814319893930701</v>
      </c>
      <c r="I27" s="132">
        <v>10.110484776467301</v>
      </c>
      <c r="J27" s="132">
        <v>38.411346845427303</v>
      </c>
      <c r="K27" s="132">
        <v>4.4839576487070802</v>
      </c>
      <c r="L27" s="132">
        <v>18.667960077729202</v>
      </c>
      <c r="M27" s="132">
        <v>3.73479021564073</v>
      </c>
      <c r="N27" s="132">
        <v>0</v>
      </c>
      <c r="O27" s="132">
        <v>0</v>
      </c>
      <c r="P27" s="132">
        <v>0</v>
      </c>
      <c r="Q27" s="132">
        <v>135.319315121269</v>
      </c>
      <c r="R27" s="132">
        <v>53.1582438784435</v>
      </c>
      <c r="S27" s="132">
        <v>114.437644446552</v>
      </c>
      <c r="T27" s="132">
        <v>2851.8193967891698</v>
      </c>
      <c r="U27" s="132">
        <v>535.92321338209103</v>
      </c>
      <c r="V27" s="132">
        <v>37.695321404914402</v>
      </c>
      <c r="W27" s="132">
        <v>1555.5296085191301</v>
      </c>
      <c r="X27" s="132">
        <v>1187.78294265052</v>
      </c>
      <c r="Y27" s="132">
        <v>291.39300103953298</v>
      </c>
      <c r="Z27" s="132">
        <v>127.93019022688701</v>
      </c>
      <c r="AA27" s="132">
        <v>5.5500636102850898</v>
      </c>
      <c r="AB27" s="132">
        <v>0</v>
      </c>
      <c r="AC27" s="132">
        <v>0</v>
      </c>
      <c r="AD27" s="132">
        <v>0</v>
      </c>
      <c r="AE27" s="132">
        <v>0</v>
      </c>
      <c r="AF27" s="132">
        <v>0</v>
      </c>
      <c r="AG27" s="132">
        <v>0</v>
      </c>
      <c r="AH27" s="132">
        <v>0</v>
      </c>
      <c r="AI27" s="132">
        <v>0</v>
      </c>
      <c r="AJ27" s="131">
        <v>0</v>
      </c>
      <c r="AK27" s="126">
        <v>19624.782997537201</v>
      </c>
      <c r="AM27" s="1" t="s">
        <v>17</v>
      </c>
      <c r="AN27" s="98" t="s">
        <v>133</v>
      </c>
      <c r="AO27" s="142">
        <f t="shared" ref="AO27:AW40" si="7">SUMIF($C$4:$AJ$4,AO$6,$C27:$AJ27)</f>
        <v>12432.113343245752</v>
      </c>
      <c r="AP27" s="143">
        <f t="shared" si="7"/>
        <v>230.832658435154</v>
      </c>
      <c r="AQ27" s="143">
        <f t="shared" si="7"/>
        <v>65.298054787504313</v>
      </c>
      <c r="AR27" s="143">
        <f t="shared" si="7"/>
        <v>3690.6578136175253</v>
      </c>
      <c r="AS27" s="143">
        <f t="shared" si="7"/>
        <v>3200.3310638409844</v>
      </c>
      <c r="AT27" s="143">
        <f t="shared" si="7"/>
        <v>5.5500636102850898</v>
      </c>
      <c r="AU27" s="143">
        <f t="shared" si="7"/>
        <v>0</v>
      </c>
      <c r="AV27" s="143">
        <f t="shared" si="7"/>
        <v>0</v>
      </c>
      <c r="AW27" s="144">
        <f t="shared" si="7"/>
        <v>0</v>
      </c>
      <c r="AX27" s="126">
        <f t="shared" si="2"/>
        <v>19624.782997537208</v>
      </c>
    </row>
    <row r="28" spans="1:50" x14ac:dyDescent="0.25">
      <c r="A28" s="280"/>
      <c r="B28" s="98" t="s">
        <v>132</v>
      </c>
      <c r="C28" s="133">
        <v>13384.178675327499</v>
      </c>
      <c r="D28" s="132">
        <v>451.03153009250201</v>
      </c>
      <c r="E28" s="132">
        <v>923.10213376161198</v>
      </c>
      <c r="F28" s="132">
        <v>38.2748358102955</v>
      </c>
      <c r="G28" s="132">
        <v>155.2324990905</v>
      </c>
      <c r="H28" s="132">
        <v>2.0321476445168001</v>
      </c>
      <c r="I28" s="132">
        <v>23.248833733547499</v>
      </c>
      <c r="J28" s="132">
        <v>11.3586828984629</v>
      </c>
      <c r="K28" s="132">
        <v>6.5475380251190396</v>
      </c>
      <c r="L28" s="132">
        <v>0</v>
      </c>
      <c r="M28" s="132">
        <v>8.8286503613519898</v>
      </c>
      <c r="N28" s="132">
        <v>1.16884435517837</v>
      </c>
      <c r="O28" s="132">
        <v>0</v>
      </c>
      <c r="P28" s="132">
        <v>0</v>
      </c>
      <c r="Q28" s="132">
        <v>25.287323270555898</v>
      </c>
      <c r="R28" s="132">
        <v>24.891412239126101</v>
      </c>
      <c r="S28" s="132">
        <v>32.763587955552602</v>
      </c>
      <c r="T28" s="132">
        <v>2141.3776322577901</v>
      </c>
      <c r="U28" s="132">
        <v>589.24416678509999</v>
      </c>
      <c r="V28" s="132">
        <v>12.974711535694601</v>
      </c>
      <c r="W28" s="132">
        <v>220.22463688631399</v>
      </c>
      <c r="X28" s="132">
        <v>610.03401857727101</v>
      </c>
      <c r="Y28" s="132">
        <v>250.129745723063</v>
      </c>
      <c r="Z28" s="132">
        <v>34.157588714933603</v>
      </c>
      <c r="AA28" s="132">
        <v>0</v>
      </c>
      <c r="AB28" s="132">
        <v>5.1095389441967596</v>
      </c>
      <c r="AC28" s="132">
        <v>0</v>
      </c>
      <c r="AD28" s="132">
        <v>0</v>
      </c>
      <c r="AE28" s="132">
        <v>0</v>
      </c>
      <c r="AF28" s="132">
        <v>0</v>
      </c>
      <c r="AG28" s="132">
        <v>0</v>
      </c>
      <c r="AH28" s="132">
        <v>0</v>
      </c>
      <c r="AI28" s="132">
        <v>0</v>
      </c>
      <c r="AJ28" s="131">
        <v>0</v>
      </c>
      <c r="AK28" s="126">
        <v>18951.198733990179</v>
      </c>
      <c r="AM28" s="1" t="s">
        <v>17</v>
      </c>
      <c r="AN28" s="98" t="s">
        <v>132</v>
      </c>
      <c r="AO28" s="142">
        <f t="shared" si="7"/>
        <v>14796.587174991908</v>
      </c>
      <c r="AP28" s="143">
        <f t="shared" si="7"/>
        <v>180.5134804685643</v>
      </c>
      <c r="AQ28" s="143">
        <f t="shared" si="7"/>
        <v>27.903715640112299</v>
      </c>
      <c r="AR28" s="143">
        <f t="shared" si="7"/>
        <v>2813.5641225081245</v>
      </c>
      <c r="AS28" s="143">
        <f t="shared" si="7"/>
        <v>1127.5207014372761</v>
      </c>
      <c r="AT28" s="143">
        <f t="shared" si="7"/>
        <v>5.1095389441967596</v>
      </c>
      <c r="AU28" s="143">
        <f t="shared" si="7"/>
        <v>0</v>
      </c>
      <c r="AV28" s="143">
        <f t="shared" si="7"/>
        <v>0</v>
      </c>
      <c r="AW28" s="144">
        <f t="shared" si="7"/>
        <v>0</v>
      </c>
      <c r="AX28" s="126">
        <f t="shared" si="2"/>
        <v>18951.198733990183</v>
      </c>
    </row>
    <row r="29" spans="1:50" x14ac:dyDescent="0.25">
      <c r="A29" s="280"/>
      <c r="B29" s="98" t="s">
        <v>131</v>
      </c>
      <c r="C29" s="133">
        <v>3742.6934722062101</v>
      </c>
      <c r="D29" s="132">
        <v>103.545419017133</v>
      </c>
      <c r="E29" s="132">
        <v>315.64687213644697</v>
      </c>
      <c r="F29" s="132">
        <v>19.636105884367598</v>
      </c>
      <c r="G29" s="132">
        <v>58.028039090376303</v>
      </c>
      <c r="H29" s="132">
        <v>4.8264875910497098</v>
      </c>
      <c r="I29" s="132">
        <v>0</v>
      </c>
      <c r="J29" s="132">
        <v>8.6971115345184398</v>
      </c>
      <c r="K29" s="132">
        <v>75.775342420190299</v>
      </c>
      <c r="L29" s="132">
        <v>0</v>
      </c>
      <c r="M29" s="132">
        <v>42.685725955894902</v>
      </c>
      <c r="N29" s="132">
        <v>3.2889965052646799</v>
      </c>
      <c r="O29" s="132">
        <v>0</v>
      </c>
      <c r="P29" s="132">
        <v>0</v>
      </c>
      <c r="Q29" s="132">
        <v>47.373702657035103</v>
      </c>
      <c r="R29" s="132">
        <v>5.8259492212830004</v>
      </c>
      <c r="S29" s="132">
        <v>19.0524625408963</v>
      </c>
      <c r="T29" s="132">
        <v>567.71028022385099</v>
      </c>
      <c r="U29" s="132">
        <v>70.576659942088</v>
      </c>
      <c r="V29" s="132">
        <v>1.5614945810882801</v>
      </c>
      <c r="W29" s="132">
        <v>35.152763285051797</v>
      </c>
      <c r="X29" s="132">
        <v>50.160095054688199</v>
      </c>
      <c r="Y29" s="132">
        <v>15.1537243861611</v>
      </c>
      <c r="Z29" s="132">
        <v>16.332940199794901</v>
      </c>
      <c r="AA29" s="132">
        <v>0</v>
      </c>
      <c r="AB29" s="132">
        <v>0</v>
      </c>
      <c r="AC29" s="132">
        <v>0</v>
      </c>
      <c r="AD29" s="132">
        <v>0</v>
      </c>
      <c r="AE29" s="132">
        <v>0</v>
      </c>
      <c r="AF29" s="132">
        <v>0</v>
      </c>
      <c r="AG29" s="132">
        <v>0</v>
      </c>
      <c r="AH29" s="132">
        <v>0</v>
      </c>
      <c r="AI29" s="132">
        <v>0</v>
      </c>
      <c r="AJ29" s="131">
        <v>0</v>
      </c>
      <c r="AK29" s="126">
        <v>5203.7236444333894</v>
      </c>
      <c r="AM29" s="1" t="s">
        <v>17</v>
      </c>
      <c r="AN29" s="98" t="s">
        <v>131</v>
      </c>
      <c r="AO29" s="142">
        <f t="shared" si="7"/>
        <v>4181.5218692441576</v>
      </c>
      <c r="AP29" s="143">
        <f t="shared" si="7"/>
        <v>62.854526681426016</v>
      </c>
      <c r="AQ29" s="143">
        <f t="shared" si="7"/>
        <v>130.44717641586834</v>
      </c>
      <c r="AR29" s="143">
        <f t="shared" si="7"/>
        <v>710.53905458515339</v>
      </c>
      <c r="AS29" s="143">
        <f t="shared" si="7"/>
        <v>118.36101750678428</v>
      </c>
      <c r="AT29" s="143">
        <f t="shared" si="7"/>
        <v>0</v>
      </c>
      <c r="AU29" s="143">
        <f t="shared" si="7"/>
        <v>0</v>
      </c>
      <c r="AV29" s="143">
        <f t="shared" si="7"/>
        <v>0</v>
      </c>
      <c r="AW29" s="144">
        <f t="shared" si="7"/>
        <v>0</v>
      </c>
      <c r="AX29" s="126">
        <f t="shared" si="2"/>
        <v>5203.7236444333894</v>
      </c>
    </row>
    <row r="30" spans="1:50" x14ac:dyDescent="0.25">
      <c r="A30" s="280"/>
      <c r="B30" s="98" t="s">
        <v>130</v>
      </c>
      <c r="C30" s="133">
        <v>4311.2909822566398</v>
      </c>
      <c r="D30" s="132">
        <v>404.56318311553298</v>
      </c>
      <c r="E30" s="132">
        <v>869.78032907199997</v>
      </c>
      <c r="F30" s="132">
        <v>71.689636769562597</v>
      </c>
      <c r="G30" s="132">
        <v>276.89227978572399</v>
      </c>
      <c r="H30" s="132">
        <v>36.478592066564097</v>
      </c>
      <c r="I30" s="132">
        <v>8.8706359994387896</v>
      </c>
      <c r="J30" s="132">
        <v>17.0025140860219</v>
      </c>
      <c r="K30" s="132">
        <v>49.1216145502922</v>
      </c>
      <c r="L30" s="132">
        <v>5.5199996010600199</v>
      </c>
      <c r="M30" s="132">
        <v>16.8363057947358</v>
      </c>
      <c r="N30" s="132">
        <v>7.7853852956084797</v>
      </c>
      <c r="O30" s="132">
        <v>4.9583496416514397</v>
      </c>
      <c r="P30" s="132">
        <v>0</v>
      </c>
      <c r="Q30" s="132">
        <v>24.0566532772933</v>
      </c>
      <c r="R30" s="132">
        <v>46.0147354696267</v>
      </c>
      <c r="S30" s="132">
        <v>114.48668632373401</v>
      </c>
      <c r="T30" s="132">
        <v>1744.12559636937</v>
      </c>
      <c r="U30" s="132">
        <v>300.26217147943498</v>
      </c>
      <c r="V30" s="132">
        <v>90.000344237761894</v>
      </c>
      <c r="W30" s="132">
        <v>659.921890062069</v>
      </c>
      <c r="X30" s="132">
        <v>703.44199513312003</v>
      </c>
      <c r="Y30" s="132">
        <v>215.378059806187</v>
      </c>
      <c r="Z30" s="132">
        <v>1326.15014057898</v>
      </c>
      <c r="AA30" s="132">
        <v>2.89417323308282</v>
      </c>
      <c r="AB30" s="132">
        <v>1.6876650686525001</v>
      </c>
      <c r="AC30" s="132">
        <v>0</v>
      </c>
      <c r="AD30" s="132">
        <v>0</v>
      </c>
      <c r="AE30" s="132">
        <v>0</v>
      </c>
      <c r="AF30" s="132">
        <v>0</v>
      </c>
      <c r="AG30" s="132">
        <v>0</v>
      </c>
      <c r="AH30" s="132">
        <v>2.5611530598771401</v>
      </c>
      <c r="AI30" s="132">
        <v>2.6499473189984899</v>
      </c>
      <c r="AJ30" s="131">
        <v>3.8616979001972598</v>
      </c>
      <c r="AK30" s="126">
        <v>11318.282717353217</v>
      </c>
      <c r="AM30" s="1" t="s">
        <v>17</v>
      </c>
      <c r="AN30" s="98" t="s">
        <v>130</v>
      </c>
      <c r="AO30" s="142">
        <f t="shared" si="7"/>
        <v>5657.3241312137361</v>
      </c>
      <c r="AP30" s="143">
        <f t="shared" si="7"/>
        <v>322.24150785172685</v>
      </c>
      <c r="AQ30" s="143">
        <f t="shared" si="7"/>
        <v>101.22416896936983</v>
      </c>
      <c r="AR30" s="143">
        <f t="shared" si="7"/>
        <v>2228.9458429194592</v>
      </c>
      <c r="AS30" s="143">
        <f t="shared" si="7"/>
        <v>2994.8924298181178</v>
      </c>
      <c r="AT30" s="143">
        <f t="shared" si="7"/>
        <v>4.5818383017353206</v>
      </c>
      <c r="AU30" s="143">
        <f t="shared" si="7"/>
        <v>0</v>
      </c>
      <c r="AV30" s="143">
        <f t="shared" si="7"/>
        <v>0</v>
      </c>
      <c r="AW30" s="144">
        <f t="shared" si="7"/>
        <v>9.0727982790728898</v>
      </c>
      <c r="AX30" s="126">
        <f t="shared" si="2"/>
        <v>11318.282717353217</v>
      </c>
    </row>
    <row r="31" spans="1:50" x14ac:dyDescent="0.25">
      <c r="A31" s="280"/>
      <c r="B31" s="98" t="s">
        <v>129</v>
      </c>
      <c r="C31" s="133">
        <v>1740.93972400897</v>
      </c>
      <c r="D31" s="132">
        <v>168.05045336005901</v>
      </c>
      <c r="E31" s="132">
        <v>271.57128463473498</v>
      </c>
      <c r="F31" s="132">
        <v>19.481038107618101</v>
      </c>
      <c r="G31" s="132">
        <v>60.617469178758903</v>
      </c>
      <c r="H31" s="132">
        <v>0.74048776187541498</v>
      </c>
      <c r="I31" s="132">
        <v>0</v>
      </c>
      <c r="J31" s="132">
        <v>1.2924586822248301</v>
      </c>
      <c r="K31" s="132">
        <v>0</v>
      </c>
      <c r="L31" s="132">
        <v>0</v>
      </c>
      <c r="M31" s="132">
        <v>1.6499217600596701</v>
      </c>
      <c r="N31" s="132">
        <v>0</v>
      </c>
      <c r="O31" s="132">
        <v>0</v>
      </c>
      <c r="P31" s="132">
        <v>0</v>
      </c>
      <c r="Q31" s="132">
        <v>14.487439364479201</v>
      </c>
      <c r="R31" s="132">
        <v>23.600351451031401</v>
      </c>
      <c r="S31" s="132">
        <v>25.8897698285455</v>
      </c>
      <c r="T31" s="132">
        <v>273.124022910907</v>
      </c>
      <c r="U31" s="132">
        <v>70.343886986109297</v>
      </c>
      <c r="V31" s="132">
        <v>8.8870351501565708</v>
      </c>
      <c r="W31" s="132">
        <v>6.8410151365783296</v>
      </c>
      <c r="X31" s="132">
        <v>42.224007318369601</v>
      </c>
      <c r="Y31" s="132">
        <v>7.8147699495987402</v>
      </c>
      <c r="Z31" s="132">
        <v>3.6262332719494101</v>
      </c>
      <c r="AA31" s="132">
        <v>12.794045155932</v>
      </c>
      <c r="AB31" s="132">
        <v>0</v>
      </c>
      <c r="AC31" s="132">
        <v>68.533875199184195</v>
      </c>
      <c r="AD31" s="132">
        <v>0.50894079286041405</v>
      </c>
      <c r="AE31" s="132">
        <v>2.7889009458028702</v>
      </c>
      <c r="AF31" s="132">
        <v>0</v>
      </c>
      <c r="AG31" s="132">
        <v>0</v>
      </c>
      <c r="AH31" s="132">
        <v>0</v>
      </c>
      <c r="AI31" s="132">
        <v>0</v>
      </c>
      <c r="AJ31" s="131">
        <v>0</v>
      </c>
      <c r="AK31" s="126">
        <v>2825.8071309558054</v>
      </c>
      <c r="AM31" s="1" t="s">
        <v>18</v>
      </c>
      <c r="AN31" s="98" t="s">
        <v>129</v>
      </c>
      <c r="AO31" s="142">
        <f t="shared" si="7"/>
        <v>2200.0425001113822</v>
      </c>
      <c r="AP31" s="143">
        <f t="shared" si="7"/>
        <v>61.357956940634317</v>
      </c>
      <c r="AQ31" s="143">
        <f t="shared" si="7"/>
        <v>2.9423804422845001</v>
      </c>
      <c r="AR31" s="143">
        <f t="shared" si="7"/>
        <v>407.44547054107238</v>
      </c>
      <c r="AS31" s="143">
        <f t="shared" si="7"/>
        <v>69.393060826652658</v>
      </c>
      <c r="AT31" s="143">
        <f t="shared" si="7"/>
        <v>12.794045155932</v>
      </c>
      <c r="AU31" s="143">
        <f t="shared" si="7"/>
        <v>69.042815992044609</v>
      </c>
      <c r="AV31" s="143">
        <f t="shared" si="7"/>
        <v>2.7889009458028702</v>
      </c>
      <c r="AW31" s="144">
        <f t="shared" si="7"/>
        <v>0</v>
      </c>
      <c r="AX31" s="126">
        <f t="shared" si="2"/>
        <v>2825.8071309558054</v>
      </c>
    </row>
    <row r="32" spans="1:50" x14ac:dyDescent="0.25">
      <c r="A32" s="280"/>
      <c r="B32" s="98" t="s">
        <v>128</v>
      </c>
      <c r="C32" s="133">
        <v>515.71029423125697</v>
      </c>
      <c r="D32" s="132">
        <v>62.065726617312301</v>
      </c>
      <c r="E32" s="132">
        <v>119.35847653306899</v>
      </c>
      <c r="F32" s="132">
        <v>25.146992456527499</v>
      </c>
      <c r="G32" s="132">
        <v>16.376108232225299</v>
      </c>
      <c r="H32" s="132">
        <v>0</v>
      </c>
      <c r="I32" s="132">
        <v>5.6890548421651701</v>
      </c>
      <c r="J32" s="132">
        <v>1.01655310190565</v>
      </c>
      <c r="K32" s="132">
        <v>0</v>
      </c>
      <c r="L32" s="132">
        <v>0</v>
      </c>
      <c r="M32" s="132">
        <v>0</v>
      </c>
      <c r="N32" s="132">
        <v>0</v>
      </c>
      <c r="O32" s="132">
        <v>0</v>
      </c>
      <c r="P32" s="132">
        <v>0</v>
      </c>
      <c r="Q32" s="132">
        <v>0</v>
      </c>
      <c r="R32" s="132">
        <v>4.7912034473658904</v>
      </c>
      <c r="S32" s="132">
        <v>0</v>
      </c>
      <c r="T32" s="132">
        <v>142.75669165992801</v>
      </c>
      <c r="U32" s="132">
        <v>78.132663092387304</v>
      </c>
      <c r="V32" s="132">
        <v>0</v>
      </c>
      <c r="W32" s="132">
        <v>42.737265265198801</v>
      </c>
      <c r="X32" s="132">
        <v>0</v>
      </c>
      <c r="Y32" s="132">
        <v>18.7822084822464</v>
      </c>
      <c r="Z32" s="132">
        <v>0</v>
      </c>
      <c r="AA32" s="132">
        <v>0</v>
      </c>
      <c r="AB32" s="132">
        <v>0</v>
      </c>
      <c r="AC32" s="132">
        <v>5.0104928571781198</v>
      </c>
      <c r="AD32" s="132">
        <v>0</v>
      </c>
      <c r="AE32" s="132">
        <v>0</v>
      </c>
      <c r="AF32" s="132">
        <v>0</v>
      </c>
      <c r="AG32" s="132">
        <v>0</v>
      </c>
      <c r="AH32" s="132">
        <v>0</v>
      </c>
      <c r="AI32" s="132">
        <v>0</v>
      </c>
      <c r="AJ32" s="131">
        <v>0</v>
      </c>
      <c r="AK32" s="126">
        <v>1037.5737308187668</v>
      </c>
      <c r="AM32" s="1" t="s">
        <v>18</v>
      </c>
      <c r="AN32" s="98" t="s">
        <v>128</v>
      </c>
      <c r="AO32" s="142">
        <f t="shared" si="7"/>
        <v>722.28148983816584</v>
      </c>
      <c r="AP32" s="143">
        <f t="shared" si="7"/>
        <v>22.065163074390469</v>
      </c>
      <c r="AQ32" s="143">
        <f t="shared" si="7"/>
        <v>1.01655310190565</v>
      </c>
      <c r="AR32" s="143">
        <f t="shared" si="7"/>
        <v>225.6805581996812</v>
      </c>
      <c r="AS32" s="143">
        <f t="shared" si="7"/>
        <v>61.519473747445204</v>
      </c>
      <c r="AT32" s="143">
        <f t="shared" si="7"/>
        <v>0</v>
      </c>
      <c r="AU32" s="143">
        <f t="shared" si="7"/>
        <v>5.0104928571781198</v>
      </c>
      <c r="AV32" s="143">
        <f t="shared" si="7"/>
        <v>0</v>
      </c>
      <c r="AW32" s="144">
        <f t="shared" si="7"/>
        <v>0</v>
      </c>
      <c r="AX32" s="126">
        <f t="shared" si="2"/>
        <v>1037.5737308187665</v>
      </c>
    </row>
    <row r="33" spans="1:50" x14ac:dyDescent="0.25">
      <c r="A33" s="280"/>
      <c r="B33" s="98" t="s">
        <v>19</v>
      </c>
      <c r="C33" s="133">
        <v>324.187850245856</v>
      </c>
      <c r="D33" s="132">
        <v>31.5723971088936</v>
      </c>
      <c r="E33" s="132">
        <v>3.8675363324108201</v>
      </c>
      <c r="F33" s="132">
        <v>0</v>
      </c>
      <c r="G33" s="132">
        <v>0.97413681276793496</v>
      </c>
      <c r="H33" s="132">
        <v>0</v>
      </c>
      <c r="I33" s="132">
        <v>0</v>
      </c>
      <c r="J33" s="132">
        <v>1.3039414347193701</v>
      </c>
      <c r="K33" s="132">
        <v>0</v>
      </c>
      <c r="L33" s="132">
        <v>0</v>
      </c>
      <c r="M33" s="132">
        <v>0</v>
      </c>
      <c r="N33" s="132">
        <v>0</v>
      </c>
      <c r="O33" s="132">
        <v>0</v>
      </c>
      <c r="P33" s="132">
        <v>0</v>
      </c>
      <c r="Q33" s="132">
        <v>5.0294856038968799E-2</v>
      </c>
      <c r="R33" s="132">
        <v>10.6831535316132</v>
      </c>
      <c r="S33" s="132">
        <v>1.1838218586779801</v>
      </c>
      <c r="T33" s="132">
        <v>48.679683234955597</v>
      </c>
      <c r="U33" s="132">
        <v>5.7480714375468596</v>
      </c>
      <c r="V33" s="132">
        <v>18.818811643363102</v>
      </c>
      <c r="W33" s="132">
        <v>0</v>
      </c>
      <c r="X33" s="132">
        <v>0</v>
      </c>
      <c r="Y33" s="132">
        <v>0</v>
      </c>
      <c r="Z33" s="132">
        <v>0</v>
      </c>
      <c r="AA33" s="132">
        <v>16.259756137825299</v>
      </c>
      <c r="AB33" s="132">
        <v>2.1145877899302699</v>
      </c>
      <c r="AC33" s="132">
        <v>331.28894058372703</v>
      </c>
      <c r="AD33" s="132">
        <v>41.1221923454315</v>
      </c>
      <c r="AE33" s="132">
        <v>0</v>
      </c>
      <c r="AF33" s="132">
        <v>0</v>
      </c>
      <c r="AG33" s="132">
        <v>0</v>
      </c>
      <c r="AH33" s="132">
        <v>0</v>
      </c>
      <c r="AI33" s="132">
        <v>0</v>
      </c>
      <c r="AJ33" s="131">
        <v>0</v>
      </c>
      <c r="AK33" s="126">
        <v>837.85517535375755</v>
      </c>
      <c r="AM33" s="1" t="s">
        <v>19</v>
      </c>
      <c r="AN33" s="98" t="s">
        <v>19</v>
      </c>
      <c r="AO33" s="142">
        <f t="shared" si="7"/>
        <v>359.62778368716039</v>
      </c>
      <c r="AP33" s="143">
        <f t="shared" si="7"/>
        <v>0.97413681276793496</v>
      </c>
      <c r="AQ33" s="143">
        <f t="shared" si="7"/>
        <v>1.3039414347193701</v>
      </c>
      <c r="AR33" s="143">
        <f t="shared" si="7"/>
        <v>66.345024918832607</v>
      </c>
      <c r="AS33" s="143">
        <f t="shared" si="7"/>
        <v>18.818811643363102</v>
      </c>
      <c r="AT33" s="143">
        <f t="shared" si="7"/>
        <v>18.374343927755568</v>
      </c>
      <c r="AU33" s="143">
        <f t="shared" si="7"/>
        <v>372.4111329291585</v>
      </c>
      <c r="AV33" s="143">
        <f t="shared" si="7"/>
        <v>0</v>
      </c>
      <c r="AW33" s="144">
        <f t="shared" si="7"/>
        <v>0</v>
      </c>
      <c r="AX33" s="126">
        <f t="shared" si="2"/>
        <v>837.85517535375743</v>
      </c>
    </row>
    <row r="34" spans="1:50" x14ac:dyDescent="0.25">
      <c r="A34" s="280"/>
      <c r="B34" s="98" t="s">
        <v>127</v>
      </c>
      <c r="C34" s="133">
        <v>71.780512265238698</v>
      </c>
      <c r="D34" s="132">
        <v>0</v>
      </c>
      <c r="E34" s="132">
        <v>0</v>
      </c>
      <c r="F34" s="132">
        <v>2.4515177353087099</v>
      </c>
      <c r="G34" s="132">
        <v>0</v>
      </c>
      <c r="H34" s="132">
        <v>0</v>
      </c>
      <c r="I34" s="132">
        <v>0</v>
      </c>
      <c r="J34" s="132">
        <v>0</v>
      </c>
      <c r="K34" s="132">
        <v>0</v>
      </c>
      <c r="L34" s="132">
        <v>0</v>
      </c>
      <c r="M34" s="132">
        <v>0</v>
      </c>
      <c r="N34" s="132">
        <v>0</v>
      </c>
      <c r="O34" s="132">
        <v>0</v>
      </c>
      <c r="P34" s="132">
        <v>0</v>
      </c>
      <c r="Q34" s="132">
        <v>0</v>
      </c>
      <c r="R34" s="132">
        <v>0</v>
      </c>
      <c r="S34" s="132">
        <v>0</v>
      </c>
      <c r="T34" s="132">
        <v>18.898699212034401</v>
      </c>
      <c r="U34" s="132">
        <v>0</v>
      </c>
      <c r="V34" s="132">
        <v>0</v>
      </c>
      <c r="W34" s="132">
        <v>0</v>
      </c>
      <c r="X34" s="132">
        <v>0</v>
      </c>
      <c r="Y34" s="132">
        <v>0</v>
      </c>
      <c r="Z34" s="132">
        <v>0</v>
      </c>
      <c r="AA34" s="132">
        <v>0</v>
      </c>
      <c r="AB34" s="132">
        <v>0.62916471013606001</v>
      </c>
      <c r="AC34" s="132">
        <v>32.584247936348397</v>
      </c>
      <c r="AD34" s="132">
        <v>40.286833764472803</v>
      </c>
      <c r="AE34" s="132">
        <v>0</v>
      </c>
      <c r="AF34" s="132">
        <v>0</v>
      </c>
      <c r="AG34" s="132">
        <v>0</v>
      </c>
      <c r="AH34" s="132">
        <v>0</v>
      </c>
      <c r="AI34" s="132">
        <v>0</v>
      </c>
      <c r="AJ34" s="131">
        <v>0</v>
      </c>
      <c r="AK34" s="126">
        <v>166.63097562353909</v>
      </c>
      <c r="AM34" s="1" t="s">
        <v>19</v>
      </c>
      <c r="AN34" s="98" t="s">
        <v>127</v>
      </c>
      <c r="AO34" s="142">
        <f t="shared" si="7"/>
        <v>74.232030000547411</v>
      </c>
      <c r="AP34" s="143">
        <f t="shared" si="7"/>
        <v>0</v>
      </c>
      <c r="AQ34" s="143">
        <f t="shared" si="7"/>
        <v>0</v>
      </c>
      <c r="AR34" s="143">
        <f t="shared" si="7"/>
        <v>18.898699212034401</v>
      </c>
      <c r="AS34" s="143">
        <f t="shared" si="7"/>
        <v>0</v>
      </c>
      <c r="AT34" s="143">
        <f t="shared" si="7"/>
        <v>0.62916471013606001</v>
      </c>
      <c r="AU34" s="143">
        <f t="shared" si="7"/>
        <v>72.871081700821208</v>
      </c>
      <c r="AV34" s="143">
        <f t="shared" si="7"/>
        <v>0</v>
      </c>
      <c r="AW34" s="144">
        <f t="shared" si="7"/>
        <v>0</v>
      </c>
      <c r="AX34" s="126">
        <f t="shared" si="2"/>
        <v>166.63097562353909</v>
      </c>
    </row>
    <row r="35" spans="1:50" x14ac:dyDescent="0.25">
      <c r="A35" s="280"/>
      <c r="B35" s="98" t="s">
        <v>126</v>
      </c>
      <c r="C35" s="133">
        <v>1070.8751128075301</v>
      </c>
      <c r="D35" s="132">
        <v>48.841675991280603</v>
      </c>
      <c r="E35" s="132">
        <v>60.721963373986</v>
      </c>
      <c r="F35" s="132">
        <v>0</v>
      </c>
      <c r="G35" s="132">
        <v>0</v>
      </c>
      <c r="H35" s="132">
        <v>5.5585302373707304</v>
      </c>
      <c r="I35" s="132">
        <v>0</v>
      </c>
      <c r="J35" s="132">
        <v>0</v>
      </c>
      <c r="K35" s="132">
        <v>0</v>
      </c>
      <c r="L35" s="132">
        <v>0</v>
      </c>
      <c r="M35" s="132">
        <v>0</v>
      </c>
      <c r="N35" s="132">
        <v>0</v>
      </c>
      <c r="O35" s="132">
        <v>0</v>
      </c>
      <c r="P35" s="132">
        <v>0</v>
      </c>
      <c r="Q35" s="132">
        <v>0</v>
      </c>
      <c r="R35" s="132">
        <v>0</v>
      </c>
      <c r="S35" s="132">
        <v>0</v>
      </c>
      <c r="T35" s="132">
        <v>0</v>
      </c>
      <c r="U35" s="132">
        <v>2.9597975190507002</v>
      </c>
      <c r="V35" s="132">
        <v>0</v>
      </c>
      <c r="W35" s="132">
        <v>0</v>
      </c>
      <c r="X35" s="132">
        <v>0</v>
      </c>
      <c r="Y35" s="132">
        <v>0</v>
      </c>
      <c r="Z35" s="132">
        <v>0</v>
      </c>
      <c r="AA35" s="132">
        <v>0</v>
      </c>
      <c r="AB35" s="132">
        <v>0</v>
      </c>
      <c r="AC35" s="132">
        <v>14.473568841328801</v>
      </c>
      <c r="AD35" s="132">
        <v>0</v>
      </c>
      <c r="AE35" s="132">
        <v>537.15743458839495</v>
      </c>
      <c r="AF35" s="132">
        <v>316.00860474283297</v>
      </c>
      <c r="AG35" s="132">
        <v>7.6153836010978102</v>
      </c>
      <c r="AH35" s="132">
        <v>48.862013539703298</v>
      </c>
      <c r="AI35" s="132">
        <v>136.36169941970499</v>
      </c>
      <c r="AJ35" s="131">
        <v>32.126533551268999</v>
      </c>
      <c r="AK35" s="126">
        <v>2281.5623182135496</v>
      </c>
      <c r="AM35" s="1" t="s">
        <v>20</v>
      </c>
      <c r="AN35" s="98" t="s">
        <v>126</v>
      </c>
      <c r="AO35" s="142">
        <f t="shared" si="7"/>
        <v>1180.4387521727967</v>
      </c>
      <c r="AP35" s="143">
        <f t="shared" si="7"/>
        <v>5.5585302373707304</v>
      </c>
      <c r="AQ35" s="143">
        <f t="shared" si="7"/>
        <v>0</v>
      </c>
      <c r="AR35" s="143">
        <f t="shared" si="7"/>
        <v>2.9597975190507002</v>
      </c>
      <c r="AS35" s="143">
        <f t="shared" si="7"/>
        <v>0</v>
      </c>
      <c r="AT35" s="143">
        <f t="shared" si="7"/>
        <v>0</v>
      </c>
      <c r="AU35" s="143">
        <f t="shared" si="7"/>
        <v>14.473568841328801</v>
      </c>
      <c r="AV35" s="143">
        <f t="shared" si="7"/>
        <v>860.78142293232577</v>
      </c>
      <c r="AW35" s="144">
        <f t="shared" si="7"/>
        <v>217.35024651067729</v>
      </c>
      <c r="AX35" s="126">
        <f t="shared" si="2"/>
        <v>2281.56231821355</v>
      </c>
    </row>
    <row r="36" spans="1:50" x14ac:dyDescent="0.25">
      <c r="A36" s="280"/>
      <c r="B36" s="98" t="s">
        <v>125</v>
      </c>
      <c r="C36" s="133">
        <v>578.24788977287096</v>
      </c>
      <c r="D36" s="132">
        <v>17.099950283997</v>
      </c>
      <c r="E36" s="132">
        <v>26.421309676392099</v>
      </c>
      <c r="F36" s="132">
        <v>10.7485401785124</v>
      </c>
      <c r="G36" s="132">
        <v>6.9214084482519302</v>
      </c>
      <c r="H36" s="132">
        <v>0</v>
      </c>
      <c r="I36" s="132">
        <v>0</v>
      </c>
      <c r="J36" s="132">
        <v>0</v>
      </c>
      <c r="K36" s="132">
        <v>0</v>
      </c>
      <c r="L36" s="132">
        <v>0</v>
      </c>
      <c r="M36" s="132">
        <v>0</v>
      </c>
      <c r="N36" s="132">
        <v>0</v>
      </c>
      <c r="O36" s="132">
        <v>0</v>
      </c>
      <c r="P36" s="132">
        <v>0</v>
      </c>
      <c r="Q36" s="132">
        <v>0</v>
      </c>
      <c r="R36" s="132">
        <v>0</v>
      </c>
      <c r="S36" s="132">
        <v>2.1512303161520698</v>
      </c>
      <c r="T36" s="132">
        <v>0</v>
      </c>
      <c r="U36" s="132">
        <v>8.2079761363185604</v>
      </c>
      <c r="V36" s="132">
        <v>8.7971863229388294</v>
      </c>
      <c r="W36" s="132">
        <v>15.5120977576259</v>
      </c>
      <c r="X36" s="132">
        <v>0</v>
      </c>
      <c r="Y36" s="132">
        <v>0</v>
      </c>
      <c r="Z36" s="132">
        <v>0</v>
      </c>
      <c r="AA36" s="132">
        <v>0</v>
      </c>
      <c r="AB36" s="132">
        <v>0</v>
      </c>
      <c r="AC36" s="132">
        <v>0</v>
      </c>
      <c r="AD36" s="132">
        <v>0</v>
      </c>
      <c r="AE36" s="132">
        <v>299.378802321379</v>
      </c>
      <c r="AF36" s="132">
        <v>2090.0994026687399</v>
      </c>
      <c r="AG36" s="132">
        <v>75.441262343158002</v>
      </c>
      <c r="AH36" s="132">
        <v>18.1920459374346</v>
      </c>
      <c r="AI36" s="132">
        <v>38.242434946367297</v>
      </c>
      <c r="AJ36" s="131">
        <v>0</v>
      </c>
      <c r="AK36" s="126">
        <v>3195.4615371101386</v>
      </c>
      <c r="AM36" s="1" t="s">
        <v>20</v>
      </c>
      <c r="AN36" s="98" t="s">
        <v>125</v>
      </c>
      <c r="AO36" s="142">
        <f t="shared" si="7"/>
        <v>632.51768991177244</v>
      </c>
      <c r="AP36" s="143">
        <f t="shared" si="7"/>
        <v>6.9214084482519302</v>
      </c>
      <c r="AQ36" s="143">
        <f t="shared" si="7"/>
        <v>0</v>
      </c>
      <c r="AR36" s="143">
        <f t="shared" si="7"/>
        <v>10.35920645247063</v>
      </c>
      <c r="AS36" s="143">
        <f t="shared" si="7"/>
        <v>24.30928408056473</v>
      </c>
      <c r="AT36" s="143">
        <f t="shared" si="7"/>
        <v>0</v>
      </c>
      <c r="AU36" s="143">
        <f t="shared" si="7"/>
        <v>0</v>
      </c>
      <c r="AV36" s="143">
        <f t="shared" si="7"/>
        <v>2464.9194673332768</v>
      </c>
      <c r="AW36" s="144">
        <f t="shared" si="7"/>
        <v>56.434480883801896</v>
      </c>
      <c r="AX36" s="126">
        <f t="shared" si="2"/>
        <v>3195.4615371101381</v>
      </c>
    </row>
    <row r="37" spans="1:50" x14ac:dyDescent="0.25">
      <c r="A37" s="280"/>
      <c r="B37" s="98" t="s">
        <v>124</v>
      </c>
      <c r="C37" s="133">
        <v>60.288610348889797</v>
      </c>
      <c r="D37" s="132">
        <v>0</v>
      </c>
      <c r="E37" s="132">
        <v>9.4917318111359492</v>
      </c>
      <c r="F37" s="132">
        <v>26.6479044629661</v>
      </c>
      <c r="G37" s="132">
        <v>0</v>
      </c>
      <c r="H37" s="132">
        <v>0</v>
      </c>
      <c r="I37" s="132">
        <v>0</v>
      </c>
      <c r="J37" s="132">
        <v>0</v>
      </c>
      <c r="K37" s="132">
        <v>0</v>
      </c>
      <c r="L37" s="132">
        <v>0</v>
      </c>
      <c r="M37" s="132">
        <v>0</v>
      </c>
      <c r="N37" s="132">
        <v>0</v>
      </c>
      <c r="O37" s="132">
        <v>0</v>
      </c>
      <c r="P37" s="132">
        <v>0</v>
      </c>
      <c r="Q37" s="132">
        <v>0</v>
      </c>
      <c r="R37" s="132">
        <v>0</v>
      </c>
      <c r="S37" s="132">
        <v>0</v>
      </c>
      <c r="T37" s="132">
        <v>0</v>
      </c>
      <c r="U37" s="132">
        <v>0</v>
      </c>
      <c r="V37" s="132">
        <v>0</v>
      </c>
      <c r="W37" s="132">
        <v>0</v>
      </c>
      <c r="X37" s="132">
        <v>0</v>
      </c>
      <c r="Y37" s="132">
        <v>0</v>
      </c>
      <c r="Z37" s="132">
        <v>0</v>
      </c>
      <c r="AA37" s="132">
        <v>0</v>
      </c>
      <c r="AB37" s="132">
        <v>0</v>
      </c>
      <c r="AC37" s="132">
        <v>0</v>
      </c>
      <c r="AD37" s="132">
        <v>0</v>
      </c>
      <c r="AE37" s="132">
        <v>8.6331862182765509</v>
      </c>
      <c r="AF37" s="132">
        <v>287.50197514763101</v>
      </c>
      <c r="AG37" s="132">
        <v>104.244576427308</v>
      </c>
      <c r="AH37" s="132">
        <v>0</v>
      </c>
      <c r="AI37" s="132">
        <v>0</v>
      </c>
      <c r="AJ37" s="131">
        <v>0</v>
      </c>
      <c r="AK37" s="126">
        <v>496.80798441620743</v>
      </c>
      <c r="AM37" s="1" t="s">
        <v>20</v>
      </c>
      <c r="AN37" s="98" t="s">
        <v>124</v>
      </c>
      <c r="AO37" s="142">
        <f t="shared" si="7"/>
        <v>96.42824662299185</v>
      </c>
      <c r="AP37" s="143">
        <f t="shared" si="7"/>
        <v>0</v>
      </c>
      <c r="AQ37" s="143">
        <f t="shared" si="7"/>
        <v>0</v>
      </c>
      <c r="AR37" s="143">
        <f t="shared" si="7"/>
        <v>0</v>
      </c>
      <c r="AS37" s="143">
        <f t="shared" si="7"/>
        <v>0</v>
      </c>
      <c r="AT37" s="143">
        <f t="shared" si="7"/>
        <v>0</v>
      </c>
      <c r="AU37" s="143">
        <f t="shared" si="7"/>
        <v>0</v>
      </c>
      <c r="AV37" s="143">
        <f t="shared" si="7"/>
        <v>400.37973779321555</v>
      </c>
      <c r="AW37" s="144">
        <f t="shared" si="7"/>
        <v>0</v>
      </c>
      <c r="AX37" s="126">
        <f t="shared" si="2"/>
        <v>496.80798441620743</v>
      </c>
    </row>
    <row r="38" spans="1:50" x14ac:dyDescent="0.25">
      <c r="A38" s="280"/>
      <c r="B38" s="98" t="s">
        <v>123</v>
      </c>
      <c r="C38" s="133">
        <v>1241.5437601999499</v>
      </c>
      <c r="D38" s="132">
        <v>18.467946306716801</v>
      </c>
      <c r="E38" s="132">
        <v>59.554730577840303</v>
      </c>
      <c r="F38" s="132">
        <v>0</v>
      </c>
      <c r="G38" s="132">
        <v>0</v>
      </c>
      <c r="H38" s="132">
        <v>0</v>
      </c>
      <c r="I38" s="132">
        <v>0</v>
      </c>
      <c r="J38" s="132">
        <v>0</v>
      </c>
      <c r="K38" s="132">
        <v>0</v>
      </c>
      <c r="L38" s="132">
        <v>0</v>
      </c>
      <c r="M38" s="132">
        <v>0</v>
      </c>
      <c r="N38" s="132">
        <v>0</v>
      </c>
      <c r="O38" s="132">
        <v>0</v>
      </c>
      <c r="P38" s="132">
        <v>0</v>
      </c>
      <c r="Q38" s="132">
        <v>0</v>
      </c>
      <c r="R38" s="132">
        <v>5.5914134007632903</v>
      </c>
      <c r="S38" s="132">
        <v>0</v>
      </c>
      <c r="T38" s="132">
        <v>16.2695679944154</v>
      </c>
      <c r="U38" s="132">
        <v>0</v>
      </c>
      <c r="V38" s="132">
        <v>0</v>
      </c>
      <c r="W38" s="132">
        <v>0</v>
      </c>
      <c r="X38" s="132">
        <v>0</v>
      </c>
      <c r="Y38" s="132">
        <v>0</v>
      </c>
      <c r="Z38" s="132">
        <v>0</v>
      </c>
      <c r="AA38" s="132">
        <v>0</v>
      </c>
      <c r="AB38" s="132">
        <v>0</v>
      </c>
      <c r="AC38" s="132">
        <v>0</v>
      </c>
      <c r="AD38" s="132">
        <v>0</v>
      </c>
      <c r="AE38" s="132">
        <v>24.184215401652899</v>
      </c>
      <c r="AF38" s="132">
        <v>13.726611984506</v>
      </c>
      <c r="AG38" s="132">
        <v>0</v>
      </c>
      <c r="AH38" s="132">
        <v>52.732152459178799</v>
      </c>
      <c r="AI38" s="132">
        <v>99.912566659353899</v>
      </c>
      <c r="AJ38" s="131">
        <v>96.142438020539402</v>
      </c>
      <c r="AK38" s="126">
        <v>1628.1254030049167</v>
      </c>
      <c r="AM38" s="1" t="s">
        <v>21</v>
      </c>
      <c r="AN38" s="98" t="s">
        <v>123</v>
      </c>
      <c r="AO38" s="142">
        <f t="shared" si="7"/>
        <v>1319.566437084507</v>
      </c>
      <c r="AP38" s="143">
        <f t="shared" si="7"/>
        <v>0</v>
      </c>
      <c r="AQ38" s="143">
        <f t="shared" si="7"/>
        <v>0</v>
      </c>
      <c r="AR38" s="143">
        <f t="shared" si="7"/>
        <v>21.86098139517869</v>
      </c>
      <c r="AS38" s="143">
        <f t="shared" si="7"/>
        <v>0</v>
      </c>
      <c r="AT38" s="143">
        <f t="shared" si="7"/>
        <v>0</v>
      </c>
      <c r="AU38" s="143">
        <f t="shared" si="7"/>
        <v>0</v>
      </c>
      <c r="AV38" s="143">
        <f t="shared" si="7"/>
        <v>37.9108273861589</v>
      </c>
      <c r="AW38" s="144">
        <f t="shared" si="7"/>
        <v>248.78715713907209</v>
      </c>
      <c r="AX38" s="126">
        <f t="shared" si="2"/>
        <v>1628.1254030049167</v>
      </c>
    </row>
    <row r="39" spans="1:50" x14ac:dyDescent="0.25">
      <c r="A39" s="280"/>
      <c r="B39" s="98" t="s">
        <v>122</v>
      </c>
      <c r="C39" s="133">
        <v>3224.0561095733801</v>
      </c>
      <c r="D39" s="132">
        <v>93.638125580630899</v>
      </c>
      <c r="E39" s="132">
        <v>218.85490531507199</v>
      </c>
      <c r="F39" s="132">
        <v>15.985007468380701</v>
      </c>
      <c r="G39" s="132">
        <v>1.4643268464283401</v>
      </c>
      <c r="H39" s="132">
        <v>0</v>
      </c>
      <c r="I39" s="132">
        <v>0</v>
      </c>
      <c r="J39" s="132">
        <v>4.9734827747847996</v>
      </c>
      <c r="K39" s="132">
        <v>10.6508261768896</v>
      </c>
      <c r="L39" s="132">
        <v>0</v>
      </c>
      <c r="M39" s="132">
        <v>0</v>
      </c>
      <c r="N39" s="132">
        <v>0</v>
      </c>
      <c r="O39" s="132">
        <v>0</v>
      </c>
      <c r="P39" s="132">
        <v>0</v>
      </c>
      <c r="Q39" s="132">
        <v>0</v>
      </c>
      <c r="R39" s="132">
        <v>0</v>
      </c>
      <c r="S39" s="132">
        <v>2.7989958111531998</v>
      </c>
      <c r="T39" s="132">
        <v>64.154132457645602</v>
      </c>
      <c r="U39" s="132">
        <v>38.987771401019998</v>
      </c>
      <c r="V39" s="132">
        <v>29.7159310336754</v>
      </c>
      <c r="W39" s="132">
        <v>0</v>
      </c>
      <c r="X39" s="132">
        <v>0</v>
      </c>
      <c r="Y39" s="132">
        <v>0</v>
      </c>
      <c r="Z39" s="132">
        <v>0</v>
      </c>
      <c r="AA39" s="132">
        <v>0</v>
      </c>
      <c r="AB39" s="132">
        <v>0</v>
      </c>
      <c r="AC39" s="132">
        <v>0</v>
      </c>
      <c r="AD39" s="132">
        <v>0</v>
      </c>
      <c r="AE39" s="132">
        <v>22.9878475084843</v>
      </c>
      <c r="AF39" s="132">
        <v>0</v>
      </c>
      <c r="AG39" s="132">
        <v>0</v>
      </c>
      <c r="AH39" s="132">
        <v>50.234079350590598</v>
      </c>
      <c r="AI39" s="132">
        <v>89.686610732920698</v>
      </c>
      <c r="AJ39" s="131">
        <v>95.858722159726696</v>
      </c>
      <c r="AK39" s="126">
        <v>3964.046874190783</v>
      </c>
      <c r="AM39" s="1" t="s">
        <v>21</v>
      </c>
      <c r="AN39" s="98" t="s">
        <v>122</v>
      </c>
      <c r="AO39" s="142">
        <f t="shared" si="7"/>
        <v>3552.5341479374638</v>
      </c>
      <c r="AP39" s="143">
        <f t="shared" si="7"/>
        <v>1.4643268464283401</v>
      </c>
      <c r="AQ39" s="143">
        <f t="shared" si="7"/>
        <v>15.624308951674401</v>
      </c>
      <c r="AR39" s="143">
        <f t="shared" si="7"/>
        <v>105.9408996698188</v>
      </c>
      <c r="AS39" s="143">
        <f t="shared" si="7"/>
        <v>29.7159310336754</v>
      </c>
      <c r="AT39" s="143">
        <f t="shared" si="7"/>
        <v>0</v>
      </c>
      <c r="AU39" s="143">
        <f t="shared" si="7"/>
        <v>0</v>
      </c>
      <c r="AV39" s="143">
        <f t="shared" si="7"/>
        <v>22.9878475084843</v>
      </c>
      <c r="AW39" s="144">
        <f t="shared" si="7"/>
        <v>235.77941224323797</v>
      </c>
      <c r="AX39" s="126">
        <f t="shared" si="2"/>
        <v>3964.046874190783</v>
      </c>
    </row>
    <row r="40" spans="1:50" ht="15.75" thickBot="1" x14ac:dyDescent="0.3">
      <c r="A40" s="280"/>
      <c r="B40" s="98" t="s">
        <v>121</v>
      </c>
      <c r="C40" s="130">
        <v>4107.6360420457504</v>
      </c>
      <c r="D40" s="129">
        <v>266.52910763755398</v>
      </c>
      <c r="E40" s="129">
        <v>104.378545411434</v>
      </c>
      <c r="F40" s="129">
        <v>31.121272552170801</v>
      </c>
      <c r="G40" s="129">
        <v>0.436095241739822</v>
      </c>
      <c r="H40" s="129">
        <v>0</v>
      </c>
      <c r="I40" s="129">
        <v>0</v>
      </c>
      <c r="J40" s="129">
        <v>4.2703080314811803</v>
      </c>
      <c r="K40" s="129">
        <v>0</v>
      </c>
      <c r="L40" s="129">
        <v>2.4100273115687001</v>
      </c>
      <c r="M40" s="129">
        <v>0.122412681559251</v>
      </c>
      <c r="N40" s="129">
        <v>0</v>
      </c>
      <c r="O40" s="129">
        <v>0</v>
      </c>
      <c r="P40" s="129">
        <v>0</v>
      </c>
      <c r="Q40" s="129">
        <v>0</v>
      </c>
      <c r="R40" s="129">
        <v>0</v>
      </c>
      <c r="S40" s="129">
        <v>0</v>
      </c>
      <c r="T40" s="129">
        <v>89.472942958768499</v>
      </c>
      <c r="U40" s="129">
        <v>39.666419659282198</v>
      </c>
      <c r="V40" s="129">
        <v>21.879166531870499</v>
      </c>
      <c r="W40" s="129">
        <v>0</v>
      </c>
      <c r="X40" s="129">
        <v>6.2114701568493498</v>
      </c>
      <c r="Y40" s="129">
        <v>0</v>
      </c>
      <c r="Z40" s="129">
        <v>0</v>
      </c>
      <c r="AA40" s="129">
        <v>0</v>
      </c>
      <c r="AB40" s="129">
        <v>0</v>
      </c>
      <c r="AC40" s="129">
        <v>0</v>
      </c>
      <c r="AD40" s="129">
        <v>0</v>
      </c>
      <c r="AE40" s="129">
        <v>15.0235277495117</v>
      </c>
      <c r="AF40" s="129">
        <v>0</v>
      </c>
      <c r="AG40" s="129">
        <v>0</v>
      </c>
      <c r="AH40" s="129">
        <v>0</v>
      </c>
      <c r="AI40" s="129">
        <v>65.101508982509799</v>
      </c>
      <c r="AJ40" s="128">
        <v>35.391796416989102</v>
      </c>
      <c r="AK40" s="126">
        <v>4789.6506433690402</v>
      </c>
      <c r="AM40" s="1" t="s">
        <v>21</v>
      </c>
      <c r="AN40" s="98" t="s">
        <v>121</v>
      </c>
      <c r="AO40" s="145">
        <f t="shared" si="7"/>
        <v>4509.6649676469096</v>
      </c>
      <c r="AP40" s="146">
        <f t="shared" si="7"/>
        <v>0.436095241739822</v>
      </c>
      <c r="AQ40" s="146">
        <f t="shared" si="7"/>
        <v>6.8027480246091319</v>
      </c>
      <c r="AR40" s="146">
        <f t="shared" si="7"/>
        <v>129.13936261805071</v>
      </c>
      <c r="AS40" s="146">
        <f t="shared" si="7"/>
        <v>28.090636688719847</v>
      </c>
      <c r="AT40" s="146">
        <f t="shared" si="7"/>
        <v>0</v>
      </c>
      <c r="AU40" s="146">
        <f t="shared" si="7"/>
        <v>0</v>
      </c>
      <c r="AV40" s="146">
        <f t="shared" si="7"/>
        <v>15.0235277495117</v>
      </c>
      <c r="AW40" s="147">
        <f t="shared" si="7"/>
        <v>100.49330539949889</v>
      </c>
      <c r="AX40" s="126">
        <f t="shared" si="2"/>
        <v>4789.6506433690411</v>
      </c>
    </row>
    <row r="41" spans="1:50" x14ac:dyDescent="0.25">
      <c r="A41" s="280"/>
      <c r="B41" s="127" t="s">
        <v>59</v>
      </c>
      <c r="C41" s="126">
        <v>381606.67932417203</v>
      </c>
      <c r="D41" s="126">
        <v>64357.222565944678</v>
      </c>
      <c r="E41" s="126">
        <v>102160.08468676989</v>
      </c>
      <c r="F41" s="126">
        <v>19697.93885181248</v>
      </c>
      <c r="G41" s="126">
        <v>19196.719414269912</v>
      </c>
      <c r="H41" s="126">
        <v>7418.5039522431225</v>
      </c>
      <c r="I41" s="126">
        <v>8459.5937535029934</v>
      </c>
      <c r="J41" s="126">
        <v>15218.822456241323</v>
      </c>
      <c r="K41" s="126">
        <v>16390.809931515483</v>
      </c>
      <c r="L41" s="126">
        <v>4642.9473687808595</v>
      </c>
      <c r="M41" s="126">
        <v>14658.427796853102</v>
      </c>
      <c r="N41" s="126">
        <v>7795.1956678755578</v>
      </c>
      <c r="O41" s="126">
        <v>2865.6695568251339</v>
      </c>
      <c r="P41" s="126">
        <v>763.2356640660953</v>
      </c>
      <c r="Q41" s="126">
        <v>4967.5852343593506</v>
      </c>
      <c r="R41" s="126">
        <v>6353.6138373217345</v>
      </c>
      <c r="S41" s="126">
        <v>9778.3257006273398</v>
      </c>
      <c r="T41" s="126">
        <v>61259.753920502502</v>
      </c>
      <c r="U41" s="126">
        <v>25440.210663248476</v>
      </c>
      <c r="V41" s="126">
        <v>5918.1943424847559</v>
      </c>
      <c r="W41" s="126">
        <v>4076.7770918397259</v>
      </c>
      <c r="X41" s="126">
        <v>4682.8690620040616</v>
      </c>
      <c r="Y41" s="126">
        <v>1937.2231533656923</v>
      </c>
      <c r="Z41" s="126">
        <v>1736.3639979176614</v>
      </c>
      <c r="AA41" s="126">
        <v>150.54543449185968</v>
      </c>
      <c r="AB41" s="126">
        <v>82.911857286326352</v>
      </c>
      <c r="AC41" s="126">
        <v>488.04071042483156</v>
      </c>
      <c r="AD41" s="126">
        <v>83.571062963775972</v>
      </c>
      <c r="AE41" s="126">
        <v>1034.1377841760896</v>
      </c>
      <c r="AF41" s="126">
        <v>2750.1524987344042</v>
      </c>
      <c r="AG41" s="126">
        <v>187.30122237156382</v>
      </c>
      <c r="AH41" s="126">
        <v>283.28257322874225</v>
      </c>
      <c r="AI41" s="126">
        <v>1079.2750563983552</v>
      </c>
      <c r="AJ41" s="126">
        <v>948.73055091420679</v>
      </c>
      <c r="AK41" s="126">
        <v>798470.71674553445</v>
      </c>
      <c r="AN41" s="127" t="s">
        <v>59</v>
      </c>
      <c r="AO41" s="126">
        <f>SUM(AO7:AO40)</f>
        <v>567821.92542869889</v>
      </c>
      <c r="AP41" s="126">
        <f t="shared" ref="AP41:AW41" si="8">SUM(AP7:AP40)</f>
        <v>35074.817120016036</v>
      </c>
      <c r="AQ41" s="126">
        <f t="shared" si="8"/>
        <v>62335.108442157551</v>
      </c>
      <c r="AR41" s="126">
        <f t="shared" si="8"/>
        <v>107799.48935605939</v>
      </c>
      <c r="AS41" s="126">
        <f t="shared" si="8"/>
        <v>18351.427647611898</v>
      </c>
      <c r="AT41" s="126">
        <f t="shared" si="8"/>
        <v>233.45729177818609</v>
      </c>
      <c r="AU41" s="126">
        <f t="shared" si="8"/>
        <v>571.6117733886075</v>
      </c>
      <c r="AV41" s="126">
        <f t="shared" si="8"/>
        <v>3971.5915052820574</v>
      </c>
      <c r="AW41" s="126">
        <f t="shared" si="8"/>
        <v>2311.2881805413044</v>
      </c>
      <c r="AX41" s="126">
        <f t="shared" si="2"/>
        <v>798470.71674553386</v>
      </c>
    </row>
    <row r="46" spans="1:50" x14ac:dyDescent="0.25">
      <c r="B46" s="1"/>
    </row>
    <row r="47" spans="1:50" x14ac:dyDescent="0.25">
      <c r="C47" s="1"/>
    </row>
    <row r="48" spans="1:50" x14ac:dyDescent="0.25">
      <c r="C48" s="1"/>
    </row>
    <row r="49" spans="3:3" x14ac:dyDescent="0.25">
      <c r="C49" s="1"/>
    </row>
    <row r="50" spans="3:3" x14ac:dyDescent="0.25">
      <c r="C50" s="1"/>
    </row>
    <row r="51" spans="3:3" x14ac:dyDescent="0.25">
      <c r="C51" s="1"/>
    </row>
    <row r="52" spans="3:3" x14ac:dyDescent="0.25">
      <c r="C52" s="1"/>
    </row>
    <row r="53" spans="3:3" x14ac:dyDescent="0.25">
      <c r="C53" s="1"/>
    </row>
    <row r="54" spans="3:3" x14ac:dyDescent="0.25">
      <c r="C54" s="1"/>
    </row>
  </sheetData>
  <mergeCells count="2">
    <mergeCell ref="C5:AK5"/>
    <mergeCell ref="A7:A41"/>
  </mergeCells>
  <conditionalFormatting sqref="C7:AJ40">
    <cfRule type="colorScale" priority="4">
      <colorScale>
        <cfvo type="min"/>
        <cfvo type="max"/>
        <color rgb="FFFCFCFF"/>
        <color rgb="FF63BE7B"/>
      </colorScale>
    </cfRule>
  </conditionalFormatting>
  <conditionalFormatting sqref="C41:AJ41">
    <cfRule type="colorScale" priority="3">
      <colorScale>
        <cfvo type="min"/>
        <cfvo type="max"/>
        <color rgb="FFFCFCFF"/>
        <color rgb="FF63BE7B"/>
      </colorScale>
    </cfRule>
  </conditionalFormatting>
  <conditionalFormatting sqref="AK7:AK40">
    <cfRule type="colorScale" priority="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3A95E-955D-4C1B-BEAE-E5590FE5510E}">
  <sheetPr>
    <tabColor theme="8" tint="-0.499984740745262"/>
  </sheetPr>
  <dimension ref="A1:I1455"/>
  <sheetViews>
    <sheetView workbookViewId="0">
      <pane ySplit="1" topLeftCell="A2" activePane="bottomLeft" state="frozen"/>
      <selection pane="bottomLeft" activeCell="I37" sqref="I37"/>
    </sheetView>
  </sheetViews>
  <sheetFormatPr defaultColWidth="9.140625" defaultRowHeight="12.75" x14ac:dyDescent="0.2"/>
  <cols>
    <col min="1" max="3" width="9.140625" style="1"/>
    <col min="4" max="4" width="38" style="1" customWidth="1"/>
    <col min="5" max="5" width="26.85546875" style="1" customWidth="1"/>
    <col min="6" max="7" width="9.140625" style="1"/>
    <col min="8" max="8" width="38" style="1" customWidth="1"/>
    <col min="9" max="9" width="26.85546875" style="1" customWidth="1"/>
    <col min="10" max="16384" width="9.140625" style="1"/>
  </cols>
  <sheetData>
    <row r="1" spans="1:9" x14ac:dyDescent="0.2">
      <c r="A1" s="1" t="s">
        <v>158</v>
      </c>
      <c r="B1" s="1" t="s">
        <v>157</v>
      </c>
      <c r="C1" s="1" t="s">
        <v>156</v>
      </c>
      <c r="D1" s="1" t="s">
        <v>155</v>
      </c>
      <c r="E1" s="1" t="s">
        <v>154</v>
      </c>
      <c r="H1" s="1" t="s">
        <v>155</v>
      </c>
      <c r="I1" s="1" t="s">
        <v>154</v>
      </c>
    </row>
    <row r="2" spans="1:9" x14ac:dyDescent="0.2">
      <c r="A2" s="1">
        <v>1</v>
      </c>
      <c r="B2" s="1">
        <v>1</v>
      </c>
      <c r="C2" s="1">
        <v>1</v>
      </c>
      <c r="D2" s="1" t="s">
        <v>153</v>
      </c>
      <c r="E2" s="1" t="s">
        <v>13</v>
      </c>
      <c r="H2" s="1" t="s">
        <v>153</v>
      </c>
      <c r="I2" s="1" t="s">
        <v>13</v>
      </c>
    </row>
    <row r="3" spans="1:9" x14ac:dyDescent="0.2">
      <c r="A3" s="1">
        <v>2</v>
      </c>
      <c r="B3" s="1">
        <v>1</v>
      </c>
      <c r="C3" s="1">
        <v>1</v>
      </c>
      <c r="D3" s="1" t="s">
        <v>153</v>
      </c>
      <c r="E3" s="1" t="s">
        <v>13</v>
      </c>
      <c r="H3" s="1" t="s">
        <v>152</v>
      </c>
      <c r="I3" s="1" t="s">
        <v>13</v>
      </c>
    </row>
    <row r="4" spans="1:9" x14ac:dyDescent="0.2">
      <c r="A4" s="1">
        <v>3</v>
      </c>
      <c r="B4" s="1">
        <v>1</v>
      </c>
      <c r="C4" s="1">
        <v>1</v>
      </c>
      <c r="D4" s="1" t="s">
        <v>153</v>
      </c>
      <c r="E4" s="1" t="s">
        <v>13</v>
      </c>
      <c r="H4" s="1" t="s">
        <v>151</v>
      </c>
      <c r="I4" s="1" t="s">
        <v>13</v>
      </c>
    </row>
    <row r="5" spans="1:9" x14ac:dyDescent="0.2">
      <c r="A5" s="1">
        <v>4</v>
      </c>
      <c r="B5" s="1">
        <v>1</v>
      </c>
      <c r="C5" s="1">
        <v>1</v>
      </c>
      <c r="D5" s="1" t="s">
        <v>153</v>
      </c>
      <c r="E5" s="1" t="s">
        <v>13</v>
      </c>
      <c r="H5" s="1" t="s">
        <v>150</v>
      </c>
      <c r="I5" s="1" t="s">
        <v>13</v>
      </c>
    </row>
    <row r="6" spans="1:9" x14ac:dyDescent="0.2">
      <c r="A6" s="1">
        <v>5</v>
      </c>
      <c r="B6" s="1">
        <v>1</v>
      </c>
      <c r="C6" s="1">
        <v>1</v>
      </c>
      <c r="D6" s="1" t="s">
        <v>153</v>
      </c>
      <c r="E6" s="1" t="s">
        <v>13</v>
      </c>
      <c r="H6" s="1" t="s">
        <v>149</v>
      </c>
      <c r="I6" s="1" t="s">
        <v>14</v>
      </c>
    </row>
    <row r="7" spans="1:9" x14ac:dyDescent="0.2">
      <c r="A7" s="1">
        <v>6</v>
      </c>
      <c r="B7" s="1">
        <v>1</v>
      </c>
      <c r="C7" s="1">
        <v>1</v>
      </c>
      <c r="D7" s="1" t="s">
        <v>153</v>
      </c>
      <c r="E7" s="1" t="s">
        <v>13</v>
      </c>
      <c r="H7" s="1" t="s">
        <v>148</v>
      </c>
      <c r="I7" s="1" t="s">
        <v>14</v>
      </c>
    </row>
    <row r="8" spans="1:9" x14ac:dyDescent="0.2">
      <c r="A8" s="1">
        <v>7</v>
      </c>
      <c r="B8" s="1">
        <v>1</v>
      </c>
      <c r="C8" s="1">
        <v>1</v>
      </c>
      <c r="D8" s="1" t="s">
        <v>153</v>
      </c>
      <c r="E8" s="1" t="s">
        <v>13</v>
      </c>
      <c r="H8" s="1" t="s">
        <v>147</v>
      </c>
      <c r="I8" s="1" t="s">
        <v>14</v>
      </c>
    </row>
    <row r="9" spans="1:9" x14ac:dyDescent="0.2">
      <c r="A9" s="1">
        <v>8</v>
      </c>
      <c r="B9" s="1">
        <v>1</v>
      </c>
      <c r="C9" s="1">
        <v>1</v>
      </c>
      <c r="D9" s="1" t="s">
        <v>153</v>
      </c>
      <c r="E9" s="1" t="s">
        <v>13</v>
      </c>
      <c r="H9" s="1" t="s">
        <v>146</v>
      </c>
      <c r="I9" s="1" t="s">
        <v>15</v>
      </c>
    </row>
    <row r="10" spans="1:9" x14ac:dyDescent="0.2">
      <c r="A10" s="1">
        <v>9</v>
      </c>
      <c r="B10" s="1">
        <v>1</v>
      </c>
      <c r="C10" s="1">
        <v>1</v>
      </c>
      <c r="D10" s="1" t="s">
        <v>153</v>
      </c>
      <c r="E10" s="1" t="s">
        <v>13</v>
      </c>
      <c r="H10" s="1" t="s">
        <v>145</v>
      </c>
      <c r="I10" s="1" t="s">
        <v>15</v>
      </c>
    </row>
    <row r="11" spans="1:9" x14ac:dyDescent="0.2">
      <c r="A11" s="1">
        <v>10</v>
      </c>
      <c r="B11" s="1">
        <v>1</v>
      </c>
      <c r="C11" s="1">
        <v>1</v>
      </c>
      <c r="D11" s="1" t="s">
        <v>153</v>
      </c>
      <c r="E11" s="1" t="s">
        <v>13</v>
      </c>
      <c r="H11" s="1" t="s">
        <v>144</v>
      </c>
      <c r="I11" s="1" t="s">
        <v>15</v>
      </c>
    </row>
    <row r="12" spans="1:9" x14ac:dyDescent="0.2">
      <c r="A12" s="1">
        <v>11</v>
      </c>
      <c r="B12" s="1">
        <v>1</v>
      </c>
      <c r="C12" s="1">
        <v>1</v>
      </c>
      <c r="D12" s="1" t="s">
        <v>153</v>
      </c>
      <c r="E12" s="1" t="s">
        <v>13</v>
      </c>
      <c r="H12" s="1" t="s">
        <v>143</v>
      </c>
      <c r="I12" s="1" t="s">
        <v>15</v>
      </c>
    </row>
    <row r="13" spans="1:9" x14ac:dyDescent="0.2">
      <c r="A13" s="1">
        <v>12</v>
      </c>
      <c r="B13" s="1">
        <v>1</v>
      </c>
      <c r="C13" s="1">
        <v>1</v>
      </c>
      <c r="D13" s="1" t="s">
        <v>153</v>
      </c>
      <c r="E13" s="1" t="s">
        <v>13</v>
      </c>
      <c r="H13" s="1" t="s">
        <v>142</v>
      </c>
      <c r="I13" s="1" t="s">
        <v>15</v>
      </c>
    </row>
    <row r="14" spans="1:9" x14ac:dyDescent="0.2">
      <c r="A14" s="1">
        <v>13</v>
      </c>
      <c r="B14" s="1">
        <v>1</v>
      </c>
      <c r="C14" s="1">
        <v>1</v>
      </c>
      <c r="D14" s="1" t="s">
        <v>153</v>
      </c>
      <c r="E14" s="1" t="s">
        <v>13</v>
      </c>
      <c r="H14" s="1" t="s">
        <v>141</v>
      </c>
      <c r="I14" s="1" t="s">
        <v>15</v>
      </c>
    </row>
    <row r="15" spans="1:9" x14ac:dyDescent="0.2">
      <c r="A15" s="1">
        <v>14</v>
      </c>
      <c r="B15" s="1">
        <v>1</v>
      </c>
      <c r="C15" s="1">
        <v>1</v>
      </c>
      <c r="D15" s="1" t="s">
        <v>153</v>
      </c>
      <c r="E15" s="1" t="s">
        <v>13</v>
      </c>
      <c r="H15" s="1" t="s">
        <v>140</v>
      </c>
      <c r="I15" s="1" t="s">
        <v>15</v>
      </c>
    </row>
    <row r="16" spans="1:9" x14ac:dyDescent="0.2">
      <c r="A16" s="1">
        <v>15</v>
      </c>
      <c r="B16" s="1">
        <v>1</v>
      </c>
      <c r="C16" s="1">
        <v>1</v>
      </c>
      <c r="D16" s="1" t="s">
        <v>153</v>
      </c>
      <c r="E16" s="1" t="s">
        <v>13</v>
      </c>
      <c r="H16" s="1" t="s">
        <v>139</v>
      </c>
      <c r="I16" s="1" t="s">
        <v>16</v>
      </c>
    </row>
    <row r="17" spans="1:9" x14ac:dyDescent="0.2">
      <c r="A17" s="1">
        <v>16</v>
      </c>
      <c r="B17" s="1">
        <v>1</v>
      </c>
      <c r="C17" s="1">
        <v>1</v>
      </c>
      <c r="D17" s="1" t="s">
        <v>153</v>
      </c>
      <c r="E17" s="1" t="s">
        <v>13</v>
      </c>
      <c r="H17" s="1" t="s">
        <v>138</v>
      </c>
      <c r="I17" s="1" t="s">
        <v>16</v>
      </c>
    </row>
    <row r="18" spans="1:9" x14ac:dyDescent="0.2">
      <c r="A18" s="1">
        <v>17</v>
      </c>
      <c r="B18" s="1">
        <v>1</v>
      </c>
      <c r="C18" s="1">
        <v>1</v>
      </c>
      <c r="D18" s="1" t="s">
        <v>153</v>
      </c>
      <c r="E18" s="1" t="s">
        <v>13</v>
      </c>
      <c r="H18" s="1" t="s">
        <v>137</v>
      </c>
      <c r="I18" s="1" t="s">
        <v>16</v>
      </c>
    </row>
    <row r="19" spans="1:9" x14ac:dyDescent="0.2">
      <c r="A19" s="1">
        <v>18</v>
      </c>
      <c r="B19" s="1">
        <v>1</v>
      </c>
      <c r="C19" s="1">
        <v>1</v>
      </c>
      <c r="D19" s="1" t="s">
        <v>153</v>
      </c>
      <c r="E19" s="1" t="s">
        <v>13</v>
      </c>
      <c r="H19" s="1" t="s">
        <v>136</v>
      </c>
      <c r="I19" s="1" t="s">
        <v>16</v>
      </c>
    </row>
    <row r="20" spans="1:9" x14ac:dyDescent="0.2">
      <c r="A20" s="1">
        <v>19</v>
      </c>
      <c r="B20" s="1">
        <v>1</v>
      </c>
      <c r="C20" s="1">
        <v>1</v>
      </c>
      <c r="D20" s="1" t="s">
        <v>153</v>
      </c>
      <c r="E20" s="1" t="s">
        <v>13</v>
      </c>
      <c r="H20" s="1" t="s">
        <v>135</v>
      </c>
      <c r="I20" s="1" t="s">
        <v>16</v>
      </c>
    </row>
    <row r="21" spans="1:9" x14ac:dyDescent="0.2">
      <c r="A21" s="1">
        <v>20</v>
      </c>
      <c r="B21" s="1">
        <v>1</v>
      </c>
      <c r="C21" s="1">
        <v>1</v>
      </c>
      <c r="D21" s="1" t="s">
        <v>153</v>
      </c>
      <c r="E21" s="1" t="s">
        <v>13</v>
      </c>
      <c r="H21" s="1" t="s">
        <v>134</v>
      </c>
      <c r="I21" s="1" t="s">
        <v>17</v>
      </c>
    </row>
    <row r="22" spans="1:9" x14ac:dyDescent="0.2">
      <c r="A22" s="1">
        <v>21</v>
      </c>
      <c r="B22" s="1">
        <v>1</v>
      </c>
      <c r="C22" s="1">
        <v>1</v>
      </c>
      <c r="D22" s="1" t="s">
        <v>153</v>
      </c>
      <c r="E22" s="1" t="s">
        <v>13</v>
      </c>
      <c r="H22" s="1" t="s">
        <v>133</v>
      </c>
      <c r="I22" s="1" t="s">
        <v>17</v>
      </c>
    </row>
    <row r="23" spans="1:9" x14ac:dyDescent="0.2">
      <c r="A23" s="1">
        <v>22</v>
      </c>
      <c r="B23" s="1">
        <v>1</v>
      </c>
      <c r="C23" s="1">
        <v>1</v>
      </c>
      <c r="D23" s="1" t="s">
        <v>153</v>
      </c>
      <c r="E23" s="1" t="s">
        <v>13</v>
      </c>
      <c r="H23" s="1" t="s">
        <v>132</v>
      </c>
      <c r="I23" s="1" t="s">
        <v>17</v>
      </c>
    </row>
    <row r="24" spans="1:9" x14ac:dyDescent="0.2">
      <c r="A24" s="1">
        <v>23</v>
      </c>
      <c r="B24" s="1">
        <v>1</v>
      </c>
      <c r="C24" s="1">
        <v>1</v>
      </c>
      <c r="D24" s="1" t="s">
        <v>153</v>
      </c>
      <c r="E24" s="1" t="s">
        <v>13</v>
      </c>
      <c r="H24" s="1" t="s">
        <v>131</v>
      </c>
      <c r="I24" s="1" t="s">
        <v>17</v>
      </c>
    </row>
    <row r="25" spans="1:9" x14ac:dyDescent="0.2">
      <c r="A25" s="1">
        <v>24</v>
      </c>
      <c r="B25" s="1">
        <v>1</v>
      </c>
      <c r="C25" s="1">
        <v>1</v>
      </c>
      <c r="D25" s="1" t="s">
        <v>153</v>
      </c>
      <c r="E25" s="1" t="s">
        <v>13</v>
      </c>
      <c r="H25" s="1" t="s">
        <v>130</v>
      </c>
      <c r="I25" s="1" t="s">
        <v>17</v>
      </c>
    </row>
    <row r="26" spans="1:9" x14ac:dyDescent="0.2">
      <c r="A26" s="1">
        <v>25</v>
      </c>
      <c r="B26" s="1">
        <v>1</v>
      </c>
      <c r="C26" s="1">
        <v>1</v>
      </c>
      <c r="D26" s="1" t="s">
        <v>153</v>
      </c>
      <c r="E26" s="1" t="s">
        <v>13</v>
      </c>
      <c r="H26" s="1" t="s">
        <v>129</v>
      </c>
      <c r="I26" s="1" t="s">
        <v>18</v>
      </c>
    </row>
    <row r="27" spans="1:9" x14ac:dyDescent="0.2">
      <c r="A27" s="1">
        <v>26</v>
      </c>
      <c r="B27" s="1">
        <v>1</v>
      </c>
      <c r="C27" s="1">
        <v>1</v>
      </c>
      <c r="D27" s="1" t="s">
        <v>153</v>
      </c>
      <c r="E27" s="1" t="s">
        <v>13</v>
      </c>
      <c r="H27" s="1" t="s">
        <v>128</v>
      </c>
      <c r="I27" s="1" t="s">
        <v>18</v>
      </c>
    </row>
    <row r="28" spans="1:9" x14ac:dyDescent="0.2">
      <c r="A28" s="1">
        <v>27</v>
      </c>
      <c r="B28" s="1">
        <v>1</v>
      </c>
      <c r="C28" s="1">
        <v>1</v>
      </c>
      <c r="D28" s="1" t="s">
        <v>153</v>
      </c>
      <c r="E28" s="1" t="s">
        <v>13</v>
      </c>
      <c r="H28" s="1" t="s">
        <v>19</v>
      </c>
      <c r="I28" s="1" t="s">
        <v>19</v>
      </c>
    </row>
    <row r="29" spans="1:9" x14ac:dyDescent="0.2">
      <c r="A29" s="1">
        <v>28</v>
      </c>
      <c r="B29" s="1">
        <v>1</v>
      </c>
      <c r="C29" s="1">
        <v>1</v>
      </c>
      <c r="D29" s="1" t="s">
        <v>153</v>
      </c>
      <c r="E29" s="1" t="s">
        <v>13</v>
      </c>
      <c r="H29" s="1" t="s">
        <v>127</v>
      </c>
      <c r="I29" s="1" t="s">
        <v>19</v>
      </c>
    </row>
    <row r="30" spans="1:9" x14ac:dyDescent="0.2">
      <c r="A30" s="1">
        <v>29</v>
      </c>
      <c r="B30" s="1">
        <v>1</v>
      </c>
      <c r="C30" s="1">
        <v>1</v>
      </c>
      <c r="D30" s="1" t="s">
        <v>153</v>
      </c>
      <c r="E30" s="1" t="s">
        <v>13</v>
      </c>
      <c r="H30" s="1" t="s">
        <v>126</v>
      </c>
      <c r="I30" s="1" t="s">
        <v>20</v>
      </c>
    </row>
    <row r="31" spans="1:9" x14ac:dyDescent="0.2">
      <c r="A31" s="1">
        <v>30</v>
      </c>
      <c r="B31" s="1">
        <v>1</v>
      </c>
      <c r="C31" s="1">
        <v>1</v>
      </c>
      <c r="D31" s="1" t="s">
        <v>153</v>
      </c>
      <c r="E31" s="1" t="s">
        <v>13</v>
      </c>
      <c r="H31" s="1" t="s">
        <v>125</v>
      </c>
      <c r="I31" s="1" t="s">
        <v>20</v>
      </c>
    </row>
    <row r="32" spans="1:9" x14ac:dyDescent="0.2">
      <c r="A32" s="1">
        <v>31</v>
      </c>
      <c r="B32" s="1">
        <v>1</v>
      </c>
      <c r="C32" s="1">
        <v>1</v>
      </c>
      <c r="D32" s="1" t="s">
        <v>153</v>
      </c>
      <c r="E32" s="1" t="s">
        <v>13</v>
      </c>
      <c r="H32" s="1" t="s">
        <v>124</v>
      </c>
      <c r="I32" s="1" t="s">
        <v>20</v>
      </c>
    </row>
    <row r="33" spans="1:9" x14ac:dyDescent="0.2">
      <c r="A33" s="1">
        <v>32</v>
      </c>
      <c r="B33" s="1">
        <v>1</v>
      </c>
      <c r="C33" s="1">
        <v>1</v>
      </c>
      <c r="D33" s="1" t="s">
        <v>153</v>
      </c>
      <c r="E33" s="1" t="s">
        <v>13</v>
      </c>
      <c r="H33" s="1" t="s">
        <v>123</v>
      </c>
      <c r="I33" s="1" t="s">
        <v>21</v>
      </c>
    </row>
    <row r="34" spans="1:9" x14ac:dyDescent="0.2">
      <c r="A34" s="1">
        <v>33</v>
      </c>
      <c r="B34" s="1">
        <v>1</v>
      </c>
      <c r="C34" s="1">
        <v>1</v>
      </c>
      <c r="D34" s="1" t="s">
        <v>153</v>
      </c>
      <c r="E34" s="1" t="s">
        <v>13</v>
      </c>
      <c r="H34" s="1" t="s">
        <v>122</v>
      </c>
      <c r="I34" s="1" t="s">
        <v>21</v>
      </c>
    </row>
    <row r="35" spans="1:9" x14ac:dyDescent="0.2">
      <c r="A35" s="1">
        <v>34</v>
      </c>
      <c r="B35" s="1">
        <v>1</v>
      </c>
      <c r="C35" s="1">
        <v>1</v>
      </c>
      <c r="D35" s="1" t="s">
        <v>153</v>
      </c>
      <c r="E35" s="1" t="s">
        <v>13</v>
      </c>
      <c r="H35" s="1" t="s">
        <v>121</v>
      </c>
      <c r="I35" s="1" t="s">
        <v>21</v>
      </c>
    </row>
    <row r="36" spans="1:9" ht="15" x14ac:dyDescent="0.25">
      <c r="A36" s="1">
        <v>35</v>
      </c>
      <c r="B36" s="1">
        <v>1</v>
      </c>
      <c r="C36" s="1">
        <v>1</v>
      </c>
      <c r="D36" s="1" t="s">
        <v>153</v>
      </c>
      <c r="E36" s="1" t="s">
        <v>13</v>
      </c>
      <c r="H36"/>
      <c r="I36"/>
    </row>
    <row r="37" spans="1:9" ht="15" x14ac:dyDescent="0.25">
      <c r="A37" s="1">
        <v>36</v>
      </c>
      <c r="B37" s="1">
        <v>1</v>
      </c>
      <c r="C37" s="1">
        <v>1</v>
      </c>
      <c r="D37" s="1" t="s">
        <v>153</v>
      </c>
      <c r="E37" s="1" t="s">
        <v>13</v>
      </c>
      <c r="H37"/>
      <c r="I37"/>
    </row>
    <row r="38" spans="1:9" ht="15" x14ac:dyDescent="0.25">
      <c r="A38" s="1">
        <v>37</v>
      </c>
      <c r="B38" s="1">
        <v>1</v>
      </c>
      <c r="C38" s="1">
        <v>1</v>
      </c>
      <c r="D38" s="1" t="s">
        <v>153</v>
      </c>
      <c r="E38" s="1" t="s">
        <v>13</v>
      </c>
      <c r="H38"/>
      <c r="I38"/>
    </row>
    <row r="39" spans="1:9" ht="15" x14ac:dyDescent="0.25">
      <c r="A39" s="1">
        <v>38</v>
      </c>
      <c r="B39" s="1">
        <v>1</v>
      </c>
      <c r="C39" s="1">
        <v>1</v>
      </c>
      <c r="D39" s="1" t="s">
        <v>153</v>
      </c>
      <c r="E39" s="1" t="s">
        <v>13</v>
      </c>
      <c r="H39"/>
      <c r="I39"/>
    </row>
    <row r="40" spans="1:9" ht="15" x14ac:dyDescent="0.25">
      <c r="A40" s="1">
        <v>39</v>
      </c>
      <c r="B40" s="1">
        <v>1</v>
      </c>
      <c r="C40" s="1">
        <v>1</v>
      </c>
      <c r="D40" s="1" t="s">
        <v>153</v>
      </c>
      <c r="E40" s="1" t="s">
        <v>13</v>
      </c>
      <c r="H40"/>
      <c r="I40"/>
    </row>
    <row r="41" spans="1:9" ht="15" x14ac:dyDescent="0.25">
      <c r="A41" s="1">
        <v>40</v>
      </c>
      <c r="B41" s="1">
        <v>1</v>
      </c>
      <c r="C41" s="1">
        <v>1</v>
      </c>
      <c r="D41" s="1" t="s">
        <v>153</v>
      </c>
      <c r="E41" s="1" t="s">
        <v>13</v>
      </c>
      <c r="H41"/>
      <c r="I41"/>
    </row>
    <row r="42" spans="1:9" ht="15" x14ac:dyDescent="0.25">
      <c r="A42" s="1">
        <v>41</v>
      </c>
      <c r="B42" s="1">
        <v>1</v>
      </c>
      <c r="C42" s="1">
        <v>1</v>
      </c>
      <c r="D42" s="1" t="s">
        <v>153</v>
      </c>
      <c r="E42" s="1" t="s">
        <v>13</v>
      </c>
      <c r="H42"/>
      <c r="I42"/>
    </row>
    <row r="43" spans="1:9" ht="15" x14ac:dyDescent="0.25">
      <c r="A43" s="1">
        <v>42</v>
      </c>
      <c r="B43" s="1">
        <v>1</v>
      </c>
      <c r="C43" s="1">
        <v>1</v>
      </c>
      <c r="D43" s="1" t="s">
        <v>153</v>
      </c>
      <c r="E43" s="1" t="s">
        <v>13</v>
      </c>
      <c r="H43"/>
      <c r="I43"/>
    </row>
    <row r="44" spans="1:9" ht="15" x14ac:dyDescent="0.25">
      <c r="A44" s="1">
        <v>43</v>
      </c>
      <c r="B44" s="1">
        <v>2</v>
      </c>
      <c r="C44" s="1">
        <v>1</v>
      </c>
      <c r="D44" s="1" t="s">
        <v>152</v>
      </c>
      <c r="E44" s="1" t="s">
        <v>13</v>
      </c>
      <c r="H44"/>
      <c r="I44"/>
    </row>
    <row r="45" spans="1:9" ht="15" x14ac:dyDescent="0.25">
      <c r="A45" s="1">
        <v>44</v>
      </c>
      <c r="B45" s="1">
        <v>2</v>
      </c>
      <c r="C45" s="1">
        <v>1</v>
      </c>
      <c r="D45" s="1" t="s">
        <v>152</v>
      </c>
      <c r="E45" s="1" t="s">
        <v>13</v>
      </c>
      <c r="H45"/>
      <c r="I45"/>
    </row>
    <row r="46" spans="1:9" ht="15" x14ac:dyDescent="0.25">
      <c r="A46" s="1">
        <v>45</v>
      </c>
      <c r="B46" s="1">
        <v>2</v>
      </c>
      <c r="C46" s="1">
        <v>1</v>
      </c>
      <c r="D46" s="1" t="s">
        <v>152</v>
      </c>
      <c r="E46" s="1" t="s">
        <v>13</v>
      </c>
      <c r="H46"/>
      <c r="I46"/>
    </row>
    <row r="47" spans="1:9" ht="15" x14ac:dyDescent="0.25">
      <c r="A47" s="1">
        <v>46</v>
      </c>
      <c r="B47" s="1">
        <v>2</v>
      </c>
      <c r="C47" s="1">
        <v>1</v>
      </c>
      <c r="D47" s="1" t="s">
        <v>152</v>
      </c>
      <c r="E47" s="1" t="s">
        <v>13</v>
      </c>
      <c r="H47"/>
      <c r="I47"/>
    </row>
    <row r="48" spans="1:9" ht="15" x14ac:dyDescent="0.25">
      <c r="A48" s="1">
        <v>47</v>
      </c>
      <c r="B48" s="1">
        <v>2</v>
      </c>
      <c r="C48" s="1">
        <v>1</v>
      </c>
      <c r="D48" s="1" t="s">
        <v>152</v>
      </c>
      <c r="E48" s="1" t="s">
        <v>13</v>
      </c>
      <c r="H48"/>
      <c r="I48"/>
    </row>
    <row r="49" spans="1:9" ht="15" x14ac:dyDescent="0.25">
      <c r="A49" s="1">
        <v>48</v>
      </c>
      <c r="B49" s="1">
        <v>2</v>
      </c>
      <c r="C49" s="1">
        <v>1</v>
      </c>
      <c r="D49" s="1" t="s">
        <v>152</v>
      </c>
      <c r="E49" s="1" t="s">
        <v>13</v>
      </c>
      <c r="H49"/>
      <c r="I49"/>
    </row>
    <row r="50" spans="1:9" ht="15" x14ac:dyDescent="0.25">
      <c r="A50" s="1">
        <v>49</v>
      </c>
      <c r="B50" s="1">
        <v>2</v>
      </c>
      <c r="C50" s="1">
        <v>1</v>
      </c>
      <c r="D50" s="1" t="s">
        <v>152</v>
      </c>
      <c r="E50" s="1" t="s">
        <v>13</v>
      </c>
      <c r="H50"/>
      <c r="I50"/>
    </row>
    <row r="51" spans="1:9" ht="15" x14ac:dyDescent="0.25">
      <c r="A51" s="1">
        <v>50</v>
      </c>
      <c r="B51" s="1">
        <v>2</v>
      </c>
      <c r="C51" s="1">
        <v>1</v>
      </c>
      <c r="D51" s="1" t="s">
        <v>152</v>
      </c>
      <c r="E51" s="1" t="s">
        <v>13</v>
      </c>
      <c r="H51"/>
      <c r="I51"/>
    </row>
    <row r="52" spans="1:9" ht="15" x14ac:dyDescent="0.25">
      <c r="A52" s="1">
        <v>51</v>
      </c>
      <c r="B52" s="1">
        <v>2</v>
      </c>
      <c r="C52" s="1">
        <v>1</v>
      </c>
      <c r="D52" s="1" t="s">
        <v>152</v>
      </c>
      <c r="E52" s="1" t="s">
        <v>13</v>
      </c>
      <c r="H52"/>
      <c r="I52"/>
    </row>
    <row r="53" spans="1:9" ht="15" x14ac:dyDescent="0.25">
      <c r="A53" s="1">
        <v>52</v>
      </c>
      <c r="B53" s="1">
        <v>2</v>
      </c>
      <c r="C53" s="1">
        <v>1</v>
      </c>
      <c r="D53" s="1" t="s">
        <v>152</v>
      </c>
      <c r="E53" s="1" t="s">
        <v>13</v>
      </c>
      <c r="H53"/>
      <c r="I53"/>
    </row>
    <row r="54" spans="1:9" ht="15" x14ac:dyDescent="0.25">
      <c r="A54" s="1">
        <v>53</v>
      </c>
      <c r="B54" s="1">
        <v>2</v>
      </c>
      <c r="C54" s="1">
        <v>1</v>
      </c>
      <c r="D54" s="1" t="s">
        <v>152</v>
      </c>
      <c r="E54" s="1" t="s">
        <v>13</v>
      </c>
      <c r="H54"/>
      <c r="I54"/>
    </row>
    <row r="55" spans="1:9" ht="15" x14ac:dyDescent="0.25">
      <c r="A55" s="1">
        <v>54</v>
      </c>
      <c r="B55" s="1">
        <v>2</v>
      </c>
      <c r="C55" s="1">
        <v>1</v>
      </c>
      <c r="D55" s="1" t="s">
        <v>152</v>
      </c>
      <c r="E55" s="1" t="s">
        <v>13</v>
      </c>
      <c r="H55"/>
      <c r="I55"/>
    </row>
    <row r="56" spans="1:9" ht="15" x14ac:dyDescent="0.25">
      <c r="A56" s="1">
        <v>55</v>
      </c>
      <c r="B56" s="1">
        <v>2</v>
      </c>
      <c r="C56" s="1">
        <v>1</v>
      </c>
      <c r="D56" s="1" t="s">
        <v>152</v>
      </c>
      <c r="E56" s="1" t="s">
        <v>13</v>
      </c>
      <c r="H56"/>
      <c r="I56"/>
    </row>
    <row r="57" spans="1:9" ht="15" x14ac:dyDescent="0.25">
      <c r="A57" s="1">
        <v>56</v>
      </c>
      <c r="B57" s="1">
        <v>2</v>
      </c>
      <c r="C57" s="1">
        <v>1</v>
      </c>
      <c r="D57" s="1" t="s">
        <v>152</v>
      </c>
      <c r="E57" s="1" t="s">
        <v>13</v>
      </c>
      <c r="H57"/>
      <c r="I57"/>
    </row>
    <row r="58" spans="1:9" ht="15" x14ac:dyDescent="0.25">
      <c r="A58" s="1">
        <v>57</v>
      </c>
      <c r="B58" s="1">
        <v>2</v>
      </c>
      <c r="C58" s="1">
        <v>1</v>
      </c>
      <c r="D58" s="1" t="s">
        <v>152</v>
      </c>
      <c r="E58" s="1" t="s">
        <v>13</v>
      </c>
      <c r="H58"/>
      <c r="I58"/>
    </row>
    <row r="59" spans="1:9" ht="15" x14ac:dyDescent="0.25">
      <c r="A59" s="1">
        <v>58</v>
      </c>
      <c r="B59" s="1">
        <v>2</v>
      </c>
      <c r="C59" s="1">
        <v>1</v>
      </c>
      <c r="D59" s="1" t="s">
        <v>152</v>
      </c>
      <c r="E59" s="1" t="s">
        <v>13</v>
      </c>
      <c r="H59"/>
      <c r="I59"/>
    </row>
    <row r="60" spans="1:9" ht="15" x14ac:dyDescent="0.25">
      <c r="A60" s="1">
        <v>59</v>
      </c>
      <c r="B60" s="1">
        <v>2</v>
      </c>
      <c r="C60" s="1">
        <v>1</v>
      </c>
      <c r="D60" s="1" t="s">
        <v>152</v>
      </c>
      <c r="E60" s="1" t="s">
        <v>13</v>
      </c>
      <c r="H60"/>
      <c r="I60"/>
    </row>
    <row r="61" spans="1:9" ht="15" x14ac:dyDescent="0.25">
      <c r="A61" s="1">
        <v>60</v>
      </c>
      <c r="B61" s="1">
        <v>2</v>
      </c>
      <c r="C61" s="1">
        <v>1</v>
      </c>
      <c r="D61" s="1" t="s">
        <v>152</v>
      </c>
      <c r="E61" s="1" t="s">
        <v>13</v>
      </c>
      <c r="H61"/>
      <c r="I61"/>
    </row>
    <row r="62" spans="1:9" ht="15" x14ac:dyDescent="0.25">
      <c r="A62" s="1">
        <v>61</v>
      </c>
      <c r="B62" s="1">
        <v>2</v>
      </c>
      <c r="C62" s="1">
        <v>1</v>
      </c>
      <c r="D62" s="1" t="s">
        <v>152</v>
      </c>
      <c r="E62" s="1" t="s">
        <v>13</v>
      </c>
      <c r="H62"/>
      <c r="I62"/>
    </row>
    <row r="63" spans="1:9" ht="15" x14ac:dyDescent="0.25">
      <c r="A63" s="1">
        <v>62</v>
      </c>
      <c r="B63" s="1">
        <v>2</v>
      </c>
      <c r="C63" s="1">
        <v>1</v>
      </c>
      <c r="D63" s="1" t="s">
        <v>152</v>
      </c>
      <c r="E63" s="1" t="s">
        <v>13</v>
      </c>
      <c r="H63"/>
      <c r="I63"/>
    </row>
    <row r="64" spans="1:9" ht="15" x14ac:dyDescent="0.25">
      <c r="A64" s="1">
        <v>63</v>
      </c>
      <c r="B64" s="1">
        <v>2</v>
      </c>
      <c r="C64" s="1">
        <v>1</v>
      </c>
      <c r="D64" s="1" t="s">
        <v>152</v>
      </c>
      <c r="E64" s="1" t="s">
        <v>13</v>
      </c>
      <c r="H64"/>
      <c r="I64"/>
    </row>
    <row r="65" spans="1:9" ht="15" x14ac:dyDescent="0.25">
      <c r="A65" s="1">
        <v>64</v>
      </c>
      <c r="B65" s="1">
        <v>2</v>
      </c>
      <c r="C65" s="1">
        <v>1</v>
      </c>
      <c r="D65" s="1" t="s">
        <v>152</v>
      </c>
      <c r="E65" s="1" t="s">
        <v>13</v>
      </c>
      <c r="H65"/>
      <c r="I65"/>
    </row>
    <row r="66" spans="1:9" ht="15" x14ac:dyDescent="0.25">
      <c r="A66" s="1">
        <v>65</v>
      </c>
      <c r="B66" s="1">
        <v>2</v>
      </c>
      <c r="C66" s="1">
        <v>1</v>
      </c>
      <c r="D66" s="1" t="s">
        <v>152</v>
      </c>
      <c r="E66" s="1" t="s">
        <v>13</v>
      </c>
      <c r="H66"/>
      <c r="I66"/>
    </row>
    <row r="67" spans="1:9" ht="15" x14ac:dyDescent="0.25">
      <c r="A67" s="1">
        <v>66</v>
      </c>
      <c r="B67" s="1">
        <v>2</v>
      </c>
      <c r="C67" s="1">
        <v>1</v>
      </c>
      <c r="D67" s="1" t="s">
        <v>152</v>
      </c>
      <c r="E67" s="1" t="s">
        <v>13</v>
      </c>
      <c r="H67"/>
      <c r="I67"/>
    </row>
    <row r="68" spans="1:9" ht="15" x14ac:dyDescent="0.25">
      <c r="A68" s="1">
        <v>67</v>
      </c>
      <c r="B68" s="1">
        <v>2</v>
      </c>
      <c r="C68" s="1">
        <v>1</v>
      </c>
      <c r="D68" s="1" t="s">
        <v>152</v>
      </c>
      <c r="E68" s="1" t="s">
        <v>13</v>
      </c>
      <c r="H68"/>
      <c r="I68"/>
    </row>
    <row r="69" spans="1:9" ht="15" x14ac:dyDescent="0.25">
      <c r="A69" s="1">
        <v>68</v>
      </c>
      <c r="B69" s="1">
        <v>2</v>
      </c>
      <c r="C69" s="1">
        <v>1</v>
      </c>
      <c r="D69" s="1" t="s">
        <v>152</v>
      </c>
      <c r="E69" s="1" t="s">
        <v>13</v>
      </c>
      <c r="H69"/>
      <c r="I69"/>
    </row>
    <row r="70" spans="1:9" ht="15" x14ac:dyDescent="0.25">
      <c r="A70" s="1">
        <v>69</v>
      </c>
      <c r="B70" s="1">
        <v>2</v>
      </c>
      <c r="C70" s="1">
        <v>1</v>
      </c>
      <c r="D70" s="1" t="s">
        <v>152</v>
      </c>
      <c r="E70" s="1" t="s">
        <v>13</v>
      </c>
      <c r="H70"/>
      <c r="I70"/>
    </row>
    <row r="71" spans="1:9" ht="15" x14ac:dyDescent="0.25">
      <c r="A71" s="1">
        <v>70</v>
      </c>
      <c r="B71" s="1">
        <v>2</v>
      </c>
      <c r="C71" s="1">
        <v>1</v>
      </c>
      <c r="D71" s="1" t="s">
        <v>152</v>
      </c>
      <c r="E71" s="1" t="s">
        <v>13</v>
      </c>
      <c r="H71"/>
      <c r="I71"/>
    </row>
    <row r="72" spans="1:9" ht="15" x14ac:dyDescent="0.25">
      <c r="A72" s="1">
        <v>71</v>
      </c>
      <c r="B72" s="1">
        <v>2</v>
      </c>
      <c r="C72" s="1">
        <v>1</v>
      </c>
      <c r="D72" s="1" t="s">
        <v>152</v>
      </c>
      <c r="E72" s="1" t="s">
        <v>13</v>
      </c>
      <c r="H72"/>
      <c r="I72"/>
    </row>
    <row r="73" spans="1:9" ht="15" x14ac:dyDescent="0.25">
      <c r="A73" s="1">
        <v>72</v>
      </c>
      <c r="B73" s="1">
        <v>2</v>
      </c>
      <c r="C73" s="1">
        <v>1</v>
      </c>
      <c r="D73" s="1" t="s">
        <v>152</v>
      </c>
      <c r="E73" s="1" t="s">
        <v>13</v>
      </c>
      <c r="H73"/>
      <c r="I73"/>
    </row>
    <row r="74" spans="1:9" ht="15" x14ac:dyDescent="0.25">
      <c r="A74" s="1">
        <v>73</v>
      </c>
      <c r="B74" s="1">
        <v>2</v>
      </c>
      <c r="C74" s="1">
        <v>1</v>
      </c>
      <c r="D74" s="1" t="s">
        <v>152</v>
      </c>
      <c r="E74" s="1" t="s">
        <v>13</v>
      </c>
      <c r="H74"/>
      <c r="I74"/>
    </row>
    <row r="75" spans="1:9" ht="15" x14ac:dyDescent="0.25">
      <c r="A75" s="1">
        <v>74</v>
      </c>
      <c r="B75" s="1">
        <v>2</v>
      </c>
      <c r="C75" s="1">
        <v>1</v>
      </c>
      <c r="D75" s="1" t="s">
        <v>152</v>
      </c>
      <c r="E75" s="1" t="s">
        <v>13</v>
      </c>
      <c r="H75"/>
      <c r="I75"/>
    </row>
    <row r="76" spans="1:9" ht="15" x14ac:dyDescent="0.25">
      <c r="A76" s="1">
        <v>75</v>
      </c>
      <c r="B76" s="1">
        <v>2</v>
      </c>
      <c r="C76" s="1">
        <v>1</v>
      </c>
      <c r="D76" s="1" t="s">
        <v>152</v>
      </c>
      <c r="E76" s="1" t="s">
        <v>13</v>
      </c>
      <c r="H76"/>
      <c r="I76"/>
    </row>
    <row r="77" spans="1:9" ht="15" x14ac:dyDescent="0.25">
      <c r="A77" s="1">
        <v>76</v>
      </c>
      <c r="B77" s="1">
        <v>2</v>
      </c>
      <c r="C77" s="1">
        <v>1</v>
      </c>
      <c r="D77" s="1" t="s">
        <v>152</v>
      </c>
      <c r="E77" s="1" t="s">
        <v>13</v>
      </c>
      <c r="H77"/>
      <c r="I77"/>
    </row>
    <row r="78" spans="1:9" ht="15" x14ac:dyDescent="0.25">
      <c r="A78" s="1">
        <v>77</v>
      </c>
      <c r="B78" s="1">
        <v>2</v>
      </c>
      <c r="C78" s="1">
        <v>1</v>
      </c>
      <c r="D78" s="1" t="s">
        <v>152</v>
      </c>
      <c r="E78" s="1" t="s">
        <v>13</v>
      </c>
      <c r="H78"/>
      <c r="I78"/>
    </row>
    <row r="79" spans="1:9" ht="15" x14ac:dyDescent="0.25">
      <c r="A79" s="1">
        <v>78</v>
      </c>
      <c r="B79" s="1">
        <v>2</v>
      </c>
      <c r="C79" s="1">
        <v>1</v>
      </c>
      <c r="D79" s="1" t="s">
        <v>152</v>
      </c>
      <c r="E79" s="1" t="s">
        <v>13</v>
      </c>
      <c r="H79"/>
      <c r="I79"/>
    </row>
    <row r="80" spans="1:9" ht="15" x14ac:dyDescent="0.25">
      <c r="A80" s="1">
        <v>79</v>
      </c>
      <c r="B80" s="1">
        <v>2</v>
      </c>
      <c r="C80" s="1">
        <v>1</v>
      </c>
      <c r="D80" s="1" t="s">
        <v>152</v>
      </c>
      <c r="E80" s="1" t="s">
        <v>13</v>
      </c>
      <c r="H80"/>
      <c r="I80"/>
    </row>
    <row r="81" spans="1:9" ht="15" x14ac:dyDescent="0.25">
      <c r="A81" s="1">
        <v>80</v>
      </c>
      <c r="B81" s="1">
        <v>2</v>
      </c>
      <c r="C81" s="1">
        <v>1</v>
      </c>
      <c r="D81" s="1" t="s">
        <v>152</v>
      </c>
      <c r="E81" s="1" t="s">
        <v>13</v>
      </c>
      <c r="H81"/>
      <c r="I81"/>
    </row>
    <row r="82" spans="1:9" ht="15" x14ac:dyDescent="0.25">
      <c r="A82" s="1">
        <v>81</v>
      </c>
      <c r="B82" s="1">
        <v>2</v>
      </c>
      <c r="C82" s="1">
        <v>1</v>
      </c>
      <c r="D82" s="1" t="s">
        <v>152</v>
      </c>
      <c r="E82" s="1" t="s">
        <v>13</v>
      </c>
      <c r="H82"/>
      <c r="I82"/>
    </row>
    <row r="83" spans="1:9" ht="15" x14ac:dyDescent="0.25">
      <c r="A83" s="1">
        <v>82</v>
      </c>
      <c r="B83" s="1">
        <v>2</v>
      </c>
      <c r="C83" s="1">
        <v>1</v>
      </c>
      <c r="D83" s="1" t="s">
        <v>152</v>
      </c>
      <c r="E83" s="1" t="s">
        <v>13</v>
      </c>
      <c r="H83"/>
      <c r="I83"/>
    </row>
    <row r="84" spans="1:9" ht="15" x14ac:dyDescent="0.25">
      <c r="A84" s="1">
        <v>83</v>
      </c>
      <c r="B84" s="1">
        <v>2</v>
      </c>
      <c r="C84" s="1">
        <v>1</v>
      </c>
      <c r="D84" s="1" t="s">
        <v>152</v>
      </c>
      <c r="E84" s="1" t="s">
        <v>13</v>
      </c>
      <c r="H84"/>
      <c r="I84"/>
    </row>
    <row r="85" spans="1:9" ht="15" x14ac:dyDescent="0.25">
      <c r="A85" s="1">
        <v>84</v>
      </c>
      <c r="B85" s="1">
        <v>2</v>
      </c>
      <c r="C85" s="1">
        <v>1</v>
      </c>
      <c r="D85" s="1" t="s">
        <v>152</v>
      </c>
      <c r="E85" s="1" t="s">
        <v>13</v>
      </c>
      <c r="H85"/>
      <c r="I85"/>
    </row>
    <row r="86" spans="1:9" ht="15" x14ac:dyDescent="0.25">
      <c r="A86" s="1">
        <v>85</v>
      </c>
      <c r="B86" s="1">
        <v>2</v>
      </c>
      <c r="C86" s="1">
        <v>1</v>
      </c>
      <c r="D86" s="1" t="s">
        <v>152</v>
      </c>
      <c r="E86" s="1" t="s">
        <v>13</v>
      </c>
      <c r="H86"/>
      <c r="I86"/>
    </row>
    <row r="87" spans="1:9" ht="15" x14ac:dyDescent="0.25">
      <c r="A87" s="1">
        <v>86</v>
      </c>
      <c r="B87" s="1">
        <v>2</v>
      </c>
      <c r="C87" s="1">
        <v>1</v>
      </c>
      <c r="D87" s="1" t="s">
        <v>152</v>
      </c>
      <c r="E87" s="1" t="s">
        <v>13</v>
      </c>
      <c r="H87"/>
      <c r="I87"/>
    </row>
    <row r="88" spans="1:9" ht="15" x14ac:dyDescent="0.25">
      <c r="A88" s="1">
        <v>87</v>
      </c>
      <c r="B88" s="1">
        <v>2</v>
      </c>
      <c r="C88" s="1">
        <v>1</v>
      </c>
      <c r="D88" s="1" t="s">
        <v>152</v>
      </c>
      <c r="E88" s="1" t="s">
        <v>13</v>
      </c>
      <c r="H88"/>
      <c r="I88"/>
    </row>
    <row r="89" spans="1:9" ht="15" x14ac:dyDescent="0.25">
      <c r="A89" s="1">
        <v>88</v>
      </c>
      <c r="B89" s="1">
        <v>2</v>
      </c>
      <c r="C89" s="1">
        <v>1</v>
      </c>
      <c r="D89" s="1" t="s">
        <v>152</v>
      </c>
      <c r="E89" s="1" t="s">
        <v>13</v>
      </c>
      <c r="H89"/>
      <c r="I89"/>
    </row>
    <row r="90" spans="1:9" ht="15" x14ac:dyDescent="0.25">
      <c r="A90" s="1">
        <v>89</v>
      </c>
      <c r="B90" s="1">
        <v>2</v>
      </c>
      <c r="C90" s="1">
        <v>1</v>
      </c>
      <c r="D90" s="1" t="s">
        <v>152</v>
      </c>
      <c r="E90" s="1" t="s">
        <v>13</v>
      </c>
      <c r="H90"/>
      <c r="I90"/>
    </row>
    <row r="91" spans="1:9" ht="15" x14ac:dyDescent="0.25">
      <c r="A91" s="1">
        <v>90</v>
      </c>
      <c r="B91" s="1">
        <v>3</v>
      </c>
      <c r="C91" s="1">
        <v>1</v>
      </c>
      <c r="D91" s="1" t="s">
        <v>151</v>
      </c>
      <c r="E91" s="1" t="s">
        <v>13</v>
      </c>
      <c r="H91"/>
      <c r="I91"/>
    </row>
    <row r="92" spans="1:9" ht="15" x14ac:dyDescent="0.25">
      <c r="A92" s="1">
        <v>91</v>
      </c>
      <c r="B92" s="1">
        <v>3</v>
      </c>
      <c r="C92" s="1">
        <v>1</v>
      </c>
      <c r="D92" s="1" t="s">
        <v>151</v>
      </c>
      <c r="E92" s="1" t="s">
        <v>13</v>
      </c>
      <c r="H92"/>
      <c r="I92"/>
    </row>
    <row r="93" spans="1:9" ht="15" x14ac:dyDescent="0.25">
      <c r="A93" s="1">
        <v>92</v>
      </c>
      <c r="B93" s="1">
        <v>3</v>
      </c>
      <c r="C93" s="1">
        <v>1</v>
      </c>
      <c r="D93" s="1" t="s">
        <v>151</v>
      </c>
      <c r="E93" s="1" t="s">
        <v>13</v>
      </c>
      <c r="H93"/>
      <c r="I93"/>
    </row>
    <row r="94" spans="1:9" ht="15" x14ac:dyDescent="0.25">
      <c r="A94" s="1">
        <v>93</v>
      </c>
      <c r="B94" s="1">
        <v>3</v>
      </c>
      <c r="C94" s="1">
        <v>1</v>
      </c>
      <c r="D94" s="1" t="s">
        <v>151</v>
      </c>
      <c r="E94" s="1" t="s">
        <v>13</v>
      </c>
      <c r="H94"/>
      <c r="I94"/>
    </row>
    <row r="95" spans="1:9" ht="15" x14ac:dyDescent="0.25">
      <c r="A95" s="1">
        <v>94</v>
      </c>
      <c r="B95" s="1">
        <v>3</v>
      </c>
      <c r="C95" s="1">
        <v>1</v>
      </c>
      <c r="D95" s="1" t="s">
        <v>151</v>
      </c>
      <c r="E95" s="1" t="s">
        <v>13</v>
      </c>
      <c r="H95"/>
      <c r="I95"/>
    </row>
    <row r="96" spans="1:9" ht="15" x14ac:dyDescent="0.25">
      <c r="A96" s="1">
        <v>95</v>
      </c>
      <c r="B96" s="1">
        <v>3</v>
      </c>
      <c r="C96" s="1">
        <v>1</v>
      </c>
      <c r="D96" s="1" t="s">
        <v>151</v>
      </c>
      <c r="E96" s="1" t="s">
        <v>13</v>
      </c>
      <c r="H96"/>
      <c r="I96"/>
    </row>
    <row r="97" spans="1:9" ht="15" x14ac:dyDescent="0.25">
      <c r="A97" s="1">
        <v>96</v>
      </c>
      <c r="B97" s="1">
        <v>3</v>
      </c>
      <c r="C97" s="1">
        <v>1</v>
      </c>
      <c r="D97" s="1" t="s">
        <v>151</v>
      </c>
      <c r="E97" s="1" t="s">
        <v>13</v>
      </c>
      <c r="H97"/>
      <c r="I97"/>
    </row>
    <row r="98" spans="1:9" ht="15" x14ac:dyDescent="0.25">
      <c r="A98" s="1">
        <v>97</v>
      </c>
      <c r="B98" s="1">
        <v>3</v>
      </c>
      <c r="C98" s="1">
        <v>1</v>
      </c>
      <c r="D98" s="1" t="s">
        <v>151</v>
      </c>
      <c r="E98" s="1" t="s">
        <v>13</v>
      </c>
      <c r="H98"/>
      <c r="I98"/>
    </row>
    <row r="99" spans="1:9" ht="15" x14ac:dyDescent="0.25">
      <c r="A99" s="1">
        <v>98</v>
      </c>
      <c r="B99" s="1">
        <v>3</v>
      </c>
      <c r="C99" s="1">
        <v>1</v>
      </c>
      <c r="D99" s="1" t="s">
        <v>151</v>
      </c>
      <c r="E99" s="1" t="s">
        <v>13</v>
      </c>
      <c r="H99"/>
      <c r="I99"/>
    </row>
    <row r="100" spans="1:9" ht="15" x14ac:dyDescent="0.25">
      <c r="A100" s="1">
        <v>99</v>
      </c>
      <c r="B100" s="1">
        <v>3</v>
      </c>
      <c r="C100" s="1">
        <v>1</v>
      </c>
      <c r="D100" s="1" t="s">
        <v>151</v>
      </c>
      <c r="E100" s="1" t="s">
        <v>13</v>
      </c>
      <c r="H100"/>
      <c r="I100"/>
    </row>
    <row r="101" spans="1:9" ht="15" x14ac:dyDescent="0.25">
      <c r="A101" s="1">
        <v>100</v>
      </c>
      <c r="B101" s="1">
        <v>3</v>
      </c>
      <c r="C101" s="1">
        <v>1</v>
      </c>
      <c r="D101" s="1" t="s">
        <v>151</v>
      </c>
      <c r="E101" s="1" t="s">
        <v>13</v>
      </c>
      <c r="H101"/>
      <c r="I101"/>
    </row>
    <row r="102" spans="1:9" ht="15" x14ac:dyDescent="0.25">
      <c r="A102" s="1">
        <v>101</v>
      </c>
      <c r="B102" s="1">
        <v>3</v>
      </c>
      <c r="C102" s="1">
        <v>1</v>
      </c>
      <c r="D102" s="1" t="s">
        <v>151</v>
      </c>
      <c r="E102" s="1" t="s">
        <v>13</v>
      </c>
      <c r="H102"/>
      <c r="I102"/>
    </row>
    <row r="103" spans="1:9" ht="15" x14ac:dyDescent="0.25">
      <c r="A103" s="1">
        <v>102</v>
      </c>
      <c r="B103" s="1">
        <v>3</v>
      </c>
      <c r="C103" s="1">
        <v>1</v>
      </c>
      <c r="D103" s="1" t="s">
        <v>151</v>
      </c>
      <c r="E103" s="1" t="s">
        <v>13</v>
      </c>
      <c r="H103"/>
      <c r="I103"/>
    </row>
    <row r="104" spans="1:9" ht="15" x14ac:dyDescent="0.25">
      <c r="A104" s="1">
        <v>103</v>
      </c>
      <c r="B104" s="1">
        <v>3</v>
      </c>
      <c r="C104" s="1">
        <v>1</v>
      </c>
      <c r="D104" s="1" t="s">
        <v>151</v>
      </c>
      <c r="E104" s="1" t="s">
        <v>13</v>
      </c>
      <c r="H104"/>
      <c r="I104"/>
    </row>
    <row r="105" spans="1:9" ht="15" x14ac:dyDescent="0.25">
      <c r="A105" s="1">
        <v>104</v>
      </c>
      <c r="B105" s="1">
        <v>3</v>
      </c>
      <c r="C105" s="1">
        <v>1</v>
      </c>
      <c r="D105" s="1" t="s">
        <v>151</v>
      </c>
      <c r="E105" s="1" t="s">
        <v>13</v>
      </c>
      <c r="H105"/>
      <c r="I105"/>
    </row>
    <row r="106" spans="1:9" ht="15" x14ac:dyDescent="0.25">
      <c r="A106" s="1">
        <v>105</v>
      </c>
      <c r="B106" s="1">
        <v>3</v>
      </c>
      <c r="C106" s="1">
        <v>1</v>
      </c>
      <c r="D106" s="1" t="s">
        <v>151</v>
      </c>
      <c r="E106" s="1" t="s">
        <v>13</v>
      </c>
      <c r="H106"/>
      <c r="I106"/>
    </row>
    <row r="107" spans="1:9" ht="15" x14ac:dyDescent="0.25">
      <c r="A107" s="1">
        <v>106</v>
      </c>
      <c r="B107" s="1">
        <v>3</v>
      </c>
      <c r="C107" s="1">
        <v>1</v>
      </c>
      <c r="D107" s="1" t="s">
        <v>151</v>
      </c>
      <c r="E107" s="1" t="s">
        <v>13</v>
      </c>
      <c r="H107"/>
      <c r="I107"/>
    </row>
    <row r="108" spans="1:9" ht="15" x14ac:dyDescent="0.25">
      <c r="A108" s="1">
        <v>107</v>
      </c>
      <c r="B108" s="1">
        <v>3</v>
      </c>
      <c r="C108" s="1">
        <v>1</v>
      </c>
      <c r="D108" s="1" t="s">
        <v>151</v>
      </c>
      <c r="E108" s="1" t="s">
        <v>13</v>
      </c>
      <c r="H108"/>
      <c r="I108"/>
    </row>
    <row r="109" spans="1:9" ht="15" x14ac:dyDescent="0.25">
      <c r="A109" s="1">
        <v>108</v>
      </c>
      <c r="B109" s="1">
        <v>3</v>
      </c>
      <c r="C109" s="1">
        <v>1</v>
      </c>
      <c r="D109" s="1" t="s">
        <v>151</v>
      </c>
      <c r="E109" s="1" t="s">
        <v>13</v>
      </c>
      <c r="H109"/>
      <c r="I109"/>
    </row>
    <row r="110" spans="1:9" ht="15" x14ac:dyDescent="0.25">
      <c r="A110" s="1">
        <v>109</v>
      </c>
      <c r="B110" s="1">
        <v>3</v>
      </c>
      <c r="C110" s="1">
        <v>1</v>
      </c>
      <c r="D110" s="1" t="s">
        <v>151</v>
      </c>
      <c r="E110" s="1" t="s">
        <v>13</v>
      </c>
      <c r="H110"/>
      <c r="I110"/>
    </row>
    <row r="111" spans="1:9" ht="15" x14ac:dyDescent="0.25">
      <c r="A111" s="1">
        <v>110</v>
      </c>
      <c r="B111" s="1">
        <v>3</v>
      </c>
      <c r="C111" s="1">
        <v>1</v>
      </c>
      <c r="D111" s="1" t="s">
        <v>151</v>
      </c>
      <c r="E111" s="1" t="s">
        <v>13</v>
      </c>
      <c r="H111"/>
      <c r="I111"/>
    </row>
    <row r="112" spans="1:9" ht="15" x14ac:dyDescent="0.25">
      <c r="A112" s="1">
        <v>111</v>
      </c>
      <c r="B112" s="1">
        <v>3</v>
      </c>
      <c r="C112" s="1">
        <v>1</v>
      </c>
      <c r="D112" s="1" t="s">
        <v>151</v>
      </c>
      <c r="E112" s="1" t="s">
        <v>13</v>
      </c>
      <c r="H112"/>
      <c r="I112"/>
    </row>
    <row r="113" spans="1:9" ht="15" x14ac:dyDescent="0.25">
      <c r="A113" s="1">
        <v>112</v>
      </c>
      <c r="B113" s="1">
        <v>3</v>
      </c>
      <c r="C113" s="1">
        <v>1</v>
      </c>
      <c r="D113" s="1" t="s">
        <v>151</v>
      </c>
      <c r="E113" s="1" t="s">
        <v>13</v>
      </c>
      <c r="H113"/>
      <c r="I113"/>
    </row>
    <row r="114" spans="1:9" ht="15" x14ac:dyDescent="0.25">
      <c r="A114" s="1">
        <v>113</v>
      </c>
      <c r="B114" s="1">
        <v>3</v>
      </c>
      <c r="C114" s="1">
        <v>1</v>
      </c>
      <c r="D114" s="1" t="s">
        <v>151</v>
      </c>
      <c r="E114" s="1" t="s">
        <v>13</v>
      </c>
      <c r="H114"/>
      <c r="I114"/>
    </row>
    <row r="115" spans="1:9" ht="15" x14ac:dyDescent="0.25">
      <c r="A115" s="1">
        <v>114</v>
      </c>
      <c r="B115" s="1">
        <v>3</v>
      </c>
      <c r="C115" s="1">
        <v>1</v>
      </c>
      <c r="D115" s="1" t="s">
        <v>151</v>
      </c>
      <c r="E115" s="1" t="s">
        <v>13</v>
      </c>
      <c r="H115"/>
      <c r="I115"/>
    </row>
    <row r="116" spans="1:9" ht="15" x14ac:dyDescent="0.25">
      <c r="A116" s="1">
        <v>115</v>
      </c>
      <c r="B116" s="1">
        <v>3</v>
      </c>
      <c r="C116" s="1">
        <v>1</v>
      </c>
      <c r="D116" s="1" t="s">
        <v>151</v>
      </c>
      <c r="E116" s="1" t="s">
        <v>13</v>
      </c>
      <c r="H116"/>
      <c r="I116"/>
    </row>
    <row r="117" spans="1:9" ht="15" x14ac:dyDescent="0.25">
      <c r="A117" s="1">
        <v>116</v>
      </c>
      <c r="B117" s="1">
        <v>3</v>
      </c>
      <c r="C117" s="1">
        <v>1</v>
      </c>
      <c r="D117" s="1" t="s">
        <v>151</v>
      </c>
      <c r="E117" s="1" t="s">
        <v>13</v>
      </c>
      <c r="H117"/>
      <c r="I117"/>
    </row>
    <row r="118" spans="1:9" ht="15" x14ac:dyDescent="0.25">
      <c r="A118" s="1">
        <v>117</v>
      </c>
      <c r="B118" s="1">
        <v>3</v>
      </c>
      <c r="C118" s="1">
        <v>1</v>
      </c>
      <c r="D118" s="1" t="s">
        <v>151</v>
      </c>
      <c r="E118" s="1" t="s">
        <v>13</v>
      </c>
      <c r="H118"/>
      <c r="I118"/>
    </row>
    <row r="119" spans="1:9" ht="15" x14ac:dyDescent="0.25">
      <c r="A119" s="1">
        <v>118</v>
      </c>
      <c r="B119" s="1">
        <v>3</v>
      </c>
      <c r="C119" s="1">
        <v>1</v>
      </c>
      <c r="D119" s="1" t="s">
        <v>151</v>
      </c>
      <c r="E119" s="1" t="s">
        <v>13</v>
      </c>
      <c r="H119"/>
      <c r="I119"/>
    </row>
    <row r="120" spans="1:9" ht="15" x14ac:dyDescent="0.25">
      <c r="A120" s="1">
        <v>119</v>
      </c>
      <c r="B120" s="1">
        <v>3</v>
      </c>
      <c r="C120" s="1">
        <v>1</v>
      </c>
      <c r="D120" s="1" t="s">
        <v>151</v>
      </c>
      <c r="E120" s="1" t="s">
        <v>13</v>
      </c>
      <c r="H120"/>
      <c r="I120"/>
    </row>
    <row r="121" spans="1:9" ht="15" x14ac:dyDescent="0.25">
      <c r="A121" s="1">
        <v>120</v>
      </c>
      <c r="B121" s="1">
        <v>3</v>
      </c>
      <c r="C121" s="1">
        <v>1</v>
      </c>
      <c r="D121" s="1" t="s">
        <v>151</v>
      </c>
      <c r="E121" s="1" t="s">
        <v>13</v>
      </c>
      <c r="H121"/>
      <c r="I121"/>
    </row>
    <row r="122" spans="1:9" ht="15" x14ac:dyDescent="0.25">
      <c r="A122" s="1">
        <v>121</v>
      </c>
      <c r="B122" s="1">
        <v>3</v>
      </c>
      <c r="C122" s="1">
        <v>1</v>
      </c>
      <c r="D122" s="1" t="s">
        <v>151</v>
      </c>
      <c r="E122" s="1" t="s">
        <v>13</v>
      </c>
      <c r="H122"/>
      <c r="I122"/>
    </row>
    <row r="123" spans="1:9" ht="15" x14ac:dyDescent="0.25">
      <c r="A123" s="1">
        <v>122</v>
      </c>
      <c r="B123" s="1">
        <v>3</v>
      </c>
      <c r="C123" s="1">
        <v>1</v>
      </c>
      <c r="D123" s="1" t="s">
        <v>151</v>
      </c>
      <c r="E123" s="1" t="s">
        <v>13</v>
      </c>
      <c r="H123"/>
      <c r="I123"/>
    </row>
    <row r="124" spans="1:9" ht="15" x14ac:dyDescent="0.25">
      <c r="A124" s="1">
        <v>123</v>
      </c>
      <c r="B124" s="1">
        <v>3</v>
      </c>
      <c r="C124" s="1">
        <v>1</v>
      </c>
      <c r="D124" s="1" t="s">
        <v>151</v>
      </c>
      <c r="E124" s="1" t="s">
        <v>13</v>
      </c>
      <c r="H124"/>
      <c r="I124"/>
    </row>
    <row r="125" spans="1:9" ht="15" x14ac:dyDescent="0.25">
      <c r="A125" s="1">
        <v>124</v>
      </c>
      <c r="B125" s="1">
        <v>3</v>
      </c>
      <c r="C125" s="1">
        <v>1</v>
      </c>
      <c r="D125" s="1" t="s">
        <v>151</v>
      </c>
      <c r="E125" s="1" t="s">
        <v>13</v>
      </c>
      <c r="H125"/>
      <c r="I125"/>
    </row>
    <row r="126" spans="1:9" ht="15" x14ac:dyDescent="0.25">
      <c r="A126" s="1">
        <v>125</v>
      </c>
      <c r="B126" s="1">
        <v>3</v>
      </c>
      <c r="C126" s="1">
        <v>1</v>
      </c>
      <c r="D126" s="1" t="s">
        <v>151</v>
      </c>
      <c r="E126" s="1" t="s">
        <v>13</v>
      </c>
      <c r="H126"/>
      <c r="I126"/>
    </row>
    <row r="127" spans="1:9" ht="15" x14ac:dyDescent="0.25">
      <c r="A127" s="1">
        <v>126</v>
      </c>
      <c r="B127" s="1">
        <v>3</v>
      </c>
      <c r="C127" s="1">
        <v>1</v>
      </c>
      <c r="D127" s="1" t="s">
        <v>151</v>
      </c>
      <c r="E127" s="1" t="s">
        <v>13</v>
      </c>
      <c r="H127"/>
      <c r="I127"/>
    </row>
    <row r="128" spans="1:9" ht="15" x14ac:dyDescent="0.25">
      <c r="A128" s="1">
        <v>127</v>
      </c>
      <c r="B128" s="1">
        <v>3</v>
      </c>
      <c r="C128" s="1">
        <v>1</v>
      </c>
      <c r="D128" s="1" t="s">
        <v>151</v>
      </c>
      <c r="E128" s="1" t="s">
        <v>13</v>
      </c>
      <c r="H128"/>
      <c r="I128"/>
    </row>
    <row r="129" spans="1:9" ht="15" x14ac:dyDescent="0.25">
      <c r="A129" s="1">
        <v>128</v>
      </c>
      <c r="B129" s="1">
        <v>3</v>
      </c>
      <c r="C129" s="1">
        <v>1</v>
      </c>
      <c r="D129" s="1" t="s">
        <v>151</v>
      </c>
      <c r="E129" s="1" t="s">
        <v>13</v>
      </c>
      <c r="H129"/>
      <c r="I129"/>
    </row>
    <row r="130" spans="1:9" ht="15" x14ac:dyDescent="0.25">
      <c r="A130" s="1">
        <v>129</v>
      </c>
      <c r="B130" s="1">
        <v>3</v>
      </c>
      <c r="C130" s="1">
        <v>1</v>
      </c>
      <c r="D130" s="1" t="s">
        <v>151</v>
      </c>
      <c r="E130" s="1" t="s">
        <v>13</v>
      </c>
      <c r="H130"/>
      <c r="I130"/>
    </row>
    <row r="131" spans="1:9" ht="15" x14ac:dyDescent="0.25">
      <c r="A131" s="1">
        <v>130</v>
      </c>
      <c r="B131" s="1">
        <v>3</v>
      </c>
      <c r="C131" s="1">
        <v>1</v>
      </c>
      <c r="D131" s="1" t="s">
        <v>151</v>
      </c>
      <c r="E131" s="1" t="s">
        <v>13</v>
      </c>
      <c r="H131"/>
      <c r="I131"/>
    </row>
    <row r="132" spans="1:9" ht="15" x14ac:dyDescent="0.25">
      <c r="A132" s="1">
        <v>131</v>
      </c>
      <c r="B132" s="1">
        <v>3</v>
      </c>
      <c r="C132" s="1">
        <v>1</v>
      </c>
      <c r="D132" s="1" t="s">
        <v>151</v>
      </c>
      <c r="E132" s="1" t="s">
        <v>13</v>
      </c>
      <c r="H132"/>
      <c r="I132"/>
    </row>
    <row r="133" spans="1:9" ht="15" x14ac:dyDescent="0.25">
      <c r="A133" s="1">
        <v>132</v>
      </c>
      <c r="B133" s="1">
        <v>3</v>
      </c>
      <c r="C133" s="1">
        <v>1</v>
      </c>
      <c r="D133" s="1" t="s">
        <v>151</v>
      </c>
      <c r="E133" s="1" t="s">
        <v>13</v>
      </c>
      <c r="H133"/>
      <c r="I133"/>
    </row>
    <row r="134" spans="1:9" ht="15" x14ac:dyDescent="0.25">
      <c r="A134" s="1">
        <v>133</v>
      </c>
      <c r="B134" s="1">
        <v>3</v>
      </c>
      <c r="C134" s="1">
        <v>1</v>
      </c>
      <c r="D134" s="1" t="s">
        <v>151</v>
      </c>
      <c r="E134" s="1" t="s">
        <v>13</v>
      </c>
      <c r="H134"/>
      <c r="I134"/>
    </row>
    <row r="135" spans="1:9" ht="15" x14ac:dyDescent="0.25">
      <c r="A135" s="1">
        <v>134</v>
      </c>
      <c r="B135" s="1">
        <v>3</v>
      </c>
      <c r="C135" s="1">
        <v>1</v>
      </c>
      <c r="D135" s="1" t="s">
        <v>151</v>
      </c>
      <c r="E135" s="1" t="s">
        <v>13</v>
      </c>
      <c r="H135"/>
      <c r="I135"/>
    </row>
    <row r="136" spans="1:9" ht="15" x14ac:dyDescent="0.25">
      <c r="A136" s="1">
        <v>135</v>
      </c>
      <c r="B136" s="1">
        <v>3</v>
      </c>
      <c r="C136" s="1">
        <v>1</v>
      </c>
      <c r="D136" s="1" t="s">
        <v>151</v>
      </c>
      <c r="E136" s="1" t="s">
        <v>13</v>
      </c>
      <c r="H136"/>
      <c r="I136"/>
    </row>
    <row r="137" spans="1:9" ht="15" x14ac:dyDescent="0.25">
      <c r="A137" s="1">
        <v>136</v>
      </c>
      <c r="B137" s="1">
        <v>3</v>
      </c>
      <c r="C137" s="1">
        <v>1</v>
      </c>
      <c r="D137" s="1" t="s">
        <v>151</v>
      </c>
      <c r="E137" s="1" t="s">
        <v>13</v>
      </c>
      <c r="H137"/>
      <c r="I137"/>
    </row>
    <row r="138" spans="1:9" ht="15" x14ac:dyDescent="0.25">
      <c r="A138" s="1">
        <v>137</v>
      </c>
      <c r="B138" s="1">
        <v>3</v>
      </c>
      <c r="C138" s="1">
        <v>1</v>
      </c>
      <c r="D138" s="1" t="s">
        <v>151</v>
      </c>
      <c r="E138" s="1" t="s">
        <v>13</v>
      </c>
      <c r="H138"/>
      <c r="I138"/>
    </row>
    <row r="139" spans="1:9" ht="15" x14ac:dyDescent="0.25">
      <c r="A139" s="1">
        <v>138</v>
      </c>
      <c r="B139" s="1">
        <v>3</v>
      </c>
      <c r="C139" s="1">
        <v>1</v>
      </c>
      <c r="D139" s="1" t="s">
        <v>151</v>
      </c>
      <c r="E139" s="1" t="s">
        <v>13</v>
      </c>
      <c r="H139"/>
      <c r="I139"/>
    </row>
    <row r="140" spans="1:9" ht="15" x14ac:dyDescent="0.25">
      <c r="A140" s="1">
        <v>139</v>
      </c>
      <c r="B140" s="1">
        <v>3</v>
      </c>
      <c r="C140" s="1">
        <v>1</v>
      </c>
      <c r="D140" s="1" t="s">
        <v>151</v>
      </c>
      <c r="E140" s="1" t="s">
        <v>13</v>
      </c>
      <c r="H140"/>
      <c r="I140"/>
    </row>
    <row r="141" spans="1:9" ht="15" x14ac:dyDescent="0.25">
      <c r="A141" s="1">
        <v>140</v>
      </c>
      <c r="B141" s="1">
        <v>3</v>
      </c>
      <c r="C141" s="1">
        <v>1</v>
      </c>
      <c r="D141" s="1" t="s">
        <v>151</v>
      </c>
      <c r="E141" s="1" t="s">
        <v>13</v>
      </c>
      <c r="H141"/>
      <c r="I141"/>
    </row>
    <row r="142" spans="1:9" ht="15" x14ac:dyDescent="0.25">
      <c r="A142" s="1">
        <v>141</v>
      </c>
      <c r="B142" s="1">
        <v>3</v>
      </c>
      <c r="C142" s="1">
        <v>1</v>
      </c>
      <c r="D142" s="1" t="s">
        <v>151</v>
      </c>
      <c r="E142" s="1" t="s">
        <v>13</v>
      </c>
      <c r="H142"/>
      <c r="I142"/>
    </row>
    <row r="143" spans="1:9" ht="15" x14ac:dyDescent="0.25">
      <c r="A143" s="1">
        <v>142</v>
      </c>
      <c r="B143" s="1">
        <v>3</v>
      </c>
      <c r="C143" s="1">
        <v>1</v>
      </c>
      <c r="D143" s="1" t="s">
        <v>151</v>
      </c>
      <c r="E143" s="1" t="s">
        <v>13</v>
      </c>
      <c r="H143"/>
      <c r="I143"/>
    </row>
    <row r="144" spans="1:9" ht="15" x14ac:dyDescent="0.25">
      <c r="A144" s="1">
        <v>143</v>
      </c>
      <c r="B144" s="1">
        <v>3</v>
      </c>
      <c r="C144" s="1">
        <v>1</v>
      </c>
      <c r="D144" s="1" t="s">
        <v>151</v>
      </c>
      <c r="E144" s="1" t="s">
        <v>13</v>
      </c>
      <c r="H144"/>
      <c r="I144"/>
    </row>
    <row r="145" spans="1:9" ht="15" x14ac:dyDescent="0.25">
      <c r="A145" s="1">
        <v>144</v>
      </c>
      <c r="B145" s="1">
        <v>3</v>
      </c>
      <c r="C145" s="1">
        <v>1</v>
      </c>
      <c r="D145" s="1" t="s">
        <v>151</v>
      </c>
      <c r="E145" s="1" t="s">
        <v>13</v>
      </c>
      <c r="H145"/>
      <c r="I145"/>
    </row>
    <row r="146" spans="1:9" ht="15" x14ac:dyDescent="0.25">
      <c r="A146" s="1">
        <v>145</v>
      </c>
      <c r="B146" s="1">
        <v>3</v>
      </c>
      <c r="C146" s="1">
        <v>1</v>
      </c>
      <c r="D146" s="1" t="s">
        <v>151</v>
      </c>
      <c r="E146" s="1" t="s">
        <v>13</v>
      </c>
      <c r="H146"/>
      <c r="I146"/>
    </row>
    <row r="147" spans="1:9" ht="15" x14ac:dyDescent="0.25">
      <c r="A147" s="1">
        <v>146</v>
      </c>
      <c r="B147" s="1">
        <v>3</v>
      </c>
      <c r="C147" s="1">
        <v>1</v>
      </c>
      <c r="D147" s="1" t="s">
        <v>151</v>
      </c>
      <c r="E147" s="1" t="s">
        <v>13</v>
      </c>
      <c r="H147"/>
      <c r="I147"/>
    </row>
    <row r="148" spans="1:9" ht="15" x14ac:dyDescent="0.25">
      <c r="A148" s="1">
        <v>147</v>
      </c>
      <c r="B148" s="1">
        <v>3</v>
      </c>
      <c r="C148" s="1">
        <v>1</v>
      </c>
      <c r="D148" s="1" t="s">
        <v>151</v>
      </c>
      <c r="E148" s="1" t="s">
        <v>13</v>
      </c>
      <c r="H148"/>
      <c r="I148"/>
    </row>
    <row r="149" spans="1:9" ht="15" x14ac:dyDescent="0.25">
      <c r="A149" s="1">
        <v>148</v>
      </c>
      <c r="B149" s="1">
        <v>3</v>
      </c>
      <c r="C149" s="1">
        <v>1</v>
      </c>
      <c r="D149" s="1" t="s">
        <v>151</v>
      </c>
      <c r="E149" s="1" t="s">
        <v>13</v>
      </c>
      <c r="H149"/>
      <c r="I149"/>
    </row>
    <row r="150" spans="1:9" ht="15" x14ac:dyDescent="0.25">
      <c r="A150" s="1">
        <v>149</v>
      </c>
      <c r="B150" s="1">
        <v>3</v>
      </c>
      <c r="C150" s="1">
        <v>1</v>
      </c>
      <c r="D150" s="1" t="s">
        <v>151</v>
      </c>
      <c r="E150" s="1" t="s">
        <v>13</v>
      </c>
      <c r="H150"/>
      <c r="I150"/>
    </row>
    <row r="151" spans="1:9" ht="15" x14ac:dyDescent="0.25">
      <c r="A151" s="1">
        <v>150</v>
      </c>
      <c r="B151" s="1">
        <v>3</v>
      </c>
      <c r="C151" s="1">
        <v>1</v>
      </c>
      <c r="D151" s="1" t="s">
        <v>151</v>
      </c>
      <c r="E151" s="1" t="s">
        <v>13</v>
      </c>
      <c r="H151"/>
      <c r="I151"/>
    </row>
    <row r="152" spans="1:9" ht="15" x14ac:dyDescent="0.25">
      <c r="A152" s="1">
        <v>151</v>
      </c>
      <c r="B152" s="1">
        <v>3</v>
      </c>
      <c r="C152" s="1">
        <v>1</v>
      </c>
      <c r="D152" s="1" t="s">
        <v>151</v>
      </c>
      <c r="E152" s="1" t="s">
        <v>13</v>
      </c>
      <c r="H152"/>
      <c r="I152"/>
    </row>
    <row r="153" spans="1:9" ht="15" x14ac:dyDescent="0.25">
      <c r="A153" s="1">
        <v>152</v>
      </c>
      <c r="B153" s="1">
        <v>3</v>
      </c>
      <c r="C153" s="1">
        <v>1</v>
      </c>
      <c r="D153" s="1" t="s">
        <v>151</v>
      </c>
      <c r="E153" s="1" t="s">
        <v>13</v>
      </c>
      <c r="H153"/>
      <c r="I153"/>
    </row>
    <row r="154" spans="1:9" ht="15" x14ac:dyDescent="0.25">
      <c r="A154" s="1">
        <v>153</v>
      </c>
      <c r="B154" s="1">
        <v>3</v>
      </c>
      <c r="C154" s="1">
        <v>1</v>
      </c>
      <c r="D154" s="1" t="s">
        <v>151</v>
      </c>
      <c r="E154" s="1" t="s">
        <v>13</v>
      </c>
      <c r="H154"/>
      <c r="I154"/>
    </row>
    <row r="155" spans="1:9" ht="15" x14ac:dyDescent="0.25">
      <c r="A155" s="1">
        <v>154</v>
      </c>
      <c r="B155" s="1">
        <v>3</v>
      </c>
      <c r="C155" s="1">
        <v>1</v>
      </c>
      <c r="D155" s="1" t="s">
        <v>151</v>
      </c>
      <c r="E155" s="1" t="s">
        <v>13</v>
      </c>
      <c r="H155"/>
      <c r="I155"/>
    </row>
    <row r="156" spans="1:9" ht="15" x14ac:dyDescent="0.25">
      <c r="A156" s="1">
        <v>155</v>
      </c>
      <c r="B156" s="1">
        <v>3</v>
      </c>
      <c r="C156" s="1">
        <v>1</v>
      </c>
      <c r="D156" s="1" t="s">
        <v>151</v>
      </c>
      <c r="E156" s="1" t="s">
        <v>13</v>
      </c>
      <c r="H156"/>
      <c r="I156"/>
    </row>
    <row r="157" spans="1:9" ht="15" x14ac:dyDescent="0.25">
      <c r="A157" s="1">
        <v>156</v>
      </c>
      <c r="B157" s="1">
        <v>3</v>
      </c>
      <c r="C157" s="1">
        <v>1</v>
      </c>
      <c r="D157" s="1" t="s">
        <v>151</v>
      </c>
      <c r="E157" s="1" t="s">
        <v>13</v>
      </c>
      <c r="H157"/>
      <c r="I157"/>
    </row>
    <row r="158" spans="1:9" ht="15" x14ac:dyDescent="0.25">
      <c r="A158" s="1">
        <v>157</v>
      </c>
      <c r="B158" s="1">
        <v>3</v>
      </c>
      <c r="C158" s="1">
        <v>1</v>
      </c>
      <c r="D158" s="1" t="s">
        <v>151</v>
      </c>
      <c r="E158" s="1" t="s">
        <v>13</v>
      </c>
      <c r="H158"/>
      <c r="I158"/>
    </row>
    <row r="159" spans="1:9" ht="15" x14ac:dyDescent="0.25">
      <c r="A159" s="1">
        <v>158</v>
      </c>
      <c r="B159" s="1">
        <v>3</v>
      </c>
      <c r="C159" s="1">
        <v>1</v>
      </c>
      <c r="D159" s="1" t="s">
        <v>151</v>
      </c>
      <c r="E159" s="1" t="s">
        <v>13</v>
      </c>
      <c r="H159"/>
      <c r="I159"/>
    </row>
    <row r="160" spans="1:9" ht="15" x14ac:dyDescent="0.25">
      <c r="A160" s="1">
        <v>159</v>
      </c>
      <c r="B160" s="1">
        <v>3</v>
      </c>
      <c r="C160" s="1">
        <v>1</v>
      </c>
      <c r="D160" s="1" t="s">
        <v>151</v>
      </c>
      <c r="E160" s="1" t="s">
        <v>13</v>
      </c>
      <c r="H160"/>
      <c r="I160"/>
    </row>
    <row r="161" spans="1:9" ht="15" x14ac:dyDescent="0.25">
      <c r="A161" s="1">
        <v>160</v>
      </c>
      <c r="B161" s="1">
        <v>3</v>
      </c>
      <c r="C161" s="1">
        <v>1</v>
      </c>
      <c r="D161" s="1" t="s">
        <v>151</v>
      </c>
      <c r="E161" s="1" t="s">
        <v>13</v>
      </c>
      <c r="H161"/>
      <c r="I161"/>
    </row>
    <row r="162" spans="1:9" ht="15" x14ac:dyDescent="0.25">
      <c r="A162" s="1">
        <v>161</v>
      </c>
      <c r="B162" s="1">
        <v>3</v>
      </c>
      <c r="C162" s="1">
        <v>1</v>
      </c>
      <c r="D162" s="1" t="s">
        <v>151</v>
      </c>
      <c r="E162" s="1" t="s">
        <v>13</v>
      </c>
      <c r="H162"/>
      <c r="I162"/>
    </row>
    <row r="163" spans="1:9" ht="15" x14ac:dyDescent="0.25">
      <c r="A163" s="1">
        <v>162</v>
      </c>
      <c r="B163" s="1">
        <v>3</v>
      </c>
      <c r="C163" s="1">
        <v>1</v>
      </c>
      <c r="D163" s="1" t="s">
        <v>151</v>
      </c>
      <c r="E163" s="1" t="s">
        <v>13</v>
      </c>
      <c r="H163"/>
      <c r="I163"/>
    </row>
    <row r="164" spans="1:9" ht="15" x14ac:dyDescent="0.25">
      <c r="A164" s="1">
        <v>163</v>
      </c>
      <c r="B164" s="1">
        <v>3</v>
      </c>
      <c r="C164" s="1">
        <v>1</v>
      </c>
      <c r="D164" s="1" t="s">
        <v>151</v>
      </c>
      <c r="E164" s="1" t="s">
        <v>13</v>
      </c>
      <c r="H164"/>
      <c r="I164"/>
    </row>
    <row r="165" spans="1:9" ht="15" x14ac:dyDescent="0.25">
      <c r="A165" s="1">
        <v>164</v>
      </c>
      <c r="B165" s="1">
        <v>3</v>
      </c>
      <c r="C165" s="1">
        <v>1</v>
      </c>
      <c r="D165" s="1" t="s">
        <v>151</v>
      </c>
      <c r="E165" s="1" t="s">
        <v>13</v>
      </c>
      <c r="H165"/>
      <c r="I165"/>
    </row>
    <row r="166" spans="1:9" ht="15" x14ac:dyDescent="0.25">
      <c r="A166" s="1">
        <v>165</v>
      </c>
      <c r="B166" s="1">
        <v>3</v>
      </c>
      <c r="C166" s="1">
        <v>1</v>
      </c>
      <c r="D166" s="1" t="s">
        <v>151</v>
      </c>
      <c r="E166" s="1" t="s">
        <v>13</v>
      </c>
      <c r="H166"/>
      <c r="I166"/>
    </row>
    <row r="167" spans="1:9" ht="15" x14ac:dyDescent="0.25">
      <c r="A167" s="1">
        <v>166</v>
      </c>
      <c r="B167" s="1">
        <v>3</v>
      </c>
      <c r="C167" s="1">
        <v>1</v>
      </c>
      <c r="D167" s="1" t="s">
        <v>151</v>
      </c>
      <c r="E167" s="1" t="s">
        <v>13</v>
      </c>
      <c r="H167"/>
      <c r="I167"/>
    </row>
    <row r="168" spans="1:9" ht="15" x14ac:dyDescent="0.25">
      <c r="A168" s="1">
        <v>167</v>
      </c>
      <c r="B168" s="1">
        <v>3</v>
      </c>
      <c r="C168" s="1">
        <v>1</v>
      </c>
      <c r="D168" s="1" t="s">
        <v>151</v>
      </c>
      <c r="E168" s="1" t="s">
        <v>13</v>
      </c>
      <c r="H168"/>
      <c r="I168"/>
    </row>
    <row r="169" spans="1:9" ht="15" x14ac:dyDescent="0.25">
      <c r="A169" s="1">
        <v>168</v>
      </c>
      <c r="B169" s="1">
        <v>4</v>
      </c>
      <c r="C169" s="1">
        <v>1</v>
      </c>
      <c r="D169" s="1" t="s">
        <v>150</v>
      </c>
      <c r="E169" s="1" t="s">
        <v>13</v>
      </c>
      <c r="H169"/>
      <c r="I169"/>
    </row>
    <row r="170" spans="1:9" ht="15" x14ac:dyDescent="0.25">
      <c r="A170" s="1">
        <v>169</v>
      </c>
      <c r="B170" s="1">
        <v>4</v>
      </c>
      <c r="C170" s="1">
        <v>1</v>
      </c>
      <c r="D170" s="1" t="s">
        <v>150</v>
      </c>
      <c r="E170" s="1" t="s">
        <v>13</v>
      </c>
      <c r="H170"/>
      <c r="I170"/>
    </row>
    <row r="171" spans="1:9" ht="15" x14ac:dyDescent="0.25">
      <c r="A171" s="1">
        <v>170</v>
      </c>
      <c r="B171" s="1">
        <v>4</v>
      </c>
      <c r="C171" s="1">
        <v>1</v>
      </c>
      <c r="D171" s="1" t="s">
        <v>150</v>
      </c>
      <c r="E171" s="1" t="s">
        <v>13</v>
      </c>
      <c r="H171"/>
      <c r="I171"/>
    </row>
    <row r="172" spans="1:9" ht="15" x14ac:dyDescent="0.25">
      <c r="A172" s="1">
        <v>171</v>
      </c>
      <c r="B172" s="1">
        <v>4</v>
      </c>
      <c r="C172" s="1">
        <v>1</v>
      </c>
      <c r="D172" s="1" t="s">
        <v>150</v>
      </c>
      <c r="E172" s="1" t="s">
        <v>13</v>
      </c>
      <c r="H172"/>
      <c r="I172"/>
    </row>
    <row r="173" spans="1:9" ht="15" x14ac:dyDescent="0.25">
      <c r="A173" s="1">
        <v>172</v>
      </c>
      <c r="B173" s="1">
        <v>4</v>
      </c>
      <c r="C173" s="1">
        <v>1</v>
      </c>
      <c r="D173" s="1" t="s">
        <v>150</v>
      </c>
      <c r="E173" s="1" t="s">
        <v>13</v>
      </c>
      <c r="H173"/>
      <c r="I173"/>
    </row>
    <row r="174" spans="1:9" ht="15" x14ac:dyDescent="0.25">
      <c r="A174" s="1">
        <v>173</v>
      </c>
      <c r="B174" s="1">
        <v>4</v>
      </c>
      <c r="C174" s="1">
        <v>1</v>
      </c>
      <c r="D174" s="1" t="s">
        <v>150</v>
      </c>
      <c r="E174" s="1" t="s">
        <v>13</v>
      </c>
      <c r="H174"/>
      <c r="I174"/>
    </row>
    <row r="175" spans="1:9" ht="15" x14ac:dyDescent="0.25">
      <c r="A175" s="1">
        <v>174</v>
      </c>
      <c r="B175" s="1">
        <v>4</v>
      </c>
      <c r="C175" s="1">
        <v>1</v>
      </c>
      <c r="D175" s="1" t="s">
        <v>150</v>
      </c>
      <c r="E175" s="1" t="s">
        <v>13</v>
      </c>
      <c r="H175"/>
      <c r="I175"/>
    </row>
    <row r="176" spans="1:9" ht="15" x14ac:dyDescent="0.25">
      <c r="A176" s="1">
        <v>175</v>
      </c>
      <c r="B176" s="1">
        <v>4</v>
      </c>
      <c r="C176" s="1">
        <v>1</v>
      </c>
      <c r="D176" s="1" t="s">
        <v>150</v>
      </c>
      <c r="E176" s="1" t="s">
        <v>13</v>
      </c>
      <c r="H176"/>
      <c r="I176"/>
    </row>
    <row r="177" spans="1:9" ht="15" x14ac:dyDescent="0.25">
      <c r="A177" s="1">
        <v>176</v>
      </c>
      <c r="B177" s="1">
        <v>4</v>
      </c>
      <c r="C177" s="1">
        <v>1</v>
      </c>
      <c r="D177" s="1" t="s">
        <v>150</v>
      </c>
      <c r="E177" s="1" t="s">
        <v>13</v>
      </c>
      <c r="H177"/>
      <c r="I177"/>
    </row>
    <row r="178" spans="1:9" ht="15" x14ac:dyDescent="0.25">
      <c r="A178" s="1">
        <v>177</v>
      </c>
      <c r="B178" s="1">
        <v>4</v>
      </c>
      <c r="C178" s="1">
        <v>1</v>
      </c>
      <c r="D178" s="1" t="s">
        <v>150</v>
      </c>
      <c r="E178" s="1" t="s">
        <v>13</v>
      </c>
      <c r="H178"/>
      <c r="I178"/>
    </row>
    <row r="179" spans="1:9" ht="15" x14ac:dyDescent="0.25">
      <c r="A179" s="1">
        <v>178</v>
      </c>
      <c r="B179" s="1">
        <v>4</v>
      </c>
      <c r="C179" s="1">
        <v>1</v>
      </c>
      <c r="D179" s="1" t="s">
        <v>150</v>
      </c>
      <c r="E179" s="1" t="s">
        <v>13</v>
      </c>
      <c r="H179"/>
      <c r="I179"/>
    </row>
    <row r="180" spans="1:9" ht="15" x14ac:dyDescent="0.25">
      <c r="A180" s="1">
        <v>179</v>
      </c>
      <c r="B180" s="1">
        <v>4</v>
      </c>
      <c r="C180" s="1">
        <v>1</v>
      </c>
      <c r="D180" s="1" t="s">
        <v>150</v>
      </c>
      <c r="E180" s="1" t="s">
        <v>13</v>
      </c>
      <c r="H180"/>
      <c r="I180"/>
    </row>
    <row r="181" spans="1:9" ht="15" x14ac:dyDescent="0.25">
      <c r="A181" s="1">
        <v>180</v>
      </c>
      <c r="B181" s="1">
        <v>4</v>
      </c>
      <c r="C181" s="1">
        <v>1</v>
      </c>
      <c r="D181" s="1" t="s">
        <v>150</v>
      </c>
      <c r="E181" s="1" t="s">
        <v>13</v>
      </c>
      <c r="H181"/>
      <c r="I181"/>
    </row>
    <row r="182" spans="1:9" ht="15" x14ac:dyDescent="0.25">
      <c r="A182" s="1">
        <v>181</v>
      </c>
      <c r="B182" s="1">
        <v>4</v>
      </c>
      <c r="C182" s="1">
        <v>1</v>
      </c>
      <c r="D182" s="1" t="s">
        <v>150</v>
      </c>
      <c r="E182" s="1" t="s">
        <v>13</v>
      </c>
      <c r="H182"/>
      <c r="I182"/>
    </row>
    <row r="183" spans="1:9" ht="15" x14ac:dyDescent="0.25">
      <c r="A183" s="1">
        <v>182</v>
      </c>
      <c r="B183" s="1">
        <v>4</v>
      </c>
      <c r="C183" s="1">
        <v>1</v>
      </c>
      <c r="D183" s="1" t="s">
        <v>150</v>
      </c>
      <c r="E183" s="1" t="s">
        <v>13</v>
      </c>
      <c r="H183"/>
      <c r="I183"/>
    </row>
    <row r="184" spans="1:9" ht="15" x14ac:dyDescent="0.25">
      <c r="A184" s="1">
        <v>183</v>
      </c>
      <c r="B184" s="1">
        <v>4</v>
      </c>
      <c r="C184" s="1">
        <v>1</v>
      </c>
      <c r="D184" s="1" t="s">
        <v>150</v>
      </c>
      <c r="E184" s="1" t="s">
        <v>13</v>
      </c>
      <c r="H184"/>
      <c r="I184"/>
    </row>
    <row r="185" spans="1:9" ht="15" x14ac:dyDescent="0.25">
      <c r="A185" s="1">
        <v>184</v>
      </c>
      <c r="B185" s="1">
        <v>4</v>
      </c>
      <c r="C185" s="1">
        <v>1</v>
      </c>
      <c r="D185" s="1" t="s">
        <v>150</v>
      </c>
      <c r="E185" s="1" t="s">
        <v>13</v>
      </c>
      <c r="H185"/>
      <c r="I185"/>
    </row>
    <row r="186" spans="1:9" ht="15" x14ac:dyDescent="0.25">
      <c r="A186" s="1">
        <v>185</v>
      </c>
      <c r="B186" s="1">
        <v>4</v>
      </c>
      <c r="C186" s="1">
        <v>1</v>
      </c>
      <c r="D186" s="1" t="s">
        <v>150</v>
      </c>
      <c r="E186" s="1" t="s">
        <v>13</v>
      </c>
      <c r="H186"/>
      <c r="I186"/>
    </row>
    <row r="187" spans="1:9" ht="15" x14ac:dyDescent="0.25">
      <c r="A187" s="1">
        <v>186</v>
      </c>
      <c r="B187" s="1">
        <v>4</v>
      </c>
      <c r="C187" s="1">
        <v>1</v>
      </c>
      <c r="D187" s="1" t="s">
        <v>150</v>
      </c>
      <c r="E187" s="1" t="s">
        <v>13</v>
      </c>
      <c r="H187"/>
      <c r="I187"/>
    </row>
    <row r="188" spans="1:9" ht="15" x14ac:dyDescent="0.25">
      <c r="A188" s="1">
        <v>187</v>
      </c>
      <c r="B188" s="1">
        <v>4</v>
      </c>
      <c r="C188" s="1">
        <v>1</v>
      </c>
      <c r="D188" s="1" t="s">
        <v>150</v>
      </c>
      <c r="E188" s="1" t="s">
        <v>13</v>
      </c>
      <c r="H188"/>
      <c r="I188"/>
    </row>
    <row r="189" spans="1:9" ht="15" x14ac:dyDescent="0.25">
      <c r="A189" s="1">
        <v>188</v>
      </c>
      <c r="B189" s="1">
        <v>4</v>
      </c>
      <c r="C189" s="1">
        <v>1</v>
      </c>
      <c r="D189" s="1" t="s">
        <v>150</v>
      </c>
      <c r="E189" s="1" t="s">
        <v>13</v>
      </c>
      <c r="H189"/>
      <c r="I189"/>
    </row>
    <row r="190" spans="1:9" ht="15" x14ac:dyDescent="0.25">
      <c r="A190" s="1">
        <v>189</v>
      </c>
      <c r="B190" s="1">
        <v>4</v>
      </c>
      <c r="C190" s="1">
        <v>1</v>
      </c>
      <c r="D190" s="1" t="s">
        <v>150</v>
      </c>
      <c r="E190" s="1" t="s">
        <v>13</v>
      </c>
      <c r="H190"/>
      <c r="I190"/>
    </row>
    <row r="191" spans="1:9" ht="15" x14ac:dyDescent="0.25">
      <c r="A191" s="1">
        <v>190</v>
      </c>
      <c r="B191" s="1">
        <v>4</v>
      </c>
      <c r="C191" s="1">
        <v>1</v>
      </c>
      <c r="D191" s="1" t="s">
        <v>150</v>
      </c>
      <c r="E191" s="1" t="s">
        <v>13</v>
      </c>
      <c r="H191"/>
      <c r="I191"/>
    </row>
    <row r="192" spans="1:9" ht="15" x14ac:dyDescent="0.25">
      <c r="A192" s="1">
        <v>191</v>
      </c>
      <c r="B192" s="1">
        <v>5</v>
      </c>
      <c r="C192" s="1">
        <v>2</v>
      </c>
      <c r="D192" s="1" t="s">
        <v>149</v>
      </c>
      <c r="E192" s="1" t="s">
        <v>14</v>
      </c>
      <c r="H192"/>
      <c r="I192"/>
    </row>
    <row r="193" spans="1:9" ht="15" x14ac:dyDescent="0.25">
      <c r="A193" s="1">
        <v>192</v>
      </c>
      <c r="B193" s="1">
        <v>5</v>
      </c>
      <c r="C193" s="1">
        <v>2</v>
      </c>
      <c r="D193" s="1" t="s">
        <v>149</v>
      </c>
      <c r="E193" s="1" t="s">
        <v>14</v>
      </c>
      <c r="H193"/>
      <c r="I193"/>
    </row>
    <row r="194" spans="1:9" ht="15" x14ac:dyDescent="0.25">
      <c r="A194" s="1">
        <v>193</v>
      </c>
      <c r="B194" s="1">
        <v>5</v>
      </c>
      <c r="C194" s="1">
        <v>2</v>
      </c>
      <c r="D194" s="1" t="s">
        <v>149</v>
      </c>
      <c r="E194" s="1" t="s">
        <v>14</v>
      </c>
      <c r="H194"/>
      <c r="I194"/>
    </row>
    <row r="195" spans="1:9" ht="15" x14ac:dyDescent="0.25">
      <c r="A195" s="1">
        <v>194</v>
      </c>
      <c r="B195" s="1">
        <v>5</v>
      </c>
      <c r="C195" s="1">
        <v>2</v>
      </c>
      <c r="D195" s="1" t="s">
        <v>149</v>
      </c>
      <c r="E195" s="1" t="s">
        <v>14</v>
      </c>
      <c r="H195"/>
      <c r="I195"/>
    </row>
    <row r="196" spans="1:9" ht="15" x14ac:dyDescent="0.25">
      <c r="A196" s="1">
        <v>195</v>
      </c>
      <c r="B196" s="1">
        <v>5</v>
      </c>
      <c r="C196" s="1">
        <v>2</v>
      </c>
      <c r="D196" s="1" t="s">
        <v>149</v>
      </c>
      <c r="E196" s="1" t="s">
        <v>14</v>
      </c>
      <c r="H196"/>
      <c r="I196"/>
    </row>
    <row r="197" spans="1:9" ht="15" x14ac:dyDescent="0.25">
      <c r="A197" s="1">
        <v>196</v>
      </c>
      <c r="B197" s="1">
        <v>5</v>
      </c>
      <c r="C197" s="1">
        <v>2</v>
      </c>
      <c r="D197" s="1" t="s">
        <v>149</v>
      </c>
      <c r="E197" s="1" t="s">
        <v>14</v>
      </c>
      <c r="H197"/>
      <c r="I197"/>
    </row>
    <row r="198" spans="1:9" ht="15" x14ac:dyDescent="0.25">
      <c r="A198" s="1">
        <v>197</v>
      </c>
      <c r="B198" s="1">
        <v>5</v>
      </c>
      <c r="C198" s="1">
        <v>2</v>
      </c>
      <c r="D198" s="1" t="s">
        <v>149</v>
      </c>
      <c r="E198" s="1" t="s">
        <v>14</v>
      </c>
      <c r="H198"/>
      <c r="I198"/>
    </row>
    <row r="199" spans="1:9" ht="15" x14ac:dyDescent="0.25">
      <c r="A199" s="1">
        <v>198</v>
      </c>
      <c r="B199" s="1">
        <v>5</v>
      </c>
      <c r="C199" s="1">
        <v>2</v>
      </c>
      <c r="D199" s="1" t="s">
        <v>149</v>
      </c>
      <c r="E199" s="1" t="s">
        <v>14</v>
      </c>
      <c r="H199"/>
      <c r="I199"/>
    </row>
    <row r="200" spans="1:9" ht="15" x14ac:dyDescent="0.25">
      <c r="A200" s="1">
        <v>199</v>
      </c>
      <c r="B200" s="1">
        <v>5</v>
      </c>
      <c r="C200" s="1">
        <v>2</v>
      </c>
      <c r="D200" s="1" t="s">
        <v>149</v>
      </c>
      <c r="E200" s="1" t="s">
        <v>14</v>
      </c>
      <c r="H200"/>
      <c r="I200"/>
    </row>
    <row r="201" spans="1:9" ht="15" x14ac:dyDescent="0.25">
      <c r="A201" s="1">
        <v>200</v>
      </c>
      <c r="B201" s="1">
        <v>5</v>
      </c>
      <c r="C201" s="1">
        <v>2</v>
      </c>
      <c r="D201" s="1" t="s">
        <v>149</v>
      </c>
      <c r="E201" s="1" t="s">
        <v>14</v>
      </c>
      <c r="H201"/>
      <c r="I201"/>
    </row>
    <row r="202" spans="1:9" ht="15" x14ac:dyDescent="0.25">
      <c r="A202" s="1">
        <v>201</v>
      </c>
      <c r="B202" s="1">
        <v>5</v>
      </c>
      <c r="C202" s="1">
        <v>2</v>
      </c>
      <c r="D202" s="1" t="s">
        <v>149</v>
      </c>
      <c r="E202" s="1" t="s">
        <v>14</v>
      </c>
      <c r="H202"/>
      <c r="I202"/>
    </row>
    <row r="203" spans="1:9" ht="15" x14ac:dyDescent="0.25">
      <c r="A203" s="1">
        <v>202</v>
      </c>
      <c r="B203" s="1">
        <v>5</v>
      </c>
      <c r="C203" s="1">
        <v>2</v>
      </c>
      <c r="D203" s="1" t="s">
        <v>149</v>
      </c>
      <c r="E203" s="1" t="s">
        <v>14</v>
      </c>
      <c r="H203"/>
      <c r="I203"/>
    </row>
    <row r="204" spans="1:9" ht="15" x14ac:dyDescent="0.25">
      <c r="A204" s="1">
        <v>203</v>
      </c>
      <c r="B204" s="1">
        <v>5</v>
      </c>
      <c r="C204" s="1">
        <v>2</v>
      </c>
      <c r="D204" s="1" t="s">
        <v>149</v>
      </c>
      <c r="E204" s="1" t="s">
        <v>14</v>
      </c>
      <c r="H204"/>
      <c r="I204"/>
    </row>
    <row r="205" spans="1:9" ht="15" x14ac:dyDescent="0.25">
      <c r="A205" s="1">
        <v>204</v>
      </c>
      <c r="B205" s="1">
        <v>5</v>
      </c>
      <c r="C205" s="1">
        <v>2</v>
      </c>
      <c r="D205" s="1" t="s">
        <v>149</v>
      </c>
      <c r="E205" s="1" t="s">
        <v>14</v>
      </c>
      <c r="H205"/>
      <c r="I205"/>
    </row>
    <row r="206" spans="1:9" ht="15" x14ac:dyDescent="0.25">
      <c r="A206" s="1">
        <v>205</v>
      </c>
      <c r="B206" s="1">
        <v>5</v>
      </c>
      <c r="C206" s="1">
        <v>2</v>
      </c>
      <c r="D206" s="1" t="s">
        <v>149</v>
      </c>
      <c r="E206" s="1" t="s">
        <v>14</v>
      </c>
      <c r="H206"/>
      <c r="I206"/>
    </row>
    <row r="207" spans="1:9" ht="15" x14ac:dyDescent="0.25">
      <c r="A207" s="1">
        <v>206</v>
      </c>
      <c r="B207" s="1">
        <v>5</v>
      </c>
      <c r="C207" s="1">
        <v>2</v>
      </c>
      <c r="D207" s="1" t="s">
        <v>149</v>
      </c>
      <c r="E207" s="1" t="s">
        <v>14</v>
      </c>
      <c r="H207"/>
      <c r="I207"/>
    </row>
    <row r="208" spans="1:9" ht="15" x14ac:dyDescent="0.25">
      <c r="A208" s="1">
        <v>207</v>
      </c>
      <c r="B208" s="1">
        <v>5</v>
      </c>
      <c r="C208" s="1">
        <v>2</v>
      </c>
      <c r="D208" s="1" t="s">
        <v>149</v>
      </c>
      <c r="E208" s="1" t="s">
        <v>14</v>
      </c>
      <c r="H208"/>
      <c r="I208"/>
    </row>
    <row r="209" spans="1:9" ht="15" x14ac:dyDescent="0.25">
      <c r="A209" s="1">
        <v>208</v>
      </c>
      <c r="B209" s="1">
        <v>5</v>
      </c>
      <c r="C209" s="1">
        <v>2</v>
      </c>
      <c r="D209" s="1" t="s">
        <v>149</v>
      </c>
      <c r="E209" s="1" t="s">
        <v>14</v>
      </c>
      <c r="H209"/>
      <c r="I209"/>
    </row>
    <row r="210" spans="1:9" ht="15" x14ac:dyDescent="0.25">
      <c r="A210" s="1">
        <v>209</v>
      </c>
      <c r="B210" s="1">
        <v>5</v>
      </c>
      <c r="C210" s="1">
        <v>2</v>
      </c>
      <c r="D210" s="1" t="s">
        <v>149</v>
      </c>
      <c r="E210" s="1" t="s">
        <v>14</v>
      </c>
      <c r="H210"/>
      <c r="I210"/>
    </row>
    <row r="211" spans="1:9" ht="15" x14ac:dyDescent="0.25">
      <c r="A211" s="1">
        <v>210</v>
      </c>
      <c r="B211" s="1">
        <v>5</v>
      </c>
      <c r="C211" s="1">
        <v>2</v>
      </c>
      <c r="D211" s="1" t="s">
        <v>149</v>
      </c>
      <c r="E211" s="1" t="s">
        <v>14</v>
      </c>
      <c r="H211"/>
      <c r="I211"/>
    </row>
    <row r="212" spans="1:9" ht="15" x14ac:dyDescent="0.25">
      <c r="A212" s="1">
        <v>211</v>
      </c>
      <c r="B212" s="1">
        <v>5</v>
      </c>
      <c r="C212" s="1">
        <v>2</v>
      </c>
      <c r="D212" s="1" t="s">
        <v>149</v>
      </c>
      <c r="E212" s="1" t="s">
        <v>14</v>
      </c>
      <c r="H212"/>
      <c r="I212"/>
    </row>
    <row r="213" spans="1:9" ht="15" x14ac:dyDescent="0.25">
      <c r="A213" s="1">
        <v>212</v>
      </c>
      <c r="B213" s="1">
        <v>5</v>
      </c>
      <c r="C213" s="1">
        <v>2</v>
      </c>
      <c r="D213" s="1" t="s">
        <v>149</v>
      </c>
      <c r="E213" s="1" t="s">
        <v>14</v>
      </c>
      <c r="H213"/>
      <c r="I213"/>
    </row>
    <row r="214" spans="1:9" ht="15" x14ac:dyDescent="0.25">
      <c r="A214" s="1">
        <v>213</v>
      </c>
      <c r="B214" s="1">
        <v>5</v>
      </c>
      <c r="C214" s="1">
        <v>2</v>
      </c>
      <c r="D214" s="1" t="s">
        <v>149</v>
      </c>
      <c r="E214" s="1" t="s">
        <v>14</v>
      </c>
      <c r="H214"/>
      <c r="I214"/>
    </row>
    <row r="215" spans="1:9" ht="15" x14ac:dyDescent="0.25">
      <c r="A215" s="1">
        <v>214</v>
      </c>
      <c r="B215" s="1">
        <v>5</v>
      </c>
      <c r="C215" s="1">
        <v>2</v>
      </c>
      <c r="D215" s="1" t="s">
        <v>149</v>
      </c>
      <c r="E215" s="1" t="s">
        <v>14</v>
      </c>
      <c r="H215"/>
      <c r="I215"/>
    </row>
    <row r="216" spans="1:9" ht="15" x14ac:dyDescent="0.25">
      <c r="A216" s="1">
        <v>215</v>
      </c>
      <c r="B216" s="1">
        <v>5</v>
      </c>
      <c r="C216" s="1">
        <v>2</v>
      </c>
      <c r="D216" s="1" t="s">
        <v>149</v>
      </c>
      <c r="E216" s="1" t="s">
        <v>14</v>
      </c>
      <c r="H216"/>
      <c r="I216"/>
    </row>
    <row r="217" spans="1:9" ht="15" x14ac:dyDescent="0.25">
      <c r="A217" s="1">
        <v>216</v>
      </c>
      <c r="B217" s="1">
        <v>5</v>
      </c>
      <c r="C217" s="1">
        <v>2</v>
      </c>
      <c r="D217" s="1" t="s">
        <v>149</v>
      </c>
      <c r="E217" s="1" t="s">
        <v>14</v>
      </c>
      <c r="H217"/>
      <c r="I217"/>
    </row>
    <row r="218" spans="1:9" ht="15" x14ac:dyDescent="0.25">
      <c r="A218" s="1">
        <v>217</v>
      </c>
      <c r="B218" s="1">
        <v>5</v>
      </c>
      <c r="C218" s="1">
        <v>2</v>
      </c>
      <c r="D218" s="1" t="s">
        <v>149</v>
      </c>
      <c r="E218" s="1" t="s">
        <v>14</v>
      </c>
      <c r="H218"/>
      <c r="I218"/>
    </row>
    <row r="219" spans="1:9" ht="15" x14ac:dyDescent="0.25">
      <c r="A219" s="1">
        <v>218</v>
      </c>
      <c r="B219" s="1">
        <v>5</v>
      </c>
      <c r="C219" s="1">
        <v>2</v>
      </c>
      <c r="D219" s="1" t="s">
        <v>149</v>
      </c>
      <c r="E219" s="1" t="s">
        <v>14</v>
      </c>
      <c r="H219"/>
      <c r="I219"/>
    </row>
    <row r="220" spans="1:9" ht="15" x14ac:dyDescent="0.25">
      <c r="A220" s="1">
        <v>219</v>
      </c>
      <c r="B220" s="1">
        <v>5</v>
      </c>
      <c r="C220" s="1">
        <v>2</v>
      </c>
      <c r="D220" s="1" t="s">
        <v>149</v>
      </c>
      <c r="E220" s="1" t="s">
        <v>14</v>
      </c>
      <c r="H220"/>
      <c r="I220"/>
    </row>
    <row r="221" spans="1:9" ht="15" x14ac:dyDescent="0.25">
      <c r="A221" s="1">
        <v>220</v>
      </c>
      <c r="B221" s="1">
        <v>5</v>
      </c>
      <c r="C221" s="1">
        <v>2</v>
      </c>
      <c r="D221" s="1" t="s">
        <v>149</v>
      </c>
      <c r="E221" s="1" t="s">
        <v>14</v>
      </c>
      <c r="H221"/>
      <c r="I221"/>
    </row>
    <row r="222" spans="1:9" ht="15" x14ac:dyDescent="0.25">
      <c r="A222" s="1">
        <v>221</v>
      </c>
      <c r="B222" s="1">
        <v>5</v>
      </c>
      <c r="C222" s="1">
        <v>2</v>
      </c>
      <c r="D222" s="1" t="s">
        <v>149</v>
      </c>
      <c r="E222" s="1" t="s">
        <v>14</v>
      </c>
      <c r="H222"/>
      <c r="I222"/>
    </row>
    <row r="223" spans="1:9" ht="15" x14ac:dyDescent="0.25">
      <c r="A223" s="1">
        <v>222</v>
      </c>
      <c r="B223" s="1">
        <v>5</v>
      </c>
      <c r="C223" s="1">
        <v>2</v>
      </c>
      <c r="D223" s="1" t="s">
        <v>149</v>
      </c>
      <c r="E223" s="1" t="s">
        <v>14</v>
      </c>
      <c r="H223"/>
      <c r="I223"/>
    </row>
    <row r="224" spans="1:9" ht="15" x14ac:dyDescent="0.25">
      <c r="A224" s="1">
        <v>223</v>
      </c>
      <c r="B224" s="1">
        <v>5</v>
      </c>
      <c r="C224" s="1">
        <v>2</v>
      </c>
      <c r="D224" s="1" t="s">
        <v>149</v>
      </c>
      <c r="E224" s="1" t="s">
        <v>14</v>
      </c>
      <c r="H224"/>
      <c r="I224"/>
    </row>
    <row r="225" spans="1:9" ht="15" x14ac:dyDescent="0.25">
      <c r="A225" s="1">
        <v>224</v>
      </c>
      <c r="B225" s="1">
        <v>5</v>
      </c>
      <c r="C225" s="1">
        <v>2</v>
      </c>
      <c r="D225" s="1" t="s">
        <v>149</v>
      </c>
      <c r="E225" s="1" t="s">
        <v>14</v>
      </c>
      <c r="H225"/>
      <c r="I225"/>
    </row>
    <row r="226" spans="1:9" ht="15" x14ac:dyDescent="0.25">
      <c r="A226" s="1">
        <v>225</v>
      </c>
      <c r="B226" s="1">
        <v>5</v>
      </c>
      <c r="C226" s="1">
        <v>2</v>
      </c>
      <c r="D226" s="1" t="s">
        <v>149</v>
      </c>
      <c r="E226" s="1" t="s">
        <v>14</v>
      </c>
      <c r="H226"/>
      <c r="I226"/>
    </row>
    <row r="227" spans="1:9" ht="15" x14ac:dyDescent="0.25">
      <c r="A227" s="1">
        <v>226</v>
      </c>
      <c r="B227" s="1">
        <v>5</v>
      </c>
      <c r="C227" s="1">
        <v>2</v>
      </c>
      <c r="D227" s="1" t="s">
        <v>149</v>
      </c>
      <c r="E227" s="1" t="s">
        <v>14</v>
      </c>
      <c r="H227"/>
      <c r="I227"/>
    </row>
    <row r="228" spans="1:9" ht="15" x14ac:dyDescent="0.25">
      <c r="A228" s="1">
        <v>227</v>
      </c>
      <c r="B228" s="1">
        <v>5</v>
      </c>
      <c r="C228" s="1">
        <v>2</v>
      </c>
      <c r="D228" s="1" t="s">
        <v>149</v>
      </c>
      <c r="E228" s="1" t="s">
        <v>14</v>
      </c>
      <c r="H228"/>
      <c r="I228"/>
    </row>
    <row r="229" spans="1:9" ht="15" x14ac:dyDescent="0.25">
      <c r="A229" s="1">
        <v>228</v>
      </c>
      <c r="B229" s="1">
        <v>5</v>
      </c>
      <c r="C229" s="1">
        <v>2</v>
      </c>
      <c r="D229" s="1" t="s">
        <v>149</v>
      </c>
      <c r="E229" s="1" t="s">
        <v>14</v>
      </c>
      <c r="H229"/>
      <c r="I229"/>
    </row>
    <row r="230" spans="1:9" ht="15" x14ac:dyDescent="0.25">
      <c r="A230" s="1">
        <v>229</v>
      </c>
      <c r="B230" s="1">
        <v>5</v>
      </c>
      <c r="C230" s="1">
        <v>2</v>
      </c>
      <c r="D230" s="1" t="s">
        <v>149</v>
      </c>
      <c r="E230" s="1" t="s">
        <v>14</v>
      </c>
      <c r="H230"/>
      <c r="I230"/>
    </row>
    <row r="231" spans="1:9" ht="15" x14ac:dyDescent="0.25">
      <c r="A231" s="1">
        <v>230</v>
      </c>
      <c r="B231" s="1">
        <v>5</v>
      </c>
      <c r="C231" s="1">
        <v>2</v>
      </c>
      <c r="D231" s="1" t="s">
        <v>149</v>
      </c>
      <c r="E231" s="1" t="s">
        <v>14</v>
      </c>
      <c r="H231"/>
      <c r="I231"/>
    </row>
    <row r="232" spans="1:9" ht="15" x14ac:dyDescent="0.25">
      <c r="A232" s="1">
        <v>231</v>
      </c>
      <c r="B232" s="1">
        <v>5</v>
      </c>
      <c r="C232" s="1">
        <v>2</v>
      </c>
      <c r="D232" s="1" t="s">
        <v>149</v>
      </c>
      <c r="E232" s="1" t="s">
        <v>14</v>
      </c>
      <c r="H232"/>
      <c r="I232"/>
    </row>
    <row r="233" spans="1:9" ht="15" x14ac:dyDescent="0.25">
      <c r="A233" s="1">
        <v>232</v>
      </c>
      <c r="B233" s="1">
        <v>5</v>
      </c>
      <c r="C233" s="1">
        <v>2</v>
      </c>
      <c r="D233" s="1" t="s">
        <v>149</v>
      </c>
      <c r="E233" s="1" t="s">
        <v>14</v>
      </c>
      <c r="H233"/>
      <c r="I233"/>
    </row>
    <row r="234" spans="1:9" ht="15" x14ac:dyDescent="0.25">
      <c r="A234" s="1">
        <v>233</v>
      </c>
      <c r="B234" s="1">
        <v>5</v>
      </c>
      <c r="C234" s="1">
        <v>2</v>
      </c>
      <c r="D234" s="1" t="s">
        <v>149</v>
      </c>
      <c r="E234" s="1" t="s">
        <v>14</v>
      </c>
      <c r="H234"/>
      <c r="I234"/>
    </row>
    <row r="235" spans="1:9" ht="15" x14ac:dyDescent="0.25">
      <c r="A235" s="1">
        <v>234</v>
      </c>
      <c r="B235" s="1">
        <v>5</v>
      </c>
      <c r="C235" s="1">
        <v>2</v>
      </c>
      <c r="D235" s="1" t="s">
        <v>149</v>
      </c>
      <c r="E235" s="1" t="s">
        <v>14</v>
      </c>
      <c r="H235"/>
      <c r="I235"/>
    </row>
    <row r="236" spans="1:9" ht="15" x14ac:dyDescent="0.25">
      <c r="A236" s="1">
        <v>235</v>
      </c>
      <c r="B236" s="1">
        <v>5</v>
      </c>
      <c r="C236" s="1">
        <v>2</v>
      </c>
      <c r="D236" s="1" t="s">
        <v>149</v>
      </c>
      <c r="E236" s="1" t="s">
        <v>14</v>
      </c>
      <c r="H236"/>
      <c r="I236"/>
    </row>
    <row r="237" spans="1:9" ht="15" x14ac:dyDescent="0.25">
      <c r="A237" s="1">
        <v>236</v>
      </c>
      <c r="B237" s="1">
        <v>5</v>
      </c>
      <c r="C237" s="1">
        <v>2</v>
      </c>
      <c r="D237" s="1" t="s">
        <v>149</v>
      </c>
      <c r="E237" s="1" t="s">
        <v>14</v>
      </c>
      <c r="H237"/>
      <c r="I237"/>
    </row>
    <row r="238" spans="1:9" ht="15" x14ac:dyDescent="0.25">
      <c r="A238" s="1">
        <v>237</v>
      </c>
      <c r="B238" s="1">
        <v>5</v>
      </c>
      <c r="C238" s="1">
        <v>2</v>
      </c>
      <c r="D238" s="1" t="s">
        <v>149</v>
      </c>
      <c r="E238" s="1" t="s">
        <v>14</v>
      </c>
      <c r="H238"/>
      <c r="I238"/>
    </row>
    <row r="239" spans="1:9" ht="15" x14ac:dyDescent="0.25">
      <c r="A239" s="1">
        <v>238</v>
      </c>
      <c r="B239" s="1">
        <v>5</v>
      </c>
      <c r="C239" s="1">
        <v>2</v>
      </c>
      <c r="D239" s="1" t="s">
        <v>149</v>
      </c>
      <c r="E239" s="1" t="s">
        <v>14</v>
      </c>
      <c r="H239"/>
      <c r="I239"/>
    </row>
    <row r="240" spans="1:9" ht="15" x14ac:dyDescent="0.25">
      <c r="A240" s="1">
        <v>239</v>
      </c>
      <c r="B240" s="1">
        <v>5</v>
      </c>
      <c r="C240" s="1">
        <v>2</v>
      </c>
      <c r="D240" s="1" t="s">
        <v>149</v>
      </c>
      <c r="E240" s="1" t="s">
        <v>14</v>
      </c>
      <c r="H240"/>
      <c r="I240"/>
    </row>
    <row r="241" spans="1:9" ht="15" x14ac:dyDescent="0.25">
      <c r="A241" s="1">
        <v>240</v>
      </c>
      <c r="B241" s="1">
        <v>5</v>
      </c>
      <c r="C241" s="1">
        <v>2</v>
      </c>
      <c r="D241" s="1" t="s">
        <v>149</v>
      </c>
      <c r="E241" s="1" t="s">
        <v>14</v>
      </c>
      <c r="H241"/>
      <c r="I241"/>
    </row>
    <row r="242" spans="1:9" ht="15" x14ac:dyDescent="0.25">
      <c r="A242" s="1">
        <v>241</v>
      </c>
      <c r="B242" s="1">
        <v>5</v>
      </c>
      <c r="C242" s="1">
        <v>2</v>
      </c>
      <c r="D242" s="1" t="s">
        <v>149</v>
      </c>
      <c r="E242" s="1" t="s">
        <v>14</v>
      </c>
      <c r="H242"/>
      <c r="I242"/>
    </row>
    <row r="243" spans="1:9" ht="15" x14ac:dyDescent="0.25">
      <c r="A243" s="1">
        <v>242</v>
      </c>
      <c r="B243" s="1">
        <v>5</v>
      </c>
      <c r="C243" s="1">
        <v>2</v>
      </c>
      <c r="D243" s="1" t="s">
        <v>149</v>
      </c>
      <c r="E243" s="1" t="s">
        <v>14</v>
      </c>
      <c r="H243"/>
      <c r="I243"/>
    </row>
    <row r="244" spans="1:9" ht="15" x14ac:dyDescent="0.25">
      <c r="A244" s="1">
        <v>243</v>
      </c>
      <c r="B244" s="1">
        <v>5</v>
      </c>
      <c r="C244" s="1">
        <v>2</v>
      </c>
      <c r="D244" s="1" t="s">
        <v>149</v>
      </c>
      <c r="E244" s="1" t="s">
        <v>14</v>
      </c>
      <c r="H244"/>
      <c r="I244"/>
    </row>
    <row r="245" spans="1:9" ht="15" x14ac:dyDescent="0.25">
      <c r="A245" s="1">
        <v>244</v>
      </c>
      <c r="B245" s="1">
        <v>5</v>
      </c>
      <c r="C245" s="1">
        <v>2</v>
      </c>
      <c r="D245" s="1" t="s">
        <v>149</v>
      </c>
      <c r="E245" s="1" t="s">
        <v>14</v>
      </c>
      <c r="H245"/>
      <c r="I245"/>
    </row>
    <row r="246" spans="1:9" ht="15" x14ac:dyDescent="0.25">
      <c r="A246" s="1">
        <v>245</v>
      </c>
      <c r="B246" s="1">
        <v>5</v>
      </c>
      <c r="C246" s="1">
        <v>2</v>
      </c>
      <c r="D246" s="1" t="s">
        <v>149</v>
      </c>
      <c r="E246" s="1" t="s">
        <v>14</v>
      </c>
      <c r="H246"/>
      <c r="I246"/>
    </row>
    <row r="247" spans="1:9" ht="15" x14ac:dyDescent="0.25">
      <c r="A247" s="1">
        <v>246</v>
      </c>
      <c r="B247" s="1">
        <v>5</v>
      </c>
      <c r="C247" s="1">
        <v>2</v>
      </c>
      <c r="D247" s="1" t="s">
        <v>149</v>
      </c>
      <c r="E247" s="1" t="s">
        <v>14</v>
      </c>
      <c r="H247"/>
      <c r="I247"/>
    </row>
    <row r="248" spans="1:9" ht="15" x14ac:dyDescent="0.25">
      <c r="A248" s="1">
        <v>247</v>
      </c>
      <c r="B248" s="1">
        <v>5</v>
      </c>
      <c r="C248" s="1">
        <v>2</v>
      </c>
      <c r="D248" s="1" t="s">
        <v>149</v>
      </c>
      <c r="E248" s="1" t="s">
        <v>14</v>
      </c>
      <c r="H248"/>
      <c r="I248"/>
    </row>
    <row r="249" spans="1:9" ht="15" x14ac:dyDescent="0.25">
      <c r="A249" s="1">
        <v>248</v>
      </c>
      <c r="B249" s="1">
        <v>5</v>
      </c>
      <c r="C249" s="1">
        <v>2</v>
      </c>
      <c r="D249" s="1" t="s">
        <v>149</v>
      </c>
      <c r="E249" s="1" t="s">
        <v>14</v>
      </c>
      <c r="H249"/>
      <c r="I249"/>
    </row>
    <row r="250" spans="1:9" ht="15" x14ac:dyDescent="0.25">
      <c r="A250" s="1">
        <v>249</v>
      </c>
      <c r="B250" s="1">
        <v>6</v>
      </c>
      <c r="C250" s="1">
        <v>2</v>
      </c>
      <c r="D250" s="1" t="s">
        <v>148</v>
      </c>
      <c r="E250" s="1" t="s">
        <v>14</v>
      </c>
      <c r="H250"/>
      <c r="I250"/>
    </row>
    <row r="251" spans="1:9" ht="15" x14ac:dyDescent="0.25">
      <c r="A251" s="1">
        <v>250</v>
      </c>
      <c r="B251" s="1">
        <v>6</v>
      </c>
      <c r="C251" s="1">
        <v>2</v>
      </c>
      <c r="D251" s="1" t="s">
        <v>148</v>
      </c>
      <c r="E251" s="1" t="s">
        <v>14</v>
      </c>
      <c r="H251"/>
      <c r="I251"/>
    </row>
    <row r="252" spans="1:9" ht="15" x14ac:dyDescent="0.25">
      <c r="A252" s="1">
        <v>251</v>
      </c>
      <c r="B252" s="1">
        <v>6</v>
      </c>
      <c r="C252" s="1">
        <v>2</v>
      </c>
      <c r="D252" s="1" t="s">
        <v>148</v>
      </c>
      <c r="E252" s="1" t="s">
        <v>14</v>
      </c>
      <c r="H252"/>
      <c r="I252"/>
    </row>
    <row r="253" spans="1:9" ht="15" x14ac:dyDescent="0.25">
      <c r="A253" s="1">
        <v>252</v>
      </c>
      <c r="B253" s="1">
        <v>6</v>
      </c>
      <c r="C253" s="1">
        <v>2</v>
      </c>
      <c r="D253" s="1" t="s">
        <v>148</v>
      </c>
      <c r="E253" s="1" t="s">
        <v>14</v>
      </c>
      <c r="H253"/>
      <c r="I253"/>
    </row>
    <row r="254" spans="1:9" ht="15" x14ac:dyDescent="0.25">
      <c r="A254" s="1">
        <v>253</v>
      </c>
      <c r="B254" s="1">
        <v>6</v>
      </c>
      <c r="C254" s="1">
        <v>2</v>
      </c>
      <c r="D254" s="1" t="s">
        <v>148</v>
      </c>
      <c r="E254" s="1" t="s">
        <v>14</v>
      </c>
      <c r="H254"/>
      <c r="I254"/>
    </row>
    <row r="255" spans="1:9" ht="15" x14ac:dyDescent="0.25">
      <c r="A255" s="1">
        <v>254</v>
      </c>
      <c r="B255" s="1">
        <v>6</v>
      </c>
      <c r="C255" s="1">
        <v>2</v>
      </c>
      <c r="D255" s="1" t="s">
        <v>148</v>
      </c>
      <c r="E255" s="1" t="s">
        <v>14</v>
      </c>
      <c r="H255"/>
      <c r="I255"/>
    </row>
    <row r="256" spans="1:9" ht="15" x14ac:dyDescent="0.25">
      <c r="A256" s="1">
        <v>255</v>
      </c>
      <c r="B256" s="1">
        <v>6</v>
      </c>
      <c r="C256" s="1">
        <v>2</v>
      </c>
      <c r="D256" s="1" t="s">
        <v>148</v>
      </c>
      <c r="E256" s="1" t="s">
        <v>14</v>
      </c>
      <c r="H256"/>
      <c r="I256"/>
    </row>
    <row r="257" spans="1:9" ht="15" x14ac:dyDescent="0.25">
      <c r="A257" s="1">
        <v>256</v>
      </c>
      <c r="B257" s="1">
        <v>6</v>
      </c>
      <c r="C257" s="1">
        <v>2</v>
      </c>
      <c r="D257" s="1" t="s">
        <v>148</v>
      </c>
      <c r="E257" s="1" t="s">
        <v>14</v>
      </c>
      <c r="H257"/>
      <c r="I257"/>
    </row>
    <row r="258" spans="1:9" ht="15" x14ac:dyDescent="0.25">
      <c r="A258" s="1">
        <v>257</v>
      </c>
      <c r="B258" s="1">
        <v>6</v>
      </c>
      <c r="C258" s="1">
        <v>2</v>
      </c>
      <c r="D258" s="1" t="s">
        <v>148</v>
      </c>
      <c r="E258" s="1" t="s">
        <v>14</v>
      </c>
      <c r="H258"/>
      <c r="I258"/>
    </row>
    <row r="259" spans="1:9" ht="15" x14ac:dyDescent="0.25">
      <c r="A259" s="1">
        <v>258</v>
      </c>
      <c r="B259" s="1">
        <v>6</v>
      </c>
      <c r="C259" s="1">
        <v>2</v>
      </c>
      <c r="D259" s="1" t="s">
        <v>148</v>
      </c>
      <c r="E259" s="1" t="s">
        <v>14</v>
      </c>
      <c r="H259"/>
      <c r="I259"/>
    </row>
    <row r="260" spans="1:9" ht="15" x14ac:dyDescent="0.25">
      <c r="A260" s="1">
        <v>259</v>
      </c>
      <c r="B260" s="1">
        <v>6</v>
      </c>
      <c r="C260" s="1">
        <v>2</v>
      </c>
      <c r="D260" s="1" t="s">
        <v>148</v>
      </c>
      <c r="E260" s="1" t="s">
        <v>14</v>
      </c>
      <c r="H260"/>
      <c r="I260"/>
    </row>
    <row r="261" spans="1:9" ht="15" x14ac:dyDescent="0.25">
      <c r="A261" s="1">
        <v>260</v>
      </c>
      <c r="B261" s="1">
        <v>6</v>
      </c>
      <c r="C261" s="1">
        <v>2</v>
      </c>
      <c r="D261" s="1" t="s">
        <v>148</v>
      </c>
      <c r="E261" s="1" t="s">
        <v>14</v>
      </c>
      <c r="H261"/>
      <c r="I261"/>
    </row>
    <row r="262" spans="1:9" ht="15" x14ac:dyDescent="0.25">
      <c r="A262" s="1">
        <v>261</v>
      </c>
      <c r="B262" s="1">
        <v>6</v>
      </c>
      <c r="C262" s="1">
        <v>2</v>
      </c>
      <c r="D262" s="1" t="s">
        <v>148</v>
      </c>
      <c r="E262" s="1" t="s">
        <v>14</v>
      </c>
      <c r="H262"/>
      <c r="I262"/>
    </row>
    <row r="263" spans="1:9" ht="15" x14ac:dyDescent="0.25">
      <c r="A263" s="1">
        <v>262</v>
      </c>
      <c r="B263" s="1">
        <v>6</v>
      </c>
      <c r="C263" s="1">
        <v>2</v>
      </c>
      <c r="D263" s="1" t="s">
        <v>148</v>
      </c>
      <c r="E263" s="1" t="s">
        <v>14</v>
      </c>
      <c r="H263"/>
      <c r="I263"/>
    </row>
    <row r="264" spans="1:9" ht="15" x14ac:dyDescent="0.25">
      <c r="A264" s="1">
        <v>263</v>
      </c>
      <c r="B264" s="1">
        <v>6</v>
      </c>
      <c r="C264" s="1">
        <v>2</v>
      </c>
      <c r="D264" s="1" t="s">
        <v>148</v>
      </c>
      <c r="E264" s="1" t="s">
        <v>14</v>
      </c>
      <c r="H264"/>
      <c r="I264"/>
    </row>
    <row r="265" spans="1:9" ht="15" x14ac:dyDescent="0.25">
      <c r="A265" s="1">
        <v>264</v>
      </c>
      <c r="B265" s="1">
        <v>6</v>
      </c>
      <c r="C265" s="1">
        <v>2</v>
      </c>
      <c r="D265" s="1" t="s">
        <v>148</v>
      </c>
      <c r="E265" s="1" t="s">
        <v>14</v>
      </c>
      <c r="H265"/>
      <c r="I265"/>
    </row>
    <row r="266" spans="1:9" ht="15" x14ac:dyDescent="0.25">
      <c r="A266" s="1">
        <v>265</v>
      </c>
      <c r="B266" s="1">
        <v>6</v>
      </c>
      <c r="C266" s="1">
        <v>2</v>
      </c>
      <c r="D266" s="1" t="s">
        <v>148</v>
      </c>
      <c r="E266" s="1" t="s">
        <v>14</v>
      </c>
      <c r="H266"/>
      <c r="I266"/>
    </row>
    <row r="267" spans="1:9" ht="15" x14ac:dyDescent="0.25">
      <c r="A267" s="1">
        <v>266</v>
      </c>
      <c r="B267" s="1">
        <v>6</v>
      </c>
      <c r="C267" s="1">
        <v>2</v>
      </c>
      <c r="D267" s="1" t="s">
        <v>148</v>
      </c>
      <c r="E267" s="1" t="s">
        <v>14</v>
      </c>
      <c r="H267"/>
      <c r="I267"/>
    </row>
    <row r="268" spans="1:9" ht="15" x14ac:dyDescent="0.25">
      <c r="A268" s="1">
        <v>267</v>
      </c>
      <c r="B268" s="1">
        <v>6</v>
      </c>
      <c r="C268" s="1">
        <v>2</v>
      </c>
      <c r="D268" s="1" t="s">
        <v>148</v>
      </c>
      <c r="E268" s="1" t="s">
        <v>14</v>
      </c>
      <c r="H268"/>
      <c r="I268"/>
    </row>
    <row r="269" spans="1:9" ht="15" x14ac:dyDescent="0.25">
      <c r="A269" s="1">
        <v>268</v>
      </c>
      <c r="B269" s="1">
        <v>6</v>
      </c>
      <c r="C269" s="1">
        <v>2</v>
      </c>
      <c r="D269" s="1" t="s">
        <v>148</v>
      </c>
      <c r="E269" s="1" t="s">
        <v>14</v>
      </c>
      <c r="H269"/>
      <c r="I269"/>
    </row>
    <row r="270" spans="1:9" ht="15" x14ac:dyDescent="0.25">
      <c r="A270" s="1">
        <v>269</v>
      </c>
      <c r="B270" s="1">
        <v>6</v>
      </c>
      <c r="C270" s="1">
        <v>2</v>
      </c>
      <c r="D270" s="1" t="s">
        <v>148</v>
      </c>
      <c r="E270" s="1" t="s">
        <v>14</v>
      </c>
      <c r="H270"/>
      <c r="I270"/>
    </row>
    <row r="271" spans="1:9" ht="15" x14ac:dyDescent="0.25">
      <c r="A271" s="1">
        <v>270</v>
      </c>
      <c r="B271" s="1">
        <v>6</v>
      </c>
      <c r="C271" s="1">
        <v>2</v>
      </c>
      <c r="D271" s="1" t="s">
        <v>148</v>
      </c>
      <c r="E271" s="1" t="s">
        <v>14</v>
      </c>
      <c r="H271"/>
      <c r="I271"/>
    </row>
    <row r="272" spans="1:9" ht="15" x14ac:dyDescent="0.25">
      <c r="A272" s="1">
        <v>271</v>
      </c>
      <c r="B272" s="1">
        <v>6</v>
      </c>
      <c r="C272" s="1">
        <v>2</v>
      </c>
      <c r="D272" s="1" t="s">
        <v>148</v>
      </c>
      <c r="E272" s="1" t="s">
        <v>14</v>
      </c>
      <c r="H272"/>
      <c r="I272"/>
    </row>
    <row r="273" spans="1:9" ht="15" x14ac:dyDescent="0.25">
      <c r="A273" s="1">
        <v>272</v>
      </c>
      <c r="B273" s="1">
        <v>6</v>
      </c>
      <c r="C273" s="1">
        <v>2</v>
      </c>
      <c r="D273" s="1" t="s">
        <v>148</v>
      </c>
      <c r="E273" s="1" t="s">
        <v>14</v>
      </c>
      <c r="H273"/>
      <c r="I273"/>
    </row>
    <row r="274" spans="1:9" ht="15" x14ac:dyDescent="0.25">
      <c r="A274" s="1">
        <v>273</v>
      </c>
      <c r="B274" s="1">
        <v>6</v>
      </c>
      <c r="C274" s="1">
        <v>2</v>
      </c>
      <c r="D274" s="1" t="s">
        <v>148</v>
      </c>
      <c r="E274" s="1" t="s">
        <v>14</v>
      </c>
      <c r="H274"/>
      <c r="I274"/>
    </row>
    <row r="275" spans="1:9" ht="15" x14ac:dyDescent="0.25">
      <c r="A275" s="1">
        <v>274</v>
      </c>
      <c r="B275" s="1">
        <v>6</v>
      </c>
      <c r="C275" s="1">
        <v>2</v>
      </c>
      <c r="D275" s="1" t="s">
        <v>148</v>
      </c>
      <c r="E275" s="1" t="s">
        <v>14</v>
      </c>
      <c r="H275"/>
      <c r="I275"/>
    </row>
    <row r="276" spans="1:9" ht="15" x14ac:dyDescent="0.25">
      <c r="A276" s="1">
        <v>275</v>
      </c>
      <c r="B276" s="1">
        <v>6</v>
      </c>
      <c r="C276" s="1">
        <v>2</v>
      </c>
      <c r="D276" s="1" t="s">
        <v>148</v>
      </c>
      <c r="E276" s="1" t="s">
        <v>14</v>
      </c>
      <c r="H276"/>
      <c r="I276"/>
    </row>
    <row r="277" spans="1:9" ht="15" x14ac:dyDescent="0.25">
      <c r="A277" s="1">
        <v>276</v>
      </c>
      <c r="B277" s="1">
        <v>6</v>
      </c>
      <c r="C277" s="1">
        <v>2</v>
      </c>
      <c r="D277" s="1" t="s">
        <v>148</v>
      </c>
      <c r="E277" s="1" t="s">
        <v>14</v>
      </c>
      <c r="H277"/>
      <c r="I277"/>
    </row>
    <row r="278" spans="1:9" ht="15" x14ac:dyDescent="0.25">
      <c r="A278" s="1">
        <v>277</v>
      </c>
      <c r="B278" s="1">
        <v>6</v>
      </c>
      <c r="C278" s="1">
        <v>2</v>
      </c>
      <c r="D278" s="1" t="s">
        <v>148</v>
      </c>
      <c r="E278" s="1" t="s">
        <v>14</v>
      </c>
      <c r="H278"/>
      <c r="I278"/>
    </row>
    <row r="279" spans="1:9" ht="15" x14ac:dyDescent="0.25">
      <c r="A279" s="1">
        <v>278</v>
      </c>
      <c r="B279" s="1">
        <v>6</v>
      </c>
      <c r="C279" s="1">
        <v>2</v>
      </c>
      <c r="D279" s="1" t="s">
        <v>148</v>
      </c>
      <c r="E279" s="1" t="s">
        <v>14</v>
      </c>
      <c r="H279"/>
      <c r="I279"/>
    </row>
    <row r="280" spans="1:9" ht="15" x14ac:dyDescent="0.25">
      <c r="A280" s="1">
        <v>279</v>
      </c>
      <c r="B280" s="1">
        <v>6</v>
      </c>
      <c r="C280" s="1">
        <v>2</v>
      </c>
      <c r="D280" s="1" t="s">
        <v>148</v>
      </c>
      <c r="E280" s="1" t="s">
        <v>14</v>
      </c>
      <c r="H280"/>
      <c r="I280"/>
    </row>
    <row r="281" spans="1:9" ht="15" x14ac:dyDescent="0.25">
      <c r="A281" s="1">
        <v>280</v>
      </c>
      <c r="B281" s="1">
        <v>6</v>
      </c>
      <c r="C281" s="1">
        <v>2</v>
      </c>
      <c r="D281" s="1" t="s">
        <v>148</v>
      </c>
      <c r="E281" s="1" t="s">
        <v>14</v>
      </c>
      <c r="H281"/>
      <c r="I281"/>
    </row>
    <row r="282" spans="1:9" ht="15" x14ac:dyDescent="0.25">
      <c r="A282" s="1">
        <v>281</v>
      </c>
      <c r="B282" s="1">
        <v>6</v>
      </c>
      <c r="C282" s="1">
        <v>2</v>
      </c>
      <c r="D282" s="1" t="s">
        <v>148</v>
      </c>
      <c r="E282" s="1" t="s">
        <v>14</v>
      </c>
      <c r="H282"/>
      <c r="I282"/>
    </row>
    <row r="283" spans="1:9" ht="15" x14ac:dyDescent="0.25">
      <c r="A283" s="1">
        <v>282</v>
      </c>
      <c r="B283" s="1">
        <v>6</v>
      </c>
      <c r="C283" s="1">
        <v>2</v>
      </c>
      <c r="D283" s="1" t="s">
        <v>148</v>
      </c>
      <c r="E283" s="1" t="s">
        <v>14</v>
      </c>
      <c r="H283"/>
      <c r="I283"/>
    </row>
    <row r="284" spans="1:9" ht="15" x14ac:dyDescent="0.25">
      <c r="A284" s="1">
        <v>283</v>
      </c>
      <c r="B284" s="1">
        <v>6</v>
      </c>
      <c r="C284" s="1">
        <v>2</v>
      </c>
      <c r="D284" s="1" t="s">
        <v>148</v>
      </c>
      <c r="E284" s="1" t="s">
        <v>14</v>
      </c>
      <c r="H284"/>
      <c r="I284"/>
    </row>
    <row r="285" spans="1:9" ht="15" x14ac:dyDescent="0.25">
      <c r="A285" s="1">
        <v>284</v>
      </c>
      <c r="B285" s="1">
        <v>6</v>
      </c>
      <c r="C285" s="1">
        <v>2</v>
      </c>
      <c r="D285" s="1" t="s">
        <v>148</v>
      </c>
      <c r="E285" s="1" t="s">
        <v>14</v>
      </c>
      <c r="H285"/>
      <c r="I285"/>
    </row>
    <row r="286" spans="1:9" ht="15" x14ac:dyDescent="0.25">
      <c r="A286" s="1">
        <v>285</v>
      </c>
      <c r="B286" s="1">
        <v>6</v>
      </c>
      <c r="C286" s="1">
        <v>2</v>
      </c>
      <c r="D286" s="1" t="s">
        <v>148</v>
      </c>
      <c r="E286" s="1" t="s">
        <v>14</v>
      </c>
      <c r="H286"/>
      <c r="I286"/>
    </row>
    <row r="287" spans="1:9" ht="15" x14ac:dyDescent="0.25">
      <c r="A287" s="1">
        <v>286</v>
      </c>
      <c r="B287" s="1">
        <v>6</v>
      </c>
      <c r="C287" s="1">
        <v>2</v>
      </c>
      <c r="D287" s="1" t="s">
        <v>148</v>
      </c>
      <c r="E287" s="1" t="s">
        <v>14</v>
      </c>
      <c r="H287"/>
      <c r="I287"/>
    </row>
    <row r="288" spans="1:9" ht="15" x14ac:dyDescent="0.25">
      <c r="A288" s="1">
        <v>287</v>
      </c>
      <c r="B288" s="1">
        <v>6</v>
      </c>
      <c r="C288" s="1">
        <v>2</v>
      </c>
      <c r="D288" s="1" t="s">
        <v>148</v>
      </c>
      <c r="E288" s="1" t="s">
        <v>14</v>
      </c>
      <c r="H288"/>
      <c r="I288"/>
    </row>
    <row r="289" spans="1:9" ht="15" x14ac:dyDescent="0.25">
      <c r="A289" s="1">
        <v>288</v>
      </c>
      <c r="B289" s="1">
        <v>6</v>
      </c>
      <c r="C289" s="1">
        <v>2</v>
      </c>
      <c r="D289" s="1" t="s">
        <v>148</v>
      </c>
      <c r="E289" s="1" t="s">
        <v>14</v>
      </c>
      <c r="H289"/>
      <c r="I289"/>
    </row>
    <row r="290" spans="1:9" ht="15" x14ac:dyDescent="0.25">
      <c r="A290" s="1">
        <v>289</v>
      </c>
      <c r="B290" s="1">
        <v>6</v>
      </c>
      <c r="C290" s="1">
        <v>2</v>
      </c>
      <c r="D290" s="1" t="s">
        <v>148</v>
      </c>
      <c r="E290" s="1" t="s">
        <v>14</v>
      </c>
      <c r="H290"/>
      <c r="I290"/>
    </row>
    <row r="291" spans="1:9" ht="15" x14ac:dyDescent="0.25">
      <c r="A291" s="1">
        <v>290</v>
      </c>
      <c r="B291" s="1">
        <v>6</v>
      </c>
      <c r="C291" s="1">
        <v>2</v>
      </c>
      <c r="D291" s="1" t="s">
        <v>148</v>
      </c>
      <c r="E291" s="1" t="s">
        <v>14</v>
      </c>
      <c r="H291"/>
      <c r="I291"/>
    </row>
    <row r="292" spans="1:9" ht="15" x14ac:dyDescent="0.25">
      <c r="A292" s="1">
        <v>291</v>
      </c>
      <c r="B292" s="1">
        <v>6</v>
      </c>
      <c r="C292" s="1">
        <v>2</v>
      </c>
      <c r="D292" s="1" t="s">
        <v>148</v>
      </c>
      <c r="E292" s="1" t="s">
        <v>14</v>
      </c>
      <c r="H292"/>
      <c r="I292"/>
    </row>
    <row r="293" spans="1:9" ht="15" x14ac:dyDescent="0.25">
      <c r="A293" s="1">
        <v>292</v>
      </c>
      <c r="B293" s="1">
        <v>6</v>
      </c>
      <c r="C293" s="1">
        <v>2</v>
      </c>
      <c r="D293" s="1" t="s">
        <v>148</v>
      </c>
      <c r="E293" s="1" t="s">
        <v>14</v>
      </c>
      <c r="H293"/>
      <c r="I293"/>
    </row>
    <row r="294" spans="1:9" ht="15" x14ac:dyDescent="0.25">
      <c r="A294" s="1">
        <v>293</v>
      </c>
      <c r="B294" s="1">
        <v>6</v>
      </c>
      <c r="C294" s="1">
        <v>2</v>
      </c>
      <c r="D294" s="1" t="s">
        <v>148</v>
      </c>
      <c r="E294" s="1" t="s">
        <v>14</v>
      </c>
      <c r="H294"/>
      <c r="I294"/>
    </row>
    <row r="295" spans="1:9" ht="15" x14ac:dyDescent="0.25">
      <c r="A295" s="1">
        <v>294</v>
      </c>
      <c r="B295" s="1">
        <v>6</v>
      </c>
      <c r="C295" s="1">
        <v>2</v>
      </c>
      <c r="D295" s="1" t="s">
        <v>148</v>
      </c>
      <c r="E295" s="1" t="s">
        <v>14</v>
      </c>
      <c r="H295"/>
      <c r="I295"/>
    </row>
    <row r="296" spans="1:9" ht="15" x14ac:dyDescent="0.25">
      <c r="A296" s="1">
        <v>295</v>
      </c>
      <c r="B296" s="1">
        <v>6</v>
      </c>
      <c r="C296" s="1">
        <v>2</v>
      </c>
      <c r="D296" s="1" t="s">
        <v>148</v>
      </c>
      <c r="E296" s="1" t="s">
        <v>14</v>
      </c>
      <c r="H296"/>
      <c r="I296"/>
    </row>
    <row r="297" spans="1:9" ht="15" x14ac:dyDescent="0.25">
      <c r="A297" s="1">
        <v>296</v>
      </c>
      <c r="B297" s="1">
        <v>6</v>
      </c>
      <c r="C297" s="1">
        <v>2</v>
      </c>
      <c r="D297" s="1" t="s">
        <v>148</v>
      </c>
      <c r="E297" s="1" t="s">
        <v>14</v>
      </c>
      <c r="H297"/>
      <c r="I297"/>
    </row>
    <row r="298" spans="1:9" ht="15" x14ac:dyDescent="0.25">
      <c r="A298" s="1">
        <v>297</v>
      </c>
      <c r="B298" s="1">
        <v>7</v>
      </c>
      <c r="C298" s="1">
        <v>2</v>
      </c>
      <c r="D298" s="1" t="s">
        <v>147</v>
      </c>
      <c r="E298" s="1" t="s">
        <v>14</v>
      </c>
      <c r="H298"/>
      <c r="I298"/>
    </row>
    <row r="299" spans="1:9" ht="15" x14ac:dyDescent="0.25">
      <c r="A299" s="1">
        <v>298</v>
      </c>
      <c r="B299" s="1">
        <v>7</v>
      </c>
      <c r="C299" s="1">
        <v>2</v>
      </c>
      <c r="D299" s="1" t="s">
        <v>147</v>
      </c>
      <c r="E299" s="1" t="s">
        <v>14</v>
      </c>
      <c r="H299"/>
      <c r="I299"/>
    </row>
    <row r="300" spans="1:9" ht="15" x14ac:dyDescent="0.25">
      <c r="A300" s="1">
        <v>299</v>
      </c>
      <c r="B300" s="1">
        <v>7</v>
      </c>
      <c r="C300" s="1">
        <v>2</v>
      </c>
      <c r="D300" s="1" t="s">
        <v>147</v>
      </c>
      <c r="E300" s="1" t="s">
        <v>14</v>
      </c>
      <c r="H300"/>
      <c r="I300"/>
    </row>
    <row r="301" spans="1:9" ht="15" x14ac:dyDescent="0.25">
      <c r="A301" s="1">
        <v>300</v>
      </c>
      <c r="B301" s="1">
        <v>7</v>
      </c>
      <c r="C301" s="1">
        <v>2</v>
      </c>
      <c r="D301" s="1" t="s">
        <v>147</v>
      </c>
      <c r="E301" s="1" t="s">
        <v>14</v>
      </c>
      <c r="H301"/>
      <c r="I301"/>
    </row>
    <row r="302" spans="1:9" ht="15" x14ac:dyDescent="0.25">
      <c r="A302" s="1">
        <v>301</v>
      </c>
      <c r="B302" s="1">
        <v>7</v>
      </c>
      <c r="C302" s="1">
        <v>2</v>
      </c>
      <c r="D302" s="1" t="s">
        <v>147</v>
      </c>
      <c r="E302" s="1" t="s">
        <v>14</v>
      </c>
      <c r="H302"/>
      <c r="I302"/>
    </row>
    <row r="303" spans="1:9" ht="15" x14ac:dyDescent="0.25">
      <c r="A303" s="1">
        <v>302</v>
      </c>
      <c r="B303" s="1">
        <v>7</v>
      </c>
      <c r="C303" s="1">
        <v>2</v>
      </c>
      <c r="D303" s="1" t="s">
        <v>147</v>
      </c>
      <c r="E303" s="1" t="s">
        <v>14</v>
      </c>
      <c r="H303"/>
      <c r="I303"/>
    </row>
    <row r="304" spans="1:9" ht="15" x14ac:dyDescent="0.25">
      <c r="A304" s="1">
        <v>303</v>
      </c>
      <c r="B304" s="1">
        <v>7</v>
      </c>
      <c r="C304" s="1">
        <v>2</v>
      </c>
      <c r="D304" s="1" t="s">
        <v>147</v>
      </c>
      <c r="E304" s="1" t="s">
        <v>14</v>
      </c>
      <c r="H304"/>
      <c r="I304"/>
    </row>
    <row r="305" spans="1:9" ht="15" x14ac:dyDescent="0.25">
      <c r="A305" s="1">
        <v>304</v>
      </c>
      <c r="B305" s="1">
        <v>7</v>
      </c>
      <c r="C305" s="1">
        <v>2</v>
      </c>
      <c r="D305" s="1" t="s">
        <v>147</v>
      </c>
      <c r="E305" s="1" t="s">
        <v>14</v>
      </c>
      <c r="H305"/>
      <c r="I305"/>
    </row>
    <row r="306" spans="1:9" ht="15" x14ac:dyDescent="0.25">
      <c r="A306" s="1">
        <v>305</v>
      </c>
      <c r="B306" s="1">
        <v>7</v>
      </c>
      <c r="C306" s="1">
        <v>2</v>
      </c>
      <c r="D306" s="1" t="s">
        <v>147</v>
      </c>
      <c r="E306" s="1" t="s">
        <v>14</v>
      </c>
      <c r="H306"/>
      <c r="I306"/>
    </row>
    <row r="307" spans="1:9" ht="15" x14ac:dyDescent="0.25">
      <c r="A307" s="1">
        <v>306</v>
      </c>
      <c r="B307" s="1">
        <v>7</v>
      </c>
      <c r="C307" s="1">
        <v>2</v>
      </c>
      <c r="D307" s="1" t="s">
        <v>147</v>
      </c>
      <c r="E307" s="1" t="s">
        <v>14</v>
      </c>
      <c r="H307"/>
      <c r="I307"/>
    </row>
    <row r="308" spans="1:9" ht="15" x14ac:dyDescent="0.25">
      <c r="A308" s="1">
        <v>307</v>
      </c>
      <c r="B308" s="1">
        <v>7</v>
      </c>
      <c r="C308" s="1">
        <v>2</v>
      </c>
      <c r="D308" s="1" t="s">
        <v>147</v>
      </c>
      <c r="E308" s="1" t="s">
        <v>14</v>
      </c>
      <c r="H308"/>
      <c r="I308"/>
    </row>
    <row r="309" spans="1:9" ht="15" x14ac:dyDescent="0.25">
      <c r="A309" s="1">
        <v>308</v>
      </c>
      <c r="B309" s="1">
        <v>7</v>
      </c>
      <c r="C309" s="1">
        <v>2</v>
      </c>
      <c r="D309" s="1" t="s">
        <v>147</v>
      </c>
      <c r="E309" s="1" t="s">
        <v>14</v>
      </c>
      <c r="H309"/>
      <c r="I309"/>
    </row>
    <row r="310" spans="1:9" ht="15" x14ac:dyDescent="0.25">
      <c r="A310" s="1">
        <v>309</v>
      </c>
      <c r="B310" s="1">
        <v>7</v>
      </c>
      <c r="C310" s="1">
        <v>2</v>
      </c>
      <c r="D310" s="1" t="s">
        <v>147</v>
      </c>
      <c r="E310" s="1" t="s">
        <v>14</v>
      </c>
      <c r="H310"/>
      <c r="I310"/>
    </row>
    <row r="311" spans="1:9" ht="15" x14ac:dyDescent="0.25">
      <c r="A311" s="1">
        <v>310</v>
      </c>
      <c r="B311" s="1">
        <v>7</v>
      </c>
      <c r="C311" s="1">
        <v>2</v>
      </c>
      <c r="D311" s="1" t="s">
        <v>147</v>
      </c>
      <c r="E311" s="1" t="s">
        <v>14</v>
      </c>
      <c r="H311"/>
      <c r="I311"/>
    </row>
    <row r="312" spans="1:9" ht="15" x14ac:dyDescent="0.25">
      <c r="A312" s="1">
        <v>311</v>
      </c>
      <c r="B312" s="1">
        <v>7</v>
      </c>
      <c r="C312" s="1">
        <v>2</v>
      </c>
      <c r="D312" s="1" t="s">
        <v>147</v>
      </c>
      <c r="E312" s="1" t="s">
        <v>14</v>
      </c>
      <c r="H312"/>
      <c r="I312"/>
    </row>
    <row r="313" spans="1:9" ht="15" x14ac:dyDescent="0.25">
      <c r="A313" s="1">
        <v>312</v>
      </c>
      <c r="B313" s="1">
        <v>7</v>
      </c>
      <c r="C313" s="1">
        <v>2</v>
      </c>
      <c r="D313" s="1" t="s">
        <v>147</v>
      </c>
      <c r="E313" s="1" t="s">
        <v>14</v>
      </c>
      <c r="H313"/>
      <c r="I313"/>
    </row>
    <row r="314" spans="1:9" ht="15" x14ac:dyDescent="0.25">
      <c r="A314" s="1">
        <v>313</v>
      </c>
      <c r="B314" s="1">
        <v>7</v>
      </c>
      <c r="C314" s="1">
        <v>2</v>
      </c>
      <c r="D314" s="1" t="s">
        <v>147</v>
      </c>
      <c r="E314" s="1" t="s">
        <v>14</v>
      </c>
      <c r="H314"/>
      <c r="I314"/>
    </row>
    <row r="315" spans="1:9" ht="15" x14ac:dyDescent="0.25">
      <c r="A315" s="1">
        <v>314</v>
      </c>
      <c r="B315" s="1">
        <v>7</v>
      </c>
      <c r="C315" s="1">
        <v>2</v>
      </c>
      <c r="D315" s="1" t="s">
        <v>147</v>
      </c>
      <c r="E315" s="1" t="s">
        <v>14</v>
      </c>
      <c r="H315"/>
      <c r="I315"/>
    </row>
    <row r="316" spans="1:9" ht="15" x14ac:dyDescent="0.25">
      <c r="A316" s="1">
        <v>315</v>
      </c>
      <c r="B316" s="1">
        <v>7</v>
      </c>
      <c r="C316" s="1">
        <v>2</v>
      </c>
      <c r="D316" s="1" t="s">
        <v>147</v>
      </c>
      <c r="E316" s="1" t="s">
        <v>14</v>
      </c>
      <c r="H316"/>
      <c r="I316"/>
    </row>
    <row r="317" spans="1:9" ht="15" x14ac:dyDescent="0.25">
      <c r="A317" s="1">
        <v>316</v>
      </c>
      <c r="B317" s="1">
        <v>7</v>
      </c>
      <c r="C317" s="1">
        <v>2</v>
      </c>
      <c r="D317" s="1" t="s">
        <v>147</v>
      </c>
      <c r="E317" s="1" t="s">
        <v>14</v>
      </c>
      <c r="H317"/>
      <c r="I317"/>
    </row>
    <row r="318" spans="1:9" ht="15" x14ac:dyDescent="0.25">
      <c r="A318" s="1">
        <v>317</v>
      </c>
      <c r="B318" s="1">
        <v>7</v>
      </c>
      <c r="C318" s="1">
        <v>2</v>
      </c>
      <c r="D318" s="1" t="s">
        <v>147</v>
      </c>
      <c r="E318" s="1" t="s">
        <v>14</v>
      </c>
      <c r="H318"/>
      <c r="I318"/>
    </row>
    <row r="319" spans="1:9" ht="15" x14ac:dyDescent="0.25">
      <c r="A319" s="1">
        <v>318</v>
      </c>
      <c r="B319" s="1">
        <v>7</v>
      </c>
      <c r="C319" s="1">
        <v>2</v>
      </c>
      <c r="D319" s="1" t="s">
        <v>147</v>
      </c>
      <c r="E319" s="1" t="s">
        <v>14</v>
      </c>
      <c r="H319"/>
      <c r="I319"/>
    </row>
    <row r="320" spans="1:9" ht="15" x14ac:dyDescent="0.25">
      <c r="A320" s="1">
        <v>319</v>
      </c>
      <c r="B320" s="1">
        <v>7</v>
      </c>
      <c r="C320" s="1">
        <v>2</v>
      </c>
      <c r="D320" s="1" t="s">
        <v>147</v>
      </c>
      <c r="E320" s="1" t="s">
        <v>14</v>
      </c>
      <c r="H320"/>
      <c r="I320"/>
    </row>
    <row r="321" spans="1:9" ht="15" x14ac:dyDescent="0.25">
      <c r="A321" s="1">
        <v>320</v>
      </c>
      <c r="B321" s="1">
        <v>7</v>
      </c>
      <c r="C321" s="1">
        <v>2</v>
      </c>
      <c r="D321" s="1" t="s">
        <v>147</v>
      </c>
      <c r="E321" s="1" t="s">
        <v>14</v>
      </c>
      <c r="H321"/>
      <c r="I321"/>
    </row>
    <row r="322" spans="1:9" ht="15" x14ac:dyDescent="0.25">
      <c r="A322" s="1">
        <v>321</v>
      </c>
      <c r="B322" s="1">
        <v>7</v>
      </c>
      <c r="C322" s="1">
        <v>2</v>
      </c>
      <c r="D322" s="1" t="s">
        <v>147</v>
      </c>
      <c r="E322" s="1" t="s">
        <v>14</v>
      </c>
      <c r="H322"/>
      <c r="I322"/>
    </row>
    <row r="323" spans="1:9" ht="15" x14ac:dyDescent="0.25">
      <c r="A323" s="1">
        <v>322</v>
      </c>
      <c r="B323" s="1">
        <v>7</v>
      </c>
      <c r="C323" s="1">
        <v>2</v>
      </c>
      <c r="D323" s="1" t="s">
        <v>147</v>
      </c>
      <c r="E323" s="1" t="s">
        <v>14</v>
      </c>
      <c r="H323"/>
      <c r="I323"/>
    </row>
    <row r="324" spans="1:9" ht="15" x14ac:dyDescent="0.25">
      <c r="A324" s="1">
        <v>323</v>
      </c>
      <c r="B324" s="1">
        <v>7</v>
      </c>
      <c r="C324" s="1">
        <v>2</v>
      </c>
      <c r="D324" s="1" t="s">
        <v>147</v>
      </c>
      <c r="E324" s="1" t="s">
        <v>14</v>
      </c>
      <c r="H324"/>
      <c r="I324"/>
    </row>
    <row r="325" spans="1:9" ht="15" x14ac:dyDescent="0.25">
      <c r="A325" s="1">
        <v>324</v>
      </c>
      <c r="B325" s="1">
        <v>7</v>
      </c>
      <c r="C325" s="1">
        <v>2</v>
      </c>
      <c r="D325" s="1" t="s">
        <v>147</v>
      </c>
      <c r="E325" s="1" t="s">
        <v>14</v>
      </c>
      <c r="H325"/>
      <c r="I325"/>
    </row>
    <row r="326" spans="1:9" ht="15" x14ac:dyDescent="0.25">
      <c r="A326" s="1">
        <v>325</v>
      </c>
      <c r="B326" s="1">
        <v>7</v>
      </c>
      <c r="C326" s="1">
        <v>2</v>
      </c>
      <c r="D326" s="1" t="s">
        <v>147</v>
      </c>
      <c r="E326" s="1" t="s">
        <v>14</v>
      </c>
      <c r="H326"/>
      <c r="I326"/>
    </row>
    <row r="327" spans="1:9" ht="15" x14ac:dyDescent="0.25">
      <c r="A327" s="1">
        <v>326</v>
      </c>
      <c r="B327" s="1">
        <v>7</v>
      </c>
      <c r="C327" s="1">
        <v>2</v>
      </c>
      <c r="D327" s="1" t="s">
        <v>147</v>
      </c>
      <c r="E327" s="1" t="s">
        <v>14</v>
      </c>
      <c r="H327"/>
      <c r="I327"/>
    </row>
    <row r="328" spans="1:9" ht="15" x14ac:dyDescent="0.25">
      <c r="A328" s="1">
        <v>327</v>
      </c>
      <c r="B328" s="1">
        <v>7</v>
      </c>
      <c r="C328" s="1">
        <v>2</v>
      </c>
      <c r="D328" s="1" t="s">
        <v>147</v>
      </c>
      <c r="E328" s="1" t="s">
        <v>14</v>
      </c>
      <c r="H328"/>
      <c r="I328"/>
    </row>
    <row r="329" spans="1:9" ht="15" x14ac:dyDescent="0.25">
      <c r="A329" s="1">
        <v>328</v>
      </c>
      <c r="B329" s="1">
        <v>7</v>
      </c>
      <c r="C329" s="1">
        <v>2</v>
      </c>
      <c r="D329" s="1" t="s">
        <v>147</v>
      </c>
      <c r="E329" s="1" t="s">
        <v>14</v>
      </c>
      <c r="H329"/>
      <c r="I329"/>
    </row>
    <row r="330" spans="1:9" ht="15" x14ac:dyDescent="0.25">
      <c r="A330" s="1">
        <v>329</v>
      </c>
      <c r="B330" s="1">
        <v>7</v>
      </c>
      <c r="C330" s="1">
        <v>2</v>
      </c>
      <c r="D330" s="1" t="s">
        <v>147</v>
      </c>
      <c r="E330" s="1" t="s">
        <v>14</v>
      </c>
      <c r="H330"/>
      <c r="I330"/>
    </row>
    <row r="331" spans="1:9" ht="15" x14ac:dyDescent="0.25">
      <c r="A331" s="1">
        <v>330</v>
      </c>
      <c r="B331" s="1">
        <v>7</v>
      </c>
      <c r="C331" s="1">
        <v>2</v>
      </c>
      <c r="D331" s="1" t="s">
        <v>147</v>
      </c>
      <c r="E331" s="1" t="s">
        <v>14</v>
      </c>
      <c r="H331"/>
      <c r="I331"/>
    </row>
    <row r="332" spans="1:9" ht="15" x14ac:dyDescent="0.25">
      <c r="A332" s="1">
        <v>331</v>
      </c>
      <c r="B332" s="1">
        <v>7</v>
      </c>
      <c r="C332" s="1">
        <v>2</v>
      </c>
      <c r="D332" s="1" t="s">
        <v>147</v>
      </c>
      <c r="E332" s="1" t="s">
        <v>14</v>
      </c>
      <c r="H332"/>
      <c r="I332"/>
    </row>
    <row r="333" spans="1:9" ht="15" x14ac:dyDescent="0.25">
      <c r="A333" s="1">
        <v>332</v>
      </c>
      <c r="B333" s="1">
        <v>7</v>
      </c>
      <c r="C333" s="1">
        <v>2</v>
      </c>
      <c r="D333" s="1" t="s">
        <v>147</v>
      </c>
      <c r="E333" s="1" t="s">
        <v>14</v>
      </c>
      <c r="H333"/>
      <c r="I333"/>
    </row>
    <row r="334" spans="1:9" ht="15" x14ac:dyDescent="0.25">
      <c r="A334" s="1">
        <v>333</v>
      </c>
      <c r="B334" s="1">
        <v>7</v>
      </c>
      <c r="C334" s="1">
        <v>2</v>
      </c>
      <c r="D334" s="1" t="s">
        <v>147</v>
      </c>
      <c r="E334" s="1" t="s">
        <v>14</v>
      </c>
      <c r="H334"/>
      <c r="I334"/>
    </row>
    <row r="335" spans="1:9" ht="15" x14ac:dyDescent="0.25">
      <c r="A335" s="1">
        <v>334</v>
      </c>
      <c r="B335" s="1">
        <v>7</v>
      </c>
      <c r="C335" s="1">
        <v>2</v>
      </c>
      <c r="D335" s="1" t="s">
        <v>147</v>
      </c>
      <c r="E335" s="1" t="s">
        <v>14</v>
      </c>
      <c r="H335"/>
      <c r="I335"/>
    </row>
    <row r="336" spans="1:9" ht="15" x14ac:dyDescent="0.25">
      <c r="A336" s="1">
        <v>335</v>
      </c>
      <c r="B336" s="1">
        <v>7</v>
      </c>
      <c r="C336" s="1">
        <v>2</v>
      </c>
      <c r="D336" s="1" t="s">
        <v>147</v>
      </c>
      <c r="E336" s="1" t="s">
        <v>14</v>
      </c>
      <c r="H336"/>
      <c r="I336"/>
    </row>
    <row r="337" spans="1:9" ht="15" x14ac:dyDescent="0.25">
      <c r="A337" s="1">
        <v>336</v>
      </c>
      <c r="B337" s="1">
        <v>7</v>
      </c>
      <c r="C337" s="1">
        <v>2</v>
      </c>
      <c r="D337" s="1" t="s">
        <v>147</v>
      </c>
      <c r="E337" s="1" t="s">
        <v>14</v>
      </c>
      <c r="H337"/>
      <c r="I337"/>
    </row>
    <row r="338" spans="1:9" ht="15" x14ac:dyDescent="0.25">
      <c r="A338" s="1">
        <v>337</v>
      </c>
      <c r="B338" s="1">
        <v>7</v>
      </c>
      <c r="C338" s="1">
        <v>2</v>
      </c>
      <c r="D338" s="1" t="s">
        <v>147</v>
      </c>
      <c r="E338" s="1" t="s">
        <v>14</v>
      </c>
      <c r="H338"/>
      <c r="I338"/>
    </row>
    <row r="339" spans="1:9" ht="15" x14ac:dyDescent="0.25">
      <c r="A339" s="1">
        <v>338</v>
      </c>
      <c r="B339" s="1">
        <v>7</v>
      </c>
      <c r="C339" s="1">
        <v>2</v>
      </c>
      <c r="D339" s="1" t="s">
        <v>147</v>
      </c>
      <c r="E339" s="1" t="s">
        <v>14</v>
      </c>
      <c r="H339"/>
      <c r="I339"/>
    </row>
    <row r="340" spans="1:9" ht="15" x14ac:dyDescent="0.25">
      <c r="A340" s="1">
        <v>339</v>
      </c>
      <c r="B340" s="1">
        <v>7</v>
      </c>
      <c r="C340" s="1">
        <v>2</v>
      </c>
      <c r="D340" s="1" t="s">
        <v>147</v>
      </c>
      <c r="E340" s="1" t="s">
        <v>14</v>
      </c>
      <c r="H340"/>
      <c r="I340"/>
    </row>
    <row r="341" spans="1:9" ht="15" x14ac:dyDescent="0.25">
      <c r="A341" s="1">
        <v>340</v>
      </c>
      <c r="B341" s="1">
        <v>7</v>
      </c>
      <c r="C341" s="1">
        <v>2</v>
      </c>
      <c r="D341" s="1" t="s">
        <v>147</v>
      </c>
      <c r="E341" s="1" t="s">
        <v>14</v>
      </c>
      <c r="H341"/>
      <c r="I341"/>
    </row>
    <row r="342" spans="1:9" ht="15" x14ac:dyDescent="0.25">
      <c r="A342" s="1">
        <v>341</v>
      </c>
      <c r="B342" s="1">
        <v>7</v>
      </c>
      <c r="C342" s="1">
        <v>2</v>
      </c>
      <c r="D342" s="1" t="s">
        <v>147</v>
      </c>
      <c r="E342" s="1" t="s">
        <v>14</v>
      </c>
      <c r="H342"/>
      <c r="I342"/>
    </row>
    <row r="343" spans="1:9" ht="15" x14ac:dyDescent="0.25">
      <c r="A343" s="1">
        <v>342</v>
      </c>
      <c r="B343" s="1">
        <v>7</v>
      </c>
      <c r="C343" s="1">
        <v>2</v>
      </c>
      <c r="D343" s="1" t="s">
        <v>147</v>
      </c>
      <c r="E343" s="1" t="s">
        <v>14</v>
      </c>
      <c r="H343"/>
      <c r="I343"/>
    </row>
    <row r="344" spans="1:9" ht="15" x14ac:dyDescent="0.25">
      <c r="A344" s="1">
        <v>343</v>
      </c>
      <c r="B344" s="1">
        <v>7</v>
      </c>
      <c r="C344" s="1">
        <v>2</v>
      </c>
      <c r="D344" s="1" t="s">
        <v>147</v>
      </c>
      <c r="E344" s="1" t="s">
        <v>14</v>
      </c>
      <c r="H344"/>
      <c r="I344"/>
    </row>
    <row r="345" spans="1:9" ht="15" x14ac:dyDescent="0.25">
      <c r="A345" s="1">
        <v>344</v>
      </c>
      <c r="B345" s="1">
        <v>7</v>
      </c>
      <c r="C345" s="1">
        <v>2</v>
      </c>
      <c r="D345" s="1" t="s">
        <v>147</v>
      </c>
      <c r="E345" s="1" t="s">
        <v>14</v>
      </c>
      <c r="H345"/>
      <c r="I345"/>
    </row>
    <row r="346" spans="1:9" ht="15" x14ac:dyDescent="0.25">
      <c r="A346" s="1">
        <v>345</v>
      </c>
      <c r="B346" s="1">
        <v>7</v>
      </c>
      <c r="C346" s="1">
        <v>2</v>
      </c>
      <c r="D346" s="1" t="s">
        <v>147</v>
      </c>
      <c r="E346" s="1" t="s">
        <v>14</v>
      </c>
      <c r="H346"/>
      <c r="I346"/>
    </row>
    <row r="347" spans="1:9" ht="15" x14ac:dyDescent="0.25">
      <c r="A347" s="1">
        <v>346</v>
      </c>
      <c r="B347" s="1">
        <v>7</v>
      </c>
      <c r="C347" s="1">
        <v>2</v>
      </c>
      <c r="D347" s="1" t="s">
        <v>147</v>
      </c>
      <c r="E347" s="1" t="s">
        <v>14</v>
      </c>
      <c r="H347"/>
      <c r="I347"/>
    </row>
    <row r="348" spans="1:9" ht="15" x14ac:dyDescent="0.25">
      <c r="A348" s="1">
        <v>347</v>
      </c>
      <c r="B348" s="1">
        <v>8</v>
      </c>
      <c r="C348" s="1">
        <v>3</v>
      </c>
      <c r="D348" s="1" t="s">
        <v>146</v>
      </c>
      <c r="E348" s="1" t="s">
        <v>15</v>
      </c>
      <c r="H348"/>
      <c r="I348"/>
    </row>
    <row r="349" spans="1:9" ht="15" x14ac:dyDescent="0.25">
      <c r="A349" s="1">
        <v>348</v>
      </c>
      <c r="B349" s="1">
        <v>8</v>
      </c>
      <c r="C349" s="1">
        <v>3</v>
      </c>
      <c r="D349" s="1" t="s">
        <v>146</v>
      </c>
      <c r="E349" s="1" t="s">
        <v>15</v>
      </c>
      <c r="H349"/>
      <c r="I349"/>
    </row>
    <row r="350" spans="1:9" ht="15" x14ac:dyDescent="0.25">
      <c r="A350" s="1">
        <v>349</v>
      </c>
      <c r="B350" s="1">
        <v>8</v>
      </c>
      <c r="C350" s="1">
        <v>3</v>
      </c>
      <c r="D350" s="1" t="s">
        <v>146</v>
      </c>
      <c r="E350" s="1" t="s">
        <v>15</v>
      </c>
      <c r="H350"/>
      <c r="I350"/>
    </row>
    <row r="351" spans="1:9" ht="15" x14ac:dyDescent="0.25">
      <c r="A351" s="1">
        <v>350</v>
      </c>
      <c r="B351" s="1">
        <v>8</v>
      </c>
      <c r="C351" s="1">
        <v>3</v>
      </c>
      <c r="D351" s="1" t="s">
        <v>146</v>
      </c>
      <c r="E351" s="1" t="s">
        <v>15</v>
      </c>
      <c r="H351"/>
      <c r="I351"/>
    </row>
    <row r="352" spans="1:9" ht="15" x14ac:dyDescent="0.25">
      <c r="A352" s="1">
        <v>351</v>
      </c>
      <c r="B352" s="1">
        <v>8</v>
      </c>
      <c r="C352" s="1">
        <v>3</v>
      </c>
      <c r="D352" s="1" t="s">
        <v>146</v>
      </c>
      <c r="E352" s="1" t="s">
        <v>15</v>
      </c>
      <c r="H352"/>
      <c r="I352"/>
    </row>
    <row r="353" spans="1:9" ht="15" x14ac:dyDescent="0.25">
      <c r="A353" s="1">
        <v>352</v>
      </c>
      <c r="B353" s="1">
        <v>8</v>
      </c>
      <c r="C353" s="1">
        <v>3</v>
      </c>
      <c r="D353" s="1" t="s">
        <v>146</v>
      </c>
      <c r="E353" s="1" t="s">
        <v>15</v>
      </c>
      <c r="H353"/>
      <c r="I353"/>
    </row>
    <row r="354" spans="1:9" ht="15" x14ac:dyDescent="0.25">
      <c r="A354" s="1">
        <v>353</v>
      </c>
      <c r="B354" s="1">
        <v>8</v>
      </c>
      <c r="C354" s="1">
        <v>3</v>
      </c>
      <c r="D354" s="1" t="s">
        <v>146</v>
      </c>
      <c r="E354" s="1" t="s">
        <v>15</v>
      </c>
      <c r="H354"/>
      <c r="I354"/>
    </row>
    <row r="355" spans="1:9" ht="15" x14ac:dyDescent="0.25">
      <c r="A355" s="1">
        <v>354</v>
      </c>
      <c r="B355" s="1">
        <v>8</v>
      </c>
      <c r="C355" s="1">
        <v>3</v>
      </c>
      <c r="D355" s="1" t="s">
        <v>146</v>
      </c>
      <c r="E355" s="1" t="s">
        <v>15</v>
      </c>
      <c r="H355"/>
      <c r="I355"/>
    </row>
    <row r="356" spans="1:9" ht="15" x14ac:dyDescent="0.25">
      <c r="A356" s="1">
        <v>355</v>
      </c>
      <c r="B356" s="1">
        <v>8</v>
      </c>
      <c r="C356" s="1">
        <v>3</v>
      </c>
      <c r="D356" s="1" t="s">
        <v>146</v>
      </c>
      <c r="E356" s="1" t="s">
        <v>15</v>
      </c>
      <c r="H356"/>
      <c r="I356"/>
    </row>
    <row r="357" spans="1:9" ht="15" x14ac:dyDescent="0.25">
      <c r="A357" s="1">
        <v>356</v>
      </c>
      <c r="B357" s="1">
        <v>8</v>
      </c>
      <c r="C357" s="1">
        <v>3</v>
      </c>
      <c r="D357" s="1" t="s">
        <v>146</v>
      </c>
      <c r="E357" s="1" t="s">
        <v>15</v>
      </c>
      <c r="H357"/>
      <c r="I357"/>
    </row>
    <row r="358" spans="1:9" ht="15" x14ac:dyDescent="0.25">
      <c r="A358" s="1">
        <v>357</v>
      </c>
      <c r="B358" s="1">
        <v>8</v>
      </c>
      <c r="C358" s="1">
        <v>3</v>
      </c>
      <c r="D358" s="1" t="s">
        <v>146</v>
      </c>
      <c r="E358" s="1" t="s">
        <v>15</v>
      </c>
      <c r="H358"/>
      <c r="I358"/>
    </row>
    <row r="359" spans="1:9" ht="15" x14ac:dyDescent="0.25">
      <c r="A359" s="1">
        <v>358</v>
      </c>
      <c r="B359" s="1">
        <v>8</v>
      </c>
      <c r="C359" s="1">
        <v>3</v>
      </c>
      <c r="D359" s="1" t="s">
        <v>146</v>
      </c>
      <c r="E359" s="1" t="s">
        <v>15</v>
      </c>
      <c r="H359"/>
      <c r="I359"/>
    </row>
    <row r="360" spans="1:9" ht="15" x14ac:dyDescent="0.25">
      <c r="A360" s="1">
        <v>359</v>
      </c>
      <c r="B360" s="1">
        <v>8</v>
      </c>
      <c r="C360" s="1">
        <v>3</v>
      </c>
      <c r="D360" s="1" t="s">
        <v>146</v>
      </c>
      <c r="E360" s="1" t="s">
        <v>15</v>
      </c>
      <c r="H360"/>
      <c r="I360"/>
    </row>
    <row r="361" spans="1:9" ht="15" x14ac:dyDescent="0.25">
      <c r="A361" s="1">
        <v>360</v>
      </c>
      <c r="B361" s="1">
        <v>8</v>
      </c>
      <c r="C361" s="1">
        <v>3</v>
      </c>
      <c r="D361" s="1" t="s">
        <v>146</v>
      </c>
      <c r="E361" s="1" t="s">
        <v>15</v>
      </c>
      <c r="H361"/>
      <c r="I361"/>
    </row>
    <row r="362" spans="1:9" ht="15" x14ac:dyDescent="0.25">
      <c r="A362" s="1">
        <v>361</v>
      </c>
      <c r="B362" s="1">
        <v>8</v>
      </c>
      <c r="C362" s="1">
        <v>3</v>
      </c>
      <c r="D362" s="1" t="s">
        <v>146</v>
      </c>
      <c r="E362" s="1" t="s">
        <v>15</v>
      </c>
      <c r="H362"/>
      <c r="I362"/>
    </row>
    <row r="363" spans="1:9" ht="15" x14ac:dyDescent="0.25">
      <c r="A363" s="1">
        <v>362</v>
      </c>
      <c r="B363" s="1">
        <v>8</v>
      </c>
      <c r="C363" s="1">
        <v>3</v>
      </c>
      <c r="D363" s="1" t="s">
        <v>146</v>
      </c>
      <c r="E363" s="1" t="s">
        <v>15</v>
      </c>
      <c r="H363"/>
      <c r="I363"/>
    </row>
    <row r="364" spans="1:9" ht="15" x14ac:dyDescent="0.25">
      <c r="A364" s="1">
        <v>363</v>
      </c>
      <c r="B364" s="1">
        <v>8</v>
      </c>
      <c r="C364" s="1">
        <v>3</v>
      </c>
      <c r="D364" s="1" t="s">
        <v>146</v>
      </c>
      <c r="E364" s="1" t="s">
        <v>15</v>
      </c>
      <c r="H364"/>
      <c r="I364"/>
    </row>
    <row r="365" spans="1:9" ht="15" x14ac:dyDescent="0.25">
      <c r="A365" s="1">
        <v>364</v>
      </c>
      <c r="B365" s="1">
        <v>8</v>
      </c>
      <c r="C365" s="1">
        <v>3</v>
      </c>
      <c r="D365" s="1" t="s">
        <v>146</v>
      </c>
      <c r="E365" s="1" t="s">
        <v>15</v>
      </c>
      <c r="H365"/>
      <c r="I365"/>
    </row>
    <row r="366" spans="1:9" ht="15" x14ac:dyDescent="0.25">
      <c r="A366" s="1">
        <v>365</v>
      </c>
      <c r="B366" s="1">
        <v>8</v>
      </c>
      <c r="C366" s="1">
        <v>3</v>
      </c>
      <c r="D366" s="1" t="s">
        <v>146</v>
      </c>
      <c r="E366" s="1" t="s">
        <v>15</v>
      </c>
      <c r="H366"/>
      <c r="I366"/>
    </row>
    <row r="367" spans="1:9" ht="15" x14ac:dyDescent="0.25">
      <c r="A367" s="1">
        <v>366</v>
      </c>
      <c r="B367" s="1">
        <v>8</v>
      </c>
      <c r="C367" s="1">
        <v>3</v>
      </c>
      <c r="D367" s="1" t="s">
        <v>146</v>
      </c>
      <c r="E367" s="1" t="s">
        <v>15</v>
      </c>
      <c r="H367"/>
      <c r="I367"/>
    </row>
    <row r="368" spans="1:9" ht="15" x14ac:dyDescent="0.25">
      <c r="A368" s="1">
        <v>367</v>
      </c>
      <c r="B368" s="1">
        <v>8</v>
      </c>
      <c r="C368" s="1">
        <v>3</v>
      </c>
      <c r="D368" s="1" t="s">
        <v>146</v>
      </c>
      <c r="E368" s="1" t="s">
        <v>15</v>
      </c>
      <c r="H368"/>
      <c r="I368"/>
    </row>
    <row r="369" spans="1:9" ht="15" x14ac:dyDescent="0.25">
      <c r="A369" s="1">
        <v>368</v>
      </c>
      <c r="B369" s="1">
        <v>8</v>
      </c>
      <c r="C369" s="1">
        <v>3</v>
      </c>
      <c r="D369" s="1" t="s">
        <v>146</v>
      </c>
      <c r="E369" s="1" t="s">
        <v>15</v>
      </c>
      <c r="H369"/>
      <c r="I369"/>
    </row>
    <row r="370" spans="1:9" ht="15" x14ac:dyDescent="0.25">
      <c r="A370" s="1">
        <v>369</v>
      </c>
      <c r="B370" s="1">
        <v>8</v>
      </c>
      <c r="C370" s="1">
        <v>3</v>
      </c>
      <c r="D370" s="1" t="s">
        <v>146</v>
      </c>
      <c r="E370" s="1" t="s">
        <v>15</v>
      </c>
      <c r="H370"/>
      <c r="I370"/>
    </row>
    <row r="371" spans="1:9" ht="15" x14ac:dyDescent="0.25">
      <c r="A371" s="1">
        <v>370</v>
      </c>
      <c r="B371" s="1">
        <v>8</v>
      </c>
      <c r="C371" s="1">
        <v>3</v>
      </c>
      <c r="D371" s="1" t="s">
        <v>146</v>
      </c>
      <c r="E371" s="1" t="s">
        <v>15</v>
      </c>
      <c r="H371"/>
      <c r="I371"/>
    </row>
    <row r="372" spans="1:9" ht="15" x14ac:dyDescent="0.25">
      <c r="A372" s="1">
        <v>371</v>
      </c>
      <c r="B372" s="1">
        <v>8</v>
      </c>
      <c r="C372" s="1">
        <v>3</v>
      </c>
      <c r="D372" s="1" t="s">
        <v>146</v>
      </c>
      <c r="E372" s="1" t="s">
        <v>15</v>
      </c>
      <c r="H372"/>
      <c r="I372"/>
    </row>
    <row r="373" spans="1:9" ht="15" x14ac:dyDescent="0.25">
      <c r="A373" s="1">
        <v>372</v>
      </c>
      <c r="B373" s="1">
        <v>8</v>
      </c>
      <c r="C373" s="1">
        <v>3</v>
      </c>
      <c r="D373" s="1" t="s">
        <v>146</v>
      </c>
      <c r="E373" s="1" t="s">
        <v>15</v>
      </c>
      <c r="H373"/>
      <c r="I373"/>
    </row>
    <row r="374" spans="1:9" ht="15" x14ac:dyDescent="0.25">
      <c r="A374" s="1">
        <v>373</v>
      </c>
      <c r="B374" s="1">
        <v>8</v>
      </c>
      <c r="C374" s="1">
        <v>3</v>
      </c>
      <c r="D374" s="1" t="s">
        <v>146</v>
      </c>
      <c r="E374" s="1" t="s">
        <v>15</v>
      </c>
      <c r="H374"/>
      <c r="I374"/>
    </row>
    <row r="375" spans="1:9" ht="15" x14ac:dyDescent="0.25">
      <c r="A375" s="1">
        <v>374</v>
      </c>
      <c r="B375" s="1">
        <v>8</v>
      </c>
      <c r="C375" s="1">
        <v>3</v>
      </c>
      <c r="D375" s="1" t="s">
        <v>146</v>
      </c>
      <c r="E375" s="1" t="s">
        <v>15</v>
      </c>
      <c r="H375"/>
      <c r="I375"/>
    </row>
    <row r="376" spans="1:9" ht="15" x14ac:dyDescent="0.25">
      <c r="A376" s="1">
        <v>375</v>
      </c>
      <c r="B376" s="1">
        <v>8</v>
      </c>
      <c r="C376" s="1">
        <v>3</v>
      </c>
      <c r="D376" s="1" t="s">
        <v>146</v>
      </c>
      <c r="E376" s="1" t="s">
        <v>15</v>
      </c>
      <c r="H376"/>
      <c r="I376"/>
    </row>
    <row r="377" spans="1:9" ht="15" x14ac:dyDescent="0.25">
      <c r="A377" s="1">
        <v>376</v>
      </c>
      <c r="B377" s="1">
        <v>8</v>
      </c>
      <c r="C377" s="1">
        <v>3</v>
      </c>
      <c r="D377" s="1" t="s">
        <v>146</v>
      </c>
      <c r="E377" s="1" t="s">
        <v>15</v>
      </c>
      <c r="H377"/>
      <c r="I377"/>
    </row>
    <row r="378" spans="1:9" ht="15" x14ac:dyDescent="0.25">
      <c r="A378" s="1">
        <v>377</v>
      </c>
      <c r="B378" s="1">
        <v>8</v>
      </c>
      <c r="C378" s="1">
        <v>3</v>
      </c>
      <c r="D378" s="1" t="s">
        <v>146</v>
      </c>
      <c r="E378" s="1" t="s">
        <v>15</v>
      </c>
      <c r="H378"/>
      <c r="I378"/>
    </row>
    <row r="379" spans="1:9" ht="15" x14ac:dyDescent="0.25">
      <c r="A379" s="1">
        <v>378</v>
      </c>
      <c r="B379" s="1">
        <v>8</v>
      </c>
      <c r="C379" s="1">
        <v>3</v>
      </c>
      <c r="D379" s="1" t="s">
        <v>146</v>
      </c>
      <c r="E379" s="1" t="s">
        <v>15</v>
      </c>
      <c r="H379"/>
      <c r="I379"/>
    </row>
    <row r="380" spans="1:9" ht="15" x14ac:dyDescent="0.25">
      <c r="A380" s="1">
        <v>379</v>
      </c>
      <c r="B380" s="1">
        <v>8</v>
      </c>
      <c r="C380" s="1">
        <v>3</v>
      </c>
      <c r="D380" s="1" t="s">
        <v>146</v>
      </c>
      <c r="E380" s="1" t="s">
        <v>15</v>
      </c>
      <c r="H380"/>
      <c r="I380"/>
    </row>
    <row r="381" spans="1:9" ht="15" x14ac:dyDescent="0.25">
      <c r="A381" s="1">
        <v>380</v>
      </c>
      <c r="B381" s="1">
        <v>8</v>
      </c>
      <c r="C381" s="1">
        <v>3</v>
      </c>
      <c r="D381" s="1" t="s">
        <v>146</v>
      </c>
      <c r="E381" s="1" t="s">
        <v>15</v>
      </c>
      <c r="H381"/>
      <c r="I381"/>
    </row>
    <row r="382" spans="1:9" ht="15" x14ac:dyDescent="0.25">
      <c r="A382" s="1">
        <v>381</v>
      </c>
      <c r="B382" s="1">
        <v>8</v>
      </c>
      <c r="C382" s="1">
        <v>3</v>
      </c>
      <c r="D382" s="1" t="s">
        <v>146</v>
      </c>
      <c r="E382" s="1" t="s">
        <v>15</v>
      </c>
      <c r="H382"/>
      <c r="I382"/>
    </row>
    <row r="383" spans="1:9" ht="15" x14ac:dyDescent="0.25">
      <c r="A383" s="1">
        <v>382</v>
      </c>
      <c r="B383" s="1">
        <v>8</v>
      </c>
      <c r="C383" s="1">
        <v>3</v>
      </c>
      <c r="D383" s="1" t="s">
        <v>146</v>
      </c>
      <c r="E383" s="1" t="s">
        <v>15</v>
      </c>
      <c r="H383"/>
      <c r="I383"/>
    </row>
    <row r="384" spans="1:9" ht="15" x14ac:dyDescent="0.25">
      <c r="A384" s="1">
        <v>383</v>
      </c>
      <c r="B384" s="1">
        <v>8</v>
      </c>
      <c r="C384" s="1">
        <v>3</v>
      </c>
      <c r="D384" s="1" t="s">
        <v>146</v>
      </c>
      <c r="E384" s="1" t="s">
        <v>15</v>
      </c>
      <c r="H384"/>
      <c r="I384"/>
    </row>
    <row r="385" spans="1:9" ht="15" x14ac:dyDescent="0.25">
      <c r="A385" s="1">
        <v>384</v>
      </c>
      <c r="B385" s="1">
        <v>8</v>
      </c>
      <c r="C385" s="1">
        <v>3</v>
      </c>
      <c r="D385" s="1" t="s">
        <v>146</v>
      </c>
      <c r="E385" s="1" t="s">
        <v>15</v>
      </c>
      <c r="H385"/>
      <c r="I385"/>
    </row>
    <row r="386" spans="1:9" ht="15" x14ac:dyDescent="0.25">
      <c r="A386" s="1">
        <v>385</v>
      </c>
      <c r="B386" s="1">
        <v>8</v>
      </c>
      <c r="C386" s="1">
        <v>3</v>
      </c>
      <c r="D386" s="1" t="s">
        <v>146</v>
      </c>
      <c r="E386" s="1" t="s">
        <v>15</v>
      </c>
      <c r="H386"/>
      <c r="I386"/>
    </row>
    <row r="387" spans="1:9" ht="15" x14ac:dyDescent="0.25">
      <c r="A387" s="1">
        <v>386</v>
      </c>
      <c r="B387" s="1">
        <v>8</v>
      </c>
      <c r="C387" s="1">
        <v>3</v>
      </c>
      <c r="D387" s="1" t="s">
        <v>146</v>
      </c>
      <c r="E387" s="1" t="s">
        <v>15</v>
      </c>
      <c r="H387"/>
      <c r="I387"/>
    </row>
    <row r="388" spans="1:9" ht="15" x14ac:dyDescent="0.25">
      <c r="A388" s="1">
        <v>387</v>
      </c>
      <c r="B388" s="1">
        <v>8</v>
      </c>
      <c r="C388" s="1">
        <v>3</v>
      </c>
      <c r="D388" s="1" t="s">
        <v>146</v>
      </c>
      <c r="E388" s="1" t="s">
        <v>15</v>
      </c>
      <c r="H388"/>
      <c r="I388"/>
    </row>
    <row r="389" spans="1:9" ht="15" x14ac:dyDescent="0.25">
      <c r="A389" s="1">
        <v>388</v>
      </c>
      <c r="B389" s="1">
        <v>8</v>
      </c>
      <c r="C389" s="1">
        <v>3</v>
      </c>
      <c r="D389" s="1" t="s">
        <v>146</v>
      </c>
      <c r="E389" s="1" t="s">
        <v>15</v>
      </c>
      <c r="H389"/>
      <c r="I389"/>
    </row>
    <row r="390" spans="1:9" ht="15" x14ac:dyDescent="0.25">
      <c r="A390" s="1">
        <v>389</v>
      </c>
      <c r="B390" s="1">
        <v>8</v>
      </c>
      <c r="C390" s="1">
        <v>3</v>
      </c>
      <c r="D390" s="1" t="s">
        <v>146</v>
      </c>
      <c r="E390" s="1" t="s">
        <v>15</v>
      </c>
      <c r="H390"/>
      <c r="I390"/>
    </row>
    <row r="391" spans="1:9" ht="15" x14ac:dyDescent="0.25">
      <c r="A391" s="1">
        <v>390</v>
      </c>
      <c r="B391" s="1">
        <v>8</v>
      </c>
      <c r="C391" s="1">
        <v>3</v>
      </c>
      <c r="D391" s="1" t="s">
        <v>146</v>
      </c>
      <c r="E391" s="1" t="s">
        <v>15</v>
      </c>
      <c r="H391"/>
      <c r="I391"/>
    </row>
    <row r="392" spans="1:9" ht="15" x14ac:dyDescent="0.25">
      <c r="A392" s="1">
        <v>391</v>
      </c>
      <c r="B392" s="1">
        <v>9</v>
      </c>
      <c r="C392" s="1">
        <v>3</v>
      </c>
      <c r="D392" s="1" t="s">
        <v>145</v>
      </c>
      <c r="E392" s="1" t="s">
        <v>15</v>
      </c>
      <c r="H392"/>
      <c r="I392"/>
    </row>
    <row r="393" spans="1:9" ht="15" x14ac:dyDescent="0.25">
      <c r="A393" s="1">
        <v>392</v>
      </c>
      <c r="B393" s="1">
        <v>9</v>
      </c>
      <c r="C393" s="1">
        <v>3</v>
      </c>
      <c r="D393" s="1" t="s">
        <v>145</v>
      </c>
      <c r="E393" s="1" t="s">
        <v>15</v>
      </c>
      <c r="H393"/>
      <c r="I393"/>
    </row>
    <row r="394" spans="1:9" ht="15" x14ac:dyDescent="0.25">
      <c r="A394" s="1">
        <v>393</v>
      </c>
      <c r="B394" s="1">
        <v>9</v>
      </c>
      <c r="C394" s="1">
        <v>3</v>
      </c>
      <c r="D394" s="1" t="s">
        <v>145</v>
      </c>
      <c r="E394" s="1" t="s">
        <v>15</v>
      </c>
      <c r="H394"/>
      <c r="I394"/>
    </row>
    <row r="395" spans="1:9" ht="15" x14ac:dyDescent="0.25">
      <c r="A395" s="1">
        <v>394</v>
      </c>
      <c r="B395" s="1">
        <v>9</v>
      </c>
      <c r="C395" s="1">
        <v>3</v>
      </c>
      <c r="D395" s="1" t="s">
        <v>145</v>
      </c>
      <c r="E395" s="1" t="s">
        <v>15</v>
      </c>
      <c r="H395"/>
      <c r="I395"/>
    </row>
    <row r="396" spans="1:9" ht="15" x14ac:dyDescent="0.25">
      <c r="A396" s="1">
        <v>395</v>
      </c>
      <c r="B396" s="1">
        <v>9</v>
      </c>
      <c r="C396" s="1">
        <v>3</v>
      </c>
      <c r="D396" s="1" t="s">
        <v>145</v>
      </c>
      <c r="E396" s="1" t="s">
        <v>15</v>
      </c>
      <c r="H396"/>
      <c r="I396"/>
    </row>
    <row r="397" spans="1:9" ht="15" x14ac:dyDescent="0.25">
      <c r="A397" s="1">
        <v>396</v>
      </c>
      <c r="B397" s="1">
        <v>9</v>
      </c>
      <c r="C397" s="1">
        <v>3</v>
      </c>
      <c r="D397" s="1" t="s">
        <v>145</v>
      </c>
      <c r="E397" s="1" t="s">
        <v>15</v>
      </c>
      <c r="H397"/>
      <c r="I397"/>
    </row>
    <row r="398" spans="1:9" ht="15" x14ac:dyDescent="0.25">
      <c r="A398" s="1">
        <v>397</v>
      </c>
      <c r="B398" s="1">
        <v>9</v>
      </c>
      <c r="C398" s="1">
        <v>3</v>
      </c>
      <c r="D398" s="1" t="s">
        <v>145</v>
      </c>
      <c r="E398" s="1" t="s">
        <v>15</v>
      </c>
      <c r="H398"/>
      <c r="I398"/>
    </row>
    <row r="399" spans="1:9" ht="15" x14ac:dyDescent="0.25">
      <c r="A399" s="1">
        <v>398</v>
      </c>
      <c r="B399" s="1">
        <v>9</v>
      </c>
      <c r="C399" s="1">
        <v>3</v>
      </c>
      <c r="D399" s="1" t="s">
        <v>145</v>
      </c>
      <c r="E399" s="1" t="s">
        <v>15</v>
      </c>
      <c r="H399"/>
      <c r="I399"/>
    </row>
    <row r="400" spans="1:9" ht="15" x14ac:dyDescent="0.25">
      <c r="A400" s="1">
        <v>399</v>
      </c>
      <c r="B400" s="1">
        <v>9</v>
      </c>
      <c r="C400" s="1">
        <v>3</v>
      </c>
      <c r="D400" s="1" t="s">
        <v>145</v>
      </c>
      <c r="E400" s="1" t="s">
        <v>15</v>
      </c>
      <c r="H400"/>
      <c r="I400"/>
    </row>
    <row r="401" spans="1:9" ht="15" x14ac:dyDescent="0.25">
      <c r="A401" s="1">
        <v>400</v>
      </c>
      <c r="B401" s="1">
        <v>9</v>
      </c>
      <c r="C401" s="1">
        <v>3</v>
      </c>
      <c r="D401" s="1" t="s">
        <v>145</v>
      </c>
      <c r="E401" s="1" t="s">
        <v>15</v>
      </c>
      <c r="H401"/>
      <c r="I401"/>
    </row>
    <row r="402" spans="1:9" ht="15" x14ac:dyDescent="0.25">
      <c r="A402" s="1">
        <v>401</v>
      </c>
      <c r="B402" s="1">
        <v>9</v>
      </c>
      <c r="C402" s="1">
        <v>3</v>
      </c>
      <c r="D402" s="1" t="s">
        <v>145</v>
      </c>
      <c r="E402" s="1" t="s">
        <v>15</v>
      </c>
      <c r="H402"/>
      <c r="I402"/>
    </row>
    <row r="403" spans="1:9" ht="15" x14ac:dyDescent="0.25">
      <c r="A403" s="1">
        <v>402</v>
      </c>
      <c r="B403" s="1">
        <v>9</v>
      </c>
      <c r="C403" s="1">
        <v>3</v>
      </c>
      <c r="D403" s="1" t="s">
        <v>145</v>
      </c>
      <c r="E403" s="1" t="s">
        <v>15</v>
      </c>
      <c r="H403"/>
      <c r="I403"/>
    </row>
    <row r="404" spans="1:9" ht="15" x14ac:dyDescent="0.25">
      <c r="A404" s="1">
        <v>403</v>
      </c>
      <c r="B404" s="1">
        <v>9</v>
      </c>
      <c r="C404" s="1">
        <v>3</v>
      </c>
      <c r="D404" s="1" t="s">
        <v>145</v>
      </c>
      <c r="E404" s="1" t="s">
        <v>15</v>
      </c>
      <c r="H404"/>
      <c r="I404"/>
    </row>
    <row r="405" spans="1:9" ht="15" x14ac:dyDescent="0.25">
      <c r="A405" s="1">
        <v>404</v>
      </c>
      <c r="B405" s="1">
        <v>9</v>
      </c>
      <c r="C405" s="1">
        <v>3</v>
      </c>
      <c r="D405" s="1" t="s">
        <v>145</v>
      </c>
      <c r="E405" s="1" t="s">
        <v>15</v>
      </c>
      <c r="H405"/>
      <c r="I405"/>
    </row>
    <row r="406" spans="1:9" ht="15" x14ac:dyDescent="0.25">
      <c r="A406" s="1">
        <v>405</v>
      </c>
      <c r="B406" s="1">
        <v>9</v>
      </c>
      <c r="C406" s="1">
        <v>3</v>
      </c>
      <c r="D406" s="1" t="s">
        <v>145</v>
      </c>
      <c r="E406" s="1" t="s">
        <v>15</v>
      </c>
      <c r="H406"/>
      <c r="I406"/>
    </row>
    <row r="407" spans="1:9" ht="15" x14ac:dyDescent="0.25">
      <c r="A407" s="1">
        <v>406</v>
      </c>
      <c r="B407" s="1">
        <v>9</v>
      </c>
      <c r="C407" s="1">
        <v>3</v>
      </c>
      <c r="D407" s="1" t="s">
        <v>145</v>
      </c>
      <c r="E407" s="1" t="s">
        <v>15</v>
      </c>
      <c r="H407"/>
      <c r="I407"/>
    </row>
    <row r="408" spans="1:9" ht="15" x14ac:dyDescent="0.25">
      <c r="A408" s="1">
        <v>407</v>
      </c>
      <c r="B408" s="1">
        <v>9</v>
      </c>
      <c r="C408" s="1">
        <v>3</v>
      </c>
      <c r="D408" s="1" t="s">
        <v>145</v>
      </c>
      <c r="E408" s="1" t="s">
        <v>15</v>
      </c>
      <c r="H408"/>
      <c r="I408"/>
    </row>
    <row r="409" spans="1:9" ht="15" x14ac:dyDescent="0.25">
      <c r="A409" s="1">
        <v>408</v>
      </c>
      <c r="B409" s="1">
        <v>9</v>
      </c>
      <c r="C409" s="1">
        <v>3</v>
      </c>
      <c r="D409" s="1" t="s">
        <v>145</v>
      </c>
      <c r="E409" s="1" t="s">
        <v>15</v>
      </c>
      <c r="H409"/>
      <c r="I409"/>
    </row>
    <row r="410" spans="1:9" ht="15" x14ac:dyDescent="0.25">
      <c r="A410" s="1">
        <v>409</v>
      </c>
      <c r="B410" s="1">
        <v>9</v>
      </c>
      <c r="C410" s="1">
        <v>3</v>
      </c>
      <c r="D410" s="1" t="s">
        <v>145</v>
      </c>
      <c r="E410" s="1" t="s">
        <v>15</v>
      </c>
      <c r="H410"/>
      <c r="I410"/>
    </row>
    <row r="411" spans="1:9" ht="15" x14ac:dyDescent="0.25">
      <c r="A411" s="1">
        <v>410</v>
      </c>
      <c r="B411" s="1">
        <v>9</v>
      </c>
      <c r="C411" s="1">
        <v>3</v>
      </c>
      <c r="D411" s="1" t="s">
        <v>145</v>
      </c>
      <c r="E411" s="1" t="s">
        <v>15</v>
      </c>
      <c r="H411"/>
      <c r="I411"/>
    </row>
    <row r="412" spans="1:9" ht="15" x14ac:dyDescent="0.25">
      <c r="A412" s="1">
        <v>411</v>
      </c>
      <c r="B412" s="1">
        <v>9</v>
      </c>
      <c r="C412" s="1">
        <v>3</v>
      </c>
      <c r="D412" s="1" t="s">
        <v>145</v>
      </c>
      <c r="E412" s="1" t="s">
        <v>15</v>
      </c>
      <c r="H412"/>
      <c r="I412"/>
    </row>
    <row r="413" spans="1:9" ht="15" x14ac:dyDescent="0.25">
      <c r="A413" s="1">
        <v>412</v>
      </c>
      <c r="B413" s="1">
        <v>9</v>
      </c>
      <c r="C413" s="1">
        <v>3</v>
      </c>
      <c r="D413" s="1" t="s">
        <v>145</v>
      </c>
      <c r="E413" s="1" t="s">
        <v>15</v>
      </c>
      <c r="H413"/>
      <c r="I413"/>
    </row>
    <row r="414" spans="1:9" ht="15" x14ac:dyDescent="0.25">
      <c r="A414" s="1">
        <v>413</v>
      </c>
      <c r="B414" s="1">
        <v>9</v>
      </c>
      <c r="C414" s="1">
        <v>3</v>
      </c>
      <c r="D414" s="1" t="s">
        <v>145</v>
      </c>
      <c r="E414" s="1" t="s">
        <v>15</v>
      </c>
      <c r="H414"/>
      <c r="I414"/>
    </row>
    <row r="415" spans="1:9" ht="15" x14ac:dyDescent="0.25">
      <c r="A415" s="1">
        <v>414</v>
      </c>
      <c r="B415" s="1">
        <v>9</v>
      </c>
      <c r="C415" s="1">
        <v>3</v>
      </c>
      <c r="D415" s="1" t="s">
        <v>145</v>
      </c>
      <c r="E415" s="1" t="s">
        <v>15</v>
      </c>
      <c r="H415"/>
      <c r="I415"/>
    </row>
    <row r="416" spans="1:9" ht="15" x14ac:dyDescent="0.25">
      <c r="A416" s="1">
        <v>415</v>
      </c>
      <c r="B416" s="1">
        <v>9</v>
      </c>
      <c r="C416" s="1">
        <v>3</v>
      </c>
      <c r="D416" s="1" t="s">
        <v>145</v>
      </c>
      <c r="E416" s="1" t="s">
        <v>15</v>
      </c>
      <c r="H416"/>
      <c r="I416"/>
    </row>
    <row r="417" spans="1:9" ht="15" x14ac:dyDescent="0.25">
      <c r="A417" s="1">
        <v>416</v>
      </c>
      <c r="B417" s="1">
        <v>9</v>
      </c>
      <c r="C417" s="1">
        <v>3</v>
      </c>
      <c r="D417" s="1" t="s">
        <v>145</v>
      </c>
      <c r="E417" s="1" t="s">
        <v>15</v>
      </c>
      <c r="H417"/>
      <c r="I417"/>
    </row>
    <row r="418" spans="1:9" ht="15" x14ac:dyDescent="0.25">
      <c r="A418" s="1">
        <v>417</v>
      </c>
      <c r="B418" s="1">
        <v>9</v>
      </c>
      <c r="C418" s="1">
        <v>3</v>
      </c>
      <c r="D418" s="1" t="s">
        <v>145</v>
      </c>
      <c r="E418" s="1" t="s">
        <v>15</v>
      </c>
      <c r="H418"/>
      <c r="I418"/>
    </row>
    <row r="419" spans="1:9" ht="15" x14ac:dyDescent="0.25">
      <c r="A419" s="1">
        <v>418</v>
      </c>
      <c r="B419" s="1">
        <v>9</v>
      </c>
      <c r="C419" s="1">
        <v>3</v>
      </c>
      <c r="D419" s="1" t="s">
        <v>145</v>
      </c>
      <c r="E419" s="1" t="s">
        <v>15</v>
      </c>
      <c r="H419"/>
      <c r="I419"/>
    </row>
    <row r="420" spans="1:9" ht="15" x14ac:dyDescent="0.25">
      <c r="A420" s="1">
        <v>419</v>
      </c>
      <c r="B420" s="1">
        <v>9</v>
      </c>
      <c r="C420" s="1">
        <v>3</v>
      </c>
      <c r="D420" s="1" t="s">
        <v>145</v>
      </c>
      <c r="E420" s="1" t="s">
        <v>15</v>
      </c>
      <c r="H420"/>
      <c r="I420"/>
    </row>
    <row r="421" spans="1:9" ht="15" x14ac:dyDescent="0.25">
      <c r="A421" s="1">
        <v>420</v>
      </c>
      <c r="B421" s="1">
        <v>9</v>
      </c>
      <c r="C421" s="1">
        <v>3</v>
      </c>
      <c r="D421" s="1" t="s">
        <v>145</v>
      </c>
      <c r="E421" s="1" t="s">
        <v>15</v>
      </c>
      <c r="H421"/>
      <c r="I421"/>
    </row>
    <row r="422" spans="1:9" ht="15" x14ac:dyDescent="0.25">
      <c r="A422" s="1">
        <v>421</v>
      </c>
      <c r="B422" s="1">
        <v>9</v>
      </c>
      <c r="C422" s="1">
        <v>3</v>
      </c>
      <c r="D422" s="1" t="s">
        <v>145</v>
      </c>
      <c r="E422" s="1" t="s">
        <v>15</v>
      </c>
      <c r="H422"/>
      <c r="I422"/>
    </row>
    <row r="423" spans="1:9" ht="15" x14ac:dyDescent="0.25">
      <c r="A423" s="1">
        <v>422</v>
      </c>
      <c r="B423" s="1">
        <v>9</v>
      </c>
      <c r="C423" s="1">
        <v>3</v>
      </c>
      <c r="D423" s="1" t="s">
        <v>145</v>
      </c>
      <c r="E423" s="1" t="s">
        <v>15</v>
      </c>
      <c r="H423"/>
      <c r="I423"/>
    </row>
    <row r="424" spans="1:9" ht="15" x14ac:dyDescent="0.25">
      <c r="A424" s="1">
        <v>423</v>
      </c>
      <c r="B424" s="1">
        <v>9</v>
      </c>
      <c r="C424" s="1">
        <v>3</v>
      </c>
      <c r="D424" s="1" t="s">
        <v>145</v>
      </c>
      <c r="E424" s="1" t="s">
        <v>15</v>
      </c>
      <c r="H424"/>
      <c r="I424"/>
    </row>
    <row r="425" spans="1:9" ht="15" x14ac:dyDescent="0.25">
      <c r="A425" s="1">
        <v>424</v>
      </c>
      <c r="B425" s="1">
        <v>9</v>
      </c>
      <c r="C425" s="1">
        <v>3</v>
      </c>
      <c r="D425" s="1" t="s">
        <v>145</v>
      </c>
      <c r="E425" s="1" t="s">
        <v>15</v>
      </c>
      <c r="H425"/>
      <c r="I425"/>
    </row>
    <row r="426" spans="1:9" ht="15" x14ac:dyDescent="0.25">
      <c r="A426" s="1">
        <v>425</v>
      </c>
      <c r="B426" s="1">
        <v>9</v>
      </c>
      <c r="C426" s="1">
        <v>3</v>
      </c>
      <c r="D426" s="1" t="s">
        <v>145</v>
      </c>
      <c r="E426" s="1" t="s">
        <v>15</v>
      </c>
      <c r="H426"/>
      <c r="I426"/>
    </row>
    <row r="427" spans="1:9" ht="15" x14ac:dyDescent="0.25">
      <c r="A427" s="1">
        <v>426</v>
      </c>
      <c r="B427" s="1">
        <v>9</v>
      </c>
      <c r="C427" s="1">
        <v>3</v>
      </c>
      <c r="D427" s="1" t="s">
        <v>145</v>
      </c>
      <c r="E427" s="1" t="s">
        <v>15</v>
      </c>
      <c r="H427"/>
      <c r="I427"/>
    </row>
    <row r="428" spans="1:9" ht="15" x14ac:dyDescent="0.25">
      <c r="A428" s="1">
        <v>427</v>
      </c>
      <c r="B428" s="1">
        <v>9</v>
      </c>
      <c r="C428" s="1">
        <v>3</v>
      </c>
      <c r="D428" s="1" t="s">
        <v>145</v>
      </c>
      <c r="E428" s="1" t="s">
        <v>15</v>
      </c>
      <c r="H428"/>
      <c r="I428"/>
    </row>
    <row r="429" spans="1:9" ht="15" x14ac:dyDescent="0.25">
      <c r="A429" s="1">
        <v>428</v>
      </c>
      <c r="B429" s="1">
        <v>9</v>
      </c>
      <c r="C429" s="1">
        <v>3</v>
      </c>
      <c r="D429" s="1" t="s">
        <v>145</v>
      </c>
      <c r="E429" s="1" t="s">
        <v>15</v>
      </c>
      <c r="H429"/>
      <c r="I429"/>
    </row>
    <row r="430" spans="1:9" ht="15" x14ac:dyDescent="0.25">
      <c r="A430" s="1">
        <v>429</v>
      </c>
      <c r="B430" s="1">
        <v>9</v>
      </c>
      <c r="C430" s="1">
        <v>3</v>
      </c>
      <c r="D430" s="1" t="s">
        <v>145</v>
      </c>
      <c r="E430" s="1" t="s">
        <v>15</v>
      </c>
      <c r="H430"/>
      <c r="I430"/>
    </row>
    <row r="431" spans="1:9" ht="15" x14ac:dyDescent="0.25">
      <c r="A431" s="1">
        <v>430</v>
      </c>
      <c r="B431" s="1">
        <v>9</v>
      </c>
      <c r="C431" s="1">
        <v>3</v>
      </c>
      <c r="D431" s="1" t="s">
        <v>145</v>
      </c>
      <c r="E431" s="1" t="s">
        <v>15</v>
      </c>
      <c r="H431"/>
      <c r="I431"/>
    </row>
    <row r="432" spans="1:9" ht="15" x14ac:dyDescent="0.25">
      <c r="A432" s="1">
        <v>431</v>
      </c>
      <c r="B432" s="1">
        <v>9</v>
      </c>
      <c r="C432" s="1">
        <v>3</v>
      </c>
      <c r="D432" s="1" t="s">
        <v>145</v>
      </c>
      <c r="E432" s="1" t="s">
        <v>15</v>
      </c>
      <c r="H432"/>
      <c r="I432"/>
    </row>
    <row r="433" spans="1:9" ht="15" x14ac:dyDescent="0.25">
      <c r="A433" s="1">
        <v>432</v>
      </c>
      <c r="B433" s="1">
        <v>9</v>
      </c>
      <c r="C433" s="1">
        <v>3</v>
      </c>
      <c r="D433" s="1" t="s">
        <v>145</v>
      </c>
      <c r="E433" s="1" t="s">
        <v>15</v>
      </c>
      <c r="H433"/>
      <c r="I433"/>
    </row>
    <row r="434" spans="1:9" ht="15" x14ac:dyDescent="0.25">
      <c r="A434" s="1">
        <v>433</v>
      </c>
      <c r="B434" s="1">
        <v>9</v>
      </c>
      <c r="C434" s="1">
        <v>3</v>
      </c>
      <c r="D434" s="1" t="s">
        <v>145</v>
      </c>
      <c r="E434" s="1" t="s">
        <v>15</v>
      </c>
      <c r="H434"/>
      <c r="I434"/>
    </row>
    <row r="435" spans="1:9" ht="15" x14ac:dyDescent="0.25">
      <c r="A435" s="1">
        <v>434</v>
      </c>
      <c r="B435" s="1">
        <v>9</v>
      </c>
      <c r="C435" s="1">
        <v>3</v>
      </c>
      <c r="D435" s="1" t="s">
        <v>145</v>
      </c>
      <c r="E435" s="1" t="s">
        <v>15</v>
      </c>
      <c r="H435"/>
      <c r="I435"/>
    </row>
    <row r="436" spans="1:9" ht="15" x14ac:dyDescent="0.25">
      <c r="A436" s="1">
        <v>435</v>
      </c>
      <c r="B436" s="1">
        <v>9</v>
      </c>
      <c r="C436" s="1">
        <v>3</v>
      </c>
      <c r="D436" s="1" t="s">
        <v>145</v>
      </c>
      <c r="E436" s="1" t="s">
        <v>15</v>
      </c>
      <c r="H436"/>
      <c r="I436"/>
    </row>
    <row r="437" spans="1:9" ht="15" x14ac:dyDescent="0.25">
      <c r="A437" s="1">
        <v>436</v>
      </c>
      <c r="B437" s="1">
        <v>9</v>
      </c>
      <c r="C437" s="1">
        <v>3</v>
      </c>
      <c r="D437" s="1" t="s">
        <v>145</v>
      </c>
      <c r="E437" s="1" t="s">
        <v>15</v>
      </c>
      <c r="H437"/>
      <c r="I437"/>
    </row>
    <row r="438" spans="1:9" ht="15" x14ac:dyDescent="0.25">
      <c r="A438" s="1">
        <v>437</v>
      </c>
      <c r="B438" s="1">
        <v>9</v>
      </c>
      <c r="C438" s="1">
        <v>3</v>
      </c>
      <c r="D438" s="1" t="s">
        <v>145</v>
      </c>
      <c r="E438" s="1" t="s">
        <v>15</v>
      </c>
      <c r="H438"/>
      <c r="I438"/>
    </row>
    <row r="439" spans="1:9" ht="15" x14ac:dyDescent="0.25">
      <c r="A439" s="1">
        <v>438</v>
      </c>
      <c r="B439" s="1">
        <v>9</v>
      </c>
      <c r="C439" s="1">
        <v>3</v>
      </c>
      <c r="D439" s="1" t="s">
        <v>145</v>
      </c>
      <c r="E439" s="1" t="s">
        <v>15</v>
      </c>
      <c r="H439"/>
      <c r="I439"/>
    </row>
    <row r="440" spans="1:9" ht="15" x14ac:dyDescent="0.25">
      <c r="A440" s="1">
        <v>439</v>
      </c>
      <c r="B440" s="1">
        <v>9</v>
      </c>
      <c r="C440" s="1">
        <v>3</v>
      </c>
      <c r="D440" s="1" t="s">
        <v>145</v>
      </c>
      <c r="E440" s="1" t="s">
        <v>15</v>
      </c>
      <c r="H440"/>
      <c r="I440"/>
    </row>
    <row r="441" spans="1:9" ht="15" x14ac:dyDescent="0.25">
      <c r="A441" s="1">
        <v>440</v>
      </c>
      <c r="B441" s="1">
        <v>9</v>
      </c>
      <c r="C441" s="1">
        <v>3</v>
      </c>
      <c r="D441" s="1" t="s">
        <v>145</v>
      </c>
      <c r="E441" s="1" t="s">
        <v>15</v>
      </c>
      <c r="H441"/>
      <c r="I441"/>
    </row>
    <row r="442" spans="1:9" ht="15" x14ac:dyDescent="0.25">
      <c r="A442" s="1">
        <v>441</v>
      </c>
      <c r="B442" s="1">
        <v>9</v>
      </c>
      <c r="C442" s="1">
        <v>3</v>
      </c>
      <c r="D442" s="1" t="s">
        <v>145</v>
      </c>
      <c r="E442" s="1" t="s">
        <v>15</v>
      </c>
      <c r="H442"/>
      <c r="I442"/>
    </row>
    <row r="443" spans="1:9" ht="15" x14ac:dyDescent="0.25">
      <c r="A443" s="1">
        <v>442</v>
      </c>
      <c r="B443" s="1">
        <v>9</v>
      </c>
      <c r="C443" s="1">
        <v>3</v>
      </c>
      <c r="D443" s="1" t="s">
        <v>145</v>
      </c>
      <c r="E443" s="1" t="s">
        <v>15</v>
      </c>
      <c r="H443"/>
      <c r="I443"/>
    </row>
    <row r="444" spans="1:9" ht="15" x14ac:dyDescent="0.25">
      <c r="A444" s="1">
        <v>443</v>
      </c>
      <c r="B444" s="1">
        <v>9</v>
      </c>
      <c r="C444" s="1">
        <v>3</v>
      </c>
      <c r="D444" s="1" t="s">
        <v>145</v>
      </c>
      <c r="E444" s="1" t="s">
        <v>15</v>
      </c>
      <c r="H444"/>
      <c r="I444"/>
    </row>
    <row r="445" spans="1:9" ht="15" x14ac:dyDescent="0.25">
      <c r="A445" s="1">
        <v>444</v>
      </c>
      <c r="B445" s="1">
        <v>9</v>
      </c>
      <c r="C445" s="1">
        <v>3</v>
      </c>
      <c r="D445" s="1" t="s">
        <v>145</v>
      </c>
      <c r="E445" s="1" t="s">
        <v>15</v>
      </c>
      <c r="H445"/>
      <c r="I445"/>
    </row>
    <row r="446" spans="1:9" ht="15" x14ac:dyDescent="0.25">
      <c r="A446" s="1">
        <v>445</v>
      </c>
      <c r="B446" s="1">
        <v>9</v>
      </c>
      <c r="C446" s="1">
        <v>3</v>
      </c>
      <c r="D446" s="1" t="s">
        <v>145</v>
      </c>
      <c r="E446" s="1" t="s">
        <v>15</v>
      </c>
      <c r="H446"/>
      <c r="I446"/>
    </row>
    <row r="447" spans="1:9" ht="15" x14ac:dyDescent="0.25">
      <c r="A447" s="1">
        <v>446</v>
      </c>
      <c r="B447" s="1">
        <v>9</v>
      </c>
      <c r="C447" s="1">
        <v>3</v>
      </c>
      <c r="D447" s="1" t="s">
        <v>145</v>
      </c>
      <c r="E447" s="1" t="s">
        <v>15</v>
      </c>
      <c r="H447"/>
      <c r="I447"/>
    </row>
    <row r="448" spans="1:9" ht="15" x14ac:dyDescent="0.25">
      <c r="A448" s="1">
        <v>447</v>
      </c>
      <c r="B448" s="1">
        <v>9</v>
      </c>
      <c r="C448" s="1">
        <v>3</v>
      </c>
      <c r="D448" s="1" t="s">
        <v>145</v>
      </c>
      <c r="E448" s="1" t="s">
        <v>15</v>
      </c>
      <c r="H448"/>
      <c r="I448"/>
    </row>
    <row r="449" spans="1:9" ht="15" x14ac:dyDescent="0.25">
      <c r="A449" s="1">
        <v>448</v>
      </c>
      <c r="B449" s="1">
        <v>9</v>
      </c>
      <c r="C449" s="1">
        <v>3</v>
      </c>
      <c r="D449" s="1" t="s">
        <v>145</v>
      </c>
      <c r="E449" s="1" t="s">
        <v>15</v>
      </c>
      <c r="H449"/>
      <c r="I449"/>
    </row>
    <row r="450" spans="1:9" ht="15" x14ac:dyDescent="0.25">
      <c r="A450" s="1">
        <v>449</v>
      </c>
      <c r="B450" s="1">
        <v>9</v>
      </c>
      <c r="C450" s="1">
        <v>3</v>
      </c>
      <c r="D450" s="1" t="s">
        <v>145</v>
      </c>
      <c r="E450" s="1" t="s">
        <v>15</v>
      </c>
      <c r="H450"/>
      <c r="I450"/>
    </row>
    <row r="451" spans="1:9" ht="15" x14ac:dyDescent="0.25">
      <c r="A451" s="1">
        <v>450</v>
      </c>
      <c r="B451" s="1">
        <v>9</v>
      </c>
      <c r="C451" s="1">
        <v>3</v>
      </c>
      <c r="D451" s="1" t="s">
        <v>145</v>
      </c>
      <c r="E451" s="1" t="s">
        <v>15</v>
      </c>
      <c r="H451"/>
      <c r="I451"/>
    </row>
    <row r="452" spans="1:9" ht="15" x14ac:dyDescent="0.25">
      <c r="A452" s="1">
        <v>451</v>
      </c>
      <c r="B452" s="1">
        <v>9</v>
      </c>
      <c r="C452" s="1">
        <v>3</v>
      </c>
      <c r="D452" s="1" t="s">
        <v>145</v>
      </c>
      <c r="E452" s="1" t="s">
        <v>15</v>
      </c>
      <c r="H452"/>
      <c r="I452"/>
    </row>
    <row r="453" spans="1:9" ht="15" x14ac:dyDescent="0.25">
      <c r="A453" s="1">
        <v>452</v>
      </c>
      <c r="B453" s="1">
        <v>9</v>
      </c>
      <c r="C453" s="1">
        <v>3</v>
      </c>
      <c r="D453" s="1" t="s">
        <v>145</v>
      </c>
      <c r="E453" s="1" t="s">
        <v>15</v>
      </c>
      <c r="H453"/>
      <c r="I453"/>
    </row>
    <row r="454" spans="1:9" ht="15" x14ac:dyDescent="0.25">
      <c r="A454" s="1">
        <v>453</v>
      </c>
      <c r="B454" s="1">
        <v>9</v>
      </c>
      <c r="C454" s="1">
        <v>3</v>
      </c>
      <c r="D454" s="1" t="s">
        <v>145</v>
      </c>
      <c r="E454" s="1" t="s">
        <v>15</v>
      </c>
      <c r="H454"/>
      <c r="I454"/>
    </row>
    <row r="455" spans="1:9" ht="15" x14ac:dyDescent="0.25">
      <c r="A455" s="1">
        <v>454</v>
      </c>
      <c r="B455" s="1">
        <v>9</v>
      </c>
      <c r="C455" s="1">
        <v>3</v>
      </c>
      <c r="D455" s="1" t="s">
        <v>145</v>
      </c>
      <c r="E455" s="1" t="s">
        <v>15</v>
      </c>
      <c r="H455"/>
      <c r="I455"/>
    </row>
    <row r="456" spans="1:9" ht="15" x14ac:dyDescent="0.25">
      <c r="A456" s="1">
        <v>455</v>
      </c>
      <c r="B456" s="1">
        <v>9</v>
      </c>
      <c r="C456" s="1">
        <v>3</v>
      </c>
      <c r="D456" s="1" t="s">
        <v>145</v>
      </c>
      <c r="E456" s="1" t="s">
        <v>15</v>
      </c>
      <c r="H456"/>
      <c r="I456"/>
    </row>
    <row r="457" spans="1:9" ht="15" x14ac:dyDescent="0.25">
      <c r="A457" s="1">
        <v>456</v>
      </c>
      <c r="B457" s="1">
        <v>9</v>
      </c>
      <c r="C457" s="1">
        <v>3</v>
      </c>
      <c r="D457" s="1" t="s">
        <v>145</v>
      </c>
      <c r="E457" s="1" t="s">
        <v>15</v>
      </c>
      <c r="H457"/>
      <c r="I457"/>
    </row>
    <row r="458" spans="1:9" ht="15" x14ac:dyDescent="0.25">
      <c r="A458" s="1">
        <v>457</v>
      </c>
      <c r="B458" s="1">
        <v>9</v>
      </c>
      <c r="C458" s="1">
        <v>3</v>
      </c>
      <c r="D458" s="1" t="s">
        <v>145</v>
      </c>
      <c r="E458" s="1" t="s">
        <v>15</v>
      </c>
      <c r="H458"/>
      <c r="I458"/>
    </row>
    <row r="459" spans="1:9" ht="15" x14ac:dyDescent="0.25">
      <c r="A459" s="1">
        <v>458</v>
      </c>
      <c r="B459" s="1">
        <v>9</v>
      </c>
      <c r="C459" s="1">
        <v>3</v>
      </c>
      <c r="D459" s="1" t="s">
        <v>145</v>
      </c>
      <c r="E459" s="1" t="s">
        <v>15</v>
      </c>
      <c r="H459"/>
      <c r="I459"/>
    </row>
    <row r="460" spans="1:9" ht="15" x14ac:dyDescent="0.25">
      <c r="A460" s="1">
        <v>459</v>
      </c>
      <c r="B460" s="1">
        <v>9</v>
      </c>
      <c r="C460" s="1">
        <v>3</v>
      </c>
      <c r="D460" s="1" t="s">
        <v>145</v>
      </c>
      <c r="E460" s="1" t="s">
        <v>15</v>
      </c>
      <c r="H460"/>
      <c r="I460"/>
    </row>
    <row r="461" spans="1:9" ht="15" x14ac:dyDescent="0.25">
      <c r="A461" s="1">
        <v>460</v>
      </c>
      <c r="B461" s="1">
        <v>10</v>
      </c>
      <c r="C461" s="1">
        <v>3</v>
      </c>
      <c r="D461" s="1" t="s">
        <v>144</v>
      </c>
      <c r="E461" s="1" t="s">
        <v>15</v>
      </c>
      <c r="H461"/>
      <c r="I461"/>
    </row>
    <row r="462" spans="1:9" ht="15" x14ac:dyDescent="0.25">
      <c r="A462" s="1">
        <v>461</v>
      </c>
      <c r="B462" s="1">
        <v>10</v>
      </c>
      <c r="C462" s="1">
        <v>3</v>
      </c>
      <c r="D462" s="1" t="s">
        <v>144</v>
      </c>
      <c r="E462" s="1" t="s">
        <v>15</v>
      </c>
      <c r="H462"/>
      <c r="I462"/>
    </row>
    <row r="463" spans="1:9" ht="15" x14ac:dyDescent="0.25">
      <c r="A463" s="1">
        <v>462</v>
      </c>
      <c r="B463" s="1">
        <v>10</v>
      </c>
      <c r="C463" s="1">
        <v>3</v>
      </c>
      <c r="D463" s="1" t="s">
        <v>144</v>
      </c>
      <c r="E463" s="1" t="s">
        <v>15</v>
      </c>
      <c r="H463"/>
      <c r="I463"/>
    </row>
    <row r="464" spans="1:9" ht="15" x14ac:dyDescent="0.25">
      <c r="A464" s="1">
        <v>463</v>
      </c>
      <c r="B464" s="1">
        <v>10</v>
      </c>
      <c r="C464" s="1">
        <v>3</v>
      </c>
      <c r="D464" s="1" t="s">
        <v>144</v>
      </c>
      <c r="E464" s="1" t="s">
        <v>15</v>
      </c>
      <c r="H464"/>
      <c r="I464"/>
    </row>
    <row r="465" spans="1:9" ht="15" x14ac:dyDescent="0.25">
      <c r="A465" s="1">
        <v>464</v>
      </c>
      <c r="B465" s="1">
        <v>10</v>
      </c>
      <c r="C465" s="1">
        <v>3</v>
      </c>
      <c r="D465" s="1" t="s">
        <v>144</v>
      </c>
      <c r="E465" s="1" t="s">
        <v>15</v>
      </c>
      <c r="H465"/>
      <c r="I465"/>
    </row>
    <row r="466" spans="1:9" ht="15" x14ac:dyDescent="0.25">
      <c r="A466" s="1">
        <v>465</v>
      </c>
      <c r="B466" s="1">
        <v>10</v>
      </c>
      <c r="C466" s="1">
        <v>3</v>
      </c>
      <c r="D466" s="1" t="s">
        <v>144</v>
      </c>
      <c r="E466" s="1" t="s">
        <v>15</v>
      </c>
      <c r="H466"/>
      <c r="I466"/>
    </row>
    <row r="467" spans="1:9" ht="15" x14ac:dyDescent="0.25">
      <c r="A467" s="1">
        <v>466</v>
      </c>
      <c r="B467" s="1">
        <v>10</v>
      </c>
      <c r="C467" s="1">
        <v>3</v>
      </c>
      <c r="D467" s="1" t="s">
        <v>144</v>
      </c>
      <c r="E467" s="1" t="s">
        <v>15</v>
      </c>
      <c r="H467"/>
      <c r="I467"/>
    </row>
    <row r="468" spans="1:9" ht="15" x14ac:dyDescent="0.25">
      <c r="A468" s="1">
        <v>467</v>
      </c>
      <c r="B468" s="1">
        <v>10</v>
      </c>
      <c r="C468" s="1">
        <v>3</v>
      </c>
      <c r="D468" s="1" t="s">
        <v>144</v>
      </c>
      <c r="E468" s="1" t="s">
        <v>15</v>
      </c>
      <c r="H468"/>
      <c r="I468"/>
    </row>
    <row r="469" spans="1:9" ht="15" x14ac:dyDescent="0.25">
      <c r="A469" s="1">
        <v>468</v>
      </c>
      <c r="B469" s="1">
        <v>10</v>
      </c>
      <c r="C469" s="1">
        <v>3</v>
      </c>
      <c r="D469" s="1" t="s">
        <v>144</v>
      </c>
      <c r="E469" s="1" t="s">
        <v>15</v>
      </c>
      <c r="H469"/>
      <c r="I469"/>
    </row>
    <row r="470" spans="1:9" ht="15" x14ac:dyDescent="0.25">
      <c r="A470" s="1">
        <v>469</v>
      </c>
      <c r="B470" s="1">
        <v>10</v>
      </c>
      <c r="C470" s="1">
        <v>3</v>
      </c>
      <c r="D470" s="1" t="s">
        <v>144</v>
      </c>
      <c r="E470" s="1" t="s">
        <v>15</v>
      </c>
      <c r="H470"/>
      <c r="I470"/>
    </row>
    <row r="471" spans="1:9" ht="15" x14ac:dyDescent="0.25">
      <c r="A471" s="1">
        <v>470</v>
      </c>
      <c r="B471" s="1">
        <v>10</v>
      </c>
      <c r="C471" s="1">
        <v>3</v>
      </c>
      <c r="D471" s="1" t="s">
        <v>144</v>
      </c>
      <c r="E471" s="1" t="s">
        <v>15</v>
      </c>
      <c r="H471"/>
      <c r="I471"/>
    </row>
    <row r="472" spans="1:9" ht="15" x14ac:dyDescent="0.25">
      <c r="A472" s="1">
        <v>471</v>
      </c>
      <c r="B472" s="1">
        <v>10</v>
      </c>
      <c r="C472" s="1">
        <v>3</v>
      </c>
      <c r="D472" s="1" t="s">
        <v>144</v>
      </c>
      <c r="E472" s="1" t="s">
        <v>15</v>
      </c>
      <c r="H472"/>
      <c r="I472"/>
    </row>
    <row r="473" spans="1:9" ht="15" x14ac:dyDescent="0.25">
      <c r="A473" s="1">
        <v>472</v>
      </c>
      <c r="B473" s="1">
        <v>10</v>
      </c>
      <c r="C473" s="1">
        <v>3</v>
      </c>
      <c r="D473" s="1" t="s">
        <v>144</v>
      </c>
      <c r="E473" s="1" t="s">
        <v>15</v>
      </c>
      <c r="H473"/>
      <c r="I473"/>
    </row>
    <row r="474" spans="1:9" ht="15" x14ac:dyDescent="0.25">
      <c r="A474" s="1">
        <v>473</v>
      </c>
      <c r="B474" s="1">
        <v>10</v>
      </c>
      <c r="C474" s="1">
        <v>3</v>
      </c>
      <c r="D474" s="1" t="s">
        <v>144</v>
      </c>
      <c r="E474" s="1" t="s">
        <v>15</v>
      </c>
      <c r="H474"/>
      <c r="I474"/>
    </row>
    <row r="475" spans="1:9" ht="15" x14ac:dyDescent="0.25">
      <c r="A475" s="1">
        <v>474</v>
      </c>
      <c r="B475" s="1">
        <v>10</v>
      </c>
      <c r="C475" s="1">
        <v>3</v>
      </c>
      <c r="D475" s="1" t="s">
        <v>144</v>
      </c>
      <c r="E475" s="1" t="s">
        <v>15</v>
      </c>
      <c r="H475"/>
      <c r="I475"/>
    </row>
    <row r="476" spans="1:9" ht="15" x14ac:dyDescent="0.25">
      <c r="A476" s="1">
        <v>475</v>
      </c>
      <c r="B476" s="1">
        <v>10</v>
      </c>
      <c r="C476" s="1">
        <v>3</v>
      </c>
      <c r="D476" s="1" t="s">
        <v>144</v>
      </c>
      <c r="E476" s="1" t="s">
        <v>15</v>
      </c>
      <c r="H476"/>
      <c r="I476"/>
    </row>
    <row r="477" spans="1:9" ht="15" x14ac:dyDescent="0.25">
      <c r="A477" s="1">
        <v>476</v>
      </c>
      <c r="B477" s="1">
        <v>10</v>
      </c>
      <c r="C477" s="1">
        <v>3</v>
      </c>
      <c r="D477" s="1" t="s">
        <v>144</v>
      </c>
      <c r="E477" s="1" t="s">
        <v>15</v>
      </c>
      <c r="H477"/>
      <c r="I477"/>
    </row>
    <row r="478" spans="1:9" ht="15" x14ac:dyDescent="0.25">
      <c r="A478" s="1">
        <v>477</v>
      </c>
      <c r="B478" s="1">
        <v>10</v>
      </c>
      <c r="C478" s="1">
        <v>3</v>
      </c>
      <c r="D478" s="1" t="s">
        <v>144</v>
      </c>
      <c r="E478" s="1" t="s">
        <v>15</v>
      </c>
      <c r="H478"/>
      <c r="I478"/>
    </row>
    <row r="479" spans="1:9" ht="15" x14ac:dyDescent="0.25">
      <c r="A479" s="1">
        <v>478</v>
      </c>
      <c r="B479" s="1">
        <v>10</v>
      </c>
      <c r="C479" s="1">
        <v>3</v>
      </c>
      <c r="D479" s="1" t="s">
        <v>144</v>
      </c>
      <c r="E479" s="1" t="s">
        <v>15</v>
      </c>
      <c r="H479"/>
      <c r="I479"/>
    </row>
    <row r="480" spans="1:9" ht="15" x14ac:dyDescent="0.25">
      <c r="A480" s="1">
        <v>479</v>
      </c>
      <c r="B480" s="1">
        <v>10</v>
      </c>
      <c r="C480" s="1">
        <v>3</v>
      </c>
      <c r="D480" s="1" t="s">
        <v>144</v>
      </c>
      <c r="E480" s="1" t="s">
        <v>15</v>
      </c>
      <c r="H480"/>
      <c r="I480"/>
    </row>
    <row r="481" spans="1:9" ht="15" x14ac:dyDescent="0.25">
      <c r="A481" s="1">
        <v>480</v>
      </c>
      <c r="B481" s="1">
        <v>10</v>
      </c>
      <c r="C481" s="1">
        <v>3</v>
      </c>
      <c r="D481" s="1" t="s">
        <v>144</v>
      </c>
      <c r="E481" s="1" t="s">
        <v>15</v>
      </c>
      <c r="H481"/>
      <c r="I481"/>
    </row>
    <row r="482" spans="1:9" ht="15" x14ac:dyDescent="0.25">
      <c r="A482" s="1">
        <v>481</v>
      </c>
      <c r="B482" s="1">
        <v>10</v>
      </c>
      <c r="C482" s="1">
        <v>3</v>
      </c>
      <c r="D482" s="1" t="s">
        <v>144</v>
      </c>
      <c r="E482" s="1" t="s">
        <v>15</v>
      </c>
      <c r="H482"/>
      <c r="I482"/>
    </row>
    <row r="483" spans="1:9" ht="15" x14ac:dyDescent="0.25">
      <c r="A483" s="1">
        <v>482</v>
      </c>
      <c r="B483" s="1">
        <v>10</v>
      </c>
      <c r="C483" s="1">
        <v>3</v>
      </c>
      <c r="D483" s="1" t="s">
        <v>144</v>
      </c>
      <c r="E483" s="1" t="s">
        <v>15</v>
      </c>
      <c r="H483"/>
      <c r="I483"/>
    </row>
    <row r="484" spans="1:9" ht="15" x14ac:dyDescent="0.25">
      <c r="A484" s="1">
        <v>483</v>
      </c>
      <c r="B484" s="1">
        <v>10</v>
      </c>
      <c r="C484" s="1">
        <v>3</v>
      </c>
      <c r="D484" s="1" t="s">
        <v>144</v>
      </c>
      <c r="E484" s="1" t="s">
        <v>15</v>
      </c>
      <c r="H484"/>
      <c r="I484"/>
    </row>
    <row r="485" spans="1:9" ht="15" x14ac:dyDescent="0.25">
      <c r="A485" s="1">
        <v>484</v>
      </c>
      <c r="B485" s="1">
        <v>10</v>
      </c>
      <c r="C485" s="1">
        <v>3</v>
      </c>
      <c r="D485" s="1" t="s">
        <v>144</v>
      </c>
      <c r="E485" s="1" t="s">
        <v>15</v>
      </c>
      <c r="H485"/>
      <c r="I485"/>
    </row>
    <row r="486" spans="1:9" ht="15" x14ac:dyDescent="0.25">
      <c r="A486" s="1">
        <v>485</v>
      </c>
      <c r="B486" s="1">
        <v>10</v>
      </c>
      <c r="C486" s="1">
        <v>3</v>
      </c>
      <c r="D486" s="1" t="s">
        <v>144</v>
      </c>
      <c r="E486" s="1" t="s">
        <v>15</v>
      </c>
      <c r="H486"/>
      <c r="I486"/>
    </row>
    <row r="487" spans="1:9" ht="15" x14ac:dyDescent="0.25">
      <c r="A487" s="1">
        <v>486</v>
      </c>
      <c r="B487" s="1">
        <v>10</v>
      </c>
      <c r="C487" s="1">
        <v>3</v>
      </c>
      <c r="D487" s="1" t="s">
        <v>144</v>
      </c>
      <c r="E487" s="1" t="s">
        <v>15</v>
      </c>
      <c r="H487"/>
      <c r="I487"/>
    </row>
    <row r="488" spans="1:9" ht="15" x14ac:dyDescent="0.25">
      <c r="A488" s="1">
        <v>487</v>
      </c>
      <c r="B488" s="1">
        <v>10</v>
      </c>
      <c r="C488" s="1">
        <v>3</v>
      </c>
      <c r="D488" s="1" t="s">
        <v>144</v>
      </c>
      <c r="E488" s="1" t="s">
        <v>15</v>
      </c>
      <c r="H488"/>
      <c r="I488"/>
    </row>
    <row r="489" spans="1:9" ht="15" x14ac:dyDescent="0.25">
      <c r="A489" s="1">
        <v>488</v>
      </c>
      <c r="B489" s="1">
        <v>10</v>
      </c>
      <c r="C489" s="1">
        <v>3</v>
      </c>
      <c r="D489" s="1" t="s">
        <v>144</v>
      </c>
      <c r="E489" s="1" t="s">
        <v>15</v>
      </c>
      <c r="H489"/>
      <c r="I489"/>
    </row>
    <row r="490" spans="1:9" ht="15" x14ac:dyDescent="0.25">
      <c r="A490" s="1">
        <v>489</v>
      </c>
      <c r="B490" s="1">
        <v>10</v>
      </c>
      <c r="C490" s="1">
        <v>3</v>
      </c>
      <c r="D490" s="1" t="s">
        <v>144</v>
      </c>
      <c r="E490" s="1" t="s">
        <v>15</v>
      </c>
      <c r="H490"/>
      <c r="I490"/>
    </row>
    <row r="491" spans="1:9" ht="15" x14ac:dyDescent="0.25">
      <c r="A491" s="1">
        <v>490</v>
      </c>
      <c r="B491" s="1">
        <v>10</v>
      </c>
      <c r="C491" s="1">
        <v>3</v>
      </c>
      <c r="D491" s="1" t="s">
        <v>144</v>
      </c>
      <c r="E491" s="1" t="s">
        <v>15</v>
      </c>
      <c r="H491"/>
      <c r="I491"/>
    </row>
    <row r="492" spans="1:9" ht="15" x14ac:dyDescent="0.25">
      <c r="A492" s="1">
        <v>491</v>
      </c>
      <c r="B492" s="1">
        <v>10</v>
      </c>
      <c r="C492" s="1">
        <v>3</v>
      </c>
      <c r="D492" s="1" t="s">
        <v>144</v>
      </c>
      <c r="E492" s="1" t="s">
        <v>15</v>
      </c>
      <c r="H492"/>
      <c r="I492"/>
    </row>
    <row r="493" spans="1:9" ht="15" x14ac:dyDescent="0.25">
      <c r="A493" s="1">
        <v>492</v>
      </c>
      <c r="B493" s="1">
        <v>10</v>
      </c>
      <c r="C493" s="1">
        <v>3</v>
      </c>
      <c r="D493" s="1" t="s">
        <v>144</v>
      </c>
      <c r="E493" s="1" t="s">
        <v>15</v>
      </c>
      <c r="H493"/>
      <c r="I493"/>
    </row>
    <row r="494" spans="1:9" ht="15" x14ac:dyDescent="0.25">
      <c r="A494" s="1">
        <v>493</v>
      </c>
      <c r="B494" s="1">
        <v>10</v>
      </c>
      <c r="C494" s="1">
        <v>3</v>
      </c>
      <c r="D494" s="1" t="s">
        <v>144</v>
      </c>
      <c r="E494" s="1" t="s">
        <v>15</v>
      </c>
      <c r="H494"/>
      <c r="I494"/>
    </row>
    <row r="495" spans="1:9" ht="15" x14ac:dyDescent="0.25">
      <c r="A495" s="1">
        <v>494</v>
      </c>
      <c r="B495" s="1">
        <v>10</v>
      </c>
      <c r="C495" s="1">
        <v>3</v>
      </c>
      <c r="D495" s="1" t="s">
        <v>144</v>
      </c>
      <c r="E495" s="1" t="s">
        <v>15</v>
      </c>
      <c r="H495"/>
      <c r="I495"/>
    </row>
    <row r="496" spans="1:9" ht="15" x14ac:dyDescent="0.25">
      <c r="A496" s="1">
        <v>495</v>
      </c>
      <c r="B496" s="1">
        <v>10</v>
      </c>
      <c r="C496" s="1">
        <v>3</v>
      </c>
      <c r="D496" s="1" t="s">
        <v>144</v>
      </c>
      <c r="E496" s="1" t="s">
        <v>15</v>
      </c>
      <c r="H496"/>
      <c r="I496"/>
    </row>
    <row r="497" spans="1:9" ht="15" x14ac:dyDescent="0.25">
      <c r="A497" s="1">
        <v>496</v>
      </c>
      <c r="B497" s="1">
        <v>10</v>
      </c>
      <c r="C497" s="1">
        <v>3</v>
      </c>
      <c r="D497" s="1" t="s">
        <v>144</v>
      </c>
      <c r="E497" s="1" t="s">
        <v>15</v>
      </c>
      <c r="H497"/>
      <c r="I497"/>
    </row>
    <row r="498" spans="1:9" ht="15" x14ac:dyDescent="0.25">
      <c r="A498" s="1">
        <v>497</v>
      </c>
      <c r="B498" s="1">
        <v>10</v>
      </c>
      <c r="C498" s="1">
        <v>3</v>
      </c>
      <c r="D498" s="1" t="s">
        <v>144</v>
      </c>
      <c r="E498" s="1" t="s">
        <v>15</v>
      </c>
      <c r="H498"/>
      <c r="I498"/>
    </row>
    <row r="499" spans="1:9" ht="15" x14ac:dyDescent="0.25">
      <c r="A499" s="1">
        <v>498</v>
      </c>
      <c r="B499" s="1">
        <v>10</v>
      </c>
      <c r="C499" s="1">
        <v>3</v>
      </c>
      <c r="D499" s="1" t="s">
        <v>144</v>
      </c>
      <c r="E499" s="1" t="s">
        <v>15</v>
      </c>
      <c r="H499"/>
      <c r="I499"/>
    </row>
    <row r="500" spans="1:9" ht="15" x14ac:dyDescent="0.25">
      <c r="A500" s="1">
        <v>499</v>
      </c>
      <c r="B500" s="1">
        <v>10</v>
      </c>
      <c r="C500" s="1">
        <v>3</v>
      </c>
      <c r="D500" s="1" t="s">
        <v>144</v>
      </c>
      <c r="E500" s="1" t="s">
        <v>15</v>
      </c>
      <c r="H500"/>
      <c r="I500"/>
    </row>
    <row r="501" spans="1:9" ht="15" x14ac:dyDescent="0.25">
      <c r="A501" s="1">
        <v>500</v>
      </c>
      <c r="B501" s="1">
        <v>10</v>
      </c>
      <c r="C501" s="1">
        <v>3</v>
      </c>
      <c r="D501" s="1" t="s">
        <v>144</v>
      </c>
      <c r="E501" s="1" t="s">
        <v>15</v>
      </c>
      <c r="H501"/>
      <c r="I501"/>
    </row>
    <row r="502" spans="1:9" ht="15" x14ac:dyDescent="0.25">
      <c r="A502" s="1">
        <v>501</v>
      </c>
      <c r="B502" s="1">
        <v>10</v>
      </c>
      <c r="C502" s="1">
        <v>3</v>
      </c>
      <c r="D502" s="1" t="s">
        <v>144</v>
      </c>
      <c r="E502" s="1" t="s">
        <v>15</v>
      </c>
      <c r="H502"/>
      <c r="I502"/>
    </row>
    <row r="503" spans="1:9" ht="15" x14ac:dyDescent="0.25">
      <c r="A503" s="1">
        <v>502</v>
      </c>
      <c r="B503" s="1">
        <v>10</v>
      </c>
      <c r="C503" s="1">
        <v>3</v>
      </c>
      <c r="D503" s="1" t="s">
        <v>144</v>
      </c>
      <c r="E503" s="1" t="s">
        <v>15</v>
      </c>
      <c r="H503"/>
      <c r="I503"/>
    </row>
    <row r="504" spans="1:9" ht="15" x14ac:dyDescent="0.25">
      <c r="A504" s="1">
        <v>503</v>
      </c>
      <c r="B504" s="1">
        <v>10</v>
      </c>
      <c r="C504" s="1">
        <v>3</v>
      </c>
      <c r="D504" s="1" t="s">
        <v>144</v>
      </c>
      <c r="E504" s="1" t="s">
        <v>15</v>
      </c>
      <c r="H504"/>
      <c r="I504"/>
    </row>
    <row r="505" spans="1:9" ht="15" x14ac:dyDescent="0.25">
      <c r="A505" s="1">
        <v>504</v>
      </c>
      <c r="B505" s="1">
        <v>10</v>
      </c>
      <c r="C505" s="1">
        <v>3</v>
      </c>
      <c r="D505" s="1" t="s">
        <v>144</v>
      </c>
      <c r="E505" s="1" t="s">
        <v>15</v>
      </c>
      <c r="H505"/>
      <c r="I505"/>
    </row>
    <row r="506" spans="1:9" ht="15" x14ac:dyDescent="0.25">
      <c r="A506" s="1">
        <v>505</v>
      </c>
      <c r="B506" s="1">
        <v>10</v>
      </c>
      <c r="C506" s="1">
        <v>3</v>
      </c>
      <c r="D506" s="1" t="s">
        <v>144</v>
      </c>
      <c r="E506" s="1" t="s">
        <v>15</v>
      </c>
      <c r="H506"/>
      <c r="I506"/>
    </row>
    <row r="507" spans="1:9" ht="15" x14ac:dyDescent="0.25">
      <c r="A507" s="1">
        <v>506</v>
      </c>
      <c r="B507" s="1">
        <v>10</v>
      </c>
      <c r="C507" s="1">
        <v>3</v>
      </c>
      <c r="D507" s="1" t="s">
        <v>144</v>
      </c>
      <c r="E507" s="1" t="s">
        <v>15</v>
      </c>
      <c r="H507"/>
      <c r="I507"/>
    </row>
    <row r="508" spans="1:9" ht="15" x14ac:dyDescent="0.25">
      <c r="A508" s="1">
        <v>507</v>
      </c>
      <c r="B508" s="1">
        <v>10</v>
      </c>
      <c r="C508" s="1">
        <v>3</v>
      </c>
      <c r="D508" s="1" t="s">
        <v>144</v>
      </c>
      <c r="E508" s="1" t="s">
        <v>15</v>
      </c>
      <c r="H508"/>
      <c r="I508"/>
    </row>
    <row r="509" spans="1:9" ht="15" x14ac:dyDescent="0.25">
      <c r="A509" s="1">
        <v>508</v>
      </c>
      <c r="B509" s="1">
        <v>10</v>
      </c>
      <c r="C509" s="1">
        <v>3</v>
      </c>
      <c r="D509" s="1" t="s">
        <v>144</v>
      </c>
      <c r="E509" s="1" t="s">
        <v>15</v>
      </c>
      <c r="H509"/>
      <c r="I509"/>
    </row>
    <row r="510" spans="1:9" ht="15" x14ac:dyDescent="0.25">
      <c r="A510" s="1">
        <v>509</v>
      </c>
      <c r="B510" s="1">
        <v>10</v>
      </c>
      <c r="C510" s="1">
        <v>3</v>
      </c>
      <c r="D510" s="1" t="s">
        <v>144</v>
      </c>
      <c r="E510" s="1" t="s">
        <v>15</v>
      </c>
      <c r="H510"/>
      <c r="I510"/>
    </row>
    <row r="511" spans="1:9" ht="15" x14ac:dyDescent="0.25">
      <c r="A511" s="1">
        <v>510</v>
      </c>
      <c r="B511" s="1">
        <v>10</v>
      </c>
      <c r="C511" s="1">
        <v>3</v>
      </c>
      <c r="D511" s="1" t="s">
        <v>144</v>
      </c>
      <c r="E511" s="1" t="s">
        <v>15</v>
      </c>
      <c r="H511"/>
      <c r="I511"/>
    </row>
    <row r="512" spans="1:9" ht="15" x14ac:dyDescent="0.25">
      <c r="A512" s="1">
        <v>511</v>
      </c>
      <c r="B512" s="1">
        <v>10</v>
      </c>
      <c r="C512" s="1">
        <v>3</v>
      </c>
      <c r="D512" s="1" t="s">
        <v>144</v>
      </c>
      <c r="E512" s="1" t="s">
        <v>15</v>
      </c>
      <c r="H512"/>
      <c r="I512"/>
    </row>
    <row r="513" spans="1:9" ht="15" x14ac:dyDescent="0.25">
      <c r="A513" s="1">
        <v>512</v>
      </c>
      <c r="B513" s="1">
        <v>10</v>
      </c>
      <c r="C513" s="1">
        <v>3</v>
      </c>
      <c r="D513" s="1" t="s">
        <v>144</v>
      </c>
      <c r="E513" s="1" t="s">
        <v>15</v>
      </c>
      <c r="H513"/>
      <c r="I513"/>
    </row>
    <row r="514" spans="1:9" ht="15" x14ac:dyDescent="0.25">
      <c r="A514" s="1">
        <v>513</v>
      </c>
      <c r="B514" s="1">
        <v>10</v>
      </c>
      <c r="C514" s="1">
        <v>3</v>
      </c>
      <c r="D514" s="1" t="s">
        <v>144</v>
      </c>
      <c r="E514" s="1" t="s">
        <v>15</v>
      </c>
      <c r="H514"/>
      <c r="I514"/>
    </row>
    <row r="515" spans="1:9" ht="15" x14ac:dyDescent="0.25">
      <c r="A515" s="1">
        <v>514</v>
      </c>
      <c r="B515" s="1">
        <v>10</v>
      </c>
      <c r="C515" s="1">
        <v>3</v>
      </c>
      <c r="D515" s="1" t="s">
        <v>144</v>
      </c>
      <c r="E515" s="1" t="s">
        <v>15</v>
      </c>
      <c r="H515"/>
      <c r="I515"/>
    </row>
    <row r="516" spans="1:9" ht="15" x14ac:dyDescent="0.25">
      <c r="A516" s="1">
        <v>515</v>
      </c>
      <c r="B516" s="1">
        <v>10</v>
      </c>
      <c r="C516" s="1">
        <v>3</v>
      </c>
      <c r="D516" s="1" t="s">
        <v>144</v>
      </c>
      <c r="E516" s="1" t="s">
        <v>15</v>
      </c>
      <c r="H516"/>
      <c r="I516"/>
    </row>
    <row r="517" spans="1:9" ht="15" x14ac:dyDescent="0.25">
      <c r="A517" s="1">
        <v>516</v>
      </c>
      <c r="B517" s="1">
        <v>10</v>
      </c>
      <c r="C517" s="1">
        <v>3</v>
      </c>
      <c r="D517" s="1" t="s">
        <v>144</v>
      </c>
      <c r="E517" s="1" t="s">
        <v>15</v>
      </c>
      <c r="H517"/>
      <c r="I517"/>
    </row>
    <row r="518" spans="1:9" ht="15" x14ac:dyDescent="0.25">
      <c r="A518" s="1">
        <v>517</v>
      </c>
      <c r="B518" s="1">
        <v>10</v>
      </c>
      <c r="C518" s="1">
        <v>3</v>
      </c>
      <c r="D518" s="1" t="s">
        <v>144</v>
      </c>
      <c r="E518" s="1" t="s">
        <v>15</v>
      </c>
      <c r="H518"/>
      <c r="I518"/>
    </row>
    <row r="519" spans="1:9" ht="15" x14ac:dyDescent="0.25">
      <c r="A519" s="1">
        <v>518</v>
      </c>
      <c r="B519" s="1">
        <v>10</v>
      </c>
      <c r="C519" s="1">
        <v>3</v>
      </c>
      <c r="D519" s="1" t="s">
        <v>144</v>
      </c>
      <c r="E519" s="1" t="s">
        <v>15</v>
      </c>
      <c r="H519"/>
      <c r="I519"/>
    </row>
    <row r="520" spans="1:9" ht="15" x14ac:dyDescent="0.25">
      <c r="A520" s="1">
        <v>519</v>
      </c>
      <c r="B520" s="1">
        <v>10</v>
      </c>
      <c r="C520" s="1">
        <v>3</v>
      </c>
      <c r="D520" s="1" t="s">
        <v>144</v>
      </c>
      <c r="E520" s="1" t="s">
        <v>15</v>
      </c>
      <c r="H520"/>
      <c r="I520"/>
    </row>
    <row r="521" spans="1:9" ht="15" x14ac:dyDescent="0.25">
      <c r="A521" s="1">
        <v>520</v>
      </c>
      <c r="B521" s="1">
        <v>10</v>
      </c>
      <c r="C521" s="1">
        <v>3</v>
      </c>
      <c r="D521" s="1" t="s">
        <v>144</v>
      </c>
      <c r="E521" s="1" t="s">
        <v>15</v>
      </c>
      <c r="H521"/>
      <c r="I521"/>
    </row>
    <row r="522" spans="1:9" ht="15" x14ac:dyDescent="0.25">
      <c r="A522" s="1">
        <v>521</v>
      </c>
      <c r="B522" s="1">
        <v>10</v>
      </c>
      <c r="C522" s="1">
        <v>3</v>
      </c>
      <c r="D522" s="1" t="s">
        <v>144</v>
      </c>
      <c r="E522" s="1" t="s">
        <v>15</v>
      </c>
      <c r="H522"/>
      <c r="I522"/>
    </row>
    <row r="523" spans="1:9" ht="15" x14ac:dyDescent="0.25">
      <c r="A523" s="1">
        <v>522</v>
      </c>
      <c r="B523" s="1">
        <v>11</v>
      </c>
      <c r="C523" s="1">
        <v>3</v>
      </c>
      <c r="D523" s="1" t="s">
        <v>143</v>
      </c>
      <c r="E523" s="1" t="s">
        <v>15</v>
      </c>
      <c r="H523"/>
      <c r="I523"/>
    </row>
    <row r="524" spans="1:9" ht="15" x14ac:dyDescent="0.25">
      <c r="A524" s="1">
        <v>523</v>
      </c>
      <c r="B524" s="1">
        <v>11</v>
      </c>
      <c r="C524" s="1">
        <v>3</v>
      </c>
      <c r="D524" s="1" t="s">
        <v>143</v>
      </c>
      <c r="E524" s="1" t="s">
        <v>15</v>
      </c>
      <c r="H524"/>
      <c r="I524"/>
    </row>
    <row r="525" spans="1:9" ht="15" x14ac:dyDescent="0.25">
      <c r="A525" s="1">
        <v>524</v>
      </c>
      <c r="B525" s="1">
        <v>11</v>
      </c>
      <c r="C525" s="1">
        <v>3</v>
      </c>
      <c r="D525" s="1" t="s">
        <v>143</v>
      </c>
      <c r="E525" s="1" t="s">
        <v>15</v>
      </c>
      <c r="H525"/>
      <c r="I525"/>
    </row>
    <row r="526" spans="1:9" ht="15" x14ac:dyDescent="0.25">
      <c r="A526" s="1">
        <v>525</v>
      </c>
      <c r="B526" s="1">
        <v>11</v>
      </c>
      <c r="C526" s="1">
        <v>3</v>
      </c>
      <c r="D526" s="1" t="s">
        <v>143</v>
      </c>
      <c r="E526" s="1" t="s">
        <v>15</v>
      </c>
      <c r="H526"/>
      <c r="I526"/>
    </row>
    <row r="527" spans="1:9" ht="15" x14ac:dyDescent="0.25">
      <c r="A527" s="1">
        <v>526</v>
      </c>
      <c r="B527" s="1">
        <v>11</v>
      </c>
      <c r="C527" s="1">
        <v>3</v>
      </c>
      <c r="D527" s="1" t="s">
        <v>143</v>
      </c>
      <c r="E527" s="1" t="s">
        <v>15</v>
      </c>
      <c r="H527"/>
      <c r="I527"/>
    </row>
    <row r="528" spans="1:9" ht="15" x14ac:dyDescent="0.25">
      <c r="A528" s="1">
        <v>527</v>
      </c>
      <c r="B528" s="1">
        <v>11</v>
      </c>
      <c r="C528" s="1">
        <v>3</v>
      </c>
      <c r="D528" s="1" t="s">
        <v>143</v>
      </c>
      <c r="E528" s="1" t="s">
        <v>15</v>
      </c>
      <c r="H528"/>
      <c r="I528"/>
    </row>
    <row r="529" spans="1:9" ht="15" x14ac:dyDescent="0.25">
      <c r="A529" s="1">
        <v>528</v>
      </c>
      <c r="B529" s="1">
        <v>11</v>
      </c>
      <c r="C529" s="1">
        <v>3</v>
      </c>
      <c r="D529" s="1" t="s">
        <v>143</v>
      </c>
      <c r="E529" s="1" t="s">
        <v>15</v>
      </c>
      <c r="H529"/>
      <c r="I529"/>
    </row>
    <row r="530" spans="1:9" ht="15" x14ac:dyDescent="0.25">
      <c r="A530" s="1">
        <v>529</v>
      </c>
      <c r="B530" s="1">
        <v>11</v>
      </c>
      <c r="C530" s="1">
        <v>3</v>
      </c>
      <c r="D530" s="1" t="s">
        <v>143</v>
      </c>
      <c r="E530" s="1" t="s">
        <v>15</v>
      </c>
      <c r="H530"/>
      <c r="I530"/>
    </row>
    <row r="531" spans="1:9" ht="15" x14ac:dyDescent="0.25">
      <c r="A531" s="1">
        <v>530</v>
      </c>
      <c r="B531" s="1">
        <v>11</v>
      </c>
      <c r="C531" s="1">
        <v>3</v>
      </c>
      <c r="D531" s="1" t="s">
        <v>143</v>
      </c>
      <c r="E531" s="1" t="s">
        <v>15</v>
      </c>
      <c r="H531"/>
      <c r="I531"/>
    </row>
    <row r="532" spans="1:9" ht="15" x14ac:dyDescent="0.25">
      <c r="A532" s="1">
        <v>531</v>
      </c>
      <c r="B532" s="1">
        <v>11</v>
      </c>
      <c r="C532" s="1">
        <v>3</v>
      </c>
      <c r="D532" s="1" t="s">
        <v>143</v>
      </c>
      <c r="E532" s="1" t="s">
        <v>15</v>
      </c>
      <c r="H532"/>
      <c r="I532"/>
    </row>
    <row r="533" spans="1:9" ht="15" x14ac:dyDescent="0.25">
      <c r="A533" s="1">
        <v>532</v>
      </c>
      <c r="B533" s="1">
        <v>11</v>
      </c>
      <c r="C533" s="1">
        <v>3</v>
      </c>
      <c r="D533" s="1" t="s">
        <v>143</v>
      </c>
      <c r="E533" s="1" t="s">
        <v>15</v>
      </c>
      <c r="H533"/>
      <c r="I533"/>
    </row>
    <row r="534" spans="1:9" ht="15" x14ac:dyDescent="0.25">
      <c r="A534" s="1">
        <v>533</v>
      </c>
      <c r="B534" s="1">
        <v>11</v>
      </c>
      <c r="C534" s="1">
        <v>3</v>
      </c>
      <c r="D534" s="1" t="s">
        <v>143</v>
      </c>
      <c r="E534" s="1" t="s">
        <v>15</v>
      </c>
      <c r="H534"/>
      <c r="I534"/>
    </row>
    <row r="535" spans="1:9" ht="15" x14ac:dyDescent="0.25">
      <c r="A535" s="1">
        <v>534</v>
      </c>
      <c r="B535" s="1">
        <v>11</v>
      </c>
      <c r="C535" s="1">
        <v>3</v>
      </c>
      <c r="D535" s="1" t="s">
        <v>143</v>
      </c>
      <c r="E535" s="1" t="s">
        <v>15</v>
      </c>
      <c r="H535"/>
      <c r="I535"/>
    </row>
    <row r="536" spans="1:9" ht="15" x14ac:dyDescent="0.25">
      <c r="A536" s="1">
        <v>535</v>
      </c>
      <c r="B536" s="1">
        <v>11</v>
      </c>
      <c r="C536" s="1">
        <v>3</v>
      </c>
      <c r="D536" s="1" t="s">
        <v>143</v>
      </c>
      <c r="E536" s="1" t="s">
        <v>15</v>
      </c>
      <c r="H536"/>
      <c r="I536"/>
    </row>
    <row r="537" spans="1:9" ht="15" x14ac:dyDescent="0.25">
      <c r="A537" s="1">
        <v>536</v>
      </c>
      <c r="B537" s="1">
        <v>11</v>
      </c>
      <c r="C537" s="1">
        <v>3</v>
      </c>
      <c r="D537" s="1" t="s">
        <v>143</v>
      </c>
      <c r="E537" s="1" t="s">
        <v>15</v>
      </c>
      <c r="H537"/>
      <c r="I537"/>
    </row>
    <row r="538" spans="1:9" ht="15" x14ac:dyDescent="0.25">
      <c r="A538" s="1">
        <v>537</v>
      </c>
      <c r="B538" s="1">
        <v>11</v>
      </c>
      <c r="C538" s="1">
        <v>3</v>
      </c>
      <c r="D538" s="1" t="s">
        <v>143</v>
      </c>
      <c r="E538" s="1" t="s">
        <v>15</v>
      </c>
      <c r="H538"/>
      <c r="I538"/>
    </row>
    <row r="539" spans="1:9" ht="15" x14ac:dyDescent="0.25">
      <c r="A539" s="1">
        <v>538</v>
      </c>
      <c r="B539" s="1">
        <v>11</v>
      </c>
      <c r="C539" s="1">
        <v>3</v>
      </c>
      <c r="D539" s="1" t="s">
        <v>143</v>
      </c>
      <c r="E539" s="1" t="s">
        <v>15</v>
      </c>
      <c r="H539"/>
      <c r="I539"/>
    </row>
    <row r="540" spans="1:9" ht="15" x14ac:dyDescent="0.25">
      <c r="A540" s="1">
        <v>539</v>
      </c>
      <c r="B540" s="1">
        <v>11</v>
      </c>
      <c r="C540" s="1">
        <v>3</v>
      </c>
      <c r="D540" s="1" t="s">
        <v>143</v>
      </c>
      <c r="E540" s="1" t="s">
        <v>15</v>
      </c>
      <c r="H540"/>
      <c r="I540"/>
    </row>
    <row r="541" spans="1:9" ht="15" x14ac:dyDescent="0.25">
      <c r="A541" s="1">
        <v>540</v>
      </c>
      <c r="B541" s="1">
        <v>11</v>
      </c>
      <c r="C541" s="1">
        <v>3</v>
      </c>
      <c r="D541" s="1" t="s">
        <v>143</v>
      </c>
      <c r="E541" s="1" t="s">
        <v>15</v>
      </c>
      <c r="H541"/>
      <c r="I541"/>
    </row>
    <row r="542" spans="1:9" ht="15" x14ac:dyDescent="0.25">
      <c r="A542" s="1">
        <v>541</v>
      </c>
      <c r="B542" s="1">
        <v>11</v>
      </c>
      <c r="C542" s="1">
        <v>3</v>
      </c>
      <c r="D542" s="1" t="s">
        <v>143</v>
      </c>
      <c r="E542" s="1" t="s">
        <v>15</v>
      </c>
      <c r="H542"/>
      <c r="I542"/>
    </row>
    <row r="543" spans="1:9" ht="15" x14ac:dyDescent="0.25">
      <c r="A543" s="1">
        <v>542</v>
      </c>
      <c r="B543" s="1">
        <v>11</v>
      </c>
      <c r="C543" s="1">
        <v>3</v>
      </c>
      <c r="D543" s="1" t="s">
        <v>143</v>
      </c>
      <c r="E543" s="1" t="s">
        <v>15</v>
      </c>
      <c r="H543"/>
      <c r="I543"/>
    </row>
    <row r="544" spans="1:9" ht="15" x14ac:dyDescent="0.25">
      <c r="A544" s="1">
        <v>543</v>
      </c>
      <c r="B544" s="1">
        <v>11</v>
      </c>
      <c r="C544" s="1">
        <v>3</v>
      </c>
      <c r="D544" s="1" t="s">
        <v>143</v>
      </c>
      <c r="E544" s="1" t="s">
        <v>15</v>
      </c>
      <c r="H544"/>
      <c r="I544"/>
    </row>
    <row r="545" spans="1:9" ht="15" x14ac:dyDescent="0.25">
      <c r="A545" s="1">
        <v>544</v>
      </c>
      <c r="B545" s="1">
        <v>11</v>
      </c>
      <c r="C545" s="1">
        <v>3</v>
      </c>
      <c r="D545" s="1" t="s">
        <v>143</v>
      </c>
      <c r="E545" s="1" t="s">
        <v>15</v>
      </c>
      <c r="H545"/>
      <c r="I545"/>
    </row>
    <row r="546" spans="1:9" ht="15" x14ac:dyDescent="0.25">
      <c r="A546" s="1">
        <v>545</v>
      </c>
      <c r="B546" s="1">
        <v>11</v>
      </c>
      <c r="C546" s="1">
        <v>3</v>
      </c>
      <c r="D546" s="1" t="s">
        <v>143</v>
      </c>
      <c r="E546" s="1" t="s">
        <v>15</v>
      </c>
      <c r="H546"/>
      <c r="I546"/>
    </row>
    <row r="547" spans="1:9" ht="15" x14ac:dyDescent="0.25">
      <c r="A547" s="1">
        <v>546</v>
      </c>
      <c r="B547" s="1">
        <v>11</v>
      </c>
      <c r="C547" s="1">
        <v>3</v>
      </c>
      <c r="D547" s="1" t="s">
        <v>143</v>
      </c>
      <c r="E547" s="1" t="s">
        <v>15</v>
      </c>
      <c r="H547"/>
      <c r="I547"/>
    </row>
    <row r="548" spans="1:9" ht="15" x14ac:dyDescent="0.25">
      <c r="A548" s="1">
        <v>547</v>
      </c>
      <c r="B548" s="1">
        <v>11</v>
      </c>
      <c r="C548" s="1">
        <v>3</v>
      </c>
      <c r="D548" s="1" t="s">
        <v>143</v>
      </c>
      <c r="E548" s="1" t="s">
        <v>15</v>
      </c>
      <c r="H548"/>
      <c r="I548"/>
    </row>
    <row r="549" spans="1:9" ht="15" x14ac:dyDescent="0.25">
      <c r="A549" s="1">
        <v>548</v>
      </c>
      <c r="B549" s="1">
        <v>11</v>
      </c>
      <c r="C549" s="1">
        <v>3</v>
      </c>
      <c r="D549" s="1" t="s">
        <v>143</v>
      </c>
      <c r="E549" s="1" t="s">
        <v>15</v>
      </c>
      <c r="H549"/>
      <c r="I549"/>
    </row>
    <row r="550" spans="1:9" ht="15" x14ac:dyDescent="0.25">
      <c r="A550" s="1">
        <v>549</v>
      </c>
      <c r="B550" s="1">
        <v>11</v>
      </c>
      <c r="C550" s="1">
        <v>3</v>
      </c>
      <c r="D550" s="1" t="s">
        <v>143</v>
      </c>
      <c r="E550" s="1" t="s">
        <v>15</v>
      </c>
      <c r="H550"/>
      <c r="I550"/>
    </row>
    <row r="551" spans="1:9" ht="15" x14ac:dyDescent="0.25">
      <c r="A551" s="1">
        <v>550</v>
      </c>
      <c r="B551" s="1">
        <v>11</v>
      </c>
      <c r="C551" s="1">
        <v>3</v>
      </c>
      <c r="D551" s="1" t="s">
        <v>143</v>
      </c>
      <c r="E551" s="1" t="s">
        <v>15</v>
      </c>
      <c r="H551"/>
      <c r="I551"/>
    </row>
    <row r="552" spans="1:9" ht="15" x14ac:dyDescent="0.25">
      <c r="A552" s="1">
        <v>551</v>
      </c>
      <c r="B552" s="1">
        <v>11</v>
      </c>
      <c r="C552" s="1">
        <v>3</v>
      </c>
      <c r="D552" s="1" t="s">
        <v>143</v>
      </c>
      <c r="E552" s="1" t="s">
        <v>15</v>
      </c>
      <c r="H552"/>
      <c r="I552"/>
    </row>
    <row r="553" spans="1:9" ht="15" x14ac:dyDescent="0.25">
      <c r="A553" s="1">
        <v>552</v>
      </c>
      <c r="B553" s="1">
        <v>11</v>
      </c>
      <c r="C553" s="1">
        <v>3</v>
      </c>
      <c r="D553" s="1" t="s">
        <v>143</v>
      </c>
      <c r="E553" s="1" t="s">
        <v>15</v>
      </c>
      <c r="H553"/>
      <c r="I553"/>
    </row>
    <row r="554" spans="1:9" ht="15" x14ac:dyDescent="0.25">
      <c r="A554" s="1">
        <v>553</v>
      </c>
      <c r="B554" s="1">
        <v>11</v>
      </c>
      <c r="C554" s="1">
        <v>3</v>
      </c>
      <c r="D554" s="1" t="s">
        <v>143</v>
      </c>
      <c r="E554" s="1" t="s">
        <v>15</v>
      </c>
      <c r="H554"/>
      <c r="I554"/>
    </row>
    <row r="555" spans="1:9" ht="15" x14ac:dyDescent="0.25">
      <c r="A555" s="1">
        <v>554</v>
      </c>
      <c r="B555" s="1">
        <v>11</v>
      </c>
      <c r="C555" s="1">
        <v>3</v>
      </c>
      <c r="D555" s="1" t="s">
        <v>143</v>
      </c>
      <c r="E555" s="1" t="s">
        <v>15</v>
      </c>
      <c r="H555"/>
      <c r="I555"/>
    </row>
    <row r="556" spans="1:9" ht="15" x14ac:dyDescent="0.25">
      <c r="A556" s="1">
        <v>555</v>
      </c>
      <c r="B556" s="1">
        <v>11</v>
      </c>
      <c r="C556" s="1">
        <v>3</v>
      </c>
      <c r="D556" s="1" t="s">
        <v>143</v>
      </c>
      <c r="E556" s="1" t="s">
        <v>15</v>
      </c>
      <c r="H556"/>
      <c r="I556"/>
    </row>
    <row r="557" spans="1:9" ht="15" x14ac:dyDescent="0.25">
      <c r="A557" s="1">
        <v>556</v>
      </c>
      <c r="B557" s="1">
        <v>11</v>
      </c>
      <c r="C557" s="1">
        <v>3</v>
      </c>
      <c r="D557" s="1" t="s">
        <v>143</v>
      </c>
      <c r="E557" s="1" t="s">
        <v>15</v>
      </c>
      <c r="H557"/>
      <c r="I557"/>
    </row>
    <row r="558" spans="1:9" ht="15" x14ac:dyDescent="0.25">
      <c r="A558" s="1">
        <v>557</v>
      </c>
      <c r="B558" s="1">
        <v>11</v>
      </c>
      <c r="C558" s="1">
        <v>3</v>
      </c>
      <c r="D558" s="1" t="s">
        <v>143</v>
      </c>
      <c r="E558" s="1" t="s">
        <v>15</v>
      </c>
      <c r="H558"/>
      <c r="I558"/>
    </row>
    <row r="559" spans="1:9" ht="15" x14ac:dyDescent="0.25">
      <c r="A559" s="1">
        <v>558</v>
      </c>
      <c r="B559" s="1">
        <v>11</v>
      </c>
      <c r="C559" s="1">
        <v>3</v>
      </c>
      <c r="D559" s="1" t="s">
        <v>143</v>
      </c>
      <c r="E559" s="1" t="s">
        <v>15</v>
      </c>
      <c r="H559"/>
      <c r="I559"/>
    </row>
    <row r="560" spans="1:9" ht="15" x14ac:dyDescent="0.25">
      <c r="A560" s="1">
        <v>559</v>
      </c>
      <c r="B560" s="1">
        <v>11</v>
      </c>
      <c r="C560" s="1">
        <v>3</v>
      </c>
      <c r="D560" s="1" t="s">
        <v>143</v>
      </c>
      <c r="E560" s="1" t="s">
        <v>15</v>
      </c>
      <c r="H560"/>
      <c r="I560"/>
    </row>
    <row r="561" spans="1:9" ht="15" x14ac:dyDescent="0.25">
      <c r="A561" s="1">
        <v>560</v>
      </c>
      <c r="B561" s="1">
        <v>11</v>
      </c>
      <c r="C561" s="1">
        <v>3</v>
      </c>
      <c r="D561" s="1" t="s">
        <v>143</v>
      </c>
      <c r="E561" s="1" t="s">
        <v>15</v>
      </c>
      <c r="H561"/>
      <c r="I561"/>
    </row>
    <row r="562" spans="1:9" ht="15" x14ac:dyDescent="0.25">
      <c r="A562" s="1">
        <v>561</v>
      </c>
      <c r="B562" s="1">
        <v>11</v>
      </c>
      <c r="C562" s="1">
        <v>3</v>
      </c>
      <c r="D562" s="1" t="s">
        <v>143</v>
      </c>
      <c r="E562" s="1" t="s">
        <v>15</v>
      </c>
      <c r="H562"/>
      <c r="I562"/>
    </row>
    <row r="563" spans="1:9" ht="15" x14ac:dyDescent="0.25">
      <c r="A563" s="1">
        <v>562</v>
      </c>
      <c r="B563" s="1">
        <v>11</v>
      </c>
      <c r="C563" s="1">
        <v>3</v>
      </c>
      <c r="D563" s="1" t="s">
        <v>143</v>
      </c>
      <c r="E563" s="1" t="s">
        <v>15</v>
      </c>
      <c r="H563"/>
      <c r="I563"/>
    </row>
    <row r="564" spans="1:9" ht="15" x14ac:dyDescent="0.25">
      <c r="A564" s="1">
        <v>563</v>
      </c>
      <c r="B564" s="1">
        <v>11</v>
      </c>
      <c r="C564" s="1">
        <v>3</v>
      </c>
      <c r="D564" s="1" t="s">
        <v>143</v>
      </c>
      <c r="E564" s="1" t="s">
        <v>15</v>
      </c>
      <c r="H564"/>
      <c r="I564"/>
    </row>
    <row r="565" spans="1:9" ht="15" x14ac:dyDescent="0.25">
      <c r="A565" s="1">
        <v>564</v>
      </c>
      <c r="B565" s="1">
        <v>11</v>
      </c>
      <c r="C565" s="1">
        <v>3</v>
      </c>
      <c r="D565" s="1" t="s">
        <v>143</v>
      </c>
      <c r="E565" s="1" t="s">
        <v>15</v>
      </c>
      <c r="H565"/>
      <c r="I565"/>
    </row>
    <row r="566" spans="1:9" ht="15" x14ac:dyDescent="0.25">
      <c r="A566" s="1">
        <v>565</v>
      </c>
      <c r="B566" s="1">
        <v>11</v>
      </c>
      <c r="C566" s="1">
        <v>3</v>
      </c>
      <c r="D566" s="1" t="s">
        <v>143</v>
      </c>
      <c r="E566" s="1" t="s">
        <v>15</v>
      </c>
      <c r="H566"/>
      <c r="I566"/>
    </row>
    <row r="567" spans="1:9" ht="15" x14ac:dyDescent="0.25">
      <c r="A567" s="1">
        <v>566</v>
      </c>
      <c r="B567" s="1">
        <v>11</v>
      </c>
      <c r="C567" s="1">
        <v>3</v>
      </c>
      <c r="D567" s="1" t="s">
        <v>143</v>
      </c>
      <c r="E567" s="1" t="s">
        <v>15</v>
      </c>
      <c r="H567"/>
      <c r="I567"/>
    </row>
    <row r="568" spans="1:9" ht="15" x14ac:dyDescent="0.25">
      <c r="A568" s="1">
        <v>567</v>
      </c>
      <c r="B568" s="1">
        <v>11</v>
      </c>
      <c r="C568" s="1">
        <v>3</v>
      </c>
      <c r="D568" s="1" t="s">
        <v>143</v>
      </c>
      <c r="E568" s="1" t="s">
        <v>15</v>
      </c>
      <c r="H568"/>
      <c r="I568"/>
    </row>
    <row r="569" spans="1:9" ht="15" x14ac:dyDescent="0.25">
      <c r="A569" s="1">
        <v>568</v>
      </c>
      <c r="B569" s="1">
        <v>11</v>
      </c>
      <c r="C569" s="1">
        <v>3</v>
      </c>
      <c r="D569" s="1" t="s">
        <v>143</v>
      </c>
      <c r="E569" s="1" t="s">
        <v>15</v>
      </c>
      <c r="H569"/>
      <c r="I569"/>
    </row>
    <row r="570" spans="1:9" ht="15" x14ac:dyDescent="0.25">
      <c r="A570" s="1">
        <v>569</v>
      </c>
      <c r="B570" s="1">
        <v>11</v>
      </c>
      <c r="C570" s="1">
        <v>3</v>
      </c>
      <c r="D570" s="1" t="s">
        <v>143</v>
      </c>
      <c r="E570" s="1" t="s">
        <v>15</v>
      </c>
      <c r="H570"/>
      <c r="I570"/>
    </row>
    <row r="571" spans="1:9" ht="15" x14ac:dyDescent="0.25">
      <c r="A571" s="1">
        <v>570</v>
      </c>
      <c r="B571" s="1">
        <v>11</v>
      </c>
      <c r="C571" s="1">
        <v>3</v>
      </c>
      <c r="D571" s="1" t="s">
        <v>143</v>
      </c>
      <c r="E571" s="1" t="s">
        <v>15</v>
      </c>
      <c r="H571"/>
      <c r="I571"/>
    </row>
    <row r="572" spans="1:9" ht="15" x14ac:dyDescent="0.25">
      <c r="A572" s="1">
        <v>571</v>
      </c>
      <c r="B572" s="1">
        <v>11</v>
      </c>
      <c r="C572" s="1">
        <v>3</v>
      </c>
      <c r="D572" s="1" t="s">
        <v>143</v>
      </c>
      <c r="E572" s="1" t="s">
        <v>15</v>
      </c>
      <c r="H572"/>
      <c r="I572"/>
    </row>
    <row r="573" spans="1:9" ht="15" x14ac:dyDescent="0.25">
      <c r="A573" s="1">
        <v>572</v>
      </c>
      <c r="B573" s="1">
        <v>11</v>
      </c>
      <c r="C573" s="1">
        <v>3</v>
      </c>
      <c r="D573" s="1" t="s">
        <v>143</v>
      </c>
      <c r="E573" s="1" t="s">
        <v>15</v>
      </c>
      <c r="H573"/>
      <c r="I573"/>
    </row>
    <row r="574" spans="1:9" ht="15" x14ac:dyDescent="0.25">
      <c r="A574" s="1">
        <v>573</v>
      </c>
      <c r="B574" s="1">
        <v>11</v>
      </c>
      <c r="C574" s="1">
        <v>3</v>
      </c>
      <c r="D574" s="1" t="s">
        <v>143</v>
      </c>
      <c r="E574" s="1" t="s">
        <v>15</v>
      </c>
      <c r="H574"/>
      <c r="I574"/>
    </row>
    <row r="575" spans="1:9" ht="15" x14ac:dyDescent="0.25">
      <c r="A575" s="1">
        <v>574</v>
      </c>
      <c r="B575" s="1">
        <v>11</v>
      </c>
      <c r="C575" s="1">
        <v>3</v>
      </c>
      <c r="D575" s="1" t="s">
        <v>143</v>
      </c>
      <c r="E575" s="1" t="s">
        <v>15</v>
      </c>
      <c r="H575"/>
      <c r="I575"/>
    </row>
    <row r="576" spans="1:9" ht="15" x14ac:dyDescent="0.25">
      <c r="A576" s="1">
        <v>575</v>
      </c>
      <c r="B576" s="1">
        <v>11</v>
      </c>
      <c r="C576" s="1">
        <v>3</v>
      </c>
      <c r="D576" s="1" t="s">
        <v>143</v>
      </c>
      <c r="E576" s="1" t="s">
        <v>15</v>
      </c>
      <c r="H576"/>
      <c r="I576"/>
    </row>
    <row r="577" spans="1:9" ht="15" x14ac:dyDescent="0.25">
      <c r="A577" s="1">
        <v>576</v>
      </c>
      <c r="B577" s="1">
        <v>11</v>
      </c>
      <c r="C577" s="1">
        <v>3</v>
      </c>
      <c r="D577" s="1" t="s">
        <v>143</v>
      </c>
      <c r="E577" s="1" t="s">
        <v>15</v>
      </c>
      <c r="H577"/>
      <c r="I577"/>
    </row>
    <row r="578" spans="1:9" ht="15" x14ac:dyDescent="0.25">
      <c r="A578" s="1">
        <v>577</v>
      </c>
      <c r="B578" s="1">
        <v>11</v>
      </c>
      <c r="C578" s="1">
        <v>3</v>
      </c>
      <c r="D578" s="1" t="s">
        <v>143</v>
      </c>
      <c r="E578" s="1" t="s">
        <v>15</v>
      </c>
      <c r="H578"/>
      <c r="I578"/>
    </row>
    <row r="579" spans="1:9" ht="15" x14ac:dyDescent="0.25">
      <c r="A579" s="1">
        <v>578</v>
      </c>
      <c r="B579" s="1">
        <v>11</v>
      </c>
      <c r="C579" s="1">
        <v>3</v>
      </c>
      <c r="D579" s="1" t="s">
        <v>143</v>
      </c>
      <c r="E579" s="1" t="s">
        <v>15</v>
      </c>
      <c r="H579"/>
      <c r="I579"/>
    </row>
    <row r="580" spans="1:9" ht="15" x14ac:dyDescent="0.25">
      <c r="A580" s="1">
        <v>579</v>
      </c>
      <c r="B580" s="1">
        <v>11</v>
      </c>
      <c r="C580" s="1">
        <v>3</v>
      </c>
      <c r="D580" s="1" t="s">
        <v>143</v>
      </c>
      <c r="E580" s="1" t="s">
        <v>15</v>
      </c>
      <c r="H580"/>
      <c r="I580"/>
    </row>
    <row r="581" spans="1:9" ht="15" x14ac:dyDescent="0.25">
      <c r="A581" s="1">
        <v>580</v>
      </c>
      <c r="B581" s="1">
        <v>11</v>
      </c>
      <c r="C581" s="1">
        <v>3</v>
      </c>
      <c r="D581" s="1" t="s">
        <v>143</v>
      </c>
      <c r="E581" s="1" t="s">
        <v>15</v>
      </c>
      <c r="H581"/>
      <c r="I581"/>
    </row>
    <row r="582" spans="1:9" ht="15" x14ac:dyDescent="0.25">
      <c r="A582" s="1">
        <v>581</v>
      </c>
      <c r="B582" s="1">
        <v>12</v>
      </c>
      <c r="C582" s="1">
        <v>3</v>
      </c>
      <c r="D582" s="1" t="s">
        <v>142</v>
      </c>
      <c r="E582" s="1" t="s">
        <v>15</v>
      </c>
      <c r="H582"/>
      <c r="I582"/>
    </row>
    <row r="583" spans="1:9" ht="15" x14ac:dyDescent="0.25">
      <c r="A583" s="1">
        <v>582</v>
      </c>
      <c r="B583" s="1">
        <v>12</v>
      </c>
      <c r="C583" s="1">
        <v>3</v>
      </c>
      <c r="D583" s="1" t="s">
        <v>142</v>
      </c>
      <c r="E583" s="1" t="s">
        <v>15</v>
      </c>
      <c r="H583"/>
      <c r="I583"/>
    </row>
    <row r="584" spans="1:9" ht="15" x14ac:dyDescent="0.25">
      <c r="A584" s="1">
        <v>583</v>
      </c>
      <c r="B584" s="1">
        <v>12</v>
      </c>
      <c r="C584" s="1">
        <v>3</v>
      </c>
      <c r="D584" s="1" t="s">
        <v>142</v>
      </c>
      <c r="E584" s="1" t="s">
        <v>15</v>
      </c>
      <c r="H584"/>
      <c r="I584"/>
    </row>
    <row r="585" spans="1:9" ht="15" x14ac:dyDescent="0.25">
      <c r="A585" s="1">
        <v>584</v>
      </c>
      <c r="B585" s="1">
        <v>12</v>
      </c>
      <c r="C585" s="1">
        <v>3</v>
      </c>
      <c r="D585" s="1" t="s">
        <v>142</v>
      </c>
      <c r="E585" s="1" t="s">
        <v>15</v>
      </c>
      <c r="H585"/>
      <c r="I585"/>
    </row>
    <row r="586" spans="1:9" ht="15" x14ac:dyDescent="0.25">
      <c r="A586" s="1">
        <v>585</v>
      </c>
      <c r="B586" s="1">
        <v>12</v>
      </c>
      <c r="C586" s="1">
        <v>3</v>
      </c>
      <c r="D586" s="1" t="s">
        <v>142</v>
      </c>
      <c r="E586" s="1" t="s">
        <v>15</v>
      </c>
      <c r="H586"/>
      <c r="I586"/>
    </row>
    <row r="587" spans="1:9" ht="15" x14ac:dyDescent="0.25">
      <c r="A587" s="1">
        <v>586</v>
      </c>
      <c r="B587" s="1">
        <v>12</v>
      </c>
      <c r="C587" s="1">
        <v>3</v>
      </c>
      <c r="D587" s="1" t="s">
        <v>142</v>
      </c>
      <c r="E587" s="1" t="s">
        <v>15</v>
      </c>
      <c r="H587"/>
      <c r="I587"/>
    </row>
    <row r="588" spans="1:9" ht="15" x14ac:dyDescent="0.25">
      <c r="A588" s="1">
        <v>587</v>
      </c>
      <c r="B588" s="1">
        <v>12</v>
      </c>
      <c r="C588" s="1">
        <v>3</v>
      </c>
      <c r="D588" s="1" t="s">
        <v>142</v>
      </c>
      <c r="E588" s="1" t="s">
        <v>15</v>
      </c>
      <c r="H588"/>
      <c r="I588"/>
    </row>
    <row r="589" spans="1:9" ht="15" x14ac:dyDescent="0.25">
      <c r="A589" s="1">
        <v>588</v>
      </c>
      <c r="B589" s="1">
        <v>12</v>
      </c>
      <c r="C589" s="1">
        <v>3</v>
      </c>
      <c r="D589" s="1" t="s">
        <v>142</v>
      </c>
      <c r="E589" s="1" t="s">
        <v>15</v>
      </c>
      <c r="H589"/>
      <c r="I589"/>
    </row>
    <row r="590" spans="1:9" ht="15" x14ac:dyDescent="0.25">
      <c r="A590" s="1">
        <v>589</v>
      </c>
      <c r="B590" s="1">
        <v>12</v>
      </c>
      <c r="C590" s="1">
        <v>3</v>
      </c>
      <c r="D590" s="1" t="s">
        <v>142</v>
      </c>
      <c r="E590" s="1" t="s">
        <v>15</v>
      </c>
      <c r="H590"/>
      <c r="I590"/>
    </row>
    <row r="591" spans="1:9" ht="15" x14ac:dyDescent="0.25">
      <c r="A591" s="1">
        <v>590</v>
      </c>
      <c r="B591" s="1">
        <v>12</v>
      </c>
      <c r="C591" s="1">
        <v>3</v>
      </c>
      <c r="D591" s="1" t="s">
        <v>142</v>
      </c>
      <c r="E591" s="1" t="s">
        <v>15</v>
      </c>
      <c r="H591"/>
      <c r="I591"/>
    </row>
    <row r="592" spans="1:9" ht="15" x14ac:dyDescent="0.25">
      <c r="A592" s="1">
        <v>591</v>
      </c>
      <c r="B592" s="1">
        <v>12</v>
      </c>
      <c r="C592" s="1">
        <v>3</v>
      </c>
      <c r="D592" s="1" t="s">
        <v>142</v>
      </c>
      <c r="E592" s="1" t="s">
        <v>15</v>
      </c>
      <c r="H592"/>
      <c r="I592"/>
    </row>
    <row r="593" spans="1:9" ht="15" x14ac:dyDescent="0.25">
      <c r="A593" s="1">
        <v>592</v>
      </c>
      <c r="B593" s="1">
        <v>12</v>
      </c>
      <c r="C593" s="1">
        <v>3</v>
      </c>
      <c r="D593" s="1" t="s">
        <v>142</v>
      </c>
      <c r="E593" s="1" t="s">
        <v>15</v>
      </c>
      <c r="H593"/>
      <c r="I593"/>
    </row>
    <row r="594" spans="1:9" ht="15" x14ac:dyDescent="0.25">
      <c r="A594" s="1">
        <v>593</v>
      </c>
      <c r="B594" s="1">
        <v>12</v>
      </c>
      <c r="C594" s="1">
        <v>3</v>
      </c>
      <c r="D594" s="1" t="s">
        <v>142</v>
      </c>
      <c r="E594" s="1" t="s">
        <v>15</v>
      </c>
      <c r="H594"/>
      <c r="I594"/>
    </row>
    <row r="595" spans="1:9" ht="15" x14ac:dyDescent="0.25">
      <c r="A595" s="1">
        <v>594</v>
      </c>
      <c r="B595" s="1">
        <v>12</v>
      </c>
      <c r="C595" s="1">
        <v>3</v>
      </c>
      <c r="D595" s="1" t="s">
        <v>142</v>
      </c>
      <c r="E595" s="1" t="s">
        <v>15</v>
      </c>
      <c r="H595"/>
      <c r="I595"/>
    </row>
    <row r="596" spans="1:9" ht="15" x14ac:dyDescent="0.25">
      <c r="A596" s="1">
        <v>595</v>
      </c>
      <c r="B596" s="1">
        <v>12</v>
      </c>
      <c r="C596" s="1">
        <v>3</v>
      </c>
      <c r="D596" s="1" t="s">
        <v>142</v>
      </c>
      <c r="E596" s="1" t="s">
        <v>15</v>
      </c>
      <c r="H596"/>
      <c r="I596"/>
    </row>
    <row r="597" spans="1:9" ht="15" x14ac:dyDescent="0.25">
      <c r="A597" s="1">
        <v>596</v>
      </c>
      <c r="B597" s="1">
        <v>12</v>
      </c>
      <c r="C597" s="1">
        <v>3</v>
      </c>
      <c r="D597" s="1" t="s">
        <v>142</v>
      </c>
      <c r="E597" s="1" t="s">
        <v>15</v>
      </c>
      <c r="H597"/>
      <c r="I597"/>
    </row>
    <row r="598" spans="1:9" ht="15" x14ac:dyDescent="0.25">
      <c r="A598" s="1">
        <v>597</v>
      </c>
      <c r="B598" s="1">
        <v>12</v>
      </c>
      <c r="C598" s="1">
        <v>3</v>
      </c>
      <c r="D598" s="1" t="s">
        <v>142</v>
      </c>
      <c r="E598" s="1" t="s">
        <v>15</v>
      </c>
      <c r="H598"/>
      <c r="I598"/>
    </row>
    <row r="599" spans="1:9" ht="15" x14ac:dyDescent="0.25">
      <c r="A599" s="1">
        <v>598</v>
      </c>
      <c r="B599" s="1">
        <v>12</v>
      </c>
      <c r="C599" s="1">
        <v>3</v>
      </c>
      <c r="D599" s="1" t="s">
        <v>142</v>
      </c>
      <c r="E599" s="1" t="s">
        <v>15</v>
      </c>
      <c r="H599"/>
      <c r="I599"/>
    </row>
    <row r="600" spans="1:9" ht="15" x14ac:dyDescent="0.25">
      <c r="A600" s="1">
        <v>599</v>
      </c>
      <c r="B600" s="1">
        <v>12</v>
      </c>
      <c r="C600" s="1">
        <v>3</v>
      </c>
      <c r="D600" s="1" t="s">
        <v>142</v>
      </c>
      <c r="E600" s="1" t="s">
        <v>15</v>
      </c>
      <c r="H600"/>
      <c r="I600"/>
    </row>
    <row r="601" spans="1:9" ht="15" x14ac:dyDescent="0.25">
      <c r="A601" s="1">
        <v>600</v>
      </c>
      <c r="B601" s="1">
        <v>12</v>
      </c>
      <c r="C601" s="1">
        <v>3</v>
      </c>
      <c r="D601" s="1" t="s">
        <v>142</v>
      </c>
      <c r="E601" s="1" t="s">
        <v>15</v>
      </c>
      <c r="H601"/>
      <c r="I601"/>
    </row>
    <row r="602" spans="1:9" ht="15" x14ac:dyDescent="0.25">
      <c r="A602" s="1">
        <v>601</v>
      </c>
      <c r="B602" s="1">
        <v>12</v>
      </c>
      <c r="C602" s="1">
        <v>3</v>
      </c>
      <c r="D602" s="1" t="s">
        <v>142</v>
      </c>
      <c r="E602" s="1" t="s">
        <v>15</v>
      </c>
      <c r="H602"/>
      <c r="I602"/>
    </row>
    <row r="603" spans="1:9" ht="15" x14ac:dyDescent="0.25">
      <c r="A603" s="1">
        <v>602</v>
      </c>
      <c r="B603" s="1">
        <v>12</v>
      </c>
      <c r="C603" s="1">
        <v>3</v>
      </c>
      <c r="D603" s="1" t="s">
        <v>142</v>
      </c>
      <c r="E603" s="1" t="s">
        <v>15</v>
      </c>
      <c r="H603"/>
      <c r="I603"/>
    </row>
    <row r="604" spans="1:9" ht="15" x14ac:dyDescent="0.25">
      <c r="A604" s="1">
        <v>603</v>
      </c>
      <c r="B604" s="1">
        <v>12</v>
      </c>
      <c r="C604" s="1">
        <v>3</v>
      </c>
      <c r="D604" s="1" t="s">
        <v>142</v>
      </c>
      <c r="E604" s="1" t="s">
        <v>15</v>
      </c>
      <c r="H604"/>
      <c r="I604"/>
    </row>
    <row r="605" spans="1:9" ht="15" x14ac:dyDescent="0.25">
      <c r="A605" s="1">
        <v>604</v>
      </c>
      <c r="B605" s="1">
        <v>12</v>
      </c>
      <c r="C605" s="1">
        <v>3</v>
      </c>
      <c r="D605" s="1" t="s">
        <v>142</v>
      </c>
      <c r="E605" s="1" t="s">
        <v>15</v>
      </c>
      <c r="H605"/>
      <c r="I605"/>
    </row>
    <row r="606" spans="1:9" ht="15" x14ac:dyDescent="0.25">
      <c r="A606" s="1">
        <v>605</v>
      </c>
      <c r="B606" s="1">
        <v>12</v>
      </c>
      <c r="C606" s="1">
        <v>3</v>
      </c>
      <c r="D606" s="1" t="s">
        <v>142</v>
      </c>
      <c r="E606" s="1" t="s">
        <v>15</v>
      </c>
      <c r="H606"/>
      <c r="I606"/>
    </row>
    <row r="607" spans="1:9" ht="15" x14ac:dyDescent="0.25">
      <c r="A607" s="1">
        <v>606</v>
      </c>
      <c r="B607" s="1">
        <v>12</v>
      </c>
      <c r="C607" s="1">
        <v>3</v>
      </c>
      <c r="D607" s="1" t="s">
        <v>142</v>
      </c>
      <c r="E607" s="1" t="s">
        <v>15</v>
      </c>
      <c r="H607"/>
      <c r="I607"/>
    </row>
    <row r="608" spans="1:9" ht="15" x14ac:dyDescent="0.25">
      <c r="A608" s="1">
        <v>607</v>
      </c>
      <c r="B608" s="1">
        <v>12</v>
      </c>
      <c r="C608" s="1">
        <v>3</v>
      </c>
      <c r="D608" s="1" t="s">
        <v>142</v>
      </c>
      <c r="E608" s="1" t="s">
        <v>15</v>
      </c>
      <c r="H608"/>
      <c r="I608"/>
    </row>
    <row r="609" spans="1:9" ht="15" x14ac:dyDescent="0.25">
      <c r="A609" s="1">
        <v>608</v>
      </c>
      <c r="B609" s="1">
        <v>12</v>
      </c>
      <c r="C609" s="1">
        <v>3</v>
      </c>
      <c r="D609" s="1" t="s">
        <v>142</v>
      </c>
      <c r="E609" s="1" t="s">
        <v>15</v>
      </c>
      <c r="H609"/>
      <c r="I609"/>
    </row>
    <row r="610" spans="1:9" ht="15" x14ac:dyDescent="0.25">
      <c r="A610" s="1">
        <v>609</v>
      </c>
      <c r="B610" s="1">
        <v>12</v>
      </c>
      <c r="C610" s="1">
        <v>3</v>
      </c>
      <c r="D610" s="1" t="s">
        <v>142</v>
      </c>
      <c r="E610" s="1" t="s">
        <v>15</v>
      </c>
      <c r="H610"/>
      <c r="I610"/>
    </row>
    <row r="611" spans="1:9" ht="15" x14ac:dyDescent="0.25">
      <c r="A611" s="1">
        <v>610</v>
      </c>
      <c r="B611" s="1">
        <v>12</v>
      </c>
      <c r="C611" s="1">
        <v>3</v>
      </c>
      <c r="D611" s="1" t="s">
        <v>142</v>
      </c>
      <c r="E611" s="1" t="s">
        <v>15</v>
      </c>
      <c r="H611"/>
      <c r="I611"/>
    </row>
    <row r="612" spans="1:9" ht="15" x14ac:dyDescent="0.25">
      <c r="A612" s="1">
        <v>611</v>
      </c>
      <c r="B612" s="1">
        <v>12</v>
      </c>
      <c r="C612" s="1">
        <v>3</v>
      </c>
      <c r="D612" s="1" t="s">
        <v>142</v>
      </c>
      <c r="E612" s="1" t="s">
        <v>15</v>
      </c>
      <c r="H612"/>
      <c r="I612"/>
    </row>
    <row r="613" spans="1:9" ht="15" x14ac:dyDescent="0.25">
      <c r="A613" s="1">
        <v>612</v>
      </c>
      <c r="B613" s="1">
        <v>12</v>
      </c>
      <c r="C613" s="1">
        <v>3</v>
      </c>
      <c r="D613" s="1" t="s">
        <v>142</v>
      </c>
      <c r="E613" s="1" t="s">
        <v>15</v>
      </c>
      <c r="H613"/>
      <c r="I613"/>
    </row>
    <row r="614" spans="1:9" ht="15" x14ac:dyDescent="0.25">
      <c r="A614" s="1">
        <v>613</v>
      </c>
      <c r="B614" s="1">
        <v>12</v>
      </c>
      <c r="C614" s="1">
        <v>3</v>
      </c>
      <c r="D614" s="1" t="s">
        <v>142</v>
      </c>
      <c r="E614" s="1" t="s">
        <v>15</v>
      </c>
      <c r="H614"/>
      <c r="I614"/>
    </row>
    <row r="615" spans="1:9" ht="15" x14ac:dyDescent="0.25">
      <c r="A615" s="1">
        <v>614</v>
      </c>
      <c r="B615" s="1">
        <v>12</v>
      </c>
      <c r="C615" s="1">
        <v>3</v>
      </c>
      <c r="D615" s="1" t="s">
        <v>142</v>
      </c>
      <c r="E615" s="1" t="s">
        <v>15</v>
      </c>
      <c r="H615"/>
      <c r="I615"/>
    </row>
    <row r="616" spans="1:9" ht="15" x14ac:dyDescent="0.25">
      <c r="A616" s="1">
        <v>615</v>
      </c>
      <c r="B616" s="1">
        <v>12</v>
      </c>
      <c r="C616" s="1">
        <v>3</v>
      </c>
      <c r="D616" s="1" t="s">
        <v>142</v>
      </c>
      <c r="E616" s="1" t="s">
        <v>15</v>
      </c>
      <c r="H616"/>
      <c r="I616"/>
    </row>
    <row r="617" spans="1:9" ht="15" x14ac:dyDescent="0.25">
      <c r="A617" s="1">
        <v>616</v>
      </c>
      <c r="B617" s="1">
        <v>12</v>
      </c>
      <c r="C617" s="1">
        <v>3</v>
      </c>
      <c r="D617" s="1" t="s">
        <v>142</v>
      </c>
      <c r="E617" s="1" t="s">
        <v>15</v>
      </c>
      <c r="H617"/>
      <c r="I617"/>
    </row>
    <row r="618" spans="1:9" ht="15" x14ac:dyDescent="0.25">
      <c r="A618" s="1">
        <v>617</v>
      </c>
      <c r="B618" s="1">
        <v>12</v>
      </c>
      <c r="C618" s="1">
        <v>3</v>
      </c>
      <c r="D618" s="1" t="s">
        <v>142</v>
      </c>
      <c r="E618" s="1" t="s">
        <v>15</v>
      </c>
      <c r="H618"/>
      <c r="I618"/>
    </row>
    <row r="619" spans="1:9" ht="15" x14ac:dyDescent="0.25">
      <c r="A619" s="1">
        <v>618</v>
      </c>
      <c r="B619" s="1">
        <v>12</v>
      </c>
      <c r="C619" s="1">
        <v>3</v>
      </c>
      <c r="D619" s="1" t="s">
        <v>142</v>
      </c>
      <c r="E619" s="1" t="s">
        <v>15</v>
      </c>
      <c r="H619"/>
      <c r="I619"/>
    </row>
    <row r="620" spans="1:9" ht="15" x14ac:dyDescent="0.25">
      <c r="A620" s="1">
        <v>619</v>
      </c>
      <c r="B620" s="1">
        <v>12</v>
      </c>
      <c r="C620" s="1">
        <v>3</v>
      </c>
      <c r="D620" s="1" t="s">
        <v>142</v>
      </c>
      <c r="E620" s="1" t="s">
        <v>15</v>
      </c>
      <c r="H620"/>
      <c r="I620"/>
    </row>
    <row r="621" spans="1:9" ht="15" x14ac:dyDescent="0.25">
      <c r="A621" s="1">
        <v>620</v>
      </c>
      <c r="B621" s="1">
        <v>12</v>
      </c>
      <c r="C621" s="1">
        <v>3</v>
      </c>
      <c r="D621" s="1" t="s">
        <v>142</v>
      </c>
      <c r="E621" s="1" t="s">
        <v>15</v>
      </c>
      <c r="H621"/>
      <c r="I621"/>
    </row>
    <row r="622" spans="1:9" ht="15" x14ac:dyDescent="0.25">
      <c r="A622" s="1">
        <v>621</v>
      </c>
      <c r="B622" s="1">
        <v>12</v>
      </c>
      <c r="C622" s="1">
        <v>3</v>
      </c>
      <c r="D622" s="1" t="s">
        <v>142</v>
      </c>
      <c r="E622" s="1" t="s">
        <v>15</v>
      </c>
      <c r="H622"/>
      <c r="I622"/>
    </row>
    <row r="623" spans="1:9" ht="15" x14ac:dyDescent="0.25">
      <c r="A623" s="1">
        <v>622</v>
      </c>
      <c r="B623" s="1">
        <v>12</v>
      </c>
      <c r="C623" s="1">
        <v>3</v>
      </c>
      <c r="D623" s="1" t="s">
        <v>142</v>
      </c>
      <c r="E623" s="1" t="s">
        <v>15</v>
      </c>
      <c r="H623"/>
      <c r="I623"/>
    </row>
    <row r="624" spans="1:9" ht="15" x14ac:dyDescent="0.25">
      <c r="A624" s="1">
        <v>623</v>
      </c>
      <c r="B624" s="1">
        <v>12</v>
      </c>
      <c r="C624" s="1">
        <v>3</v>
      </c>
      <c r="D624" s="1" t="s">
        <v>142</v>
      </c>
      <c r="E624" s="1" t="s">
        <v>15</v>
      </c>
      <c r="H624"/>
      <c r="I624"/>
    </row>
    <row r="625" spans="1:9" ht="15" x14ac:dyDescent="0.25">
      <c r="A625" s="1">
        <v>624</v>
      </c>
      <c r="B625" s="1">
        <v>12</v>
      </c>
      <c r="C625" s="1">
        <v>3</v>
      </c>
      <c r="D625" s="1" t="s">
        <v>142</v>
      </c>
      <c r="E625" s="1" t="s">
        <v>15</v>
      </c>
      <c r="H625"/>
      <c r="I625"/>
    </row>
    <row r="626" spans="1:9" ht="15" x14ac:dyDescent="0.25">
      <c r="A626" s="1">
        <v>625</v>
      </c>
      <c r="B626" s="1">
        <v>12</v>
      </c>
      <c r="C626" s="1">
        <v>3</v>
      </c>
      <c r="D626" s="1" t="s">
        <v>142</v>
      </c>
      <c r="E626" s="1" t="s">
        <v>15</v>
      </c>
      <c r="H626"/>
      <c r="I626"/>
    </row>
    <row r="627" spans="1:9" ht="15" x14ac:dyDescent="0.25">
      <c r="A627" s="1">
        <v>626</v>
      </c>
      <c r="B627" s="1">
        <v>12</v>
      </c>
      <c r="C627" s="1">
        <v>3</v>
      </c>
      <c r="D627" s="1" t="s">
        <v>142</v>
      </c>
      <c r="E627" s="1" t="s">
        <v>15</v>
      </c>
      <c r="H627"/>
      <c r="I627"/>
    </row>
    <row r="628" spans="1:9" ht="15" x14ac:dyDescent="0.25">
      <c r="A628" s="1">
        <v>627</v>
      </c>
      <c r="B628" s="1">
        <v>12</v>
      </c>
      <c r="C628" s="1">
        <v>3</v>
      </c>
      <c r="D628" s="1" t="s">
        <v>142</v>
      </c>
      <c r="E628" s="1" t="s">
        <v>15</v>
      </c>
      <c r="H628"/>
      <c r="I628"/>
    </row>
    <row r="629" spans="1:9" ht="15" x14ac:dyDescent="0.25">
      <c r="A629" s="1">
        <v>628</v>
      </c>
      <c r="B629" s="1">
        <v>12</v>
      </c>
      <c r="C629" s="1">
        <v>3</v>
      </c>
      <c r="D629" s="1" t="s">
        <v>142</v>
      </c>
      <c r="E629" s="1" t="s">
        <v>15</v>
      </c>
      <c r="H629"/>
      <c r="I629"/>
    </row>
    <row r="630" spans="1:9" ht="15" x14ac:dyDescent="0.25">
      <c r="A630" s="1">
        <v>629</v>
      </c>
      <c r="B630" s="1">
        <v>12</v>
      </c>
      <c r="C630" s="1">
        <v>3</v>
      </c>
      <c r="D630" s="1" t="s">
        <v>142</v>
      </c>
      <c r="E630" s="1" t="s">
        <v>15</v>
      </c>
      <c r="H630"/>
      <c r="I630"/>
    </row>
    <row r="631" spans="1:9" ht="15" x14ac:dyDescent="0.25">
      <c r="A631" s="1">
        <v>630</v>
      </c>
      <c r="B631" s="1">
        <v>12</v>
      </c>
      <c r="C631" s="1">
        <v>3</v>
      </c>
      <c r="D631" s="1" t="s">
        <v>142</v>
      </c>
      <c r="E631" s="1" t="s">
        <v>15</v>
      </c>
      <c r="H631"/>
      <c r="I631"/>
    </row>
    <row r="632" spans="1:9" ht="15" x14ac:dyDescent="0.25">
      <c r="A632" s="1">
        <v>631</v>
      </c>
      <c r="B632" s="1">
        <v>12</v>
      </c>
      <c r="C632" s="1">
        <v>3</v>
      </c>
      <c r="D632" s="1" t="s">
        <v>142</v>
      </c>
      <c r="E632" s="1" t="s">
        <v>15</v>
      </c>
      <c r="H632"/>
      <c r="I632"/>
    </row>
    <row r="633" spans="1:9" ht="15" x14ac:dyDescent="0.25">
      <c r="A633" s="1">
        <v>632</v>
      </c>
      <c r="B633" s="1">
        <v>12</v>
      </c>
      <c r="C633" s="1">
        <v>3</v>
      </c>
      <c r="D633" s="1" t="s">
        <v>142</v>
      </c>
      <c r="E633" s="1" t="s">
        <v>15</v>
      </c>
      <c r="H633"/>
      <c r="I633"/>
    </row>
    <row r="634" spans="1:9" ht="15" x14ac:dyDescent="0.25">
      <c r="A634" s="1">
        <v>633</v>
      </c>
      <c r="B634" s="1">
        <v>12</v>
      </c>
      <c r="C634" s="1">
        <v>3</v>
      </c>
      <c r="D634" s="1" t="s">
        <v>142</v>
      </c>
      <c r="E634" s="1" t="s">
        <v>15</v>
      </c>
      <c r="H634"/>
      <c r="I634"/>
    </row>
    <row r="635" spans="1:9" ht="15" x14ac:dyDescent="0.25">
      <c r="A635" s="1">
        <v>634</v>
      </c>
      <c r="B635" s="1">
        <v>12</v>
      </c>
      <c r="C635" s="1">
        <v>3</v>
      </c>
      <c r="D635" s="1" t="s">
        <v>142</v>
      </c>
      <c r="E635" s="1" t="s">
        <v>15</v>
      </c>
      <c r="H635"/>
      <c r="I635"/>
    </row>
    <row r="636" spans="1:9" ht="15" x14ac:dyDescent="0.25">
      <c r="A636" s="1">
        <v>635</v>
      </c>
      <c r="B636" s="1">
        <v>12</v>
      </c>
      <c r="C636" s="1">
        <v>3</v>
      </c>
      <c r="D636" s="1" t="s">
        <v>142</v>
      </c>
      <c r="E636" s="1" t="s">
        <v>15</v>
      </c>
      <c r="H636"/>
      <c r="I636"/>
    </row>
    <row r="637" spans="1:9" ht="15" x14ac:dyDescent="0.25">
      <c r="A637" s="1">
        <v>636</v>
      </c>
      <c r="B637" s="1">
        <v>12</v>
      </c>
      <c r="C637" s="1">
        <v>3</v>
      </c>
      <c r="D637" s="1" t="s">
        <v>142</v>
      </c>
      <c r="E637" s="1" t="s">
        <v>15</v>
      </c>
      <c r="H637"/>
      <c r="I637"/>
    </row>
    <row r="638" spans="1:9" ht="15" x14ac:dyDescent="0.25">
      <c r="A638" s="1">
        <v>637</v>
      </c>
      <c r="B638" s="1">
        <v>12</v>
      </c>
      <c r="C638" s="1">
        <v>3</v>
      </c>
      <c r="D638" s="1" t="s">
        <v>142</v>
      </c>
      <c r="E638" s="1" t="s">
        <v>15</v>
      </c>
      <c r="H638"/>
      <c r="I638"/>
    </row>
    <row r="639" spans="1:9" ht="15" x14ac:dyDescent="0.25">
      <c r="A639" s="1">
        <v>638</v>
      </c>
      <c r="B639" s="1">
        <v>12</v>
      </c>
      <c r="C639" s="1">
        <v>3</v>
      </c>
      <c r="D639" s="1" t="s">
        <v>142</v>
      </c>
      <c r="E639" s="1" t="s">
        <v>15</v>
      </c>
      <c r="H639"/>
      <c r="I639"/>
    </row>
    <row r="640" spans="1:9" ht="15" x14ac:dyDescent="0.25">
      <c r="A640" s="1">
        <v>639</v>
      </c>
      <c r="B640" s="1">
        <v>12</v>
      </c>
      <c r="C640" s="1">
        <v>3</v>
      </c>
      <c r="D640" s="1" t="s">
        <v>142</v>
      </c>
      <c r="E640" s="1" t="s">
        <v>15</v>
      </c>
      <c r="H640"/>
      <c r="I640"/>
    </row>
    <row r="641" spans="1:9" ht="15" x14ac:dyDescent="0.25">
      <c r="A641" s="1">
        <v>640</v>
      </c>
      <c r="B641" s="1">
        <v>12</v>
      </c>
      <c r="C641" s="1">
        <v>3</v>
      </c>
      <c r="D641" s="1" t="s">
        <v>142</v>
      </c>
      <c r="E641" s="1" t="s">
        <v>15</v>
      </c>
      <c r="H641"/>
      <c r="I641"/>
    </row>
    <row r="642" spans="1:9" ht="15" x14ac:dyDescent="0.25">
      <c r="A642" s="1">
        <v>641</v>
      </c>
      <c r="B642" s="1">
        <v>12</v>
      </c>
      <c r="C642" s="1">
        <v>3</v>
      </c>
      <c r="D642" s="1" t="s">
        <v>142</v>
      </c>
      <c r="E642" s="1" t="s">
        <v>15</v>
      </c>
      <c r="H642"/>
      <c r="I642"/>
    </row>
    <row r="643" spans="1:9" ht="15" x14ac:dyDescent="0.25">
      <c r="A643" s="1">
        <v>642</v>
      </c>
      <c r="B643" s="1">
        <v>12</v>
      </c>
      <c r="C643" s="1">
        <v>3</v>
      </c>
      <c r="D643" s="1" t="s">
        <v>142</v>
      </c>
      <c r="E643" s="1" t="s">
        <v>15</v>
      </c>
      <c r="H643"/>
      <c r="I643"/>
    </row>
    <row r="644" spans="1:9" ht="15" x14ac:dyDescent="0.25">
      <c r="A644" s="1">
        <v>643</v>
      </c>
      <c r="B644" s="1">
        <v>12</v>
      </c>
      <c r="C644" s="1">
        <v>3</v>
      </c>
      <c r="D644" s="1" t="s">
        <v>142</v>
      </c>
      <c r="E644" s="1" t="s">
        <v>15</v>
      </c>
      <c r="H644"/>
      <c r="I644"/>
    </row>
    <row r="645" spans="1:9" ht="15" x14ac:dyDescent="0.25">
      <c r="A645" s="1">
        <v>644</v>
      </c>
      <c r="B645" s="1">
        <v>12</v>
      </c>
      <c r="C645" s="1">
        <v>3</v>
      </c>
      <c r="D645" s="1" t="s">
        <v>142</v>
      </c>
      <c r="E645" s="1" t="s">
        <v>15</v>
      </c>
      <c r="H645"/>
      <c r="I645"/>
    </row>
    <row r="646" spans="1:9" ht="15" x14ac:dyDescent="0.25">
      <c r="A646" s="1">
        <v>645</v>
      </c>
      <c r="B646" s="1">
        <v>12</v>
      </c>
      <c r="C646" s="1">
        <v>3</v>
      </c>
      <c r="D646" s="1" t="s">
        <v>142</v>
      </c>
      <c r="E646" s="1" t="s">
        <v>15</v>
      </c>
      <c r="H646"/>
      <c r="I646"/>
    </row>
    <row r="647" spans="1:9" ht="15" x14ac:dyDescent="0.25">
      <c r="A647" s="1">
        <v>646</v>
      </c>
      <c r="B647" s="1">
        <v>12</v>
      </c>
      <c r="C647" s="1">
        <v>3</v>
      </c>
      <c r="D647" s="1" t="s">
        <v>142</v>
      </c>
      <c r="E647" s="1" t="s">
        <v>15</v>
      </c>
      <c r="H647"/>
      <c r="I647"/>
    </row>
    <row r="648" spans="1:9" ht="15" x14ac:dyDescent="0.25">
      <c r="A648" s="1">
        <v>647</v>
      </c>
      <c r="B648" s="1">
        <v>12</v>
      </c>
      <c r="C648" s="1">
        <v>3</v>
      </c>
      <c r="D648" s="1" t="s">
        <v>142</v>
      </c>
      <c r="E648" s="1" t="s">
        <v>15</v>
      </c>
      <c r="H648"/>
      <c r="I648"/>
    </row>
    <row r="649" spans="1:9" ht="15" x14ac:dyDescent="0.25">
      <c r="A649" s="1">
        <v>648</v>
      </c>
      <c r="B649" s="1">
        <v>12</v>
      </c>
      <c r="C649" s="1">
        <v>3</v>
      </c>
      <c r="D649" s="1" t="s">
        <v>142</v>
      </c>
      <c r="E649" s="1" t="s">
        <v>15</v>
      </c>
      <c r="H649"/>
      <c r="I649"/>
    </row>
    <row r="650" spans="1:9" ht="15" x14ac:dyDescent="0.25">
      <c r="A650" s="1">
        <v>649</v>
      </c>
      <c r="B650" s="1">
        <v>12</v>
      </c>
      <c r="C650" s="1">
        <v>3</v>
      </c>
      <c r="D650" s="1" t="s">
        <v>142</v>
      </c>
      <c r="E650" s="1" t="s">
        <v>15</v>
      </c>
      <c r="H650"/>
      <c r="I650"/>
    </row>
    <row r="651" spans="1:9" ht="15" x14ac:dyDescent="0.25">
      <c r="A651" s="1">
        <v>650</v>
      </c>
      <c r="B651" s="1">
        <v>12</v>
      </c>
      <c r="C651" s="1">
        <v>3</v>
      </c>
      <c r="D651" s="1" t="s">
        <v>142</v>
      </c>
      <c r="E651" s="1" t="s">
        <v>15</v>
      </c>
      <c r="H651"/>
      <c r="I651"/>
    </row>
    <row r="652" spans="1:9" ht="15" x14ac:dyDescent="0.25">
      <c r="A652" s="1">
        <v>651</v>
      </c>
      <c r="B652" s="1">
        <v>12</v>
      </c>
      <c r="C652" s="1">
        <v>3</v>
      </c>
      <c r="D652" s="1" t="s">
        <v>142</v>
      </c>
      <c r="E652" s="1" t="s">
        <v>15</v>
      </c>
      <c r="H652"/>
      <c r="I652"/>
    </row>
    <row r="653" spans="1:9" ht="15" x14ac:dyDescent="0.25">
      <c r="A653" s="1">
        <v>652</v>
      </c>
      <c r="B653" s="1">
        <v>12</v>
      </c>
      <c r="C653" s="1">
        <v>3</v>
      </c>
      <c r="D653" s="1" t="s">
        <v>142</v>
      </c>
      <c r="E653" s="1" t="s">
        <v>15</v>
      </c>
      <c r="H653"/>
      <c r="I653"/>
    </row>
    <row r="654" spans="1:9" ht="15" x14ac:dyDescent="0.25">
      <c r="A654" s="1">
        <v>653</v>
      </c>
      <c r="B654" s="1">
        <v>12</v>
      </c>
      <c r="C654" s="1">
        <v>3</v>
      </c>
      <c r="D654" s="1" t="s">
        <v>142</v>
      </c>
      <c r="E654" s="1" t="s">
        <v>15</v>
      </c>
      <c r="H654"/>
      <c r="I654"/>
    </row>
    <row r="655" spans="1:9" ht="15" x14ac:dyDescent="0.25">
      <c r="A655" s="1">
        <v>654</v>
      </c>
      <c r="B655" s="1">
        <v>12</v>
      </c>
      <c r="C655" s="1">
        <v>3</v>
      </c>
      <c r="D655" s="1" t="s">
        <v>142</v>
      </c>
      <c r="E655" s="1" t="s">
        <v>15</v>
      </c>
      <c r="H655"/>
      <c r="I655"/>
    </row>
    <row r="656" spans="1:9" ht="15" x14ac:dyDescent="0.25">
      <c r="A656" s="1">
        <v>655</v>
      </c>
      <c r="B656" s="1">
        <v>12</v>
      </c>
      <c r="C656" s="1">
        <v>3</v>
      </c>
      <c r="D656" s="1" t="s">
        <v>142</v>
      </c>
      <c r="E656" s="1" t="s">
        <v>15</v>
      </c>
      <c r="H656"/>
      <c r="I656"/>
    </row>
    <row r="657" spans="1:9" ht="15" x14ac:dyDescent="0.25">
      <c r="A657" s="1">
        <v>656</v>
      </c>
      <c r="B657" s="1">
        <v>13</v>
      </c>
      <c r="C657" s="1">
        <v>3</v>
      </c>
      <c r="D657" s="1" t="s">
        <v>141</v>
      </c>
      <c r="E657" s="1" t="s">
        <v>15</v>
      </c>
      <c r="H657"/>
      <c r="I657"/>
    </row>
    <row r="658" spans="1:9" ht="15" x14ac:dyDescent="0.25">
      <c r="A658" s="1">
        <v>657</v>
      </c>
      <c r="B658" s="1">
        <v>13</v>
      </c>
      <c r="C658" s="1">
        <v>3</v>
      </c>
      <c r="D658" s="1" t="s">
        <v>141</v>
      </c>
      <c r="E658" s="1" t="s">
        <v>15</v>
      </c>
      <c r="H658"/>
      <c r="I658"/>
    </row>
    <row r="659" spans="1:9" ht="15" x14ac:dyDescent="0.25">
      <c r="A659" s="1">
        <v>658</v>
      </c>
      <c r="B659" s="1">
        <v>13</v>
      </c>
      <c r="C659" s="1">
        <v>3</v>
      </c>
      <c r="D659" s="1" t="s">
        <v>141</v>
      </c>
      <c r="E659" s="1" t="s">
        <v>15</v>
      </c>
      <c r="H659"/>
      <c r="I659"/>
    </row>
    <row r="660" spans="1:9" ht="15" x14ac:dyDescent="0.25">
      <c r="A660" s="1">
        <v>659</v>
      </c>
      <c r="B660" s="1">
        <v>13</v>
      </c>
      <c r="C660" s="1">
        <v>3</v>
      </c>
      <c r="D660" s="1" t="s">
        <v>141</v>
      </c>
      <c r="E660" s="1" t="s">
        <v>15</v>
      </c>
      <c r="H660"/>
      <c r="I660"/>
    </row>
    <row r="661" spans="1:9" ht="15" x14ac:dyDescent="0.25">
      <c r="A661" s="1">
        <v>660</v>
      </c>
      <c r="B661" s="1">
        <v>13</v>
      </c>
      <c r="C661" s="1">
        <v>3</v>
      </c>
      <c r="D661" s="1" t="s">
        <v>141</v>
      </c>
      <c r="E661" s="1" t="s">
        <v>15</v>
      </c>
      <c r="H661"/>
      <c r="I661"/>
    </row>
    <row r="662" spans="1:9" ht="15" x14ac:dyDescent="0.25">
      <c r="A662" s="1">
        <v>661</v>
      </c>
      <c r="B662" s="1">
        <v>13</v>
      </c>
      <c r="C662" s="1">
        <v>3</v>
      </c>
      <c r="D662" s="1" t="s">
        <v>141</v>
      </c>
      <c r="E662" s="1" t="s">
        <v>15</v>
      </c>
      <c r="H662"/>
      <c r="I662"/>
    </row>
    <row r="663" spans="1:9" ht="15" x14ac:dyDescent="0.25">
      <c r="A663" s="1">
        <v>662</v>
      </c>
      <c r="B663" s="1">
        <v>13</v>
      </c>
      <c r="C663" s="1">
        <v>3</v>
      </c>
      <c r="D663" s="1" t="s">
        <v>141</v>
      </c>
      <c r="E663" s="1" t="s">
        <v>15</v>
      </c>
      <c r="H663"/>
      <c r="I663"/>
    </row>
    <row r="664" spans="1:9" ht="15" x14ac:dyDescent="0.25">
      <c r="A664" s="1">
        <v>663</v>
      </c>
      <c r="B664" s="1">
        <v>13</v>
      </c>
      <c r="C664" s="1">
        <v>3</v>
      </c>
      <c r="D664" s="1" t="s">
        <v>141</v>
      </c>
      <c r="E664" s="1" t="s">
        <v>15</v>
      </c>
      <c r="H664"/>
      <c r="I664"/>
    </row>
    <row r="665" spans="1:9" ht="15" x14ac:dyDescent="0.25">
      <c r="A665" s="1">
        <v>664</v>
      </c>
      <c r="B665" s="1">
        <v>13</v>
      </c>
      <c r="C665" s="1">
        <v>3</v>
      </c>
      <c r="D665" s="1" t="s">
        <v>141</v>
      </c>
      <c r="E665" s="1" t="s">
        <v>15</v>
      </c>
      <c r="H665"/>
      <c r="I665"/>
    </row>
    <row r="666" spans="1:9" ht="15" x14ac:dyDescent="0.25">
      <c r="A666" s="1">
        <v>665</v>
      </c>
      <c r="B666" s="1">
        <v>13</v>
      </c>
      <c r="C666" s="1">
        <v>3</v>
      </c>
      <c r="D666" s="1" t="s">
        <v>141</v>
      </c>
      <c r="E666" s="1" t="s">
        <v>15</v>
      </c>
      <c r="H666"/>
      <c r="I666"/>
    </row>
    <row r="667" spans="1:9" ht="15" x14ac:dyDescent="0.25">
      <c r="A667" s="1">
        <v>666</v>
      </c>
      <c r="B667" s="1">
        <v>13</v>
      </c>
      <c r="C667" s="1">
        <v>3</v>
      </c>
      <c r="D667" s="1" t="s">
        <v>141</v>
      </c>
      <c r="E667" s="1" t="s">
        <v>15</v>
      </c>
      <c r="H667"/>
      <c r="I667"/>
    </row>
    <row r="668" spans="1:9" ht="15" x14ac:dyDescent="0.25">
      <c r="A668" s="1">
        <v>667</v>
      </c>
      <c r="B668" s="1">
        <v>13</v>
      </c>
      <c r="C668" s="1">
        <v>3</v>
      </c>
      <c r="D668" s="1" t="s">
        <v>141</v>
      </c>
      <c r="E668" s="1" t="s">
        <v>15</v>
      </c>
      <c r="H668"/>
      <c r="I668"/>
    </row>
    <row r="669" spans="1:9" ht="15" x14ac:dyDescent="0.25">
      <c r="A669" s="1">
        <v>668</v>
      </c>
      <c r="B669" s="1">
        <v>13</v>
      </c>
      <c r="C669" s="1">
        <v>3</v>
      </c>
      <c r="D669" s="1" t="s">
        <v>141</v>
      </c>
      <c r="E669" s="1" t="s">
        <v>15</v>
      </c>
      <c r="H669"/>
      <c r="I669"/>
    </row>
    <row r="670" spans="1:9" ht="15" x14ac:dyDescent="0.25">
      <c r="A670" s="1">
        <v>669</v>
      </c>
      <c r="B670" s="1">
        <v>13</v>
      </c>
      <c r="C670" s="1">
        <v>3</v>
      </c>
      <c r="D670" s="1" t="s">
        <v>141</v>
      </c>
      <c r="E670" s="1" t="s">
        <v>15</v>
      </c>
      <c r="H670"/>
      <c r="I670"/>
    </row>
    <row r="671" spans="1:9" ht="15" x14ac:dyDescent="0.25">
      <c r="A671" s="1">
        <v>670</v>
      </c>
      <c r="B671" s="1">
        <v>13</v>
      </c>
      <c r="C671" s="1">
        <v>3</v>
      </c>
      <c r="D671" s="1" t="s">
        <v>141</v>
      </c>
      <c r="E671" s="1" t="s">
        <v>15</v>
      </c>
      <c r="H671"/>
      <c r="I671"/>
    </row>
    <row r="672" spans="1:9" ht="15" x14ac:dyDescent="0.25">
      <c r="A672" s="1">
        <v>671</v>
      </c>
      <c r="B672" s="1">
        <v>13</v>
      </c>
      <c r="C672" s="1">
        <v>3</v>
      </c>
      <c r="D672" s="1" t="s">
        <v>141</v>
      </c>
      <c r="E672" s="1" t="s">
        <v>15</v>
      </c>
      <c r="H672"/>
      <c r="I672"/>
    </row>
    <row r="673" spans="1:9" ht="15" x14ac:dyDescent="0.25">
      <c r="A673" s="1">
        <v>672</v>
      </c>
      <c r="B673" s="1">
        <v>13</v>
      </c>
      <c r="C673" s="1">
        <v>3</v>
      </c>
      <c r="D673" s="1" t="s">
        <v>141</v>
      </c>
      <c r="E673" s="1" t="s">
        <v>15</v>
      </c>
      <c r="H673"/>
      <c r="I673"/>
    </row>
    <row r="674" spans="1:9" ht="15" x14ac:dyDescent="0.25">
      <c r="A674" s="1">
        <v>673</v>
      </c>
      <c r="B674" s="1">
        <v>13</v>
      </c>
      <c r="C674" s="1">
        <v>3</v>
      </c>
      <c r="D674" s="1" t="s">
        <v>141</v>
      </c>
      <c r="E674" s="1" t="s">
        <v>15</v>
      </c>
      <c r="H674"/>
      <c r="I674"/>
    </row>
    <row r="675" spans="1:9" ht="15" x14ac:dyDescent="0.25">
      <c r="A675" s="1">
        <v>674</v>
      </c>
      <c r="B675" s="1">
        <v>13</v>
      </c>
      <c r="C675" s="1">
        <v>3</v>
      </c>
      <c r="D675" s="1" t="s">
        <v>141</v>
      </c>
      <c r="E675" s="1" t="s">
        <v>15</v>
      </c>
      <c r="H675"/>
      <c r="I675"/>
    </row>
    <row r="676" spans="1:9" ht="15" x14ac:dyDescent="0.25">
      <c r="A676" s="1">
        <v>675</v>
      </c>
      <c r="B676" s="1">
        <v>13</v>
      </c>
      <c r="C676" s="1">
        <v>3</v>
      </c>
      <c r="D676" s="1" t="s">
        <v>141</v>
      </c>
      <c r="E676" s="1" t="s">
        <v>15</v>
      </c>
      <c r="H676"/>
      <c r="I676"/>
    </row>
    <row r="677" spans="1:9" ht="15" x14ac:dyDescent="0.25">
      <c r="A677" s="1">
        <v>676</v>
      </c>
      <c r="B677" s="1">
        <v>13</v>
      </c>
      <c r="C677" s="1">
        <v>3</v>
      </c>
      <c r="D677" s="1" t="s">
        <v>141</v>
      </c>
      <c r="E677" s="1" t="s">
        <v>15</v>
      </c>
      <c r="H677"/>
      <c r="I677"/>
    </row>
    <row r="678" spans="1:9" ht="15" x14ac:dyDescent="0.25">
      <c r="A678" s="1">
        <v>677</v>
      </c>
      <c r="B678" s="1">
        <v>13</v>
      </c>
      <c r="C678" s="1">
        <v>3</v>
      </c>
      <c r="D678" s="1" t="s">
        <v>141</v>
      </c>
      <c r="E678" s="1" t="s">
        <v>15</v>
      </c>
      <c r="H678"/>
      <c r="I678"/>
    </row>
    <row r="679" spans="1:9" ht="15" x14ac:dyDescent="0.25">
      <c r="A679" s="1">
        <v>678</v>
      </c>
      <c r="B679" s="1">
        <v>13</v>
      </c>
      <c r="C679" s="1">
        <v>3</v>
      </c>
      <c r="D679" s="1" t="s">
        <v>141</v>
      </c>
      <c r="E679" s="1" t="s">
        <v>15</v>
      </c>
      <c r="H679"/>
      <c r="I679"/>
    </row>
    <row r="680" spans="1:9" ht="15" x14ac:dyDescent="0.25">
      <c r="A680" s="1">
        <v>679</v>
      </c>
      <c r="B680" s="1">
        <v>13</v>
      </c>
      <c r="C680" s="1">
        <v>3</v>
      </c>
      <c r="D680" s="1" t="s">
        <v>141</v>
      </c>
      <c r="E680" s="1" t="s">
        <v>15</v>
      </c>
      <c r="H680"/>
      <c r="I680"/>
    </row>
    <row r="681" spans="1:9" ht="15" x14ac:dyDescent="0.25">
      <c r="A681" s="1">
        <v>680</v>
      </c>
      <c r="B681" s="1">
        <v>13</v>
      </c>
      <c r="C681" s="1">
        <v>3</v>
      </c>
      <c r="D681" s="1" t="s">
        <v>141</v>
      </c>
      <c r="E681" s="1" t="s">
        <v>15</v>
      </c>
      <c r="H681"/>
      <c r="I681"/>
    </row>
    <row r="682" spans="1:9" ht="15" x14ac:dyDescent="0.25">
      <c r="A682" s="1">
        <v>681</v>
      </c>
      <c r="B682" s="1">
        <v>13</v>
      </c>
      <c r="C682" s="1">
        <v>3</v>
      </c>
      <c r="D682" s="1" t="s">
        <v>141</v>
      </c>
      <c r="E682" s="1" t="s">
        <v>15</v>
      </c>
      <c r="H682"/>
      <c r="I682"/>
    </row>
    <row r="683" spans="1:9" ht="15" x14ac:dyDescent="0.25">
      <c r="A683" s="1">
        <v>682</v>
      </c>
      <c r="B683" s="1">
        <v>13</v>
      </c>
      <c r="C683" s="1">
        <v>3</v>
      </c>
      <c r="D683" s="1" t="s">
        <v>141</v>
      </c>
      <c r="E683" s="1" t="s">
        <v>15</v>
      </c>
      <c r="H683"/>
      <c r="I683"/>
    </row>
    <row r="684" spans="1:9" ht="15" x14ac:dyDescent="0.25">
      <c r="A684" s="1">
        <v>683</v>
      </c>
      <c r="B684" s="1">
        <v>13</v>
      </c>
      <c r="C684" s="1">
        <v>3</v>
      </c>
      <c r="D684" s="1" t="s">
        <v>141</v>
      </c>
      <c r="E684" s="1" t="s">
        <v>15</v>
      </c>
      <c r="H684"/>
      <c r="I684"/>
    </row>
    <row r="685" spans="1:9" ht="15" x14ac:dyDescent="0.25">
      <c r="A685" s="1">
        <v>684</v>
      </c>
      <c r="B685" s="1">
        <v>13</v>
      </c>
      <c r="C685" s="1">
        <v>3</v>
      </c>
      <c r="D685" s="1" t="s">
        <v>141</v>
      </c>
      <c r="E685" s="1" t="s">
        <v>15</v>
      </c>
      <c r="H685"/>
      <c r="I685"/>
    </row>
    <row r="686" spans="1:9" ht="15" x14ac:dyDescent="0.25">
      <c r="A686" s="1">
        <v>685</v>
      </c>
      <c r="B686" s="1">
        <v>13</v>
      </c>
      <c r="C686" s="1">
        <v>3</v>
      </c>
      <c r="D686" s="1" t="s">
        <v>141</v>
      </c>
      <c r="E686" s="1" t="s">
        <v>15</v>
      </c>
      <c r="H686"/>
      <c r="I686"/>
    </row>
    <row r="687" spans="1:9" ht="15" x14ac:dyDescent="0.25">
      <c r="A687" s="1">
        <v>686</v>
      </c>
      <c r="B687" s="1">
        <v>13</v>
      </c>
      <c r="C687" s="1">
        <v>3</v>
      </c>
      <c r="D687" s="1" t="s">
        <v>141</v>
      </c>
      <c r="E687" s="1" t="s">
        <v>15</v>
      </c>
      <c r="H687"/>
      <c r="I687"/>
    </row>
    <row r="688" spans="1:9" ht="15" x14ac:dyDescent="0.25">
      <c r="A688" s="1">
        <v>687</v>
      </c>
      <c r="B688" s="1">
        <v>13</v>
      </c>
      <c r="C688" s="1">
        <v>3</v>
      </c>
      <c r="D688" s="1" t="s">
        <v>141</v>
      </c>
      <c r="E688" s="1" t="s">
        <v>15</v>
      </c>
      <c r="H688"/>
      <c r="I688"/>
    </row>
    <row r="689" spans="1:9" ht="15" x14ac:dyDescent="0.25">
      <c r="A689" s="1">
        <v>688</v>
      </c>
      <c r="B689" s="1">
        <v>13</v>
      </c>
      <c r="C689" s="1">
        <v>3</v>
      </c>
      <c r="D689" s="1" t="s">
        <v>141</v>
      </c>
      <c r="E689" s="1" t="s">
        <v>15</v>
      </c>
      <c r="H689"/>
      <c r="I689"/>
    </row>
    <row r="690" spans="1:9" ht="15" x14ac:dyDescent="0.25">
      <c r="A690" s="1">
        <v>689</v>
      </c>
      <c r="B690" s="1">
        <v>13</v>
      </c>
      <c r="C690" s="1">
        <v>3</v>
      </c>
      <c r="D690" s="1" t="s">
        <v>141</v>
      </c>
      <c r="E690" s="1" t="s">
        <v>15</v>
      </c>
      <c r="H690"/>
      <c r="I690"/>
    </row>
    <row r="691" spans="1:9" ht="15" x14ac:dyDescent="0.25">
      <c r="A691" s="1">
        <v>690</v>
      </c>
      <c r="B691" s="1">
        <v>13</v>
      </c>
      <c r="C691" s="1">
        <v>3</v>
      </c>
      <c r="D691" s="1" t="s">
        <v>141</v>
      </c>
      <c r="E691" s="1" t="s">
        <v>15</v>
      </c>
      <c r="H691"/>
      <c r="I691"/>
    </row>
    <row r="692" spans="1:9" ht="15" x14ac:dyDescent="0.25">
      <c r="A692" s="1">
        <v>691</v>
      </c>
      <c r="B692" s="1">
        <v>13</v>
      </c>
      <c r="C692" s="1">
        <v>3</v>
      </c>
      <c r="D692" s="1" t="s">
        <v>141</v>
      </c>
      <c r="E692" s="1" t="s">
        <v>15</v>
      </c>
      <c r="H692"/>
      <c r="I692"/>
    </row>
    <row r="693" spans="1:9" ht="15" x14ac:dyDescent="0.25">
      <c r="A693" s="1">
        <v>692</v>
      </c>
      <c r="B693" s="1">
        <v>13</v>
      </c>
      <c r="C693" s="1">
        <v>3</v>
      </c>
      <c r="D693" s="1" t="s">
        <v>141</v>
      </c>
      <c r="E693" s="1" t="s">
        <v>15</v>
      </c>
      <c r="H693"/>
      <c r="I693"/>
    </row>
    <row r="694" spans="1:9" ht="15" x14ac:dyDescent="0.25">
      <c r="A694" s="1">
        <v>693</v>
      </c>
      <c r="B694" s="1">
        <v>13</v>
      </c>
      <c r="C694" s="1">
        <v>3</v>
      </c>
      <c r="D694" s="1" t="s">
        <v>141</v>
      </c>
      <c r="E694" s="1" t="s">
        <v>15</v>
      </c>
      <c r="H694"/>
      <c r="I694"/>
    </row>
    <row r="695" spans="1:9" ht="15" x14ac:dyDescent="0.25">
      <c r="A695" s="1">
        <v>694</v>
      </c>
      <c r="B695" s="1">
        <v>13</v>
      </c>
      <c r="C695" s="1">
        <v>3</v>
      </c>
      <c r="D695" s="1" t="s">
        <v>141</v>
      </c>
      <c r="E695" s="1" t="s">
        <v>15</v>
      </c>
      <c r="H695"/>
      <c r="I695"/>
    </row>
    <row r="696" spans="1:9" ht="15" x14ac:dyDescent="0.25">
      <c r="A696" s="1">
        <v>695</v>
      </c>
      <c r="B696" s="1">
        <v>13</v>
      </c>
      <c r="C696" s="1">
        <v>3</v>
      </c>
      <c r="D696" s="1" t="s">
        <v>141</v>
      </c>
      <c r="E696" s="1" t="s">
        <v>15</v>
      </c>
      <c r="H696"/>
      <c r="I696"/>
    </row>
    <row r="697" spans="1:9" ht="15" x14ac:dyDescent="0.25">
      <c r="A697" s="1">
        <v>696</v>
      </c>
      <c r="B697" s="1">
        <v>13</v>
      </c>
      <c r="C697" s="1">
        <v>3</v>
      </c>
      <c r="D697" s="1" t="s">
        <v>141</v>
      </c>
      <c r="E697" s="1" t="s">
        <v>15</v>
      </c>
      <c r="H697"/>
      <c r="I697"/>
    </row>
    <row r="698" spans="1:9" ht="15" x14ac:dyDescent="0.25">
      <c r="A698" s="1">
        <v>697</v>
      </c>
      <c r="B698" s="1">
        <v>14</v>
      </c>
      <c r="C698" s="1">
        <v>3</v>
      </c>
      <c r="D698" s="1" t="s">
        <v>140</v>
      </c>
      <c r="E698" s="1" t="s">
        <v>15</v>
      </c>
      <c r="H698"/>
      <c r="I698"/>
    </row>
    <row r="699" spans="1:9" ht="15" x14ac:dyDescent="0.25">
      <c r="A699" s="1">
        <v>698</v>
      </c>
      <c r="B699" s="1">
        <v>14</v>
      </c>
      <c r="C699" s="1">
        <v>3</v>
      </c>
      <c r="D699" s="1" t="s">
        <v>140</v>
      </c>
      <c r="E699" s="1" t="s">
        <v>15</v>
      </c>
      <c r="H699"/>
      <c r="I699"/>
    </row>
    <row r="700" spans="1:9" ht="15" x14ac:dyDescent="0.25">
      <c r="A700" s="1">
        <v>699</v>
      </c>
      <c r="B700" s="1">
        <v>14</v>
      </c>
      <c r="C700" s="1">
        <v>3</v>
      </c>
      <c r="D700" s="1" t="s">
        <v>140</v>
      </c>
      <c r="E700" s="1" t="s">
        <v>15</v>
      </c>
      <c r="H700"/>
      <c r="I700"/>
    </row>
    <row r="701" spans="1:9" ht="15" x14ac:dyDescent="0.25">
      <c r="A701" s="1">
        <v>700</v>
      </c>
      <c r="B701" s="1">
        <v>14</v>
      </c>
      <c r="C701" s="1">
        <v>3</v>
      </c>
      <c r="D701" s="1" t="s">
        <v>140</v>
      </c>
      <c r="E701" s="1" t="s">
        <v>15</v>
      </c>
      <c r="H701"/>
      <c r="I701"/>
    </row>
    <row r="702" spans="1:9" ht="15" x14ac:dyDescent="0.25">
      <c r="A702" s="1">
        <v>701</v>
      </c>
      <c r="B702" s="1">
        <v>14</v>
      </c>
      <c r="C702" s="1">
        <v>3</v>
      </c>
      <c r="D702" s="1" t="s">
        <v>140</v>
      </c>
      <c r="E702" s="1" t="s">
        <v>15</v>
      </c>
      <c r="H702"/>
      <c r="I702"/>
    </row>
    <row r="703" spans="1:9" ht="15" x14ac:dyDescent="0.25">
      <c r="A703" s="1">
        <v>702</v>
      </c>
      <c r="B703" s="1">
        <v>14</v>
      </c>
      <c r="C703" s="1">
        <v>3</v>
      </c>
      <c r="D703" s="1" t="s">
        <v>140</v>
      </c>
      <c r="E703" s="1" t="s">
        <v>15</v>
      </c>
      <c r="H703"/>
      <c r="I703"/>
    </row>
    <row r="704" spans="1:9" ht="15" x14ac:dyDescent="0.25">
      <c r="A704" s="1">
        <v>703</v>
      </c>
      <c r="B704" s="1">
        <v>14</v>
      </c>
      <c r="C704" s="1">
        <v>3</v>
      </c>
      <c r="D704" s="1" t="s">
        <v>140</v>
      </c>
      <c r="E704" s="1" t="s">
        <v>15</v>
      </c>
      <c r="H704"/>
      <c r="I704"/>
    </row>
    <row r="705" spans="1:9" ht="15" x14ac:dyDescent="0.25">
      <c r="A705" s="1">
        <v>704</v>
      </c>
      <c r="B705" s="1">
        <v>14</v>
      </c>
      <c r="C705" s="1">
        <v>3</v>
      </c>
      <c r="D705" s="1" t="s">
        <v>140</v>
      </c>
      <c r="E705" s="1" t="s">
        <v>15</v>
      </c>
      <c r="H705"/>
      <c r="I705"/>
    </row>
    <row r="706" spans="1:9" ht="15" x14ac:dyDescent="0.25">
      <c r="A706" s="1">
        <v>705</v>
      </c>
      <c r="B706" s="1">
        <v>14</v>
      </c>
      <c r="C706" s="1">
        <v>3</v>
      </c>
      <c r="D706" s="1" t="s">
        <v>140</v>
      </c>
      <c r="E706" s="1" t="s">
        <v>15</v>
      </c>
      <c r="H706"/>
      <c r="I706"/>
    </row>
    <row r="707" spans="1:9" ht="15" x14ac:dyDescent="0.25">
      <c r="A707" s="1">
        <v>706</v>
      </c>
      <c r="B707" s="1">
        <v>14</v>
      </c>
      <c r="C707" s="1">
        <v>3</v>
      </c>
      <c r="D707" s="1" t="s">
        <v>140</v>
      </c>
      <c r="E707" s="1" t="s">
        <v>15</v>
      </c>
      <c r="H707"/>
      <c r="I707"/>
    </row>
    <row r="708" spans="1:9" ht="15" x14ac:dyDescent="0.25">
      <c r="A708" s="1">
        <v>707</v>
      </c>
      <c r="B708" s="1">
        <v>14</v>
      </c>
      <c r="C708" s="1">
        <v>3</v>
      </c>
      <c r="D708" s="1" t="s">
        <v>140</v>
      </c>
      <c r="E708" s="1" t="s">
        <v>15</v>
      </c>
      <c r="H708"/>
      <c r="I708"/>
    </row>
    <row r="709" spans="1:9" ht="15" x14ac:dyDescent="0.25">
      <c r="A709" s="1">
        <v>708</v>
      </c>
      <c r="B709" s="1">
        <v>14</v>
      </c>
      <c r="C709" s="1">
        <v>3</v>
      </c>
      <c r="D709" s="1" t="s">
        <v>140</v>
      </c>
      <c r="E709" s="1" t="s">
        <v>15</v>
      </c>
      <c r="H709"/>
      <c r="I709"/>
    </row>
    <row r="710" spans="1:9" ht="15" x14ac:dyDescent="0.25">
      <c r="A710" s="1">
        <v>709</v>
      </c>
      <c r="B710" s="1">
        <v>14</v>
      </c>
      <c r="C710" s="1">
        <v>3</v>
      </c>
      <c r="D710" s="1" t="s">
        <v>140</v>
      </c>
      <c r="E710" s="1" t="s">
        <v>15</v>
      </c>
      <c r="H710"/>
      <c r="I710"/>
    </row>
    <row r="711" spans="1:9" ht="15" x14ac:dyDescent="0.25">
      <c r="A711" s="1">
        <v>710</v>
      </c>
      <c r="B711" s="1">
        <v>14</v>
      </c>
      <c r="C711" s="1">
        <v>3</v>
      </c>
      <c r="D711" s="1" t="s">
        <v>140</v>
      </c>
      <c r="E711" s="1" t="s">
        <v>15</v>
      </c>
      <c r="H711"/>
      <c r="I711"/>
    </row>
    <row r="712" spans="1:9" ht="15" x14ac:dyDescent="0.25">
      <c r="A712" s="1">
        <v>711</v>
      </c>
      <c r="B712" s="1">
        <v>14</v>
      </c>
      <c r="C712" s="1">
        <v>3</v>
      </c>
      <c r="D712" s="1" t="s">
        <v>140</v>
      </c>
      <c r="E712" s="1" t="s">
        <v>15</v>
      </c>
      <c r="H712"/>
      <c r="I712"/>
    </row>
    <row r="713" spans="1:9" ht="15" x14ac:dyDescent="0.25">
      <c r="A713" s="1">
        <v>712</v>
      </c>
      <c r="B713" s="1">
        <v>14</v>
      </c>
      <c r="C713" s="1">
        <v>3</v>
      </c>
      <c r="D713" s="1" t="s">
        <v>140</v>
      </c>
      <c r="E713" s="1" t="s">
        <v>15</v>
      </c>
      <c r="H713"/>
      <c r="I713"/>
    </row>
    <row r="714" spans="1:9" ht="15" x14ac:dyDescent="0.25">
      <c r="A714" s="1">
        <v>713</v>
      </c>
      <c r="B714" s="1">
        <v>14</v>
      </c>
      <c r="C714" s="1">
        <v>3</v>
      </c>
      <c r="D714" s="1" t="s">
        <v>140</v>
      </c>
      <c r="E714" s="1" t="s">
        <v>15</v>
      </c>
      <c r="H714"/>
      <c r="I714"/>
    </row>
    <row r="715" spans="1:9" ht="15" x14ac:dyDescent="0.25">
      <c r="A715" s="1">
        <v>714</v>
      </c>
      <c r="B715" s="1">
        <v>14</v>
      </c>
      <c r="C715" s="1">
        <v>3</v>
      </c>
      <c r="D715" s="1" t="s">
        <v>140</v>
      </c>
      <c r="E715" s="1" t="s">
        <v>15</v>
      </c>
      <c r="H715"/>
      <c r="I715"/>
    </row>
    <row r="716" spans="1:9" ht="15" x14ac:dyDescent="0.25">
      <c r="A716" s="1">
        <v>715</v>
      </c>
      <c r="B716" s="1">
        <v>15</v>
      </c>
      <c r="C716" s="1">
        <v>4</v>
      </c>
      <c r="D716" s="1" t="s">
        <v>139</v>
      </c>
      <c r="E716" s="1" t="s">
        <v>16</v>
      </c>
      <c r="H716"/>
      <c r="I716"/>
    </row>
    <row r="717" spans="1:9" ht="15" x14ac:dyDescent="0.25">
      <c r="A717" s="1">
        <v>716</v>
      </c>
      <c r="B717" s="1">
        <v>15</v>
      </c>
      <c r="C717" s="1">
        <v>4</v>
      </c>
      <c r="D717" s="1" t="s">
        <v>139</v>
      </c>
      <c r="E717" s="1" t="s">
        <v>16</v>
      </c>
      <c r="H717"/>
      <c r="I717"/>
    </row>
    <row r="718" spans="1:9" ht="15" x14ac:dyDescent="0.25">
      <c r="A718" s="1">
        <v>717</v>
      </c>
      <c r="B718" s="1">
        <v>15</v>
      </c>
      <c r="C718" s="1">
        <v>4</v>
      </c>
      <c r="D718" s="1" t="s">
        <v>139</v>
      </c>
      <c r="E718" s="1" t="s">
        <v>16</v>
      </c>
      <c r="H718"/>
      <c r="I718"/>
    </row>
    <row r="719" spans="1:9" ht="15" x14ac:dyDescent="0.25">
      <c r="A719" s="1">
        <v>718</v>
      </c>
      <c r="B719" s="1">
        <v>15</v>
      </c>
      <c r="C719" s="1">
        <v>4</v>
      </c>
      <c r="D719" s="1" t="s">
        <v>139</v>
      </c>
      <c r="E719" s="1" t="s">
        <v>16</v>
      </c>
      <c r="H719"/>
      <c r="I719"/>
    </row>
    <row r="720" spans="1:9" ht="15" x14ac:dyDescent="0.25">
      <c r="A720" s="1">
        <v>719</v>
      </c>
      <c r="B720" s="1">
        <v>15</v>
      </c>
      <c r="C720" s="1">
        <v>4</v>
      </c>
      <c r="D720" s="1" t="s">
        <v>139</v>
      </c>
      <c r="E720" s="1" t="s">
        <v>16</v>
      </c>
      <c r="H720"/>
      <c r="I720"/>
    </row>
    <row r="721" spans="1:9" ht="15" x14ac:dyDescent="0.25">
      <c r="A721" s="1">
        <v>720</v>
      </c>
      <c r="B721" s="1">
        <v>15</v>
      </c>
      <c r="C721" s="1">
        <v>4</v>
      </c>
      <c r="D721" s="1" t="s">
        <v>139</v>
      </c>
      <c r="E721" s="1" t="s">
        <v>16</v>
      </c>
      <c r="H721"/>
      <c r="I721"/>
    </row>
    <row r="722" spans="1:9" ht="15" x14ac:dyDescent="0.25">
      <c r="A722" s="1">
        <v>721</v>
      </c>
      <c r="B722" s="1">
        <v>15</v>
      </c>
      <c r="C722" s="1">
        <v>4</v>
      </c>
      <c r="D722" s="1" t="s">
        <v>139</v>
      </c>
      <c r="E722" s="1" t="s">
        <v>16</v>
      </c>
      <c r="H722"/>
      <c r="I722"/>
    </row>
    <row r="723" spans="1:9" ht="15" x14ac:dyDescent="0.25">
      <c r="A723" s="1">
        <v>722</v>
      </c>
      <c r="B723" s="1">
        <v>15</v>
      </c>
      <c r="C723" s="1">
        <v>4</v>
      </c>
      <c r="D723" s="1" t="s">
        <v>139</v>
      </c>
      <c r="E723" s="1" t="s">
        <v>16</v>
      </c>
      <c r="H723"/>
      <c r="I723"/>
    </row>
    <row r="724" spans="1:9" ht="15" x14ac:dyDescent="0.25">
      <c r="A724" s="1">
        <v>723</v>
      </c>
      <c r="B724" s="1">
        <v>15</v>
      </c>
      <c r="C724" s="1">
        <v>4</v>
      </c>
      <c r="D724" s="1" t="s">
        <v>139</v>
      </c>
      <c r="E724" s="1" t="s">
        <v>16</v>
      </c>
      <c r="H724"/>
      <c r="I724"/>
    </row>
    <row r="725" spans="1:9" ht="15" x14ac:dyDescent="0.25">
      <c r="A725" s="1">
        <v>724</v>
      </c>
      <c r="B725" s="1">
        <v>15</v>
      </c>
      <c r="C725" s="1">
        <v>4</v>
      </c>
      <c r="D725" s="1" t="s">
        <v>139</v>
      </c>
      <c r="E725" s="1" t="s">
        <v>16</v>
      </c>
      <c r="H725"/>
      <c r="I725"/>
    </row>
    <row r="726" spans="1:9" ht="15" x14ac:dyDescent="0.25">
      <c r="A726" s="1">
        <v>725</v>
      </c>
      <c r="B726" s="1">
        <v>15</v>
      </c>
      <c r="C726" s="1">
        <v>4</v>
      </c>
      <c r="D726" s="1" t="s">
        <v>139</v>
      </c>
      <c r="E726" s="1" t="s">
        <v>16</v>
      </c>
      <c r="H726"/>
      <c r="I726"/>
    </row>
    <row r="727" spans="1:9" ht="15" x14ac:dyDescent="0.25">
      <c r="A727" s="1">
        <v>726</v>
      </c>
      <c r="B727" s="1">
        <v>15</v>
      </c>
      <c r="C727" s="1">
        <v>4</v>
      </c>
      <c r="D727" s="1" t="s">
        <v>139</v>
      </c>
      <c r="E727" s="1" t="s">
        <v>16</v>
      </c>
      <c r="H727"/>
      <c r="I727"/>
    </row>
    <row r="728" spans="1:9" ht="15" x14ac:dyDescent="0.25">
      <c r="A728" s="1">
        <v>727</v>
      </c>
      <c r="B728" s="1">
        <v>15</v>
      </c>
      <c r="C728" s="1">
        <v>4</v>
      </c>
      <c r="D728" s="1" t="s">
        <v>139</v>
      </c>
      <c r="E728" s="1" t="s">
        <v>16</v>
      </c>
      <c r="H728"/>
      <c r="I728"/>
    </row>
    <row r="729" spans="1:9" ht="15" x14ac:dyDescent="0.25">
      <c r="A729" s="1">
        <v>728</v>
      </c>
      <c r="B729" s="1">
        <v>15</v>
      </c>
      <c r="C729" s="1">
        <v>4</v>
      </c>
      <c r="D729" s="1" t="s">
        <v>139</v>
      </c>
      <c r="E729" s="1" t="s">
        <v>16</v>
      </c>
      <c r="H729"/>
      <c r="I729"/>
    </row>
    <row r="730" spans="1:9" ht="15" x14ac:dyDescent="0.25">
      <c r="A730" s="1">
        <v>729</v>
      </c>
      <c r="B730" s="1">
        <v>15</v>
      </c>
      <c r="C730" s="1">
        <v>4</v>
      </c>
      <c r="D730" s="1" t="s">
        <v>139</v>
      </c>
      <c r="E730" s="1" t="s">
        <v>16</v>
      </c>
      <c r="H730"/>
      <c r="I730"/>
    </row>
    <row r="731" spans="1:9" ht="15" x14ac:dyDescent="0.25">
      <c r="A731" s="1">
        <v>730</v>
      </c>
      <c r="B731" s="1">
        <v>15</v>
      </c>
      <c r="C731" s="1">
        <v>4</v>
      </c>
      <c r="D731" s="1" t="s">
        <v>139</v>
      </c>
      <c r="E731" s="1" t="s">
        <v>16</v>
      </c>
      <c r="H731"/>
      <c r="I731"/>
    </row>
    <row r="732" spans="1:9" ht="15" x14ac:dyDescent="0.25">
      <c r="A732" s="1">
        <v>731</v>
      </c>
      <c r="B732" s="1">
        <v>15</v>
      </c>
      <c r="C732" s="1">
        <v>4</v>
      </c>
      <c r="D732" s="1" t="s">
        <v>139</v>
      </c>
      <c r="E732" s="1" t="s">
        <v>16</v>
      </c>
      <c r="H732"/>
      <c r="I732"/>
    </row>
    <row r="733" spans="1:9" ht="15" x14ac:dyDescent="0.25">
      <c r="A733" s="1">
        <v>732</v>
      </c>
      <c r="B733" s="1">
        <v>15</v>
      </c>
      <c r="C733" s="1">
        <v>4</v>
      </c>
      <c r="D733" s="1" t="s">
        <v>139</v>
      </c>
      <c r="E733" s="1" t="s">
        <v>16</v>
      </c>
      <c r="H733"/>
      <c r="I733"/>
    </row>
    <row r="734" spans="1:9" ht="15" x14ac:dyDescent="0.25">
      <c r="A734" s="1">
        <v>733</v>
      </c>
      <c r="B734" s="1">
        <v>15</v>
      </c>
      <c r="C734" s="1">
        <v>4</v>
      </c>
      <c r="D734" s="1" t="s">
        <v>139</v>
      </c>
      <c r="E734" s="1" t="s">
        <v>16</v>
      </c>
      <c r="H734"/>
      <c r="I734"/>
    </row>
    <row r="735" spans="1:9" ht="15" x14ac:dyDescent="0.25">
      <c r="A735" s="1">
        <v>734</v>
      </c>
      <c r="B735" s="1">
        <v>15</v>
      </c>
      <c r="C735" s="1">
        <v>4</v>
      </c>
      <c r="D735" s="1" t="s">
        <v>139</v>
      </c>
      <c r="E735" s="1" t="s">
        <v>16</v>
      </c>
      <c r="H735"/>
      <c r="I735"/>
    </row>
    <row r="736" spans="1:9" ht="15" x14ac:dyDescent="0.25">
      <c r="A736" s="1">
        <v>735</v>
      </c>
      <c r="B736" s="1">
        <v>15</v>
      </c>
      <c r="C736" s="1">
        <v>4</v>
      </c>
      <c r="D736" s="1" t="s">
        <v>139</v>
      </c>
      <c r="E736" s="1" t="s">
        <v>16</v>
      </c>
      <c r="H736"/>
      <c r="I736"/>
    </row>
    <row r="737" spans="1:9" ht="15" x14ac:dyDescent="0.25">
      <c r="A737" s="1">
        <v>736</v>
      </c>
      <c r="B737" s="1">
        <v>15</v>
      </c>
      <c r="C737" s="1">
        <v>4</v>
      </c>
      <c r="D737" s="1" t="s">
        <v>139</v>
      </c>
      <c r="E737" s="1" t="s">
        <v>16</v>
      </c>
      <c r="H737"/>
      <c r="I737"/>
    </row>
    <row r="738" spans="1:9" ht="15" x14ac:dyDescent="0.25">
      <c r="A738" s="1">
        <v>737</v>
      </c>
      <c r="B738" s="1">
        <v>15</v>
      </c>
      <c r="C738" s="1">
        <v>4</v>
      </c>
      <c r="D738" s="1" t="s">
        <v>139</v>
      </c>
      <c r="E738" s="1" t="s">
        <v>16</v>
      </c>
      <c r="H738"/>
      <c r="I738"/>
    </row>
    <row r="739" spans="1:9" ht="15" x14ac:dyDescent="0.25">
      <c r="A739" s="1">
        <v>738</v>
      </c>
      <c r="B739" s="1">
        <v>15</v>
      </c>
      <c r="C739" s="1">
        <v>4</v>
      </c>
      <c r="D739" s="1" t="s">
        <v>139</v>
      </c>
      <c r="E739" s="1" t="s">
        <v>16</v>
      </c>
      <c r="H739"/>
      <c r="I739"/>
    </row>
    <row r="740" spans="1:9" ht="15" x14ac:dyDescent="0.25">
      <c r="A740" s="1">
        <v>739</v>
      </c>
      <c r="B740" s="1">
        <v>15</v>
      </c>
      <c r="C740" s="1">
        <v>4</v>
      </c>
      <c r="D740" s="1" t="s">
        <v>139</v>
      </c>
      <c r="E740" s="1" t="s">
        <v>16</v>
      </c>
      <c r="H740"/>
      <c r="I740"/>
    </row>
    <row r="741" spans="1:9" ht="15" x14ac:dyDescent="0.25">
      <c r="A741" s="1">
        <v>740</v>
      </c>
      <c r="B741" s="1">
        <v>15</v>
      </c>
      <c r="C741" s="1">
        <v>4</v>
      </c>
      <c r="D741" s="1" t="s">
        <v>139</v>
      </c>
      <c r="E741" s="1" t="s">
        <v>16</v>
      </c>
      <c r="H741"/>
      <c r="I741"/>
    </row>
    <row r="742" spans="1:9" ht="15" x14ac:dyDescent="0.25">
      <c r="A742" s="1">
        <v>741</v>
      </c>
      <c r="B742" s="1">
        <v>15</v>
      </c>
      <c r="C742" s="1">
        <v>4</v>
      </c>
      <c r="D742" s="1" t="s">
        <v>139</v>
      </c>
      <c r="E742" s="1" t="s">
        <v>16</v>
      </c>
      <c r="H742"/>
      <c r="I742"/>
    </row>
    <row r="743" spans="1:9" ht="15" x14ac:dyDescent="0.25">
      <c r="A743" s="1">
        <v>742</v>
      </c>
      <c r="B743" s="1">
        <v>15</v>
      </c>
      <c r="C743" s="1">
        <v>4</v>
      </c>
      <c r="D743" s="1" t="s">
        <v>139</v>
      </c>
      <c r="E743" s="1" t="s">
        <v>16</v>
      </c>
      <c r="H743"/>
      <c r="I743"/>
    </row>
    <row r="744" spans="1:9" ht="15" x14ac:dyDescent="0.25">
      <c r="A744" s="1">
        <v>743</v>
      </c>
      <c r="B744" s="1">
        <v>15</v>
      </c>
      <c r="C744" s="1">
        <v>4</v>
      </c>
      <c r="D744" s="1" t="s">
        <v>139</v>
      </c>
      <c r="E744" s="1" t="s">
        <v>16</v>
      </c>
      <c r="H744"/>
      <c r="I744"/>
    </row>
    <row r="745" spans="1:9" ht="15" x14ac:dyDescent="0.25">
      <c r="A745" s="1">
        <v>744</v>
      </c>
      <c r="B745" s="1">
        <v>15</v>
      </c>
      <c r="C745" s="1">
        <v>4</v>
      </c>
      <c r="D745" s="1" t="s">
        <v>139</v>
      </c>
      <c r="E745" s="1" t="s">
        <v>16</v>
      </c>
      <c r="H745"/>
      <c r="I745"/>
    </row>
    <row r="746" spans="1:9" ht="15" x14ac:dyDescent="0.25">
      <c r="A746" s="1">
        <v>745</v>
      </c>
      <c r="B746" s="1">
        <v>15</v>
      </c>
      <c r="C746" s="1">
        <v>4</v>
      </c>
      <c r="D746" s="1" t="s">
        <v>139</v>
      </c>
      <c r="E746" s="1" t="s">
        <v>16</v>
      </c>
      <c r="H746"/>
      <c r="I746"/>
    </row>
    <row r="747" spans="1:9" ht="15" x14ac:dyDescent="0.25">
      <c r="A747" s="1">
        <v>746</v>
      </c>
      <c r="B747" s="1">
        <v>15</v>
      </c>
      <c r="C747" s="1">
        <v>4</v>
      </c>
      <c r="D747" s="1" t="s">
        <v>139</v>
      </c>
      <c r="E747" s="1" t="s">
        <v>16</v>
      </c>
      <c r="H747"/>
      <c r="I747"/>
    </row>
    <row r="748" spans="1:9" ht="15" x14ac:dyDescent="0.25">
      <c r="A748" s="1">
        <v>747</v>
      </c>
      <c r="B748" s="1">
        <v>16</v>
      </c>
      <c r="C748" s="1">
        <v>4</v>
      </c>
      <c r="D748" s="1" t="s">
        <v>138</v>
      </c>
      <c r="E748" s="1" t="s">
        <v>16</v>
      </c>
      <c r="H748"/>
      <c r="I748"/>
    </row>
    <row r="749" spans="1:9" ht="15" x14ac:dyDescent="0.25">
      <c r="A749" s="1">
        <v>748</v>
      </c>
      <c r="B749" s="1">
        <v>16</v>
      </c>
      <c r="C749" s="1">
        <v>4</v>
      </c>
      <c r="D749" s="1" t="s">
        <v>138</v>
      </c>
      <c r="E749" s="1" t="s">
        <v>16</v>
      </c>
      <c r="H749"/>
      <c r="I749"/>
    </row>
    <row r="750" spans="1:9" ht="15" x14ac:dyDescent="0.25">
      <c r="A750" s="1">
        <v>749</v>
      </c>
      <c r="B750" s="1">
        <v>16</v>
      </c>
      <c r="C750" s="1">
        <v>4</v>
      </c>
      <c r="D750" s="1" t="s">
        <v>138</v>
      </c>
      <c r="E750" s="1" t="s">
        <v>16</v>
      </c>
      <c r="H750"/>
      <c r="I750"/>
    </row>
    <row r="751" spans="1:9" ht="15" x14ac:dyDescent="0.25">
      <c r="A751" s="1">
        <v>750</v>
      </c>
      <c r="B751" s="1">
        <v>16</v>
      </c>
      <c r="C751" s="1">
        <v>4</v>
      </c>
      <c r="D751" s="1" t="s">
        <v>138</v>
      </c>
      <c r="E751" s="1" t="s">
        <v>16</v>
      </c>
      <c r="H751"/>
      <c r="I751"/>
    </row>
    <row r="752" spans="1:9" ht="15" x14ac:dyDescent="0.25">
      <c r="A752" s="1">
        <v>751</v>
      </c>
      <c r="B752" s="1">
        <v>16</v>
      </c>
      <c r="C752" s="1">
        <v>4</v>
      </c>
      <c r="D752" s="1" t="s">
        <v>138</v>
      </c>
      <c r="E752" s="1" t="s">
        <v>16</v>
      </c>
      <c r="H752"/>
      <c r="I752"/>
    </row>
    <row r="753" spans="1:9" ht="15" x14ac:dyDescent="0.25">
      <c r="A753" s="1">
        <v>752</v>
      </c>
      <c r="B753" s="1">
        <v>16</v>
      </c>
      <c r="C753" s="1">
        <v>4</v>
      </c>
      <c r="D753" s="1" t="s">
        <v>138</v>
      </c>
      <c r="E753" s="1" t="s">
        <v>16</v>
      </c>
      <c r="H753"/>
      <c r="I753"/>
    </row>
    <row r="754" spans="1:9" ht="15" x14ac:dyDescent="0.25">
      <c r="A754" s="1">
        <v>753</v>
      </c>
      <c r="B754" s="1">
        <v>16</v>
      </c>
      <c r="C754" s="1">
        <v>4</v>
      </c>
      <c r="D754" s="1" t="s">
        <v>138</v>
      </c>
      <c r="E754" s="1" t="s">
        <v>16</v>
      </c>
      <c r="H754"/>
      <c r="I754"/>
    </row>
    <row r="755" spans="1:9" ht="15" x14ac:dyDescent="0.25">
      <c r="A755" s="1">
        <v>754</v>
      </c>
      <c r="B755" s="1">
        <v>16</v>
      </c>
      <c r="C755" s="1">
        <v>4</v>
      </c>
      <c r="D755" s="1" t="s">
        <v>138</v>
      </c>
      <c r="E755" s="1" t="s">
        <v>16</v>
      </c>
      <c r="H755"/>
      <c r="I755"/>
    </row>
    <row r="756" spans="1:9" ht="15" x14ac:dyDescent="0.25">
      <c r="A756" s="1">
        <v>755</v>
      </c>
      <c r="B756" s="1">
        <v>16</v>
      </c>
      <c r="C756" s="1">
        <v>4</v>
      </c>
      <c r="D756" s="1" t="s">
        <v>138</v>
      </c>
      <c r="E756" s="1" t="s">
        <v>16</v>
      </c>
      <c r="H756"/>
      <c r="I756"/>
    </row>
    <row r="757" spans="1:9" ht="15" x14ac:dyDescent="0.25">
      <c r="A757" s="1">
        <v>756</v>
      </c>
      <c r="B757" s="1">
        <v>16</v>
      </c>
      <c r="C757" s="1">
        <v>4</v>
      </c>
      <c r="D757" s="1" t="s">
        <v>138</v>
      </c>
      <c r="E757" s="1" t="s">
        <v>16</v>
      </c>
      <c r="H757"/>
      <c r="I757"/>
    </row>
    <row r="758" spans="1:9" ht="15" x14ac:dyDescent="0.25">
      <c r="A758" s="1">
        <v>757</v>
      </c>
      <c r="B758" s="1">
        <v>16</v>
      </c>
      <c r="C758" s="1">
        <v>4</v>
      </c>
      <c r="D758" s="1" t="s">
        <v>138</v>
      </c>
      <c r="E758" s="1" t="s">
        <v>16</v>
      </c>
      <c r="H758"/>
      <c r="I758"/>
    </row>
    <row r="759" spans="1:9" ht="15" x14ac:dyDescent="0.25">
      <c r="A759" s="1">
        <v>758</v>
      </c>
      <c r="B759" s="1">
        <v>16</v>
      </c>
      <c r="C759" s="1">
        <v>4</v>
      </c>
      <c r="D759" s="1" t="s">
        <v>138</v>
      </c>
      <c r="E759" s="1" t="s">
        <v>16</v>
      </c>
      <c r="H759"/>
      <c r="I759"/>
    </row>
    <row r="760" spans="1:9" ht="15" x14ac:dyDescent="0.25">
      <c r="A760" s="1">
        <v>759</v>
      </c>
      <c r="B760" s="1">
        <v>16</v>
      </c>
      <c r="C760" s="1">
        <v>4</v>
      </c>
      <c r="D760" s="1" t="s">
        <v>138</v>
      </c>
      <c r="E760" s="1" t="s">
        <v>16</v>
      </c>
      <c r="H760"/>
      <c r="I760"/>
    </row>
    <row r="761" spans="1:9" ht="15" x14ac:dyDescent="0.25">
      <c r="A761" s="1">
        <v>760</v>
      </c>
      <c r="B761" s="1">
        <v>16</v>
      </c>
      <c r="C761" s="1">
        <v>4</v>
      </c>
      <c r="D761" s="1" t="s">
        <v>138</v>
      </c>
      <c r="E761" s="1" t="s">
        <v>16</v>
      </c>
      <c r="H761"/>
      <c r="I761"/>
    </row>
    <row r="762" spans="1:9" ht="15" x14ac:dyDescent="0.25">
      <c r="A762" s="1">
        <v>761</v>
      </c>
      <c r="B762" s="1">
        <v>16</v>
      </c>
      <c r="C762" s="1">
        <v>4</v>
      </c>
      <c r="D762" s="1" t="s">
        <v>138</v>
      </c>
      <c r="E762" s="1" t="s">
        <v>16</v>
      </c>
      <c r="H762"/>
      <c r="I762"/>
    </row>
    <row r="763" spans="1:9" ht="15" x14ac:dyDescent="0.25">
      <c r="A763" s="1">
        <v>762</v>
      </c>
      <c r="B763" s="1">
        <v>16</v>
      </c>
      <c r="C763" s="1">
        <v>4</v>
      </c>
      <c r="D763" s="1" t="s">
        <v>138</v>
      </c>
      <c r="E763" s="1" t="s">
        <v>16</v>
      </c>
      <c r="H763"/>
      <c r="I763"/>
    </row>
    <row r="764" spans="1:9" ht="15" x14ac:dyDescent="0.25">
      <c r="A764" s="1">
        <v>763</v>
      </c>
      <c r="B764" s="1">
        <v>16</v>
      </c>
      <c r="C764" s="1">
        <v>4</v>
      </c>
      <c r="D764" s="1" t="s">
        <v>138</v>
      </c>
      <c r="E764" s="1" t="s">
        <v>16</v>
      </c>
      <c r="H764"/>
      <c r="I764"/>
    </row>
    <row r="765" spans="1:9" ht="15" x14ac:dyDescent="0.25">
      <c r="A765" s="1">
        <v>764</v>
      </c>
      <c r="B765" s="1">
        <v>16</v>
      </c>
      <c r="C765" s="1">
        <v>4</v>
      </c>
      <c r="D765" s="1" t="s">
        <v>138</v>
      </c>
      <c r="E765" s="1" t="s">
        <v>16</v>
      </c>
      <c r="H765"/>
      <c r="I765"/>
    </row>
    <row r="766" spans="1:9" ht="15" x14ac:dyDescent="0.25">
      <c r="A766" s="1">
        <v>765</v>
      </c>
      <c r="B766" s="1">
        <v>16</v>
      </c>
      <c r="C766" s="1">
        <v>4</v>
      </c>
      <c r="D766" s="1" t="s">
        <v>138</v>
      </c>
      <c r="E766" s="1" t="s">
        <v>16</v>
      </c>
      <c r="H766"/>
      <c r="I766"/>
    </row>
    <row r="767" spans="1:9" ht="15" x14ac:dyDescent="0.25">
      <c r="A767" s="1">
        <v>766</v>
      </c>
      <c r="B767" s="1">
        <v>16</v>
      </c>
      <c r="C767" s="1">
        <v>4</v>
      </c>
      <c r="D767" s="1" t="s">
        <v>138</v>
      </c>
      <c r="E767" s="1" t="s">
        <v>16</v>
      </c>
      <c r="H767"/>
      <c r="I767"/>
    </row>
    <row r="768" spans="1:9" ht="15" x14ac:dyDescent="0.25">
      <c r="A768" s="1">
        <v>767</v>
      </c>
      <c r="B768" s="1">
        <v>16</v>
      </c>
      <c r="C768" s="1">
        <v>4</v>
      </c>
      <c r="D768" s="1" t="s">
        <v>138</v>
      </c>
      <c r="E768" s="1" t="s">
        <v>16</v>
      </c>
      <c r="H768"/>
      <c r="I768"/>
    </row>
    <row r="769" spans="1:9" ht="15" x14ac:dyDescent="0.25">
      <c r="A769" s="1">
        <v>768</v>
      </c>
      <c r="B769" s="1">
        <v>16</v>
      </c>
      <c r="C769" s="1">
        <v>4</v>
      </c>
      <c r="D769" s="1" t="s">
        <v>138</v>
      </c>
      <c r="E769" s="1" t="s">
        <v>16</v>
      </c>
      <c r="H769"/>
      <c r="I769"/>
    </row>
    <row r="770" spans="1:9" ht="15" x14ac:dyDescent="0.25">
      <c r="A770" s="1">
        <v>769</v>
      </c>
      <c r="B770" s="1">
        <v>16</v>
      </c>
      <c r="C770" s="1">
        <v>4</v>
      </c>
      <c r="D770" s="1" t="s">
        <v>138</v>
      </c>
      <c r="E770" s="1" t="s">
        <v>16</v>
      </c>
      <c r="H770"/>
      <c r="I770"/>
    </row>
    <row r="771" spans="1:9" ht="15" x14ac:dyDescent="0.25">
      <c r="A771" s="1">
        <v>770</v>
      </c>
      <c r="B771" s="1">
        <v>16</v>
      </c>
      <c r="C771" s="1">
        <v>4</v>
      </c>
      <c r="D771" s="1" t="s">
        <v>138</v>
      </c>
      <c r="E771" s="1" t="s">
        <v>16</v>
      </c>
      <c r="H771"/>
      <c r="I771"/>
    </row>
    <row r="772" spans="1:9" ht="15" x14ac:dyDescent="0.25">
      <c r="A772" s="1">
        <v>771</v>
      </c>
      <c r="B772" s="1">
        <v>16</v>
      </c>
      <c r="C772" s="1">
        <v>4</v>
      </c>
      <c r="D772" s="1" t="s">
        <v>138</v>
      </c>
      <c r="E772" s="1" t="s">
        <v>16</v>
      </c>
      <c r="H772"/>
      <c r="I772"/>
    </row>
    <row r="773" spans="1:9" ht="15" x14ac:dyDescent="0.25">
      <c r="A773" s="1">
        <v>772</v>
      </c>
      <c r="B773" s="1">
        <v>16</v>
      </c>
      <c r="C773" s="1">
        <v>4</v>
      </c>
      <c r="D773" s="1" t="s">
        <v>138</v>
      </c>
      <c r="E773" s="1" t="s">
        <v>16</v>
      </c>
      <c r="H773"/>
      <c r="I773"/>
    </row>
    <row r="774" spans="1:9" ht="15" x14ac:dyDescent="0.25">
      <c r="A774" s="1">
        <v>773</v>
      </c>
      <c r="B774" s="1">
        <v>16</v>
      </c>
      <c r="C774" s="1">
        <v>4</v>
      </c>
      <c r="D774" s="1" t="s">
        <v>138</v>
      </c>
      <c r="E774" s="1" t="s">
        <v>16</v>
      </c>
      <c r="H774"/>
      <c r="I774"/>
    </row>
    <row r="775" spans="1:9" ht="15" x14ac:dyDescent="0.25">
      <c r="A775" s="1">
        <v>774</v>
      </c>
      <c r="B775" s="1">
        <v>16</v>
      </c>
      <c r="C775" s="1">
        <v>4</v>
      </c>
      <c r="D775" s="1" t="s">
        <v>138</v>
      </c>
      <c r="E775" s="1" t="s">
        <v>16</v>
      </c>
      <c r="H775"/>
      <c r="I775"/>
    </row>
    <row r="776" spans="1:9" ht="15" x14ac:dyDescent="0.25">
      <c r="A776" s="1">
        <v>775</v>
      </c>
      <c r="B776" s="1">
        <v>16</v>
      </c>
      <c r="C776" s="1">
        <v>4</v>
      </c>
      <c r="D776" s="1" t="s">
        <v>138</v>
      </c>
      <c r="E776" s="1" t="s">
        <v>16</v>
      </c>
      <c r="H776"/>
      <c r="I776"/>
    </row>
    <row r="777" spans="1:9" ht="15" x14ac:dyDescent="0.25">
      <c r="A777" s="1">
        <v>776</v>
      </c>
      <c r="B777" s="1">
        <v>16</v>
      </c>
      <c r="C777" s="1">
        <v>4</v>
      </c>
      <c r="D777" s="1" t="s">
        <v>138</v>
      </c>
      <c r="E777" s="1" t="s">
        <v>16</v>
      </c>
      <c r="H777"/>
      <c r="I777"/>
    </row>
    <row r="778" spans="1:9" ht="15" x14ac:dyDescent="0.25">
      <c r="A778" s="1">
        <v>777</v>
      </c>
      <c r="B778" s="1">
        <v>16</v>
      </c>
      <c r="C778" s="1">
        <v>4</v>
      </c>
      <c r="D778" s="1" t="s">
        <v>138</v>
      </c>
      <c r="E778" s="1" t="s">
        <v>16</v>
      </c>
      <c r="H778"/>
      <c r="I778"/>
    </row>
    <row r="779" spans="1:9" ht="15" x14ac:dyDescent="0.25">
      <c r="A779" s="1">
        <v>778</v>
      </c>
      <c r="B779" s="1">
        <v>16</v>
      </c>
      <c r="C779" s="1">
        <v>4</v>
      </c>
      <c r="D779" s="1" t="s">
        <v>138</v>
      </c>
      <c r="E779" s="1" t="s">
        <v>16</v>
      </c>
      <c r="H779"/>
      <c r="I779"/>
    </row>
    <row r="780" spans="1:9" ht="15" x14ac:dyDescent="0.25">
      <c r="A780" s="1">
        <v>779</v>
      </c>
      <c r="B780" s="1">
        <v>16</v>
      </c>
      <c r="C780" s="1">
        <v>4</v>
      </c>
      <c r="D780" s="1" t="s">
        <v>138</v>
      </c>
      <c r="E780" s="1" t="s">
        <v>16</v>
      </c>
      <c r="H780"/>
      <c r="I780"/>
    </row>
    <row r="781" spans="1:9" ht="15" x14ac:dyDescent="0.25">
      <c r="A781" s="1">
        <v>780</v>
      </c>
      <c r="B781" s="1">
        <v>16</v>
      </c>
      <c r="C781" s="1">
        <v>4</v>
      </c>
      <c r="D781" s="1" t="s">
        <v>138</v>
      </c>
      <c r="E781" s="1" t="s">
        <v>16</v>
      </c>
      <c r="H781"/>
      <c r="I781"/>
    </row>
    <row r="782" spans="1:9" ht="15" x14ac:dyDescent="0.25">
      <c r="A782" s="1">
        <v>781</v>
      </c>
      <c r="B782" s="1">
        <v>16</v>
      </c>
      <c r="C782" s="1">
        <v>4</v>
      </c>
      <c r="D782" s="1" t="s">
        <v>138</v>
      </c>
      <c r="E782" s="1" t="s">
        <v>16</v>
      </c>
      <c r="H782"/>
      <c r="I782"/>
    </row>
    <row r="783" spans="1:9" ht="15" x14ac:dyDescent="0.25">
      <c r="A783" s="1">
        <v>782</v>
      </c>
      <c r="B783" s="1">
        <v>16</v>
      </c>
      <c r="C783" s="1">
        <v>4</v>
      </c>
      <c r="D783" s="1" t="s">
        <v>138</v>
      </c>
      <c r="E783" s="1" t="s">
        <v>16</v>
      </c>
      <c r="H783"/>
      <c r="I783"/>
    </row>
    <row r="784" spans="1:9" ht="15" x14ac:dyDescent="0.25">
      <c r="A784" s="1">
        <v>783</v>
      </c>
      <c r="B784" s="1">
        <v>16</v>
      </c>
      <c r="C784" s="1">
        <v>4</v>
      </c>
      <c r="D784" s="1" t="s">
        <v>138</v>
      </c>
      <c r="E784" s="1" t="s">
        <v>16</v>
      </c>
      <c r="H784"/>
      <c r="I784"/>
    </row>
    <row r="785" spans="1:9" ht="15" x14ac:dyDescent="0.25">
      <c r="A785" s="1">
        <v>784</v>
      </c>
      <c r="B785" s="1">
        <v>16</v>
      </c>
      <c r="C785" s="1">
        <v>4</v>
      </c>
      <c r="D785" s="1" t="s">
        <v>138</v>
      </c>
      <c r="E785" s="1" t="s">
        <v>16</v>
      </c>
      <c r="H785"/>
      <c r="I785"/>
    </row>
    <row r="786" spans="1:9" ht="15" x14ac:dyDescent="0.25">
      <c r="A786" s="1">
        <v>785</v>
      </c>
      <c r="B786" s="1">
        <v>16</v>
      </c>
      <c r="C786" s="1">
        <v>4</v>
      </c>
      <c r="D786" s="1" t="s">
        <v>138</v>
      </c>
      <c r="E786" s="1" t="s">
        <v>16</v>
      </c>
      <c r="H786"/>
      <c r="I786"/>
    </row>
    <row r="787" spans="1:9" ht="15" x14ac:dyDescent="0.25">
      <c r="A787" s="1">
        <v>786</v>
      </c>
      <c r="B787" s="1">
        <v>16</v>
      </c>
      <c r="C787" s="1">
        <v>4</v>
      </c>
      <c r="D787" s="1" t="s">
        <v>138</v>
      </c>
      <c r="E787" s="1" t="s">
        <v>16</v>
      </c>
      <c r="H787"/>
      <c r="I787"/>
    </row>
    <row r="788" spans="1:9" ht="15" x14ac:dyDescent="0.25">
      <c r="A788" s="1">
        <v>787</v>
      </c>
      <c r="B788" s="1">
        <v>16</v>
      </c>
      <c r="C788" s="1">
        <v>4</v>
      </c>
      <c r="D788" s="1" t="s">
        <v>138</v>
      </c>
      <c r="E788" s="1" t="s">
        <v>16</v>
      </c>
      <c r="H788"/>
      <c r="I788"/>
    </row>
    <row r="789" spans="1:9" ht="15" x14ac:dyDescent="0.25">
      <c r="A789" s="1">
        <v>788</v>
      </c>
      <c r="B789" s="1">
        <v>16</v>
      </c>
      <c r="C789" s="1">
        <v>4</v>
      </c>
      <c r="D789" s="1" t="s">
        <v>138</v>
      </c>
      <c r="E789" s="1" t="s">
        <v>16</v>
      </c>
      <c r="H789"/>
      <c r="I789"/>
    </row>
    <row r="790" spans="1:9" ht="15" x14ac:dyDescent="0.25">
      <c r="A790" s="1">
        <v>789</v>
      </c>
      <c r="B790" s="1">
        <v>16</v>
      </c>
      <c r="C790" s="1">
        <v>4</v>
      </c>
      <c r="D790" s="1" t="s">
        <v>138</v>
      </c>
      <c r="E790" s="1" t="s">
        <v>16</v>
      </c>
      <c r="H790"/>
      <c r="I790"/>
    </row>
    <row r="791" spans="1:9" ht="15" x14ac:dyDescent="0.25">
      <c r="A791" s="1">
        <v>790</v>
      </c>
      <c r="B791" s="1">
        <v>16</v>
      </c>
      <c r="C791" s="1">
        <v>4</v>
      </c>
      <c r="D791" s="1" t="s">
        <v>138</v>
      </c>
      <c r="E791" s="1" t="s">
        <v>16</v>
      </c>
      <c r="H791"/>
      <c r="I791"/>
    </row>
    <row r="792" spans="1:9" ht="15" x14ac:dyDescent="0.25">
      <c r="A792" s="1">
        <v>791</v>
      </c>
      <c r="B792" s="1">
        <v>16</v>
      </c>
      <c r="C792" s="1">
        <v>4</v>
      </c>
      <c r="D792" s="1" t="s">
        <v>138</v>
      </c>
      <c r="E792" s="1" t="s">
        <v>16</v>
      </c>
      <c r="H792"/>
      <c r="I792"/>
    </row>
    <row r="793" spans="1:9" ht="15" x14ac:dyDescent="0.25">
      <c r="A793" s="1">
        <v>792</v>
      </c>
      <c r="B793" s="1">
        <v>16</v>
      </c>
      <c r="C793" s="1">
        <v>4</v>
      </c>
      <c r="D793" s="1" t="s">
        <v>138</v>
      </c>
      <c r="E793" s="1" t="s">
        <v>16</v>
      </c>
      <c r="H793"/>
      <c r="I793"/>
    </row>
    <row r="794" spans="1:9" ht="15" x14ac:dyDescent="0.25">
      <c r="A794" s="1">
        <v>793</v>
      </c>
      <c r="B794" s="1">
        <v>16</v>
      </c>
      <c r="C794" s="1">
        <v>4</v>
      </c>
      <c r="D794" s="1" t="s">
        <v>138</v>
      </c>
      <c r="E794" s="1" t="s">
        <v>16</v>
      </c>
      <c r="H794"/>
      <c r="I794"/>
    </row>
    <row r="795" spans="1:9" ht="15" x14ac:dyDescent="0.25">
      <c r="A795" s="1">
        <v>794</v>
      </c>
      <c r="B795" s="1">
        <v>16</v>
      </c>
      <c r="C795" s="1">
        <v>4</v>
      </c>
      <c r="D795" s="1" t="s">
        <v>138</v>
      </c>
      <c r="E795" s="1" t="s">
        <v>16</v>
      </c>
      <c r="H795"/>
      <c r="I795"/>
    </row>
    <row r="796" spans="1:9" ht="15" x14ac:dyDescent="0.25">
      <c r="A796" s="1">
        <v>795</v>
      </c>
      <c r="B796" s="1">
        <v>16</v>
      </c>
      <c r="C796" s="1">
        <v>4</v>
      </c>
      <c r="D796" s="1" t="s">
        <v>138</v>
      </c>
      <c r="E796" s="1" t="s">
        <v>16</v>
      </c>
      <c r="H796"/>
      <c r="I796"/>
    </row>
    <row r="797" spans="1:9" ht="15" x14ac:dyDescent="0.25">
      <c r="A797" s="1">
        <v>796</v>
      </c>
      <c r="B797" s="1">
        <v>16</v>
      </c>
      <c r="C797" s="1">
        <v>4</v>
      </c>
      <c r="D797" s="1" t="s">
        <v>138</v>
      </c>
      <c r="E797" s="1" t="s">
        <v>16</v>
      </c>
      <c r="H797"/>
      <c r="I797"/>
    </row>
    <row r="798" spans="1:9" ht="15" x14ac:dyDescent="0.25">
      <c r="A798" s="1">
        <v>797</v>
      </c>
      <c r="B798" s="1">
        <v>16</v>
      </c>
      <c r="C798" s="1">
        <v>4</v>
      </c>
      <c r="D798" s="1" t="s">
        <v>138</v>
      </c>
      <c r="E798" s="1" t="s">
        <v>16</v>
      </c>
      <c r="H798"/>
      <c r="I798"/>
    </row>
    <row r="799" spans="1:9" ht="15" x14ac:dyDescent="0.25">
      <c r="A799" s="1">
        <v>798</v>
      </c>
      <c r="B799" s="1">
        <v>16</v>
      </c>
      <c r="C799" s="1">
        <v>4</v>
      </c>
      <c r="D799" s="1" t="s">
        <v>138</v>
      </c>
      <c r="E799" s="1" t="s">
        <v>16</v>
      </c>
      <c r="H799"/>
      <c r="I799"/>
    </row>
    <row r="800" spans="1:9" ht="15" x14ac:dyDescent="0.25">
      <c r="A800" s="1">
        <v>799</v>
      </c>
      <c r="B800" s="1">
        <v>16</v>
      </c>
      <c r="C800" s="1">
        <v>4</v>
      </c>
      <c r="D800" s="1" t="s">
        <v>138</v>
      </c>
      <c r="E800" s="1" t="s">
        <v>16</v>
      </c>
      <c r="H800"/>
      <c r="I800"/>
    </row>
    <row r="801" spans="1:9" ht="15" x14ac:dyDescent="0.25">
      <c r="A801" s="1">
        <v>800</v>
      </c>
      <c r="B801" s="1">
        <v>16</v>
      </c>
      <c r="C801" s="1">
        <v>4</v>
      </c>
      <c r="D801" s="1" t="s">
        <v>138</v>
      </c>
      <c r="E801" s="1" t="s">
        <v>16</v>
      </c>
      <c r="H801"/>
      <c r="I801"/>
    </row>
    <row r="802" spans="1:9" ht="15" x14ac:dyDescent="0.25">
      <c r="A802" s="1">
        <v>801</v>
      </c>
      <c r="B802" s="1">
        <v>16</v>
      </c>
      <c r="C802" s="1">
        <v>4</v>
      </c>
      <c r="D802" s="1" t="s">
        <v>138</v>
      </c>
      <c r="E802" s="1" t="s">
        <v>16</v>
      </c>
      <c r="H802"/>
      <c r="I802"/>
    </row>
    <row r="803" spans="1:9" ht="15" x14ac:dyDescent="0.25">
      <c r="A803" s="1">
        <v>802</v>
      </c>
      <c r="B803" s="1">
        <v>16</v>
      </c>
      <c r="C803" s="1">
        <v>4</v>
      </c>
      <c r="D803" s="1" t="s">
        <v>138</v>
      </c>
      <c r="E803" s="1" t="s">
        <v>16</v>
      </c>
      <c r="H803"/>
      <c r="I803"/>
    </row>
    <row r="804" spans="1:9" ht="15" x14ac:dyDescent="0.25">
      <c r="A804" s="1">
        <v>803</v>
      </c>
      <c r="B804" s="1">
        <v>16</v>
      </c>
      <c r="C804" s="1">
        <v>4</v>
      </c>
      <c r="D804" s="1" t="s">
        <v>138</v>
      </c>
      <c r="E804" s="1" t="s">
        <v>16</v>
      </c>
      <c r="H804"/>
      <c r="I804"/>
    </row>
    <row r="805" spans="1:9" ht="15" x14ac:dyDescent="0.25">
      <c r="A805" s="1">
        <v>804</v>
      </c>
      <c r="B805" s="1">
        <v>17</v>
      </c>
      <c r="C805" s="1">
        <v>4</v>
      </c>
      <c r="D805" s="1" t="s">
        <v>137</v>
      </c>
      <c r="E805" s="1" t="s">
        <v>16</v>
      </c>
      <c r="H805"/>
      <c r="I805"/>
    </row>
    <row r="806" spans="1:9" ht="15" x14ac:dyDescent="0.25">
      <c r="A806" s="1">
        <v>805</v>
      </c>
      <c r="B806" s="1">
        <v>17</v>
      </c>
      <c r="C806" s="1">
        <v>4</v>
      </c>
      <c r="D806" s="1" t="s">
        <v>137</v>
      </c>
      <c r="E806" s="1" t="s">
        <v>16</v>
      </c>
      <c r="H806"/>
      <c r="I806"/>
    </row>
    <row r="807" spans="1:9" ht="15" x14ac:dyDescent="0.25">
      <c r="A807" s="1">
        <v>806</v>
      </c>
      <c r="B807" s="1">
        <v>17</v>
      </c>
      <c r="C807" s="1">
        <v>4</v>
      </c>
      <c r="D807" s="1" t="s">
        <v>137</v>
      </c>
      <c r="E807" s="1" t="s">
        <v>16</v>
      </c>
      <c r="H807"/>
      <c r="I807"/>
    </row>
    <row r="808" spans="1:9" ht="15" x14ac:dyDescent="0.25">
      <c r="A808" s="1">
        <v>807</v>
      </c>
      <c r="B808" s="1">
        <v>17</v>
      </c>
      <c r="C808" s="1">
        <v>4</v>
      </c>
      <c r="D808" s="1" t="s">
        <v>137</v>
      </c>
      <c r="E808" s="1" t="s">
        <v>16</v>
      </c>
      <c r="H808"/>
      <c r="I808"/>
    </row>
    <row r="809" spans="1:9" ht="15" x14ac:dyDescent="0.25">
      <c r="A809" s="1">
        <v>808</v>
      </c>
      <c r="B809" s="1">
        <v>17</v>
      </c>
      <c r="C809" s="1">
        <v>4</v>
      </c>
      <c r="D809" s="1" t="s">
        <v>137</v>
      </c>
      <c r="E809" s="1" t="s">
        <v>16</v>
      </c>
      <c r="H809"/>
      <c r="I809"/>
    </row>
    <row r="810" spans="1:9" ht="15" x14ac:dyDescent="0.25">
      <c r="A810" s="1">
        <v>809</v>
      </c>
      <c r="B810" s="1">
        <v>17</v>
      </c>
      <c r="C810" s="1">
        <v>4</v>
      </c>
      <c r="D810" s="1" t="s">
        <v>137</v>
      </c>
      <c r="E810" s="1" t="s">
        <v>16</v>
      </c>
      <c r="H810"/>
      <c r="I810"/>
    </row>
    <row r="811" spans="1:9" ht="15" x14ac:dyDescent="0.25">
      <c r="A811" s="1">
        <v>810</v>
      </c>
      <c r="B811" s="1">
        <v>17</v>
      </c>
      <c r="C811" s="1">
        <v>4</v>
      </c>
      <c r="D811" s="1" t="s">
        <v>137</v>
      </c>
      <c r="E811" s="1" t="s">
        <v>16</v>
      </c>
      <c r="H811"/>
      <c r="I811"/>
    </row>
    <row r="812" spans="1:9" ht="15" x14ac:dyDescent="0.25">
      <c r="A812" s="1">
        <v>811</v>
      </c>
      <c r="B812" s="1">
        <v>17</v>
      </c>
      <c r="C812" s="1">
        <v>4</v>
      </c>
      <c r="D812" s="1" t="s">
        <v>137</v>
      </c>
      <c r="E812" s="1" t="s">
        <v>16</v>
      </c>
      <c r="H812"/>
      <c r="I812"/>
    </row>
    <row r="813" spans="1:9" ht="15" x14ac:dyDescent="0.25">
      <c r="A813" s="1">
        <v>812</v>
      </c>
      <c r="B813" s="1">
        <v>17</v>
      </c>
      <c r="C813" s="1">
        <v>4</v>
      </c>
      <c r="D813" s="1" t="s">
        <v>137</v>
      </c>
      <c r="E813" s="1" t="s">
        <v>16</v>
      </c>
      <c r="H813"/>
      <c r="I813"/>
    </row>
    <row r="814" spans="1:9" ht="15" x14ac:dyDescent="0.25">
      <c r="A814" s="1">
        <v>813</v>
      </c>
      <c r="B814" s="1">
        <v>17</v>
      </c>
      <c r="C814" s="1">
        <v>4</v>
      </c>
      <c r="D814" s="1" t="s">
        <v>137</v>
      </c>
      <c r="E814" s="1" t="s">
        <v>16</v>
      </c>
      <c r="H814"/>
      <c r="I814"/>
    </row>
    <row r="815" spans="1:9" ht="15" x14ac:dyDescent="0.25">
      <c r="A815" s="1">
        <v>814</v>
      </c>
      <c r="B815" s="1">
        <v>17</v>
      </c>
      <c r="C815" s="1">
        <v>4</v>
      </c>
      <c r="D815" s="1" t="s">
        <v>137</v>
      </c>
      <c r="E815" s="1" t="s">
        <v>16</v>
      </c>
      <c r="H815"/>
      <c r="I815"/>
    </row>
    <row r="816" spans="1:9" ht="15" x14ac:dyDescent="0.25">
      <c r="A816" s="1">
        <v>815</v>
      </c>
      <c r="B816" s="1">
        <v>17</v>
      </c>
      <c r="C816" s="1">
        <v>4</v>
      </c>
      <c r="D816" s="1" t="s">
        <v>137</v>
      </c>
      <c r="E816" s="1" t="s">
        <v>16</v>
      </c>
      <c r="H816"/>
      <c r="I816"/>
    </row>
    <row r="817" spans="1:9" ht="15" x14ac:dyDescent="0.25">
      <c r="A817" s="1">
        <v>816</v>
      </c>
      <c r="B817" s="1">
        <v>17</v>
      </c>
      <c r="C817" s="1">
        <v>4</v>
      </c>
      <c r="D817" s="1" t="s">
        <v>137</v>
      </c>
      <c r="E817" s="1" t="s">
        <v>16</v>
      </c>
      <c r="H817"/>
      <c r="I817"/>
    </row>
    <row r="818" spans="1:9" ht="15" x14ac:dyDescent="0.25">
      <c r="A818" s="1">
        <v>817</v>
      </c>
      <c r="B818" s="1">
        <v>17</v>
      </c>
      <c r="C818" s="1">
        <v>4</v>
      </c>
      <c r="D818" s="1" t="s">
        <v>137</v>
      </c>
      <c r="E818" s="1" t="s">
        <v>16</v>
      </c>
      <c r="H818"/>
      <c r="I818"/>
    </row>
    <row r="819" spans="1:9" ht="15" x14ac:dyDescent="0.25">
      <c r="A819" s="1">
        <v>818</v>
      </c>
      <c r="B819" s="1">
        <v>17</v>
      </c>
      <c r="C819" s="1">
        <v>4</v>
      </c>
      <c r="D819" s="1" t="s">
        <v>137</v>
      </c>
      <c r="E819" s="1" t="s">
        <v>16</v>
      </c>
      <c r="H819"/>
      <c r="I819"/>
    </row>
    <row r="820" spans="1:9" ht="15" x14ac:dyDescent="0.25">
      <c r="A820" s="1">
        <v>819</v>
      </c>
      <c r="B820" s="1">
        <v>17</v>
      </c>
      <c r="C820" s="1">
        <v>4</v>
      </c>
      <c r="D820" s="1" t="s">
        <v>137</v>
      </c>
      <c r="E820" s="1" t="s">
        <v>16</v>
      </c>
      <c r="H820"/>
      <c r="I820"/>
    </row>
    <row r="821" spans="1:9" ht="15" x14ac:dyDescent="0.25">
      <c r="A821" s="1">
        <v>820</v>
      </c>
      <c r="B821" s="1">
        <v>17</v>
      </c>
      <c r="C821" s="1">
        <v>4</v>
      </c>
      <c r="D821" s="1" t="s">
        <v>137</v>
      </c>
      <c r="E821" s="1" t="s">
        <v>16</v>
      </c>
      <c r="H821"/>
      <c r="I821"/>
    </row>
    <row r="822" spans="1:9" ht="15" x14ac:dyDescent="0.25">
      <c r="A822" s="1">
        <v>821</v>
      </c>
      <c r="B822" s="1">
        <v>17</v>
      </c>
      <c r="C822" s="1">
        <v>4</v>
      </c>
      <c r="D822" s="1" t="s">
        <v>137</v>
      </c>
      <c r="E822" s="1" t="s">
        <v>16</v>
      </c>
      <c r="H822"/>
      <c r="I822"/>
    </row>
    <row r="823" spans="1:9" ht="15" x14ac:dyDescent="0.25">
      <c r="A823" s="1">
        <v>822</v>
      </c>
      <c r="B823" s="1">
        <v>17</v>
      </c>
      <c r="C823" s="1">
        <v>4</v>
      </c>
      <c r="D823" s="1" t="s">
        <v>137</v>
      </c>
      <c r="E823" s="1" t="s">
        <v>16</v>
      </c>
      <c r="H823"/>
      <c r="I823"/>
    </row>
    <row r="824" spans="1:9" ht="15" x14ac:dyDescent="0.25">
      <c r="A824" s="1">
        <v>823</v>
      </c>
      <c r="B824" s="1">
        <v>17</v>
      </c>
      <c r="C824" s="1">
        <v>4</v>
      </c>
      <c r="D824" s="1" t="s">
        <v>137</v>
      </c>
      <c r="E824" s="1" t="s">
        <v>16</v>
      </c>
      <c r="H824"/>
      <c r="I824"/>
    </row>
    <row r="825" spans="1:9" ht="15" x14ac:dyDescent="0.25">
      <c r="A825" s="1">
        <v>824</v>
      </c>
      <c r="B825" s="1">
        <v>17</v>
      </c>
      <c r="C825" s="1">
        <v>4</v>
      </c>
      <c r="D825" s="1" t="s">
        <v>137</v>
      </c>
      <c r="E825" s="1" t="s">
        <v>16</v>
      </c>
      <c r="H825"/>
      <c r="I825"/>
    </row>
    <row r="826" spans="1:9" ht="15" x14ac:dyDescent="0.25">
      <c r="A826" s="1">
        <v>825</v>
      </c>
      <c r="B826" s="1">
        <v>17</v>
      </c>
      <c r="C826" s="1">
        <v>4</v>
      </c>
      <c r="D826" s="1" t="s">
        <v>137</v>
      </c>
      <c r="E826" s="1" t="s">
        <v>16</v>
      </c>
      <c r="H826"/>
      <c r="I826"/>
    </row>
    <row r="827" spans="1:9" ht="15" x14ac:dyDescent="0.25">
      <c r="A827" s="1">
        <v>826</v>
      </c>
      <c r="B827" s="1">
        <v>17</v>
      </c>
      <c r="C827" s="1">
        <v>4</v>
      </c>
      <c r="D827" s="1" t="s">
        <v>137</v>
      </c>
      <c r="E827" s="1" t="s">
        <v>16</v>
      </c>
      <c r="H827"/>
      <c r="I827"/>
    </row>
    <row r="828" spans="1:9" ht="15" x14ac:dyDescent="0.25">
      <c r="A828" s="1">
        <v>827</v>
      </c>
      <c r="B828" s="1">
        <v>17</v>
      </c>
      <c r="C828" s="1">
        <v>4</v>
      </c>
      <c r="D828" s="1" t="s">
        <v>137</v>
      </c>
      <c r="E828" s="1" t="s">
        <v>16</v>
      </c>
      <c r="H828"/>
      <c r="I828"/>
    </row>
    <row r="829" spans="1:9" ht="15" x14ac:dyDescent="0.25">
      <c r="A829" s="1">
        <v>828</v>
      </c>
      <c r="B829" s="1">
        <v>17</v>
      </c>
      <c r="C829" s="1">
        <v>4</v>
      </c>
      <c r="D829" s="1" t="s">
        <v>137</v>
      </c>
      <c r="E829" s="1" t="s">
        <v>16</v>
      </c>
      <c r="H829"/>
      <c r="I829"/>
    </row>
    <row r="830" spans="1:9" ht="15" x14ac:dyDescent="0.25">
      <c r="A830" s="1">
        <v>829</v>
      </c>
      <c r="B830" s="1">
        <v>17</v>
      </c>
      <c r="C830" s="1">
        <v>4</v>
      </c>
      <c r="D830" s="1" t="s">
        <v>137</v>
      </c>
      <c r="E830" s="1" t="s">
        <v>16</v>
      </c>
      <c r="H830"/>
      <c r="I830"/>
    </row>
    <row r="831" spans="1:9" ht="15" x14ac:dyDescent="0.25">
      <c r="A831" s="1">
        <v>830</v>
      </c>
      <c r="B831" s="1">
        <v>17</v>
      </c>
      <c r="C831" s="1">
        <v>4</v>
      </c>
      <c r="D831" s="1" t="s">
        <v>137</v>
      </c>
      <c r="E831" s="1" t="s">
        <v>16</v>
      </c>
      <c r="H831"/>
      <c r="I831"/>
    </row>
    <row r="832" spans="1:9" ht="15" x14ac:dyDescent="0.25">
      <c r="A832" s="1">
        <v>831</v>
      </c>
      <c r="B832" s="1">
        <v>17</v>
      </c>
      <c r="C832" s="1">
        <v>4</v>
      </c>
      <c r="D832" s="1" t="s">
        <v>137</v>
      </c>
      <c r="E832" s="1" t="s">
        <v>16</v>
      </c>
      <c r="H832"/>
      <c r="I832"/>
    </row>
    <row r="833" spans="1:9" ht="15" x14ac:dyDescent="0.25">
      <c r="A833" s="1">
        <v>832</v>
      </c>
      <c r="B833" s="1">
        <v>17</v>
      </c>
      <c r="C833" s="1">
        <v>4</v>
      </c>
      <c r="D833" s="1" t="s">
        <v>137</v>
      </c>
      <c r="E833" s="1" t="s">
        <v>16</v>
      </c>
      <c r="H833"/>
      <c r="I833"/>
    </row>
    <row r="834" spans="1:9" ht="15" x14ac:dyDescent="0.25">
      <c r="A834" s="1">
        <v>833</v>
      </c>
      <c r="B834" s="1">
        <v>17</v>
      </c>
      <c r="C834" s="1">
        <v>4</v>
      </c>
      <c r="D834" s="1" t="s">
        <v>137</v>
      </c>
      <c r="E834" s="1" t="s">
        <v>16</v>
      </c>
      <c r="H834"/>
      <c r="I834"/>
    </row>
    <row r="835" spans="1:9" ht="15" x14ac:dyDescent="0.25">
      <c r="A835" s="1">
        <v>834</v>
      </c>
      <c r="B835" s="1">
        <v>17</v>
      </c>
      <c r="C835" s="1">
        <v>4</v>
      </c>
      <c r="D835" s="1" t="s">
        <v>137</v>
      </c>
      <c r="E835" s="1" t="s">
        <v>16</v>
      </c>
      <c r="H835"/>
      <c r="I835"/>
    </row>
    <row r="836" spans="1:9" ht="15" x14ac:dyDescent="0.25">
      <c r="A836" s="1">
        <v>835</v>
      </c>
      <c r="B836" s="1">
        <v>17</v>
      </c>
      <c r="C836" s="1">
        <v>4</v>
      </c>
      <c r="D836" s="1" t="s">
        <v>137</v>
      </c>
      <c r="E836" s="1" t="s">
        <v>16</v>
      </c>
      <c r="H836"/>
      <c r="I836"/>
    </row>
    <row r="837" spans="1:9" ht="15" x14ac:dyDescent="0.25">
      <c r="A837" s="1">
        <v>836</v>
      </c>
      <c r="B837" s="1">
        <v>17</v>
      </c>
      <c r="C837" s="1">
        <v>4</v>
      </c>
      <c r="D837" s="1" t="s">
        <v>137</v>
      </c>
      <c r="E837" s="1" t="s">
        <v>16</v>
      </c>
      <c r="H837"/>
      <c r="I837"/>
    </row>
    <row r="838" spans="1:9" ht="15" x14ac:dyDescent="0.25">
      <c r="A838" s="1">
        <v>837</v>
      </c>
      <c r="B838" s="1">
        <v>17</v>
      </c>
      <c r="C838" s="1">
        <v>4</v>
      </c>
      <c r="D838" s="1" t="s">
        <v>137</v>
      </c>
      <c r="E838" s="1" t="s">
        <v>16</v>
      </c>
      <c r="H838"/>
      <c r="I838"/>
    </row>
    <row r="839" spans="1:9" ht="15" x14ac:dyDescent="0.25">
      <c r="A839" s="1">
        <v>838</v>
      </c>
      <c r="B839" s="1">
        <v>17</v>
      </c>
      <c r="C839" s="1">
        <v>4</v>
      </c>
      <c r="D839" s="1" t="s">
        <v>137</v>
      </c>
      <c r="E839" s="1" t="s">
        <v>16</v>
      </c>
      <c r="H839"/>
      <c r="I839"/>
    </row>
    <row r="840" spans="1:9" ht="15" x14ac:dyDescent="0.25">
      <c r="A840" s="1">
        <v>839</v>
      </c>
      <c r="B840" s="1">
        <v>17</v>
      </c>
      <c r="C840" s="1">
        <v>4</v>
      </c>
      <c r="D840" s="1" t="s">
        <v>137</v>
      </c>
      <c r="E840" s="1" t="s">
        <v>16</v>
      </c>
      <c r="H840"/>
      <c r="I840"/>
    </row>
    <row r="841" spans="1:9" ht="15" x14ac:dyDescent="0.25">
      <c r="A841" s="1">
        <v>840</v>
      </c>
      <c r="B841" s="1">
        <v>17</v>
      </c>
      <c r="C841" s="1">
        <v>4</v>
      </c>
      <c r="D841" s="1" t="s">
        <v>137</v>
      </c>
      <c r="E841" s="1" t="s">
        <v>16</v>
      </c>
      <c r="H841"/>
      <c r="I841"/>
    </row>
    <row r="842" spans="1:9" ht="15" x14ac:dyDescent="0.25">
      <c r="A842" s="1">
        <v>841</v>
      </c>
      <c r="B842" s="1">
        <v>17</v>
      </c>
      <c r="C842" s="1">
        <v>4</v>
      </c>
      <c r="D842" s="1" t="s">
        <v>137</v>
      </c>
      <c r="E842" s="1" t="s">
        <v>16</v>
      </c>
      <c r="H842"/>
      <c r="I842"/>
    </row>
    <row r="843" spans="1:9" ht="15" x14ac:dyDescent="0.25">
      <c r="A843" s="1">
        <v>842</v>
      </c>
      <c r="B843" s="1">
        <v>17</v>
      </c>
      <c r="C843" s="1">
        <v>4</v>
      </c>
      <c r="D843" s="1" t="s">
        <v>137</v>
      </c>
      <c r="E843" s="1" t="s">
        <v>16</v>
      </c>
      <c r="H843"/>
      <c r="I843"/>
    </row>
    <row r="844" spans="1:9" ht="15" x14ac:dyDescent="0.25">
      <c r="A844" s="1">
        <v>843</v>
      </c>
      <c r="B844" s="1">
        <v>17</v>
      </c>
      <c r="C844" s="1">
        <v>4</v>
      </c>
      <c r="D844" s="1" t="s">
        <v>137</v>
      </c>
      <c r="E844" s="1" t="s">
        <v>16</v>
      </c>
      <c r="H844"/>
      <c r="I844"/>
    </row>
    <row r="845" spans="1:9" ht="15" x14ac:dyDescent="0.25">
      <c r="A845" s="1">
        <v>844</v>
      </c>
      <c r="B845" s="1">
        <v>17</v>
      </c>
      <c r="C845" s="1">
        <v>4</v>
      </c>
      <c r="D845" s="1" t="s">
        <v>137</v>
      </c>
      <c r="E845" s="1" t="s">
        <v>16</v>
      </c>
      <c r="H845"/>
      <c r="I845"/>
    </row>
    <row r="846" spans="1:9" ht="15" x14ac:dyDescent="0.25">
      <c r="A846" s="1">
        <v>845</v>
      </c>
      <c r="B846" s="1">
        <v>17</v>
      </c>
      <c r="C846" s="1">
        <v>4</v>
      </c>
      <c r="D846" s="1" t="s">
        <v>137</v>
      </c>
      <c r="E846" s="1" t="s">
        <v>16</v>
      </c>
      <c r="H846"/>
      <c r="I846"/>
    </row>
    <row r="847" spans="1:9" ht="15" x14ac:dyDescent="0.25">
      <c r="A847" s="1">
        <v>846</v>
      </c>
      <c r="B847" s="1">
        <v>17</v>
      </c>
      <c r="C847" s="1">
        <v>4</v>
      </c>
      <c r="D847" s="1" t="s">
        <v>137</v>
      </c>
      <c r="E847" s="1" t="s">
        <v>16</v>
      </c>
      <c r="H847"/>
      <c r="I847"/>
    </row>
    <row r="848" spans="1:9" ht="15" x14ac:dyDescent="0.25">
      <c r="A848" s="1">
        <v>847</v>
      </c>
      <c r="B848" s="1">
        <v>17</v>
      </c>
      <c r="C848" s="1">
        <v>4</v>
      </c>
      <c r="D848" s="1" t="s">
        <v>137</v>
      </c>
      <c r="E848" s="1" t="s">
        <v>16</v>
      </c>
      <c r="H848"/>
      <c r="I848"/>
    </row>
    <row r="849" spans="1:9" ht="15" x14ac:dyDescent="0.25">
      <c r="A849" s="1">
        <v>848</v>
      </c>
      <c r="B849" s="1">
        <v>17</v>
      </c>
      <c r="C849" s="1">
        <v>4</v>
      </c>
      <c r="D849" s="1" t="s">
        <v>137</v>
      </c>
      <c r="E849" s="1" t="s">
        <v>16</v>
      </c>
      <c r="H849"/>
      <c r="I849"/>
    </row>
    <row r="850" spans="1:9" ht="15" x14ac:dyDescent="0.25">
      <c r="A850" s="1">
        <v>849</v>
      </c>
      <c r="B850" s="1">
        <v>17</v>
      </c>
      <c r="C850" s="1">
        <v>4</v>
      </c>
      <c r="D850" s="1" t="s">
        <v>137</v>
      </c>
      <c r="E850" s="1" t="s">
        <v>16</v>
      </c>
      <c r="H850"/>
      <c r="I850"/>
    </row>
    <row r="851" spans="1:9" ht="15" x14ac:dyDescent="0.25">
      <c r="A851" s="1">
        <v>850</v>
      </c>
      <c r="B851" s="1">
        <v>17</v>
      </c>
      <c r="C851" s="1">
        <v>4</v>
      </c>
      <c r="D851" s="1" t="s">
        <v>137</v>
      </c>
      <c r="E851" s="1" t="s">
        <v>16</v>
      </c>
      <c r="H851"/>
      <c r="I851"/>
    </row>
    <row r="852" spans="1:9" ht="15" x14ac:dyDescent="0.25">
      <c r="A852" s="1">
        <v>851</v>
      </c>
      <c r="B852" s="1">
        <v>17</v>
      </c>
      <c r="C852" s="1">
        <v>4</v>
      </c>
      <c r="D852" s="1" t="s">
        <v>137</v>
      </c>
      <c r="E852" s="1" t="s">
        <v>16</v>
      </c>
      <c r="H852"/>
      <c r="I852"/>
    </row>
    <row r="853" spans="1:9" ht="15" x14ac:dyDescent="0.25">
      <c r="A853" s="1">
        <v>852</v>
      </c>
      <c r="B853" s="1">
        <v>17</v>
      </c>
      <c r="C853" s="1">
        <v>4</v>
      </c>
      <c r="D853" s="1" t="s">
        <v>137</v>
      </c>
      <c r="E853" s="1" t="s">
        <v>16</v>
      </c>
      <c r="H853"/>
      <c r="I853"/>
    </row>
    <row r="854" spans="1:9" ht="15" x14ac:dyDescent="0.25">
      <c r="A854" s="1">
        <v>853</v>
      </c>
      <c r="B854" s="1">
        <v>17</v>
      </c>
      <c r="C854" s="1">
        <v>4</v>
      </c>
      <c r="D854" s="1" t="s">
        <v>137</v>
      </c>
      <c r="E854" s="1" t="s">
        <v>16</v>
      </c>
      <c r="H854"/>
      <c r="I854"/>
    </row>
    <row r="855" spans="1:9" ht="15" x14ac:dyDescent="0.25">
      <c r="A855" s="1">
        <v>854</v>
      </c>
      <c r="B855" s="1">
        <v>17</v>
      </c>
      <c r="C855" s="1">
        <v>4</v>
      </c>
      <c r="D855" s="1" t="s">
        <v>137</v>
      </c>
      <c r="E855" s="1" t="s">
        <v>16</v>
      </c>
      <c r="H855"/>
      <c r="I855"/>
    </row>
    <row r="856" spans="1:9" ht="15" x14ac:dyDescent="0.25">
      <c r="A856" s="1">
        <v>855</v>
      </c>
      <c r="B856" s="1">
        <v>17</v>
      </c>
      <c r="C856" s="1">
        <v>4</v>
      </c>
      <c r="D856" s="1" t="s">
        <v>137</v>
      </c>
      <c r="E856" s="1" t="s">
        <v>16</v>
      </c>
      <c r="H856"/>
      <c r="I856"/>
    </row>
    <row r="857" spans="1:9" ht="15" x14ac:dyDescent="0.25">
      <c r="A857" s="1">
        <v>856</v>
      </c>
      <c r="B857" s="1">
        <v>17</v>
      </c>
      <c r="C857" s="1">
        <v>4</v>
      </c>
      <c r="D857" s="1" t="s">
        <v>137</v>
      </c>
      <c r="E857" s="1" t="s">
        <v>16</v>
      </c>
      <c r="H857"/>
      <c r="I857"/>
    </row>
    <row r="858" spans="1:9" ht="15" x14ac:dyDescent="0.25">
      <c r="A858" s="1">
        <v>857</v>
      </c>
      <c r="B858" s="1">
        <v>17</v>
      </c>
      <c r="C858" s="1">
        <v>4</v>
      </c>
      <c r="D858" s="1" t="s">
        <v>137</v>
      </c>
      <c r="E858" s="1" t="s">
        <v>16</v>
      </c>
      <c r="H858"/>
      <c r="I858"/>
    </row>
    <row r="859" spans="1:9" ht="15" x14ac:dyDescent="0.25">
      <c r="A859" s="1">
        <v>858</v>
      </c>
      <c r="B859" s="1">
        <v>17</v>
      </c>
      <c r="C859" s="1">
        <v>4</v>
      </c>
      <c r="D859" s="1" t="s">
        <v>137</v>
      </c>
      <c r="E859" s="1" t="s">
        <v>16</v>
      </c>
      <c r="H859"/>
      <c r="I859"/>
    </row>
    <row r="860" spans="1:9" ht="15" x14ac:dyDescent="0.25">
      <c r="A860" s="1">
        <v>859</v>
      </c>
      <c r="B860" s="1">
        <v>17</v>
      </c>
      <c r="C860" s="1">
        <v>4</v>
      </c>
      <c r="D860" s="1" t="s">
        <v>137</v>
      </c>
      <c r="E860" s="1" t="s">
        <v>16</v>
      </c>
      <c r="H860"/>
      <c r="I860"/>
    </row>
    <row r="861" spans="1:9" ht="15" x14ac:dyDescent="0.25">
      <c r="A861" s="1">
        <v>860</v>
      </c>
      <c r="B861" s="1">
        <v>17</v>
      </c>
      <c r="C861" s="1">
        <v>4</v>
      </c>
      <c r="D861" s="1" t="s">
        <v>137</v>
      </c>
      <c r="E861" s="1" t="s">
        <v>16</v>
      </c>
      <c r="H861"/>
      <c r="I861"/>
    </row>
    <row r="862" spans="1:9" ht="15" x14ac:dyDescent="0.25">
      <c r="A862" s="1">
        <v>861</v>
      </c>
      <c r="B862" s="1">
        <v>17</v>
      </c>
      <c r="C862" s="1">
        <v>4</v>
      </c>
      <c r="D862" s="1" t="s">
        <v>137</v>
      </c>
      <c r="E862" s="1" t="s">
        <v>16</v>
      </c>
      <c r="H862"/>
      <c r="I862"/>
    </row>
    <row r="863" spans="1:9" ht="15" x14ac:dyDescent="0.25">
      <c r="A863" s="1">
        <v>862</v>
      </c>
      <c r="B863" s="1">
        <v>17</v>
      </c>
      <c r="C863" s="1">
        <v>4</v>
      </c>
      <c r="D863" s="1" t="s">
        <v>137</v>
      </c>
      <c r="E863" s="1" t="s">
        <v>16</v>
      </c>
      <c r="H863"/>
      <c r="I863"/>
    </row>
    <row r="864" spans="1:9" ht="15" x14ac:dyDescent="0.25">
      <c r="A864" s="1">
        <v>863</v>
      </c>
      <c r="B864" s="1">
        <v>17</v>
      </c>
      <c r="C864" s="1">
        <v>4</v>
      </c>
      <c r="D864" s="1" t="s">
        <v>137</v>
      </c>
      <c r="E864" s="1" t="s">
        <v>16</v>
      </c>
      <c r="H864"/>
      <c r="I864"/>
    </row>
    <row r="865" spans="1:9" ht="15" x14ac:dyDescent="0.25">
      <c r="A865" s="1">
        <v>864</v>
      </c>
      <c r="B865" s="1">
        <v>17</v>
      </c>
      <c r="C865" s="1">
        <v>4</v>
      </c>
      <c r="D865" s="1" t="s">
        <v>137</v>
      </c>
      <c r="E865" s="1" t="s">
        <v>16</v>
      </c>
      <c r="H865"/>
      <c r="I865"/>
    </row>
    <row r="866" spans="1:9" ht="15" x14ac:dyDescent="0.25">
      <c r="A866" s="1">
        <v>865</v>
      </c>
      <c r="B866" s="1">
        <v>17</v>
      </c>
      <c r="C866" s="1">
        <v>4</v>
      </c>
      <c r="D866" s="1" t="s">
        <v>137</v>
      </c>
      <c r="E866" s="1" t="s">
        <v>16</v>
      </c>
      <c r="H866"/>
      <c r="I866"/>
    </row>
    <row r="867" spans="1:9" ht="15" x14ac:dyDescent="0.25">
      <c r="A867" s="1">
        <v>866</v>
      </c>
      <c r="B867" s="1">
        <v>17</v>
      </c>
      <c r="C867" s="1">
        <v>4</v>
      </c>
      <c r="D867" s="1" t="s">
        <v>137</v>
      </c>
      <c r="E867" s="1" t="s">
        <v>16</v>
      </c>
      <c r="H867"/>
      <c r="I867"/>
    </row>
    <row r="868" spans="1:9" ht="15" x14ac:dyDescent="0.25">
      <c r="A868" s="1">
        <v>867</v>
      </c>
      <c r="B868" s="1">
        <v>17</v>
      </c>
      <c r="C868" s="1">
        <v>4</v>
      </c>
      <c r="D868" s="1" t="s">
        <v>137</v>
      </c>
      <c r="E868" s="1" t="s">
        <v>16</v>
      </c>
      <c r="H868"/>
      <c r="I868"/>
    </row>
    <row r="869" spans="1:9" ht="15" x14ac:dyDescent="0.25">
      <c r="A869" s="1">
        <v>868</v>
      </c>
      <c r="B869" s="1">
        <v>17</v>
      </c>
      <c r="C869" s="1">
        <v>4</v>
      </c>
      <c r="D869" s="1" t="s">
        <v>137</v>
      </c>
      <c r="E869" s="1" t="s">
        <v>16</v>
      </c>
      <c r="H869"/>
      <c r="I869"/>
    </row>
    <row r="870" spans="1:9" ht="15" x14ac:dyDescent="0.25">
      <c r="A870" s="1">
        <v>869</v>
      </c>
      <c r="B870" s="1">
        <v>17</v>
      </c>
      <c r="C870" s="1">
        <v>4</v>
      </c>
      <c r="D870" s="1" t="s">
        <v>137</v>
      </c>
      <c r="E870" s="1" t="s">
        <v>16</v>
      </c>
      <c r="H870"/>
      <c r="I870"/>
    </row>
    <row r="871" spans="1:9" ht="15" x14ac:dyDescent="0.25">
      <c r="A871" s="1">
        <v>870</v>
      </c>
      <c r="B871" s="1">
        <v>17</v>
      </c>
      <c r="C871" s="1">
        <v>4</v>
      </c>
      <c r="D871" s="1" t="s">
        <v>137</v>
      </c>
      <c r="E871" s="1" t="s">
        <v>16</v>
      </c>
      <c r="H871"/>
      <c r="I871"/>
    </row>
    <row r="872" spans="1:9" ht="15" x14ac:dyDescent="0.25">
      <c r="A872" s="1">
        <v>871</v>
      </c>
      <c r="B872" s="1">
        <v>17</v>
      </c>
      <c r="C872" s="1">
        <v>4</v>
      </c>
      <c r="D872" s="1" t="s">
        <v>137</v>
      </c>
      <c r="E872" s="1" t="s">
        <v>16</v>
      </c>
      <c r="H872"/>
      <c r="I872"/>
    </row>
    <row r="873" spans="1:9" ht="15" x14ac:dyDescent="0.25">
      <c r="A873" s="1">
        <v>872</v>
      </c>
      <c r="B873" s="1">
        <v>17</v>
      </c>
      <c r="C873" s="1">
        <v>4</v>
      </c>
      <c r="D873" s="1" t="s">
        <v>137</v>
      </c>
      <c r="E873" s="1" t="s">
        <v>16</v>
      </c>
      <c r="H873"/>
      <c r="I873"/>
    </row>
    <row r="874" spans="1:9" ht="15" x14ac:dyDescent="0.25">
      <c r="A874" s="1">
        <v>873</v>
      </c>
      <c r="B874" s="1">
        <v>17</v>
      </c>
      <c r="C874" s="1">
        <v>4</v>
      </c>
      <c r="D874" s="1" t="s">
        <v>137</v>
      </c>
      <c r="E874" s="1" t="s">
        <v>16</v>
      </c>
      <c r="H874"/>
      <c r="I874"/>
    </row>
    <row r="875" spans="1:9" ht="15" x14ac:dyDescent="0.25">
      <c r="A875" s="1">
        <v>874</v>
      </c>
      <c r="B875" s="1">
        <v>18</v>
      </c>
      <c r="C875" s="1">
        <v>4</v>
      </c>
      <c r="D875" s="1" t="s">
        <v>136</v>
      </c>
      <c r="E875" s="1" t="s">
        <v>16</v>
      </c>
      <c r="H875"/>
      <c r="I875"/>
    </row>
    <row r="876" spans="1:9" ht="15" x14ac:dyDescent="0.25">
      <c r="A876" s="1">
        <v>875</v>
      </c>
      <c r="B876" s="1">
        <v>18</v>
      </c>
      <c r="C876" s="1">
        <v>4</v>
      </c>
      <c r="D876" s="1" t="s">
        <v>136</v>
      </c>
      <c r="E876" s="1" t="s">
        <v>16</v>
      </c>
      <c r="H876"/>
      <c r="I876"/>
    </row>
    <row r="877" spans="1:9" ht="15" x14ac:dyDescent="0.25">
      <c r="A877" s="1">
        <v>876</v>
      </c>
      <c r="B877" s="1">
        <v>18</v>
      </c>
      <c r="C877" s="1">
        <v>4</v>
      </c>
      <c r="D877" s="1" t="s">
        <v>136</v>
      </c>
      <c r="E877" s="1" t="s">
        <v>16</v>
      </c>
      <c r="H877"/>
      <c r="I877"/>
    </row>
    <row r="878" spans="1:9" ht="15" x14ac:dyDescent="0.25">
      <c r="A878" s="1">
        <v>877</v>
      </c>
      <c r="B878" s="1">
        <v>18</v>
      </c>
      <c r="C878" s="1">
        <v>4</v>
      </c>
      <c r="D878" s="1" t="s">
        <v>136</v>
      </c>
      <c r="E878" s="1" t="s">
        <v>16</v>
      </c>
      <c r="H878"/>
      <c r="I878"/>
    </row>
    <row r="879" spans="1:9" ht="15" x14ac:dyDescent="0.25">
      <c r="A879" s="1">
        <v>878</v>
      </c>
      <c r="B879" s="1">
        <v>18</v>
      </c>
      <c r="C879" s="1">
        <v>4</v>
      </c>
      <c r="D879" s="1" t="s">
        <v>136</v>
      </c>
      <c r="E879" s="1" t="s">
        <v>16</v>
      </c>
      <c r="H879"/>
      <c r="I879"/>
    </row>
    <row r="880" spans="1:9" ht="15" x14ac:dyDescent="0.25">
      <c r="A880" s="1">
        <v>879</v>
      </c>
      <c r="B880" s="1">
        <v>18</v>
      </c>
      <c r="C880" s="1">
        <v>4</v>
      </c>
      <c r="D880" s="1" t="s">
        <v>136</v>
      </c>
      <c r="E880" s="1" t="s">
        <v>16</v>
      </c>
      <c r="H880"/>
      <c r="I880"/>
    </row>
    <row r="881" spans="1:9" ht="15" x14ac:dyDescent="0.25">
      <c r="A881" s="1">
        <v>880</v>
      </c>
      <c r="B881" s="1">
        <v>18</v>
      </c>
      <c r="C881" s="1">
        <v>4</v>
      </c>
      <c r="D881" s="1" t="s">
        <v>136</v>
      </c>
      <c r="E881" s="1" t="s">
        <v>16</v>
      </c>
      <c r="H881"/>
      <c r="I881"/>
    </row>
    <row r="882" spans="1:9" ht="15" x14ac:dyDescent="0.25">
      <c r="A882" s="1">
        <v>881</v>
      </c>
      <c r="B882" s="1">
        <v>18</v>
      </c>
      <c r="C882" s="1">
        <v>4</v>
      </c>
      <c r="D882" s="1" t="s">
        <v>136</v>
      </c>
      <c r="E882" s="1" t="s">
        <v>16</v>
      </c>
      <c r="H882"/>
      <c r="I882"/>
    </row>
    <row r="883" spans="1:9" ht="15" x14ac:dyDescent="0.25">
      <c r="A883" s="1">
        <v>882</v>
      </c>
      <c r="B883" s="1">
        <v>18</v>
      </c>
      <c r="C883" s="1">
        <v>4</v>
      </c>
      <c r="D883" s="1" t="s">
        <v>136</v>
      </c>
      <c r="E883" s="1" t="s">
        <v>16</v>
      </c>
      <c r="H883"/>
      <c r="I883"/>
    </row>
    <row r="884" spans="1:9" ht="15" x14ac:dyDescent="0.25">
      <c r="A884" s="1">
        <v>883</v>
      </c>
      <c r="B884" s="1">
        <v>18</v>
      </c>
      <c r="C884" s="1">
        <v>4</v>
      </c>
      <c r="D884" s="1" t="s">
        <v>136</v>
      </c>
      <c r="E884" s="1" t="s">
        <v>16</v>
      </c>
      <c r="H884"/>
      <c r="I884"/>
    </row>
    <row r="885" spans="1:9" ht="15" x14ac:dyDescent="0.25">
      <c r="A885" s="1">
        <v>884</v>
      </c>
      <c r="B885" s="1">
        <v>18</v>
      </c>
      <c r="C885" s="1">
        <v>4</v>
      </c>
      <c r="D885" s="1" t="s">
        <v>136</v>
      </c>
      <c r="E885" s="1" t="s">
        <v>16</v>
      </c>
      <c r="H885"/>
      <c r="I885"/>
    </row>
    <row r="886" spans="1:9" ht="15" x14ac:dyDescent="0.25">
      <c r="A886" s="1">
        <v>885</v>
      </c>
      <c r="B886" s="1">
        <v>18</v>
      </c>
      <c r="C886" s="1">
        <v>4</v>
      </c>
      <c r="D886" s="1" t="s">
        <v>136</v>
      </c>
      <c r="E886" s="1" t="s">
        <v>16</v>
      </c>
      <c r="H886"/>
      <c r="I886"/>
    </row>
    <row r="887" spans="1:9" ht="15" x14ac:dyDescent="0.25">
      <c r="A887" s="1">
        <v>886</v>
      </c>
      <c r="B887" s="1">
        <v>18</v>
      </c>
      <c r="C887" s="1">
        <v>4</v>
      </c>
      <c r="D887" s="1" t="s">
        <v>136</v>
      </c>
      <c r="E887" s="1" t="s">
        <v>16</v>
      </c>
      <c r="H887"/>
      <c r="I887"/>
    </row>
    <row r="888" spans="1:9" ht="15" x14ac:dyDescent="0.25">
      <c r="A888" s="1">
        <v>887</v>
      </c>
      <c r="B888" s="1">
        <v>18</v>
      </c>
      <c r="C888" s="1">
        <v>4</v>
      </c>
      <c r="D888" s="1" t="s">
        <v>136</v>
      </c>
      <c r="E888" s="1" t="s">
        <v>16</v>
      </c>
      <c r="H888"/>
      <c r="I888"/>
    </row>
    <row r="889" spans="1:9" ht="15" x14ac:dyDescent="0.25">
      <c r="A889" s="1">
        <v>888</v>
      </c>
      <c r="B889" s="1">
        <v>18</v>
      </c>
      <c r="C889" s="1">
        <v>4</v>
      </c>
      <c r="D889" s="1" t="s">
        <v>136</v>
      </c>
      <c r="E889" s="1" t="s">
        <v>16</v>
      </c>
      <c r="H889"/>
      <c r="I889"/>
    </row>
    <row r="890" spans="1:9" ht="15" x14ac:dyDescent="0.25">
      <c r="A890" s="1">
        <v>889</v>
      </c>
      <c r="B890" s="1">
        <v>18</v>
      </c>
      <c r="C890" s="1">
        <v>4</v>
      </c>
      <c r="D890" s="1" t="s">
        <v>136</v>
      </c>
      <c r="E890" s="1" t="s">
        <v>16</v>
      </c>
      <c r="H890"/>
      <c r="I890"/>
    </row>
    <row r="891" spans="1:9" ht="15" x14ac:dyDescent="0.25">
      <c r="A891" s="1">
        <v>890</v>
      </c>
      <c r="B891" s="1">
        <v>18</v>
      </c>
      <c r="C891" s="1">
        <v>4</v>
      </c>
      <c r="D891" s="1" t="s">
        <v>136</v>
      </c>
      <c r="E891" s="1" t="s">
        <v>16</v>
      </c>
      <c r="H891"/>
      <c r="I891"/>
    </row>
    <row r="892" spans="1:9" ht="15" x14ac:dyDescent="0.25">
      <c r="A892" s="1">
        <v>891</v>
      </c>
      <c r="B892" s="1">
        <v>18</v>
      </c>
      <c r="C892" s="1">
        <v>4</v>
      </c>
      <c r="D892" s="1" t="s">
        <v>136</v>
      </c>
      <c r="E892" s="1" t="s">
        <v>16</v>
      </c>
      <c r="H892"/>
      <c r="I892"/>
    </row>
    <row r="893" spans="1:9" ht="15" x14ac:dyDescent="0.25">
      <c r="A893" s="1">
        <v>892</v>
      </c>
      <c r="B893" s="1">
        <v>18</v>
      </c>
      <c r="C893" s="1">
        <v>4</v>
      </c>
      <c r="D893" s="1" t="s">
        <v>136</v>
      </c>
      <c r="E893" s="1" t="s">
        <v>16</v>
      </c>
      <c r="H893"/>
      <c r="I893"/>
    </row>
    <row r="894" spans="1:9" ht="15" x14ac:dyDescent="0.25">
      <c r="A894" s="1">
        <v>893</v>
      </c>
      <c r="B894" s="1">
        <v>18</v>
      </c>
      <c r="C894" s="1">
        <v>4</v>
      </c>
      <c r="D894" s="1" t="s">
        <v>136</v>
      </c>
      <c r="E894" s="1" t="s">
        <v>16</v>
      </c>
      <c r="H894"/>
      <c r="I894"/>
    </row>
    <row r="895" spans="1:9" ht="15" x14ac:dyDescent="0.25">
      <c r="A895" s="1">
        <v>894</v>
      </c>
      <c r="B895" s="1">
        <v>18</v>
      </c>
      <c r="C895" s="1">
        <v>4</v>
      </c>
      <c r="D895" s="1" t="s">
        <v>136</v>
      </c>
      <c r="E895" s="1" t="s">
        <v>16</v>
      </c>
      <c r="H895"/>
      <c r="I895"/>
    </row>
    <row r="896" spans="1:9" ht="15" x14ac:dyDescent="0.25">
      <c r="A896" s="1">
        <v>895</v>
      </c>
      <c r="B896" s="1">
        <v>18</v>
      </c>
      <c r="C896" s="1">
        <v>4</v>
      </c>
      <c r="D896" s="1" t="s">
        <v>136</v>
      </c>
      <c r="E896" s="1" t="s">
        <v>16</v>
      </c>
      <c r="H896"/>
      <c r="I896"/>
    </row>
    <row r="897" spans="1:9" ht="15" x14ac:dyDescent="0.25">
      <c r="A897" s="1">
        <v>896</v>
      </c>
      <c r="B897" s="1">
        <v>18</v>
      </c>
      <c r="C897" s="1">
        <v>4</v>
      </c>
      <c r="D897" s="1" t="s">
        <v>136</v>
      </c>
      <c r="E897" s="1" t="s">
        <v>16</v>
      </c>
      <c r="H897"/>
      <c r="I897"/>
    </row>
    <row r="898" spans="1:9" ht="15" x14ac:dyDescent="0.25">
      <c r="A898" s="1">
        <v>897</v>
      </c>
      <c r="B898" s="1">
        <v>18</v>
      </c>
      <c r="C898" s="1">
        <v>4</v>
      </c>
      <c r="D898" s="1" t="s">
        <v>136</v>
      </c>
      <c r="E898" s="1" t="s">
        <v>16</v>
      </c>
      <c r="H898"/>
      <c r="I898"/>
    </row>
    <row r="899" spans="1:9" ht="15" x14ac:dyDescent="0.25">
      <c r="A899" s="1">
        <v>898</v>
      </c>
      <c r="B899" s="1">
        <v>18</v>
      </c>
      <c r="C899" s="1">
        <v>4</v>
      </c>
      <c r="D899" s="1" t="s">
        <v>136</v>
      </c>
      <c r="E899" s="1" t="s">
        <v>16</v>
      </c>
      <c r="H899"/>
      <c r="I899"/>
    </row>
    <row r="900" spans="1:9" ht="15" x14ac:dyDescent="0.25">
      <c r="A900" s="1">
        <v>899</v>
      </c>
      <c r="B900" s="1">
        <v>18</v>
      </c>
      <c r="C900" s="1">
        <v>4</v>
      </c>
      <c r="D900" s="1" t="s">
        <v>136</v>
      </c>
      <c r="E900" s="1" t="s">
        <v>16</v>
      </c>
      <c r="H900"/>
      <c r="I900"/>
    </row>
    <row r="901" spans="1:9" ht="15" x14ac:dyDescent="0.25">
      <c r="A901" s="1">
        <v>900</v>
      </c>
      <c r="B901" s="1">
        <v>18</v>
      </c>
      <c r="C901" s="1">
        <v>4</v>
      </c>
      <c r="D901" s="1" t="s">
        <v>136</v>
      </c>
      <c r="E901" s="1" t="s">
        <v>16</v>
      </c>
      <c r="H901"/>
      <c r="I901"/>
    </row>
    <row r="902" spans="1:9" ht="15" x14ac:dyDescent="0.25">
      <c r="A902" s="1">
        <v>901</v>
      </c>
      <c r="B902" s="1">
        <v>18</v>
      </c>
      <c r="C902" s="1">
        <v>4</v>
      </c>
      <c r="D902" s="1" t="s">
        <v>136</v>
      </c>
      <c r="E902" s="1" t="s">
        <v>16</v>
      </c>
      <c r="H902"/>
      <c r="I902"/>
    </row>
    <row r="903" spans="1:9" ht="15" x14ac:dyDescent="0.25">
      <c r="A903" s="1">
        <v>902</v>
      </c>
      <c r="B903" s="1">
        <v>18</v>
      </c>
      <c r="C903" s="1">
        <v>4</v>
      </c>
      <c r="D903" s="1" t="s">
        <v>136</v>
      </c>
      <c r="E903" s="1" t="s">
        <v>16</v>
      </c>
      <c r="H903"/>
      <c r="I903"/>
    </row>
    <row r="904" spans="1:9" ht="15" x14ac:dyDescent="0.25">
      <c r="A904" s="1">
        <v>903</v>
      </c>
      <c r="B904" s="1">
        <v>18</v>
      </c>
      <c r="C904" s="1">
        <v>4</v>
      </c>
      <c r="D904" s="1" t="s">
        <v>136</v>
      </c>
      <c r="E904" s="1" t="s">
        <v>16</v>
      </c>
      <c r="H904"/>
      <c r="I904"/>
    </row>
    <row r="905" spans="1:9" ht="15" x14ac:dyDescent="0.25">
      <c r="A905" s="1">
        <v>904</v>
      </c>
      <c r="B905" s="1">
        <v>18</v>
      </c>
      <c r="C905" s="1">
        <v>4</v>
      </c>
      <c r="D905" s="1" t="s">
        <v>136</v>
      </c>
      <c r="E905" s="1" t="s">
        <v>16</v>
      </c>
      <c r="H905"/>
      <c r="I905"/>
    </row>
    <row r="906" spans="1:9" ht="15" x14ac:dyDescent="0.25">
      <c r="A906" s="1">
        <v>905</v>
      </c>
      <c r="B906" s="1">
        <v>18</v>
      </c>
      <c r="C906" s="1">
        <v>4</v>
      </c>
      <c r="D906" s="1" t="s">
        <v>136</v>
      </c>
      <c r="E906" s="1" t="s">
        <v>16</v>
      </c>
      <c r="H906"/>
      <c r="I906"/>
    </row>
    <row r="907" spans="1:9" ht="15" x14ac:dyDescent="0.25">
      <c r="A907" s="1">
        <v>906</v>
      </c>
      <c r="B907" s="1">
        <v>18</v>
      </c>
      <c r="C907" s="1">
        <v>4</v>
      </c>
      <c r="D907" s="1" t="s">
        <v>136</v>
      </c>
      <c r="E907" s="1" t="s">
        <v>16</v>
      </c>
      <c r="H907"/>
      <c r="I907"/>
    </row>
    <row r="908" spans="1:9" ht="15" x14ac:dyDescent="0.25">
      <c r="A908" s="1">
        <v>907</v>
      </c>
      <c r="B908" s="1">
        <v>18</v>
      </c>
      <c r="C908" s="1">
        <v>4</v>
      </c>
      <c r="D908" s="1" t="s">
        <v>136</v>
      </c>
      <c r="E908" s="1" t="s">
        <v>16</v>
      </c>
      <c r="H908"/>
      <c r="I908"/>
    </row>
    <row r="909" spans="1:9" ht="15" x14ac:dyDescent="0.25">
      <c r="A909" s="1">
        <v>908</v>
      </c>
      <c r="B909" s="1">
        <v>18</v>
      </c>
      <c r="C909" s="1">
        <v>4</v>
      </c>
      <c r="D909" s="1" t="s">
        <v>136</v>
      </c>
      <c r="E909" s="1" t="s">
        <v>16</v>
      </c>
      <c r="H909"/>
      <c r="I909"/>
    </row>
    <row r="910" spans="1:9" ht="15" x14ac:dyDescent="0.25">
      <c r="A910" s="1">
        <v>909</v>
      </c>
      <c r="B910" s="1">
        <v>18</v>
      </c>
      <c r="C910" s="1">
        <v>4</v>
      </c>
      <c r="D910" s="1" t="s">
        <v>136</v>
      </c>
      <c r="E910" s="1" t="s">
        <v>16</v>
      </c>
      <c r="H910"/>
      <c r="I910"/>
    </row>
    <row r="911" spans="1:9" ht="15" x14ac:dyDescent="0.25">
      <c r="A911" s="1">
        <v>910</v>
      </c>
      <c r="B911" s="1">
        <v>18</v>
      </c>
      <c r="C911" s="1">
        <v>4</v>
      </c>
      <c r="D911" s="1" t="s">
        <v>136</v>
      </c>
      <c r="E911" s="1" t="s">
        <v>16</v>
      </c>
      <c r="H911"/>
      <c r="I911"/>
    </row>
    <row r="912" spans="1:9" ht="15" x14ac:dyDescent="0.25">
      <c r="A912" s="1">
        <v>911</v>
      </c>
      <c r="B912" s="1">
        <v>18</v>
      </c>
      <c r="C912" s="1">
        <v>4</v>
      </c>
      <c r="D912" s="1" t="s">
        <v>136</v>
      </c>
      <c r="E912" s="1" t="s">
        <v>16</v>
      </c>
      <c r="H912"/>
      <c r="I912"/>
    </row>
    <row r="913" spans="1:9" ht="15" x14ac:dyDescent="0.25">
      <c r="A913" s="1">
        <v>912</v>
      </c>
      <c r="B913" s="1">
        <v>18</v>
      </c>
      <c r="C913" s="1">
        <v>4</v>
      </c>
      <c r="D913" s="1" t="s">
        <v>136</v>
      </c>
      <c r="E913" s="1" t="s">
        <v>16</v>
      </c>
      <c r="H913"/>
      <c r="I913"/>
    </row>
    <row r="914" spans="1:9" ht="15" x14ac:dyDescent="0.25">
      <c r="A914" s="1">
        <v>913</v>
      </c>
      <c r="B914" s="1">
        <v>18</v>
      </c>
      <c r="C914" s="1">
        <v>4</v>
      </c>
      <c r="D914" s="1" t="s">
        <v>136</v>
      </c>
      <c r="E914" s="1" t="s">
        <v>16</v>
      </c>
      <c r="H914"/>
      <c r="I914"/>
    </row>
    <row r="915" spans="1:9" ht="15" x14ac:dyDescent="0.25">
      <c r="A915" s="1">
        <v>914</v>
      </c>
      <c r="B915" s="1">
        <v>18</v>
      </c>
      <c r="C915" s="1">
        <v>4</v>
      </c>
      <c r="D915" s="1" t="s">
        <v>136</v>
      </c>
      <c r="E915" s="1" t="s">
        <v>16</v>
      </c>
      <c r="H915"/>
      <c r="I915"/>
    </row>
    <row r="916" spans="1:9" ht="15" x14ac:dyDescent="0.25">
      <c r="A916" s="1">
        <v>915</v>
      </c>
      <c r="B916" s="1">
        <v>18</v>
      </c>
      <c r="C916" s="1">
        <v>4</v>
      </c>
      <c r="D916" s="1" t="s">
        <v>136</v>
      </c>
      <c r="E916" s="1" t="s">
        <v>16</v>
      </c>
      <c r="H916"/>
      <c r="I916"/>
    </row>
    <row r="917" spans="1:9" ht="15" x14ac:dyDescent="0.25">
      <c r="A917" s="1">
        <v>916</v>
      </c>
      <c r="B917" s="1">
        <v>18</v>
      </c>
      <c r="C917" s="1">
        <v>4</v>
      </c>
      <c r="D917" s="1" t="s">
        <v>136</v>
      </c>
      <c r="E917" s="1" t="s">
        <v>16</v>
      </c>
      <c r="H917"/>
      <c r="I917"/>
    </row>
    <row r="918" spans="1:9" ht="15" x14ac:dyDescent="0.25">
      <c r="A918" s="1">
        <v>917</v>
      </c>
      <c r="B918" s="1">
        <v>18</v>
      </c>
      <c r="C918" s="1">
        <v>4</v>
      </c>
      <c r="D918" s="1" t="s">
        <v>136</v>
      </c>
      <c r="E918" s="1" t="s">
        <v>16</v>
      </c>
      <c r="H918"/>
      <c r="I918"/>
    </row>
    <row r="919" spans="1:9" ht="15" x14ac:dyDescent="0.25">
      <c r="A919" s="1">
        <v>918</v>
      </c>
      <c r="B919" s="1">
        <v>18</v>
      </c>
      <c r="C919" s="1">
        <v>4</v>
      </c>
      <c r="D919" s="1" t="s">
        <v>136</v>
      </c>
      <c r="E919" s="1" t="s">
        <v>16</v>
      </c>
      <c r="H919"/>
      <c r="I919"/>
    </row>
    <row r="920" spans="1:9" ht="15" x14ac:dyDescent="0.25">
      <c r="A920" s="1">
        <v>919</v>
      </c>
      <c r="B920" s="1">
        <v>18</v>
      </c>
      <c r="C920" s="1">
        <v>4</v>
      </c>
      <c r="D920" s="1" t="s">
        <v>136</v>
      </c>
      <c r="E920" s="1" t="s">
        <v>16</v>
      </c>
      <c r="H920"/>
      <c r="I920"/>
    </row>
    <row r="921" spans="1:9" ht="15" x14ac:dyDescent="0.25">
      <c r="A921" s="1">
        <v>920</v>
      </c>
      <c r="B921" s="1">
        <v>18</v>
      </c>
      <c r="C921" s="1">
        <v>4</v>
      </c>
      <c r="D921" s="1" t="s">
        <v>136</v>
      </c>
      <c r="E921" s="1" t="s">
        <v>16</v>
      </c>
      <c r="H921"/>
      <c r="I921"/>
    </row>
    <row r="922" spans="1:9" ht="15" x14ac:dyDescent="0.25">
      <c r="A922" s="1">
        <v>921</v>
      </c>
      <c r="B922" s="1">
        <v>18</v>
      </c>
      <c r="C922" s="1">
        <v>4</v>
      </c>
      <c r="D922" s="1" t="s">
        <v>136</v>
      </c>
      <c r="E922" s="1" t="s">
        <v>16</v>
      </c>
      <c r="H922"/>
      <c r="I922"/>
    </row>
    <row r="923" spans="1:9" ht="15" x14ac:dyDescent="0.25">
      <c r="A923" s="1">
        <v>922</v>
      </c>
      <c r="B923" s="1">
        <v>18</v>
      </c>
      <c r="C923" s="1">
        <v>4</v>
      </c>
      <c r="D923" s="1" t="s">
        <v>136</v>
      </c>
      <c r="E923" s="1" t="s">
        <v>16</v>
      </c>
      <c r="H923"/>
      <c r="I923"/>
    </row>
    <row r="924" spans="1:9" ht="15" x14ac:dyDescent="0.25">
      <c r="A924" s="1">
        <v>923</v>
      </c>
      <c r="B924" s="1">
        <v>18</v>
      </c>
      <c r="C924" s="1">
        <v>4</v>
      </c>
      <c r="D924" s="1" t="s">
        <v>136</v>
      </c>
      <c r="E924" s="1" t="s">
        <v>16</v>
      </c>
      <c r="H924"/>
      <c r="I924"/>
    </row>
    <row r="925" spans="1:9" ht="15" x14ac:dyDescent="0.25">
      <c r="A925" s="1">
        <v>924</v>
      </c>
      <c r="B925" s="1">
        <v>18</v>
      </c>
      <c r="C925" s="1">
        <v>4</v>
      </c>
      <c r="D925" s="1" t="s">
        <v>136</v>
      </c>
      <c r="E925" s="1" t="s">
        <v>16</v>
      </c>
      <c r="H925"/>
      <c r="I925"/>
    </row>
    <row r="926" spans="1:9" ht="15" x14ac:dyDescent="0.25">
      <c r="A926" s="1">
        <v>925</v>
      </c>
      <c r="B926" s="1">
        <v>18</v>
      </c>
      <c r="C926" s="1">
        <v>4</v>
      </c>
      <c r="D926" s="1" t="s">
        <v>136</v>
      </c>
      <c r="E926" s="1" t="s">
        <v>16</v>
      </c>
      <c r="H926"/>
      <c r="I926"/>
    </row>
    <row r="927" spans="1:9" ht="15" x14ac:dyDescent="0.25">
      <c r="A927" s="1">
        <v>926</v>
      </c>
      <c r="B927" s="1">
        <v>18</v>
      </c>
      <c r="C927" s="1">
        <v>4</v>
      </c>
      <c r="D927" s="1" t="s">
        <v>136</v>
      </c>
      <c r="E927" s="1" t="s">
        <v>16</v>
      </c>
      <c r="H927"/>
      <c r="I927"/>
    </row>
    <row r="928" spans="1:9" ht="15" x14ac:dyDescent="0.25">
      <c r="A928" s="1">
        <v>927</v>
      </c>
      <c r="B928" s="1">
        <v>18</v>
      </c>
      <c r="C928" s="1">
        <v>4</v>
      </c>
      <c r="D928" s="1" t="s">
        <v>136</v>
      </c>
      <c r="E928" s="1" t="s">
        <v>16</v>
      </c>
      <c r="H928"/>
      <c r="I928"/>
    </row>
    <row r="929" spans="1:9" ht="15" x14ac:dyDescent="0.25">
      <c r="A929" s="1">
        <v>928</v>
      </c>
      <c r="B929" s="1">
        <v>18</v>
      </c>
      <c r="C929" s="1">
        <v>4</v>
      </c>
      <c r="D929" s="1" t="s">
        <v>136</v>
      </c>
      <c r="E929" s="1" t="s">
        <v>16</v>
      </c>
      <c r="H929"/>
      <c r="I929"/>
    </row>
    <row r="930" spans="1:9" ht="15" x14ac:dyDescent="0.25">
      <c r="A930" s="1">
        <v>929</v>
      </c>
      <c r="B930" s="1">
        <v>18</v>
      </c>
      <c r="C930" s="1">
        <v>4</v>
      </c>
      <c r="D930" s="1" t="s">
        <v>136</v>
      </c>
      <c r="E930" s="1" t="s">
        <v>16</v>
      </c>
      <c r="H930"/>
      <c r="I930"/>
    </row>
    <row r="931" spans="1:9" ht="15" x14ac:dyDescent="0.25">
      <c r="A931" s="1">
        <v>930</v>
      </c>
      <c r="B931" s="1">
        <v>18</v>
      </c>
      <c r="C931" s="1">
        <v>4</v>
      </c>
      <c r="D931" s="1" t="s">
        <v>136</v>
      </c>
      <c r="E931" s="1" t="s">
        <v>16</v>
      </c>
      <c r="H931"/>
      <c r="I931"/>
    </row>
    <row r="932" spans="1:9" ht="15" x14ac:dyDescent="0.25">
      <c r="A932" s="1">
        <v>931</v>
      </c>
      <c r="B932" s="1">
        <v>18</v>
      </c>
      <c r="C932" s="1">
        <v>4</v>
      </c>
      <c r="D932" s="1" t="s">
        <v>136</v>
      </c>
      <c r="E932" s="1" t="s">
        <v>16</v>
      </c>
      <c r="H932"/>
      <c r="I932"/>
    </row>
    <row r="933" spans="1:9" ht="15" x14ac:dyDescent="0.25">
      <c r="A933" s="1">
        <v>932</v>
      </c>
      <c r="B933" s="1">
        <v>18</v>
      </c>
      <c r="C933" s="1">
        <v>4</v>
      </c>
      <c r="D933" s="1" t="s">
        <v>136</v>
      </c>
      <c r="E933" s="1" t="s">
        <v>16</v>
      </c>
      <c r="H933"/>
      <c r="I933"/>
    </row>
    <row r="934" spans="1:9" ht="15" x14ac:dyDescent="0.25">
      <c r="A934" s="1">
        <v>933</v>
      </c>
      <c r="B934" s="1">
        <v>18</v>
      </c>
      <c r="C934" s="1">
        <v>4</v>
      </c>
      <c r="D934" s="1" t="s">
        <v>136</v>
      </c>
      <c r="E934" s="1" t="s">
        <v>16</v>
      </c>
      <c r="H934"/>
      <c r="I934"/>
    </row>
    <row r="935" spans="1:9" ht="15" x14ac:dyDescent="0.25">
      <c r="A935" s="1">
        <v>934</v>
      </c>
      <c r="B935" s="1">
        <v>18</v>
      </c>
      <c r="C935" s="1">
        <v>4</v>
      </c>
      <c r="D935" s="1" t="s">
        <v>136</v>
      </c>
      <c r="E935" s="1" t="s">
        <v>16</v>
      </c>
      <c r="H935"/>
      <c r="I935"/>
    </row>
    <row r="936" spans="1:9" ht="15" x14ac:dyDescent="0.25">
      <c r="A936" s="1">
        <v>935</v>
      </c>
      <c r="B936" s="1">
        <v>18</v>
      </c>
      <c r="C936" s="1">
        <v>4</v>
      </c>
      <c r="D936" s="1" t="s">
        <v>136</v>
      </c>
      <c r="E936" s="1" t="s">
        <v>16</v>
      </c>
      <c r="H936"/>
      <c r="I936"/>
    </row>
    <row r="937" spans="1:9" ht="15" x14ac:dyDescent="0.25">
      <c r="A937" s="1">
        <v>936</v>
      </c>
      <c r="B937" s="1">
        <v>18</v>
      </c>
      <c r="C937" s="1">
        <v>4</v>
      </c>
      <c r="D937" s="1" t="s">
        <v>136</v>
      </c>
      <c r="E937" s="1" t="s">
        <v>16</v>
      </c>
      <c r="H937"/>
      <c r="I937"/>
    </row>
    <row r="938" spans="1:9" ht="15" x14ac:dyDescent="0.25">
      <c r="A938" s="1">
        <v>937</v>
      </c>
      <c r="B938" s="1">
        <v>18</v>
      </c>
      <c r="C938" s="1">
        <v>4</v>
      </c>
      <c r="D938" s="1" t="s">
        <v>136</v>
      </c>
      <c r="E938" s="1" t="s">
        <v>16</v>
      </c>
      <c r="H938"/>
      <c r="I938"/>
    </row>
    <row r="939" spans="1:9" ht="15" x14ac:dyDescent="0.25">
      <c r="A939" s="1">
        <v>938</v>
      </c>
      <c r="B939" s="1">
        <v>18</v>
      </c>
      <c r="C939" s="1">
        <v>4</v>
      </c>
      <c r="D939" s="1" t="s">
        <v>136</v>
      </c>
      <c r="E939" s="1" t="s">
        <v>16</v>
      </c>
      <c r="H939"/>
      <c r="I939"/>
    </row>
    <row r="940" spans="1:9" ht="15" x14ac:dyDescent="0.25">
      <c r="A940" s="1">
        <v>939</v>
      </c>
      <c r="B940" s="1">
        <v>18</v>
      </c>
      <c r="C940" s="1">
        <v>4</v>
      </c>
      <c r="D940" s="1" t="s">
        <v>136</v>
      </c>
      <c r="E940" s="1" t="s">
        <v>16</v>
      </c>
      <c r="H940"/>
      <c r="I940"/>
    </row>
    <row r="941" spans="1:9" ht="15" x14ac:dyDescent="0.25">
      <c r="A941" s="1">
        <v>940</v>
      </c>
      <c r="B941" s="1">
        <v>18</v>
      </c>
      <c r="C941" s="1">
        <v>4</v>
      </c>
      <c r="D941" s="1" t="s">
        <v>136</v>
      </c>
      <c r="E941" s="1" t="s">
        <v>16</v>
      </c>
      <c r="H941"/>
      <c r="I941"/>
    </row>
    <row r="942" spans="1:9" ht="15" x14ac:dyDescent="0.25">
      <c r="A942" s="1">
        <v>941</v>
      </c>
      <c r="B942" s="1">
        <v>18</v>
      </c>
      <c r="C942" s="1">
        <v>4</v>
      </c>
      <c r="D942" s="1" t="s">
        <v>136</v>
      </c>
      <c r="E942" s="1" t="s">
        <v>16</v>
      </c>
      <c r="H942"/>
      <c r="I942"/>
    </row>
    <row r="943" spans="1:9" ht="15" x14ac:dyDescent="0.25">
      <c r="A943" s="1">
        <v>942</v>
      </c>
      <c r="B943" s="1">
        <v>18</v>
      </c>
      <c r="C943" s="1">
        <v>4</v>
      </c>
      <c r="D943" s="1" t="s">
        <v>136</v>
      </c>
      <c r="E943" s="1" t="s">
        <v>16</v>
      </c>
      <c r="H943"/>
      <c r="I943"/>
    </row>
    <row r="944" spans="1:9" ht="15" x14ac:dyDescent="0.25">
      <c r="A944" s="1">
        <v>943</v>
      </c>
      <c r="B944" s="1">
        <v>18</v>
      </c>
      <c r="C944" s="1">
        <v>4</v>
      </c>
      <c r="D944" s="1" t="s">
        <v>136</v>
      </c>
      <c r="E944" s="1" t="s">
        <v>16</v>
      </c>
      <c r="H944"/>
      <c r="I944"/>
    </row>
    <row r="945" spans="1:9" ht="15" x14ac:dyDescent="0.25">
      <c r="A945" s="1">
        <v>944</v>
      </c>
      <c r="B945" s="1">
        <v>18</v>
      </c>
      <c r="C945" s="1">
        <v>4</v>
      </c>
      <c r="D945" s="1" t="s">
        <v>136</v>
      </c>
      <c r="E945" s="1" t="s">
        <v>16</v>
      </c>
      <c r="H945"/>
      <c r="I945"/>
    </row>
    <row r="946" spans="1:9" ht="15" x14ac:dyDescent="0.25">
      <c r="A946" s="1">
        <v>945</v>
      </c>
      <c r="B946" s="1">
        <v>18</v>
      </c>
      <c r="C946" s="1">
        <v>4</v>
      </c>
      <c r="D946" s="1" t="s">
        <v>136</v>
      </c>
      <c r="E946" s="1" t="s">
        <v>16</v>
      </c>
      <c r="H946"/>
      <c r="I946"/>
    </row>
    <row r="947" spans="1:9" ht="15" x14ac:dyDescent="0.25">
      <c r="A947" s="1">
        <v>946</v>
      </c>
      <c r="B947" s="1">
        <v>18</v>
      </c>
      <c r="C947" s="1">
        <v>4</v>
      </c>
      <c r="D947" s="1" t="s">
        <v>136</v>
      </c>
      <c r="E947" s="1" t="s">
        <v>16</v>
      </c>
      <c r="H947"/>
      <c r="I947"/>
    </row>
    <row r="948" spans="1:9" ht="15" x14ac:dyDescent="0.25">
      <c r="A948" s="1">
        <v>947</v>
      </c>
      <c r="B948" s="1">
        <v>18</v>
      </c>
      <c r="C948" s="1">
        <v>4</v>
      </c>
      <c r="D948" s="1" t="s">
        <v>136</v>
      </c>
      <c r="E948" s="1" t="s">
        <v>16</v>
      </c>
      <c r="H948"/>
      <c r="I948"/>
    </row>
    <row r="949" spans="1:9" ht="15" x14ac:dyDescent="0.25">
      <c r="A949" s="1">
        <v>948</v>
      </c>
      <c r="B949" s="1">
        <v>18</v>
      </c>
      <c r="C949" s="1">
        <v>4</v>
      </c>
      <c r="D949" s="1" t="s">
        <v>136</v>
      </c>
      <c r="E949" s="1" t="s">
        <v>16</v>
      </c>
      <c r="H949"/>
      <c r="I949"/>
    </row>
    <row r="950" spans="1:9" ht="15" x14ac:dyDescent="0.25">
      <c r="A950" s="1">
        <v>949</v>
      </c>
      <c r="B950" s="1">
        <v>18</v>
      </c>
      <c r="C950" s="1">
        <v>4</v>
      </c>
      <c r="D950" s="1" t="s">
        <v>136</v>
      </c>
      <c r="E950" s="1" t="s">
        <v>16</v>
      </c>
      <c r="H950"/>
      <c r="I950"/>
    </row>
    <row r="951" spans="1:9" ht="15" x14ac:dyDescent="0.25">
      <c r="A951" s="1">
        <v>950</v>
      </c>
      <c r="B951" s="1">
        <v>18</v>
      </c>
      <c r="C951" s="1">
        <v>4</v>
      </c>
      <c r="D951" s="1" t="s">
        <v>136</v>
      </c>
      <c r="E951" s="1" t="s">
        <v>16</v>
      </c>
      <c r="H951"/>
      <c r="I951"/>
    </row>
    <row r="952" spans="1:9" ht="15" x14ac:dyDescent="0.25">
      <c r="A952" s="1">
        <v>951</v>
      </c>
      <c r="B952" s="1">
        <v>18</v>
      </c>
      <c r="C952" s="1">
        <v>4</v>
      </c>
      <c r="D952" s="1" t="s">
        <v>136</v>
      </c>
      <c r="E952" s="1" t="s">
        <v>16</v>
      </c>
      <c r="H952"/>
      <c r="I952"/>
    </row>
    <row r="953" spans="1:9" ht="15" x14ac:dyDescent="0.25">
      <c r="A953" s="1">
        <v>952</v>
      </c>
      <c r="B953" s="1">
        <v>18</v>
      </c>
      <c r="C953" s="1">
        <v>4</v>
      </c>
      <c r="D953" s="1" t="s">
        <v>136</v>
      </c>
      <c r="E953" s="1" t="s">
        <v>16</v>
      </c>
      <c r="H953"/>
      <c r="I953"/>
    </row>
    <row r="954" spans="1:9" ht="15" x14ac:dyDescent="0.25">
      <c r="A954" s="1">
        <v>953</v>
      </c>
      <c r="B954" s="1">
        <v>18</v>
      </c>
      <c r="C954" s="1">
        <v>4</v>
      </c>
      <c r="D954" s="1" t="s">
        <v>136</v>
      </c>
      <c r="E954" s="1" t="s">
        <v>16</v>
      </c>
      <c r="H954"/>
      <c r="I954"/>
    </row>
    <row r="955" spans="1:9" ht="15" x14ac:dyDescent="0.25">
      <c r="A955" s="1">
        <v>954</v>
      </c>
      <c r="B955" s="1">
        <v>18</v>
      </c>
      <c r="C955" s="1">
        <v>4</v>
      </c>
      <c r="D955" s="1" t="s">
        <v>136</v>
      </c>
      <c r="E955" s="1" t="s">
        <v>16</v>
      </c>
      <c r="H955"/>
      <c r="I955"/>
    </row>
    <row r="956" spans="1:9" ht="15" x14ac:dyDescent="0.25">
      <c r="A956" s="1">
        <v>955</v>
      </c>
      <c r="B956" s="1">
        <v>18</v>
      </c>
      <c r="C956" s="1">
        <v>4</v>
      </c>
      <c r="D956" s="1" t="s">
        <v>136</v>
      </c>
      <c r="E956" s="1" t="s">
        <v>16</v>
      </c>
      <c r="H956"/>
      <c r="I956"/>
    </row>
    <row r="957" spans="1:9" ht="15" x14ac:dyDescent="0.25">
      <c r="A957" s="1">
        <v>956</v>
      </c>
      <c r="B957" s="1">
        <v>18</v>
      </c>
      <c r="C957" s="1">
        <v>4</v>
      </c>
      <c r="D957" s="1" t="s">
        <v>136</v>
      </c>
      <c r="E957" s="1" t="s">
        <v>16</v>
      </c>
      <c r="H957"/>
      <c r="I957"/>
    </row>
    <row r="958" spans="1:9" ht="15" x14ac:dyDescent="0.25">
      <c r="A958" s="1">
        <v>957</v>
      </c>
      <c r="B958" s="1">
        <v>18</v>
      </c>
      <c r="C958" s="1">
        <v>4</v>
      </c>
      <c r="D958" s="1" t="s">
        <v>136</v>
      </c>
      <c r="E958" s="1" t="s">
        <v>16</v>
      </c>
      <c r="H958"/>
      <c r="I958"/>
    </row>
    <row r="959" spans="1:9" ht="15" x14ac:dyDescent="0.25">
      <c r="A959" s="1">
        <v>958</v>
      </c>
      <c r="B959" s="1">
        <v>18</v>
      </c>
      <c r="C959" s="1">
        <v>4</v>
      </c>
      <c r="D959" s="1" t="s">
        <v>136</v>
      </c>
      <c r="E959" s="1" t="s">
        <v>16</v>
      </c>
      <c r="H959"/>
      <c r="I959"/>
    </row>
    <row r="960" spans="1:9" ht="15" x14ac:dyDescent="0.25">
      <c r="A960" s="1">
        <v>959</v>
      </c>
      <c r="B960" s="1">
        <v>18</v>
      </c>
      <c r="C960" s="1">
        <v>4</v>
      </c>
      <c r="D960" s="1" t="s">
        <v>136</v>
      </c>
      <c r="E960" s="1" t="s">
        <v>16</v>
      </c>
      <c r="H960"/>
      <c r="I960"/>
    </row>
    <row r="961" spans="1:9" ht="15" x14ac:dyDescent="0.25">
      <c r="A961" s="1">
        <v>960</v>
      </c>
      <c r="B961" s="1">
        <v>18</v>
      </c>
      <c r="C961" s="1">
        <v>4</v>
      </c>
      <c r="D961" s="1" t="s">
        <v>136</v>
      </c>
      <c r="E961" s="1" t="s">
        <v>16</v>
      </c>
      <c r="H961"/>
      <c r="I961"/>
    </row>
    <row r="962" spans="1:9" ht="15" x14ac:dyDescent="0.25">
      <c r="A962" s="1">
        <v>961</v>
      </c>
      <c r="B962" s="1">
        <v>18</v>
      </c>
      <c r="C962" s="1">
        <v>4</v>
      </c>
      <c r="D962" s="1" t="s">
        <v>136</v>
      </c>
      <c r="E962" s="1" t="s">
        <v>16</v>
      </c>
      <c r="H962"/>
      <c r="I962"/>
    </row>
    <row r="963" spans="1:9" ht="15" x14ac:dyDescent="0.25">
      <c r="A963" s="1">
        <v>962</v>
      </c>
      <c r="B963" s="1">
        <v>18</v>
      </c>
      <c r="C963" s="1">
        <v>4</v>
      </c>
      <c r="D963" s="1" t="s">
        <v>136</v>
      </c>
      <c r="E963" s="1" t="s">
        <v>16</v>
      </c>
      <c r="H963"/>
      <c r="I963"/>
    </row>
    <row r="964" spans="1:9" ht="15" x14ac:dyDescent="0.25">
      <c r="A964" s="1">
        <v>963</v>
      </c>
      <c r="B964" s="1">
        <v>18</v>
      </c>
      <c r="C964" s="1">
        <v>4</v>
      </c>
      <c r="D964" s="1" t="s">
        <v>136</v>
      </c>
      <c r="E964" s="1" t="s">
        <v>16</v>
      </c>
      <c r="H964"/>
      <c r="I964"/>
    </row>
    <row r="965" spans="1:9" ht="15" x14ac:dyDescent="0.25">
      <c r="A965" s="1">
        <v>964</v>
      </c>
      <c r="B965" s="1">
        <v>18</v>
      </c>
      <c r="C965" s="1">
        <v>4</v>
      </c>
      <c r="D965" s="1" t="s">
        <v>136</v>
      </c>
      <c r="E965" s="1" t="s">
        <v>16</v>
      </c>
      <c r="H965"/>
      <c r="I965"/>
    </row>
    <row r="966" spans="1:9" ht="15" x14ac:dyDescent="0.25">
      <c r="A966" s="1">
        <v>965</v>
      </c>
      <c r="B966" s="1">
        <v>18</v>
      </c>
      <c r="C966" s="1">
        <v>4</v>
      </c>
      <c r="D966" s="1" t="s">
        <v>136</v>
      </c>
      <c r="E966" s="1" t="s">
        <v>16</v>
      </c>
      <c r="H966"/>
      <c r="I966"/>
    </row>
    <row r="967" spans="1:9" ht="15" x14ac:dyDescent="0.25">
      <c r="A967" s="1">
        <v>966</v>
      </c>
      <c r="B967" s="1">
        <v>18</v>
      </c>
      <c r="C967" s="1">
        <v>4</v>
      </c>
      <c r="D967" s="1" t="s">
        <v>136</v>
      </c>
      <c r="E967" s="1" t="s">
        <v>16</v>
      </c>
      <c r="H967"/>
      <c r="I967"/>
    </row>
    <row r="968" spans="1:9" ht="15" x14ac:dyDescent="0.25">
      <c r="A968" s="1">
        <v>967</v>
      </c>
      <c r="B968" s="1">
        <v>18</v>
      </c>
      <c r="C968" s="1">
        <v>4</v>
      </c>
      <c r="D968" s="1" t="s">
        <v>136</v>
      </c>
      <c r="E968" s="1" t="s">
        <v>16</v>
      </c>
      <c r="H968"/>
      <c r="I968"/>
    </row>
    <row r="969" spans="1:9" ht="15" x14ac:dyDescent="0.25">
      <c r="A969" s="1">
        <v>968</v>
      </c>
      <c r="B969" s="1">
        <v>18</v>
      </c>
      <c r="C969" s="1">
        <v>4</v>
      </c>
      <c r="D969" s="1" t="s">
        <v>136</v>
      </c>
      <c r="E969" s="1" t="s">
        <v>16</v>
      </c>
      <c r="H969"/>
      <c r="I969"/>
    </row>
    <row r="970" spans="1:9" ht="15" x14ac:dyDescent="0.25">
      <c r="A970" s="1">
        <v>969</v>
      </c>
      <c r="B970" s="1">
        <v>18</v>
      </c>
      <c r="C970" s="1">
        <v>4</v>
      </c>
      <c r="D970" s="1" t="s">
        <v>136</v>
      </c>
      <c r="E970" s="1" t="s">
        <v>16</v>
      </c>
      <c r="H970"/>
      <c r="I970"/>
    </row>
    <row r="971" spans="1:9" ht="15" x14ac:dyDescent="0.25">
      <c r="A971" s="1">
        <v>970</v>
      </c>
      <c r="B971" s="1">
        <v>18</v>
      </c>
      <c r="C971" s="1">
        <v>4</v>
      </c>
      <c r="D971" s="1" t="s">
        <v>136</v>
      </c>
      <c r="E971" s="1" t="s">
        <v>16</v>
      </c>
      <c r="H971"/>
      <c r="I971"/>
    </row>
    <row r="972" spans="1:9" ht="15" x14ac:dyDescent="0.25">
      <c r="A972" s="1">
        <v>971</v>
      </c>
      <c r="B972" s="1">
        <v>18</v>
      </c>
      <c r="C972" s="1">
        <v>4</v>
      </c>
      <c r="D972" s="1" t="s">
        <v>136</v>
      </c>
      <c r="E972" s="1" t="s">
        <v>16</v>
      </c>
      <c r="H972"/>
      <c r="I972"/>
    </row>
    <row r="973" spans="1:9" ht="15" x14ac:dyDescent="0.25">
      <c r="A973" s="1">
        <v>972</v>
      </c>
      <c r="B973" s="1">
        <v>18</v>
      </c>
      <c r="C973" s="1">
        <v>4</v>
      </c>
      <c r="D973" s="1" t="s">
        <v>136</v>
      </c>
      <c r="E973" s="1" t="s">
        <v>16</v>
      </c>
      <c r="H973"/>
      <c r="I973"/>
    </row>
    <row r="974" spans="1:9" ht="15" x14ac:dyDescent="0.25">
      <c r="A974" s="1">
        <v>973</v>
      </c>
      <c r="B974" s="1">
        <v>18</v>
      </c>
      <c r="C974" s="1">
        <v>4</v>
      </c>
      <c r="D974" s="1" t="s">
        <v>136</v>
      </c>
      <c r="E974" s="1" t="s">
        <v>16</v>
      </c>
      <c r="H974"/>
      <c r="I974"/>
    </row>
    <row r="975" spans="1:9" ht="15" x14ac:dyDescent="0.25">
      <c r="A975" s="1">
        <v>974</v>
      </c>
      <c r="B975" s="1">
        <v>18</v>
      </c>
      <c r="C975" s="1">
        <v>4</v>
      </c>
      <c r="D975" s="1" t="s">
        <v>136</v>
      </c>
      <c r="E975" s="1" t="s">
        <v>16</v>
      </c>
      <c r="H975"/>
      <c r="I975"/>
    </row>
    <row r="976" spans="1:9" ht="15" x14ac:dyDescent="0.25">
      <c r="A976" s="1">
        <v>975</v>
      </c>
      <c r="B976" s="1">
        <v>18</v>
      </c>
      <c r="C976" s="1">
        <v>4</v>
      </c>
      <c r="D976" s="1" t="s">
        <v>136</v>
      </c>
      <c r="E976" s="1" t="s">
        <v>16</v>
      </c>
      <c r="H976"/>
      <c r="I976"/>
    </row>
    <row r="977" spans="1:9" ht="15" x14ac:dyDescent="0.25">
      <c r="A977" s="1">
        <v>976</v>
      </c>
      <c r="B977" s="1">
        <v>18</v>
      </c>
      <c r="C977" s="1">
        <v>4</v>
      </c>
      <c r="D977" s="1" t="s">
        <v>136</v>
      </c>
      <c r="E977" s="1" t="s">
        <v>16</v>
      </c>
      <c r="H977"/>
      <c r="I977"/>
    </row>
    <row r="978" spans="1:9" ht="15" x14ac:dyDescent="0.25">
      <c r="A978" s="1">
        <v>977</v>
      </c>
      <c r="B978" s="1">
        <v>18</v>
      </c>
      <c r="C978" s="1">
        <v>4</v>
      </c>
      <c r="D978" s="1" t="s">
        <v>136</v>
      </c>
      <c r="E978" s="1" t="s">
        <v>16</v>
      </c>
      <c r="H978"/>
      <c r="I978"/>
    </row>
    <row r="979" spans="1:9" ht="15" x14ac:dyDescent="0.25">
      <c r="A979" s="1">
        <v>978</v>
      </c>
      <c r="B979" s="1">
        <v>18</v>
      </c>
      <c r="C979" s="1">
        <v>4</v>
      </c>
      <c r="D979" s="1" t="s">
        <v>136</v>
      </c>
      <c r="E979" s="1" t="s">
        <v>16</v>
      </c>
      <c r="H979"/>
      <c r="I979"/>
    </row>
    <row r="980" spans="1:9" ht="15" x14ac:dyDescent="0.25">
      <c r="A980" s="1">
        <v>979</v>
      </c>
      <c r="B980" s="1">
        <v>18</v>
      </c>
      <c r="C980" s="1">
        <v>4</v>
      </c>
      <c r="D980" s="1" t="s">
        <v>136</v>
      </c>
      <c r="E980" s="1" t="s">
        <v>16</v>
      </c>
      <c r="H980"/>
      <c r="I980"/>
    </row>
    <row r="981" spans="1:9" ht="15" x14ac:dyDescent="0.25">
      <c r="A981" s="1">
        <v>980</v>
      </c>
      <c r="B981" s="1">
        <v>18</v>
      </c>
      <c r="C981" s="1">
        <v>4</v>
      </c>
      <c r="D981" s="1" t="s">
        <v>136</v>
      </c>
      <c r="E981" s="1" t="s">
        <v>16</v>
      </c>
      <c r="H981"/>
      <c r="I981"/>
    </row>
    <row r="982" spans="1:9" ht="15" x14ac:dyDescent="0.25">
      <c r="A982" s="1">
        <v>981</v>
      </c>
      <c r="B982" s="1">
        <v>18</v>
      </c>
      <c r="C982" s="1">
        <v>4</v>
      </c>
      <c r="D982" s="1" t="s">
        <v>136</v>
      </c>
      <c r="E982" s="1" t="s">
        <v>16</v>
      </c>
      <c r="H982"/>
      <c r="I982"/>
    </row>
    <row r="983" spans="1:9" ht="15" x14ac:dyDescent="0.25">
      <c r="A983" s="1">
        <v>982</v>
      </c>
      <c r="B983" s="1">
        <v>18</v>
      </c>
      <c r="C983" s="1">
        <v>4</v>
      </c>
      <c r="D983" s="1" t="s">
        <v>136</v>
      </c>
      <c r="E983" s="1" t="s">
        <v>16</v>
      </c>
      <c r="H983"/>
      <c r="I983"/>
    </row>
    <row r="984" spans="1:9" ht="15" x14ac:dyDescent="0.25">
      <c r="A984" s="1">
        <v>983</v>
      </c>
      <c r="B984" s="1">
        <v>18</v>
      </c>
      <c r="C984" s="1">
        <v>4</v>
      </c>
      <c r="D984" s="1" t="s">
        <v>136</v>
      </c>
      <c r="E984" s="1" t="s">
        <v>16</v>
      </c>
      <c r="H984"/>
      <c r="I984"/>
    </row>
    <row r="985" spans="1:9" ht="15" x14ac:dyDescent="0.25">
      <c r="A985" s="1">
        <v>984</v>
      </c>
      <c r="B985" s="1">
        <v>18</v>
      </c>
      <c r="C985" s="1">
        <v>4</v>
      </c>
      <c r="D985" s="1" t="s">
        <v>136</v>
      </c>
      <c r="E985" s="1" t="s">
        <v>16</v>
      </c>
      <c r="H985"/>
      <c r="I985"/>
    </row>
    <row r="986" spans="1:9" ht="15" x14ac:dyDescent="0.25">
      <c r="A986" s="1">
        <v>985</v>
      </c>
      <c r="B986" s="1">
        <v>18</v>
      </c>
      <c r="C986" s="1">
        <v>4</v>
      </c>
      <c r="D986" s="1" t="s">
        <v>136</v>
      </c>
      <c r="E986" s="1" t="s">
        <v>16</v>
      </c>
      <c r="H986"/>
      <c r="I986"/>
    </row>
    <row r="987" spans="1:9" ht="15" x14ac:dyDescent="0.25">
      <c r="A987" s="1">
        <v>986</v>
      </c>
      <c r="B987" s="1">
        <v>18</v>
      </c>
      <c r="C987" s="1">
        <v>4</v>
      </c>
      <c r="D987" s="1" t="s">
        <v>136</v>
      </c>
      <c r="E987" s="1" t="s">
        <v>16</v>
      </c>
      <c r="H987"/>
      <c r="I987"/>
    </row>
    <row r="988" spans="1:9" ht="15" x14ac:dyDescent="0.25">
      <c r="A988" s="1">
        <v>987</v>
      </c>
      <c r="B988" s="1">
        <v>18</v>
      </c>
      <c r="C988" s="1">
        <v>4</v>
      </c>
      <c r="D988" s="1" t="s">
        <v>136</v>
      </c>
      <c r="E988" s="1" t="s">
        <v>16</v>
      </c>
      <c r="H988"/>
      <c r="I988"/>
    </row>
    <row r="989" spans="1:9" ht="15" x14ac:dyDescent="0.25">
      <c r="A989" s="1">
        <v>988</v>
      </c>
      <c r="B989" s="1">
        <v>18</v>
      </c>
      <c r="C989" s="1">
        <v>4</v>
      </c>
      <c r="D989" s="1" t="s">
        <v>136</v>
      </c>
      <c r="E989" s="1" t="s">
        <v>16</v>
      </c>
      <c r="H989"/>
      <c r="I989"/>
    </row>
    <row r="990" spans="1:9" ht="15" x14ac:dyDescent="0.25">
      <c r="A990" s="1">
        <v>989</v>
      </c>
      <c r="B990" s="1">
        <v>18</v>
      </c>
      <c r="C990" s="1">
        <v>4</v>
      </c>
      <c r="D990" s="1" t="s">
        <v>136</v>
      </c>
      <c r="E990" s="1" t="s">
        <v>16</v>
      </c>
      <c r="H990"/>
      <c r="I990"/>
    </row>
    <row r="991" spans="1:9" ht="15" x14ac:dyDescent="0.25">
      <c r="A991" s="1">
        <v>990</v>
      </c>
      <c r="B991" s="1">
        <v>18</v>
      </c>
      <c r="C991" s="1">
        <v>4</v>
      </c>
      <c r="D991" s="1" t="s">
        <v>136</v>
      </c>
      <c r="E991" s="1" t="s">
        <v>16</v>
      </c>
      <c r="H991"/>
      <c r="I991"/>
    </row>
    <row r="992" spans="1:9" ht="15" x14ac:dyDescent="0.25">
      <c r="A992" s="1">
        <v>991</v>
      </c>
      <c r="B992" s="1">
        <v>19</v>
      </c>
      <c r="C992" s="1">
        <v>4</v>
      </c>
      <c r="D992" s="1" t="s">
        <v>135</v>
      </c>
      <c r="E992" s="1" t="s">
        <v>16</v>
      </c>
      <c r="H992"/>
      <c r="I992"/>
    </row>
    <row r="993" spans="1:9" ht="15" x14ac:dyDescent="0.25">
      <c r="A993" s="1">
        <v>992</v>
      </c>
      <c r="B993" s="1">
        <v>19</v>
      </c>
      <c r="C993" s="1">
        <v>4</v>
      </c>
      <c r="D993" s="1" t="s">
        <v>135</v>
      </c>
      <c r="E993" s="1" t="s">
        <v>16</v>
      </c>
      <c r="H993"/>
      <c r="I993"/>
    </row>
    <row r="994" spans="1:9" ht="15" x14ac:dyDescent="0.25">
      <c r="A994" s="1">
        <v>993</v>
      </c>
      <c r="B994" s="1">
        <v>19</v>
      </c>
      <c r="C994" s="1">
        <v>4</v>
      </c>
      <c r="D994" s="1" t="s">
        <v>135</v>
      </c>
      <c r="E994" s="1" t="s">
        <v>16</v>
      </c>
      <c r="H994"/>
      <c r="I994"/>
    </row>
    <row r="995" spans="1:9" ht="15" x14ac:dyDescent="0.25">
      <c r="A995" s="1">
        <v>994</v>
      </c>
      <c r="B995" s="1">
        <v>19</v>
      </c>
      <c r="C995" s="1">
        <v>4</v>
      </c>
      <c r="D995" s="1" t="s">
        <v>135</v>
      </c>
      <c r="E995" s="1" t="s">
        <v>16</v>
      </c>
      <c r="H995"/>
      <c r="I995"/>
    </row>
    <row r="996" spans="1:9" ht="15" x14ac:dyDescent="0.25">
      <c r="A996" s="1">
        <v>995</v>
      </c>
      <c r="B996" s="1">
        <v>19</v>
      </c>
      <c r="C996" s="1">
        <v>4</v>
      </c>
      <c r="D996" s="1" t="s">
        <v>135</v>
      </c>
      <c r="E996" s="1" t="s">
        <v>16</v>
      </c>
      <c r="H996"/>
      <c r="I996"/>
    </row>
    <row r="997" spans="1:9" ht="15" x14ac:dyDescent="0.25">
      <c r="A997" s="1">
        <v>996</v>
      </c>
      <c r="B997" s="1">
        <v>19</v>
      </c>
      <c r="C997" s="1">
        <v>4</v>
      </c>
      <c r="D997" s="1" t="s">
        <v>135</v>
      </c>
      <c r="E997" s="1" t="s">
        <v>16</v>
      </c>
      <c r="H997"/>
      <c r="I997"/>
    </row>
    <row r="998" spans="1:9" ht="15" x14ac:dyDescent="0.25">
      <c r="A998" s="1">
        <v>997</v>
      </c>
      <c r="B998" s="1">
        <v>19</v>
      </c>
      <c r="C998" s="1">
        <v>4</v>
      </c>
      <c r="D998" s="1" t="s">
        <v>135</v>
      </c>
      <c r="E998" s="1" t="s">
        <v>16</v>
      </c>
      <c r="H998"/>
      <c r="I998"/>
    </row>
    <row r="999" spans="1:9" ht="15" x14ac:dyDescent="0.25">
      <c r="A999" s="1">
        <v>998</v>
      </c>
      <c r="B999" s="1">
        <v>19</v>
      </c>
      <c r="C999" s="1">
        <v>4</v>
      </c>
      <c r="D999" s="1" t="s">
        <v>135</v>
      </c>
      <c r="E999" s="1" t="s">
        <v>16</v>
      </c>
      <c r="H999"/>
      <c r="I999"/>
    </row>
    <row r="1000" spans="1:9" ht="15" x14ac:dyDescent="0.25">
      <c r="A1000" s="1">
        <v>999</v>
      </c>
      <c r="B1000" s="1">
        <v>19</v>
      </c>
      <c r="C1000" s="1">
        <v>4</v>
      </c>
      <c r="D1000" s="1" t="s">
        <v>135</v>
      </c>
      <c r="E1000" s="1" t="s">
        <v>16</v>
      </c>
      <c r="H1000"/>
      <c r="I1000"/>
    </row>
    <row r="1001" spans="1:9" ht="15" x14ac:dyDescent="0.25">
      <c r="A1001" s="1">
        <v>1000</v>
      </c>
      <c r="B1001" s="1">
        <v>19</v>
      </c>
      <c r="C1001" s="1">
        <v>4</v>
      </c>
      <c r="D1001" s="1" t="s">
        <v>135</v>
      </c>
      <c r="E1001" s="1" t="s">
        <v>16</v>
      </c>
      <c r="H1001"/>
      <c r="I1001"/>
    </row>
    <row r="1002" spans="1:9" ht="15" x14ac:dyDescent="0.25">
      <c r="A1002" s="1">
        <v>1001</v>
      </c>
      <c r="B1002" s="1">
        <v>19</v>
      </c>
      <c r="C1002" s="1">
        <v>4</v>
      </c>
      <c r="D1002" s="1" t="s">
        <v>135</v>
      </c>
      <c r="E1002" s="1" t="s">
        <v>16</v>
      </c>
      <c r="H1002"/>
      <c r="I1002"/>
    </row>
    <row r="1003" spans="1:9" ht="15" x14ac:dyDescent="0.25">
      <c r="A1003" s="1">
        <v>1002</v>
      </c>
      <c r="B1003" s="1">
        <v>19</v>
      </c>
      <c r="C1003" s="1">
        <v>4</v>
      </c>
      <c r="D1003" s="1" t="s">
        <v>135</v>
      </c>
      <c r="E1003" s="1" t="s">
        <v>16</v>
      </c>
      <c r="H1003"/>
      <c r="I1003"/>
    </row>
    <row r="1004" spans="1:9" ht="15" x14ac:dyDescent="0.25">
      <c r="A1004" s="1">
        <v>1003</v>
      </c>
      <c r="B1004" s="1">
        <v>19</v>
      </c>
      <c r="C1004" s="1">
        <v>4</v>
      </c>
      <c r="D1004" s="1" t="s">
        <v>135</v>
      </c>
      <c r="E1004" s="1" t="s">
        <v>16</v>
      </c>
      <c r="H1004"/>
      <c r="I1004"/>
    </row>
    <row r="1005" spans="1:9" ht="15" x14ac:dyDescent="0.25">
      <c r="A1005" s="1">
        <v>1004</v>
      </c>
      <c r="B1005" s="1">
        <v>19</v>
      </c>
      <c r="C1005" s="1">
        <v>4</v>
      </c>
      <c r="D1005" s="1" t="s">
        <v>135</v>
      </c>
      <c r="E1005" s="1" t="s">
        <v>16</v>
      </c>
      <c r="H1005"/>
      <c r="I1005"/>
    </row>
    <row r="1006" spans="1:9" ht="15" x14ac:dyDescent="0.25">
      <c r="A1006" s="1">
        <v>1005</v>
      </c>
      <c r="B1006" s="1">
        <v>19</v>
      </c>
      <c r="C1006" s="1">
        <v>4</v>
      </c>
      <c r="D1006" s="1" t="s">
        <v>135</v>
      </c>
      <c r="E1006" s="1" t="s">
        <v>16</v>
      </c>
      <c r="H1006"/>
      <c r="I1006"/>
    </row>
    <row r="1007" spans="1:9" ht="15" x14ac:dyDescent="0.25">
      <c r="A1007" s="1">
        <v>1006</v>
      </c>
      <c r="B1007" s="1">
        <v>19</v>
      </c>
      <c r="C1007" s="1">
        <v>4</v>
      </c>
      <c r="D1007" s="1" t="s">
        <v>135</v>
      </c>
      <c r="E1007" s="1" t="s">
        <v>16</v>
      </c>
      <c r="H1007"/>
      <c r="I1007"/>
    </row>
    <row r="1008" spans="1:9" ht="15" x14ac:dyDescent="0.25">
      <c r="A1008" s="1">
        <v>1007</v>
      </c>
      <c r="B1008" s="1">
        <v>19</v>
      </c>
      <c r="C1008" s="1">
        <v>4</v>
      </c>
      <c r="D1008" s="1" t="s">
        <v>135</v>
      </c>
      <c r="E1008" s="1" t="s">
        <v>16</v>
      </c>
      <c r="H1008"/>
      <c r="I1008"/>
    </row>
    <row r="1009" spans="1:9" ht="15" x14ac:dyDescent="0.25">
      <c r="A1009" s="1">
        <v>1008</v>
      </c>
      <c r="B1009" s="1">
        <v>19</v>
      </c>
      <c r="C1009" s="1">
        <v>4</v>
      </c>
      <c r="D1009" s="1" t="s">
        <v>135</v>
      </c>
      <c r="E1009" s="1" t="s">
        <v>16</v>
      </c>
      <c r="H1009"/>
      <c r="I1009"/>
    </row>
    <row r="1010" spans="1:9" ht="15" x14ac:dyDescent="0.25">
      <c r="A1010" s="1">
        <v>1009</v>
      </c>
      <c r="B1010" s="1">
        <v>19</v>
      </c>
      <c r="C1010" s="1">
        <v>4</v>
      </c>
      <c r="D1010" s="1" t="s">
        <v>135</v>
      </c>
      <c r="E1010" s="1" t="s">
        <v>16</v>
      </c>
      <c r="H1010"/>
      <c r="I1010"/>
    </row>
    <row r="1011" spans="1:9" ht="15" x14ac:dyDescent="0.25">
      <c r="A1011" s="1">
        <v>1010</v>
      </c>
      <c r="B1011" s="1">
        <v>19</v>
      </c>
      <c r="C1011" s="1">
        <v>4</v>
      </c>
      <c r="D1011" s="1" t="s">
        <v>135</v>
      </c>
      <c r="E1011" s="1" t="s">
        <v>16</v>
      </c>
      <c r="H1011"/>
      <c r="I1011"/>
    </row>
    <row r="1012" spans="1:9" ht="15" x14ac:dyDescent="0.25">
      <c r="A1012" s="1">
        <v>1011</v>
      </c>
      <c r="B1012" s="1">
        <v>19</v>
      </c>
      <c r="C1012" s="1">
        <v>4</v>
      </c>
      <c r="D1012" s="1" t="s">
        <v>135</v>
      </c>
      <c r="E1012" s="1" t="s">
        <v>16</v>
      </c>
      <c r="H1012"/>
      <c r="I1012"/>
    </row>
    <row r="1013" spans="1:9" ht="15" x14ac:dyDescent="0.25">
      <c r="A1013" s="1">
        <v>1012</v>
      </c>
      <c r="B1013" s="1">
        <v>19</v>
      </c>
      <c r="C1013" s="1">
        <v>4</v>
      </c>
      <c r="D1013" s="1" t="s">
        <v>135</v>
      </c>
      <c r="E1013" s="1" t="s">
        <v>16</v>
      </c>
      <c r="H1013"/>
      <c r="I1013"/>
    </row>
    <row r="1014" spans="1:9" ht="15" x14ac:dyDescent="0.25">
      <c r="A1014" s="1">
        <v>1013</v>
      </c>
      <c r="B1014" s="1">
        <v>19</v>
      </c>
      <c r="C1014" s="1">
        <v>4</v>
      </c>
      <c r="D1014" s="1" t="s">
        <v>135</v>
      </c>
      <c r="E1014" s="1" t="s">
        <v>16</v>
      </c>
      <c r="H1014"/>
      <c r="I1014"/>
    </row>
    <row r="1015" spans="1:9" ht="15" x14ac:dyDescent="0.25">
      <c r="A1015" s="1">
        <v>1014</v>
      </c>
      <c r="B1015" s="1">
        <v>19</v>
      </c>
      <c r="C1015" s="1">
        <v>4</v>
      </c>
      <c r="D1015" s="1" t="s">
        <v>135</v>
      </c>
      <c r="E1015" s="1" t="s">
        <v>16</v>
      </c>
      <c r="H1015"/>
      <c r="I1015"/>
    </row>
    <row r="1016" spans="1:9" ht="15" x14ac:dyDescent="0.25">
      <c r="A1016" s="1">
        <v>1015</v>
      </c>
      <c r="B1016" s="1">
        <v>19</v>
      </c>
      <c r="C1016" s="1">
        <v>4</v>
      </c>
      <c r="D1016" s="1" t="s">
        <v>135</v>
      </c>
      <c r="E1016" s="1" t="s">
        <v>16</v>
      </c>
      <c r="H1016"/>
      <c r="I1016"/>
    </row>
    <row r="1017" spans="1:9" ht="15" x14ac:dyDescent="0.25">
      <c r="A1017" s="1">
        <v>1016</v>
      </c>
      <c r="B1017" s="1">
        <v>19</v>
      </c>
      <c r="C1017" s="1">
        <v>4</v>
      </c>
      <c r="D1017" s="1" t="s">
        <v>135</v>
      </c>
      <c r="E1017" s="1" t="s">
        <v>16</v>
      </c>
      <c r="H1017"/>
      <c r="I1017"/>
    </row>
    <row r="1018" spans="1:9" ht="15" x14ac:dyDescent="0.25">
      <c r="A1018" s="1">
        <v>1017</v>
      </c>
      <c r="B1018" s="1">
        <v>19</v>
      </c>
      <c r="C1018" s="1">
        <v>4</v>
      </c>
      <c r="D1018" s="1" t="s">
        <v>135</v>
      </c>
      <c r="E1018" s="1" t="s">
        <v>16</v>
      </c>
      <c r="H1018"/>
      <c r="I1018"/>
    </row>
    <row r="1019" spans="1:9" ht="15" x14ac:dyDescent="0.25">
      <c r="A1019" s="1">
        <v>1018</v>
      </c>
      <c r="B1019" s="1">
        <v>19</v>
      </c>
      <c r="C1019" s="1">
        <v>4</v>
      </c>
      <c r="D1019" s="1" t="s">
        <v>135</v>
      </c>
      <c r="E1019" s="1" t="s">
        <v>16</v>
      </c>
      <c r="H1019"/>
      <c r="I1019"/>
    </row>
    <row r="1020" spans="1:9" ht="15" x14ac:dyDescent="0.25">
      <c r="A1020" s="1">
        <v>1019</v>
      </c>
      <c r="B1020" s="1">
        <v>19</v>
      </c>
      <c r="C1020" s="1">
        <v>4</v>
      </c>
      <c r="D1020" s="1" t="s">
        <v>135</v>
      </c>
      <c r="E1020" s="1" t="s">
        <v>16</v>
      </c>
      <c r="H1020"/>
      <c r="I1020"/>
    </row>
    <row r="1021" spans="1:9" ht="15" x14ac:dyDescent="0.25">
      <c r="A1021" s="1">
        <v>1020</v>
      </c>
      <c r="B1021" s="1">
        <v>19</v>
      </c>
      <c r="C1021" s="1">
        <v>4</v>
      </c>
      <c r="D1021" s="1" t="s">
        <v>135</v>
      </c>
      <c r="E1021" s="1" t="s">
        <v>16</v>
      </c>
      <c r="H1021"/>
      <c r="I1021"/>
    </row>
    <row r="1022" spans="1:9" ht="15" x14ac:dyDescent="0.25">
      <c r="A1022" s="1">
        <v>1021</v>
      </c>
      <c r="B1022" s="1">
        <v>19</v>
      </c>
      <c r="C1022" s="1">
        <v>4</v>
      </c>
      <c r="D1022" s="1" t="s">
        <v>135</v>
      </c>
      <c r="E1022" s="1" t="s">
        <v>16</v>
      </c>
      <c r="H1022"/>
      <c r="I1022"/>
    </row>
    <row r="1023" spans="1:9" ht="15" x14ac:dyDescent="0.25">
      <c r="A1023" s="1">
        <v>1022</v>
      </c>
      <c r="B1023" s="1">
        <v>19</v>
      </c>
      <c r="C1023" s="1">
        <v>4</v>
      </c>
      <c r="D1023" s="1" t="s">
        <v>135</v>
      </c>
      <c r="E1023" s="1" t="s">
        <v>16</v>
      </c>
      <c r="H1023"/>
      <c r="I1023"/>
    </row>
    <row r="1024" spans="1:9" ht="15" x14ac:dyDescent="0.25">
      <c r="A1024" s="1">
        <v>1023</v>
      </c>
      <c r="B1024" s="1">
        <v>19</v>
      </c>
      <c r="C1024" s="1">
        <v>4</v>
      </c>
      <c r="D1024" s="1" t="s">
        <v>135</v>
      </c>
      <c r="E1024" s="1" t="s">
        <v>16</v>
      </c>
      <c r="H1024"/>
      <c r="I1024"/>
    </row>
    <row r="1025" spans="1:9" ht="15" x14ac:dyDescent="0.25">
      <c r="A1025" s="1">
        <v>1024</v>
      </c>
      <c r="B1025" s="1">
        <v>19</v>
      </c>
      <c r="C1025" s="1">
        <v>4</v>
      </c>
      <c r="D1025" s="1" t="s">
        <v>135</v>
      </c>
      <c r="E1025" s="1" t="s">
        <v>16</v>
      </c>
      <c r="H1025"/>
      <c r="I1025"/>
    </row>
    <row r="1026" spans="1:9" ht="15" x14ac:dyDescent="0.25">
      <c r="A1026" s="1">
        <v>1025</v>
      </c>
      <c r="B1026" s="1">
        <v>19</v>
      </c>
      <c r="C1026" s="1">
        <v>4</v>
      </c>
      <c r="D1026" s="1" t="s">
        <v>135</v>
      </c>
      <c r="E1026" s="1" t="s">
        <v>16</v>
      </c>
      <c r="H1026"/>
      <c r="I1026"/>
    </row>
    <row r="1027" spans="1:9" ht="15" x14ac:dyDescent="0.25">
      <c r="A1027" s="1">
        <v>1026</v>
      </c>
      <c r="B1027" s="1">
        <v>19</v>
      </c>
      <c r="C1027" s="1">
        <v>4</v>
      </c>
      <c r="D1027" s="1" t="s">
        <v>135</v>
      </c>
      <c r="E1027" s="1" t="s">
        <v>16</v>
      </c>
      <c r="H1027"/>
      <c r="I1027"/>
    </row>
    <row r="1028" spans="1:9" ht="15" x14ac:dyDescent="0.25">
      <c r="A1028" s="1">
        <v>1027</v>
      </c>
      <c r="B1028" s="1">
        <v>19</v>
      </c>
      <c r="C1028" s="1">
        <v>4</v>
      </c>
      <c r="D1028" s="1" t="s">
        <v>135</v>
      </c>
      <c r="E1028" s="1" t="s">
        <v>16</v>
      </c>
      <c r="H1028"/>
      <c r="I1028"/>
    </row>
    <row r="1029" spans="1:9" ht="15" x14ac:dyDescent="0.25">
      <c r="A1029" s="1">
        <v>1028</v>
      </c>
      <c r="B1029" s="1">
        <v>19</v>
      </c>
      <c r="C1029" s="1">
        <v>4</v>
      </c>
      <c r="D1029" s="1" t="s">
        <v>135</v>
      </c>
      <c r="E1029" s="1" t="s">
        <v>16</v>
      </c>
      <c r="H1029"/>
      <c r="I1029"/>
    </row>
    <row r="1030" spans="1:9" ht="15" x14ac:dyDescent="0.25">
      <c r="A1030" s="1">
        <v>1029</v>
      </c>
      <c r="B1030" s="1">
        <v>19</v>
      </c>
      <c r="C1030" s="1">
        <v>4</v>
      </c>
      <c r="D1030" s="1" t="s">
        <v>135</v>
      </c>
      <c r="E1030" s="1" t="s">
        <v>16</v>
      </c>
      <c r="H1030"/>
      <c r="I1030"/>
    </row>
    <row r="1031" spans="1:9" ht="15" x14ac:dyDescent="0.25">
      <c r="A1031" s="1">
        <v>1030</v>
      </c>
      <c r="B1031" s="1">
        <v>19</v>
      </c>
      <c r="C1031" s="1">
        <v>4</v>
      </c>
      <c r="D1031" s="1" t="s">
        <v>135</v>
      </c>
      <c r="E1031" s="1" t="s">
        <v>16</v>
      </c>
      <c r="H1031"/>
      <c r="I1031"/>
    </row>
    <row r="1032" spans="1:9" ht="15" x14ac:dyDescent="0.25">
      <c r="A1032" s="1">
        <v>1031</v>
      </c>
      <c r="B1032" s="1">
        <v>19</v>
      </c>
      <c r="C1032" s="1">
        <v>4</v>
      </c>
      <c r="D1032" s="1" t="s">
        <v>135</v>
      </c>
      <c r="E1032" s="1" t="s">
        <v>16</v>
      </c>
      <c r="H1032"/>
      <c r="I1032"/>
    </row>
    <row r="1033" spans="1:9" ht="15" x14ac:dyDescent="0.25">
      <c r="A1033" s="1">
        <v>1032</v>
      </c>
      <c r="B1033" s="1">
        <v>19</v>
      </c>
      <c r="C1033" s="1">
        <v>4</v>
      </c>
      <c r="D1033" s="1" t="s">
        <v>135</v>
      </c>
      <c r="E1033" s="1" t="s">
        <v>16</v>
      </c>
      <c r="H1033"/>
      <c r="I1033"/>
    </row>
    <row r="1034" spans="1:9" ht="15" x14ac:dyDescent="0.25">
      <c r="A1034" s="1">
        <v>1033</v>
      </c>
      <c r="B1034" s="1">
        <v>19</v>
      </c>
      <c r="C1034" s="1">
        <v>4</v>
      </c>
      <c r="D1034" s="1" t="s">
        <v>135</v>
      </c>
      <c r="E1034" s="1" t="s">
        <v>16</v>
      </c>
      <c r="H1034"/>
      <c r="I1034"/>
    </row>
    <row r="1035" spans="1:9" ht="15" x14ac:dyDescent="0.25">
      <c r="A1035" s="1">
        <v>1034</v>
      </c>
      <c r="B1035" s="1">
        <v>19</v>
      </c>
      <c r="C1035" s="1">
        <v>4</v>
      </c>
      <c r="D1035" s="1" t="s">
        <v>135</v>
      </c>
      <c r="E1035" s="1" t="s">
        <v>16</v>
      </c>
      <c r="H1035"/>
      <c r="I1035"/>
    </row>
    <row r="1036" spans="1:9" ht="15" x14ac:dyDescent="0.25">
      <c r="A1036" s="1">
        <v>1035</v>
      </c>
      <c r="B1036" s="1">
        <v>19</v>
      </c>
      <c r="C1036" s="1">
        <v>4</v>
      </c>
      <c r="D1036" s="1" t="s">
        <v>135</v>
      </c>
      <c r="E1036" s="1" t="s">
        <v>16</v>
      </c>
      <c r="H1036"/>
      <c r="I1036"/>
    </row>
    <row r="1037" spans="1:9" ht="15" x14ac:dyDescent="0.25">
      <c r="A1037" s="1">
        <v>1036</v>
      </c>
      <c r="B1037" s="1">
        <v>19</v>
      </c>
      <c r="C1037" s="1">
        <v>4</v>
      </c>
      <c r="D1037" s="1" t="s">
        <v>135</v>
      </c>
      <c r="E1037" s="1" t="s">
        <v>16</v>
      </c>
      <c r="H1037"/>
      <c r="I1037"/>
    </row>
    <row r="1038" spans="1:9" ht="15" x14ac:dyDescent="0.25">
      <c r="A1038" s="1">
        <v>1037</v>
      </c>
      <c r="B1038" s="1">
        <v>19</v>
      </c>
      <c r="C1038" s="1">
        <v>4</v>
      </c>
      <c r="D1038" s="1" t="s">
        <v>135</v>
      </c>
      <c r="E1038" s="1" t="s">
        <v>16</v>
      </c>
      <c r="H1038"/>
      <c r="I1038"/>
    </row>
    <row r="1039" spans="1:9" ht="15" x14ac:dyDescent="0.25">
      <c r="A1039" s="1">
        <v>1038</v>
      </c>
      <c r="B1039" s="1">
        <v>19</v>
      </c>
      <c r="C1039" s="1">
        <v>4</v>
      </c>
      <c r="D1039" s="1" t="s">
        <v>135</v>
      </c>
      <c r="E1039" s="1" t="s">
        <v>16</v>
      </c>
      <c r="H1039"/>
      <c r="I1039"/>
    </row>
    <row r="1040" spans="1:9" ht="15" x14ac:dyDescent="0.25">
      <c r="A1040" s="1">
        <v>1039</v>
      </c>
      <c r="B1040" s="1">
        <v>19</v>
      </c>
      <c r="C1040" s="1">
        <v>4</v>
      </c>
      <c r="D1040" s="1" t="s">
        <v>135</v>
      </c>
      <c r="E1040" s="1" t="s">
        <v>16</v>
      </c>
      <c r="H1040"/>
      <c r="I1040"/>
    </row>
    <row r="1041" spans="1:9" ht="15" x14ac:dyDescent="0.25">
      <c r="A1041" s="1">
        <v>1040</v>
      </c>
      <c r="B1041" s="1">
        <v>20</v>
      </c>
      <c r="C1041" s="1">
        <v>5</v>
      </c>
      <c r="D1041" s="1" t="s">
        <v>134</v>
      </c>
      <c r="E1041" s="1" t="s">
        <v>17</v>
      </c>
      <c r="H1041"/>
      <c r="I1041"/>
    </row>
    <row r="1042" spans="1:9" ht="15" x14ac:dyDescent="0.25">
      <c r="A1042" s="1">
        <v>1041</v>
      </c>
      <c r="B1042" s="1">
        <v>20</v>
      </c>
      <c r="C1042" s="1">
        <v>5</v>
      </c>
      <c r="D1042" s="1" t="s">
        <v>134</v>
      </c>
      <c r="E1042" s="1" t="s">
        <v>17</v>
      </c>
      <c r="H1042"/>
      <c r="I1042"/>
    </row>
    <row r="1043" spans="1:9" ht="15" x14ac:dyDescent="0.25">
      <c r="A1043" s="1">
        <v>1042</v>
      </c>
      <c r="B1043" s="1">
        <v>20</v>
      </c>
      <c r="C1043" s="1">
        <v>5</v>
      </c>
      <c r="D1043" s="1" t="s">
        <v>134</v>
      </c>
      <c r="E1043" s="1" t="s">
        <v>17</v>
      </c>
      <c r="H1043"/>
      <c r="I1043"/>
    </row>
    <row r="1044" spans="1:9" ht="15" x14ac:dyDescent="0.25">
      <c r="A1044" s="1">
        <v>1043</v>
      </c>
      <c r="B1044" s="1">
        <v>20</v>
      </c>
      <c r="C1044" s="1">
        <v>5</v>
      </c>
      <c r="D1044" s="1" t="s">
        <v>134</v>
      </c>
      <c r="E1044" s="1" t="s">
        <v>17</v>
      </c>
      <c r="H1044"/>
      <c r="I1044"/>
    </row>
    <row r="1045" spans="1:9" ht="15" x14ac:dyDescent="0.25">
      <c r="A1045" s="1">
        <v>1044</v>
      </c>
      <c r="B1045" s="1">
        <v>20</v>
      </c>
      <c r="C1045" s="1">
        <v>5</v>
      </c>
      <c r="D1045" s="1" t="s">
        <v>134</v>
      </c>
      <c r="E1045" s="1" t="s">
        <v>17</v>
      </c>
      <c r="H1045"/>
      <c r="I1045"/>
    </row>
    <row r="1046" spans="1:9" ht="15" x14ac:dyDescent="0.25">
      <c r="A1046" s="1">
        <v>1045</v>
      </c>
      <c r="B1046" s="1">
        <v>20</v>
      </c>
      <c r="C1046" s="1">
        <v>5</v>
      </c>
      <c r="D1046" s="1" t="s">
        <v>134</v>
      </c>
      <c r="E1046" s="1" t="s">
        <v>17</v>
      </c>
      <c r="H1046"/>
      <c r="I1046"/>
    </row>
    <row r="1047" spans="1:9" ht="15" x14ac:dyDescent="0.25">
      <c r="A1047" s="1">
        <v>1046</v>
      </c>
      <c r="B1047" s="1">
        <v>20</v>
      </c>
      <c r="C1047" s="1">
        <v>5</v>
      </c>
      <c r="D1047" s="1" t="s">
        <v>134</v>
      </c>
      <c r="E1047" s="1" t="s">
        <v>17</v>
      </c>
      <c r="H1047"/>
      <c r="I1047"/>
    </row>
    <row r="1048" spans="1:9" ht="15" x14ac:dyDescent="0.25">
      <c r="A1048" s="1">
        <v>1047</v>
      </c>
      <c r="B1048" s="1">
        <v>20</v>
      </c>
      <c r="C1048" s="1">
        <v>5</v>
      </c>
      <c r="D1048" s="1" t="s">
        <v>134</v>
      </c>
      <c r="E1048" s="1" t="s">
        <v>17</v>
      </c>
      <c r="H1048"/>
      <c r="I1048"/>
    </row>
    <row r="1049" spans="1:9" ht="15" x14ac:dyDescent="0.25">
      <c r="A1049" s="1">
        <v>1048</v>
      </c>
      <c r="B1049" s="1">
        <v>20</v>
      </c>
      <c r="C1049" s="1">
        <v>5</v>
      </c>
      <c r="D1049" s="1" t="s">
        <v>134</v>
      </c>
      <c r="E1049" s="1" t="s">
        <v>17</v>
      </c>
      <c r="H1049"/>
      <c r="I1049"/>
    </row>
    <row r="1050" spans="1:9" ht="15" x14ac:dyDescent="0.25">
      <c r="A1050" s="1">
        <v>1049</v>
      </c>
      <c r="B1050" s="1">
        <v>20</v>
      </c>
      <c r="C1050" s="1">
        <v>5</v>
      </c>
      <c r="D1050" s="1" t="s">
        <v>134</v>
      </c>
      <c r="E1050" s="1" t="s">
        <v>17</v>
      </c>
      <c r="H1050"/>
      <c r="I1050"/>
    </row>
    <row r="1051" spans="1:9" ht="15" x14ac:dyDescent="0.25">
      <c r="A1051" s="1">
        <v>1050</v>
      </c>
      <c r="B1051" s="1">
        <v>20</v>
      </c>
      <c r="C1051" s="1">
        <v>5</v>
      </c>
      <c r="D1051" s="1" t="s">
        <v>134</v>
      </c>
      <c r="E1051" s="1" t="s">
        <v>17</v>
      </c>
      <c r="H1051"/>
      <c r="I1051"/>
    </row>
    <row r="1052" spans="1:9" ht="15" x14ac:dyDescent="0.25">
      <c r="A1052" s="1">
        <v>1051</v>
      </c>
      <c r="B1052" s="1">
        <v>20</v>
      </c>
      <c r="C1052" s="1">
        <v>5</v>
      </c>
      <c r="D1052" s="1" t="s">
        <v>134</v>
      </c>
      <c r="E1052" s="1" t="s">
        <v>17</v>
      </c>
      <c r="H1052"/>
      <c r="I1052"/>
    </row>
    <row r="1053" spans="1:9" ht="15" x14ac:dyDescent="0.25">
      <c r="A1053" s="1">
        <v>1052</v>
      </c>
      <c r="B1053" s="1">
        <v>20</v>
      </c>
      <c r="C1053" s="1">
        <v>5</v>
      </c>
      <c r="D1053" s="1" t="s">
        <v>134</v>
      </c>
      <c r="E1053" s="1" t="s">
        <v>17</v>
      </c>
      <c r="H1053"/>
      <c r="I1053"/>
    </row>
    <row r="1054" spans="1:9" ht="15" x14ac:dyDescent="0.25">
      <c r="A1054" s="1">
        <v>1053</v>
      </c>
      <c r="B1054" s="1">
        <v>20</v>
      </c>
      <c r="C1054" s="1">
        <v>5</v>
      </c>
      <c r="D1054" s="1" t="s">
        <v>134</v>
      </c>
      <c r="E1054" s="1" t="s">
        <v>17</v>
      </c>
      <c r="H1054"/>
      <c r="I1054"/>
    </row>
    <row r="1055" spans="1:9" ht="15" x14ac:dyDescent="0.25">
      <c r="A1055" s="1">
        <v>1054</v>
      </c>
      <c r="B1055" s="1">
        <v>20</v>
      </c>
      <c r="C1055" s="1">
        <v>5</v>
      </c>
      <c r="D1055" s="1" t="s">
        <v>134</v>
      </c>
      <c r="E1055" s="1" t="s">
        <v>17</v>
      </c>
      <c r="H1055"/>
      <c r="I1055"/>
    </row>
    <row r="1056" spans="1:9" ht="15" x14ac:dyDescent="0.25">
      <c r="A1056" s="1">
        <v>1055</v>
      </c>
      <c r="B1056" s="1">
        <v>20</v>
      </c>
      <c r="C1056" s="1">
        <v>5</v>
      </c>
      <c r="D1056" s="1" t="s">
        <v>134</v>
      </c>
      <c r="E1056" s="1" t="s">
        <v>17</v>
      </c>
      <c r="H1056"/>
      <c r="I1056"/>
    </row>
    <row r="1057" spans="1:9" ht="15" x14ac:dyDescent="0.25">
      <c r="A1057" s="1">
        <v>1056</v>
      </c>
      <c r="B1057" s="1">
        <v>20</v>
      </c>
      <c r="C1057" s="1">
        <v>5</v>
      </c>
      <c r="D1057" s="1" t="s">
        <v>134</v>
      </c>
      <c r="E1057" s="1" t="s">
        <v>17</v>
      </c>
      <c r="H1057"/>
      <c r="I1057"/>
    </row>
    <row r="1058" spans="1:9" ht="15" x14ac:dyDescent="0.25">
      <c r="A1058" s="1">
        <v>1057</v>
      </c>
      <c r="B1058" s="1">
        <v>20</v>
      </c>
      <c r="C1058" s="1">
        <v>5</v>
      </c>
      <c r="D1058" s="1" t="s">
        <v>134</v>
      </c>
      <c r="E1058" s="1" t="s">
        <v>17</v>
      </c>
      <c r="H1058"/>
      <c r="I1058"/>
    </row>
    <row r="1059" spans="1:9" ht="15" x14ac:dyDescent="0.25">
      <c r="A1059" s="1">
        <v>1058</v>
      </c>
      <c r="B1059" s="1">
        <v>20</v>
      </c>
      <c r="C1059" s="1">
        <v>5</v>
      </c>
      <c r="D1059" s="1" t="s">
        <v>134</v>
      </c>
      <c r="E1059" s="1" t="s">
        <v>17</v>
      </c>
      <c r="H1059"/>
      <c r="I1059"/>
    </row>
    <row r="1060" spans="1:9" ht="15" x14ac:dyDescent="0.25">
      <c r="A1060" s="1">
        <v>1059</v>
      </c>
      <c r="B1060" s="1">
        <v>20</v>
      </c>
      <c r="C1060" s="1">
        <v>5</v>
      </c>
      <c r="D1060" s="1" t="s">
        <v>134</v>
      </c>
      <c r="E1060" s="1" t="s">
        <v>17</v>
      </c>
      <c r="H1060"/>
      <c r="I1060"/>
    </row>
    <row r="1061" spans="1:9" ht="15" x14ac:dyDescent="0.25">
      <c r="A1061" s="1">
        <v>1060</v>
      </c>
      <c r="B1061" s="1">
        <v>20</v>
      </c>
      <c r="C1061" s="1">
        <v>5</v>
      </c>
      <c r="D1061" s="1" t="s">
        <v>134</v>
      </c>
      <c r="E1061" s="1" t="s">
        <v>17</v>
      </c>
      <c r="H1061"/>
      <c r="I1061"/>
    </row>
    <row r="1062" spans="1:9" ht="15" x14ac:dyDescent="0.25">
      <c r="A1062" s="1">
        <v>1061</v>
      </c>
      <c r="B1062" s="1">
        <v>20</v>
      </c>
      <c r="C1062" s="1">
        <v>5</v>
      </c>
      <c r="D1062" s="1" t="s">
        <v>134</v>
      </c>
      <c r="E1062" s="1" t="s">
        <v>17</v>
      </c>
      <c r="H1062"/>
      <c r="I1062"/>
    </row>
    <row r="1063" spans="1:9" ht="15" x14ac:dyDescent="0.25">
      <c r="A1063" s="1">
        <v>1062</v>
      </c>
      <c r="B1063" s="1">
        <v>20</v>
      </c>
      <c r="C1063" s="1">
        <v>5</v>
      </c>
      <c r="D1063" s="1" t="s">
        <v>134</v>
      </c>
      <c r="E1063" s="1" t="s">
        <v>17</v>
      </c>
      <c r="H1063"/>
      <c r="I1063"/>
    </row>
    <row r="1064" spans="1:9" ht="15" x14ac:dyDescent="0.25">
      <c r="A1064" s="1">
        <v>1063</v>
      </c>
      <c r="B1064" s="1">
        <v>20</v>
      </c>
      <c r="C1064" s="1">
        <v>5</v>
      </c>
      <c r="D1064" s="1" t="s">
        <v>134</v>
      </c>
      <c r="E1064" s="1" t="s">
        <v>17</v>
      </c>
      <c r="H1064"/>
      <c r="I1064"/>
    </row>
    <row r="1065" spans="1:9" ht="15" x14ac:dyDescent="0.25">
      <c r="A1065" s="1">
        <v>1064</v>
      </c>
      <c r="B1065" s="1">
        <v>20</v>
      </c>
      <c r="C1065" s="1">
        <v>5</v>
      </c>
      <c r="D1065" s="1" t="s">
        <v>134</v>
      </c>
      <c r="E1065" s="1" t="s">
        <v>17</v>
      </c>
      <c r="H1065"/>
      <c r="I1065"/>
    </row>
    <row r="1066" spans="1:9" ht="15" x14ac:dyDescent="0.25">
      <c r="A1066" s="1">
        <v>1065</v>
      </c>
      <c r="B1066" s="1">
        <v>20</v>
      </c>
      <c r="C1066" s="1">
        <v>5</v>
      </c>
      <c r="D1066" s="1" t="s">
        <v>134</v>
      </c>
      <c r="E1066" s="1" t="s">
        <v>17</v>
      </c>
      <c r="H1066"/>
      <c r="I1066"/>
    </row>
    <row r="1067" spans="1:9" ht="15" x14ac:dyDescent="0.25">
      <c r="A1067" s="1">
        <v>1066</v>
      </c>
      <c r="B1067" s="1">
        <v>20</v>
      </c>
      <c r="C1067" s="1">
        <v>5</v>
      </c>
      <c r="D1067" s="1" t="s">
        <v>134</v>
      </c>
      <c r="E1067" s="1" t="s">
        <v>17</v>
      </c>
      <c r="H1067"/>
      <c r="I1067"/>
    </row>
    <row r="1068" spans="1:9" ht="15" x14ac:dyDescent="0.25">
      <c r="A1068" s="1">
        <v>1067</v>
      </c>
      <c r="B1068" s="1">
        <v>20</v>
      </c>
      <c r="C1068" s="1">
        <v>5</v>
      </c>
      <c r="D1068" s="1" t="s">
        <v>134</v>
      </c>
      <c r="E1068" s="1" t="s">
        <v>17</v>
      </c>
      <c r="H1068"/>
      <c r="I1068"/>
    </row>
    <row r="1069" spans="1:9" ht="15" x14ac:dyDescent="0.25">
      <c r="A1069" s="1">
        <v>1068</v>
      </c>
      <c r="B1069" s="1">
        <v>20</v>
      </c>
      <c r="C1069" s="1">
        <v>5</v>
      </c>
      <c r="D1069" s="1" t="s">
        <v>134</v>
      </c>
      <c r="E1069" s="1" t="s">
        <v>17</v>
      </c>
      <c r="H1069"/>
      <c r="I1069"/>
    </row>
    <row r="1070" spans="1:9" ht="15" x14ac:dyDescent="0.25">
      <c r="A1070" s="1">
        <v>1069</v>
      </c>
      <c r="B1070" s="1">
        <v>20</v>
      </c>
      <c r="C1070" s="1">
        <v>5</v>
      </c>
      <c r="D1070" s="1" t="s">
        <v>134</v>
      </c>
      <c r="E1070" s="1" t="s">
        <v>17</v>
      </c>
      <c r="H1070"/>
      <c r="I1070"/>
    </row>
    <row r="1071" spans="1:9" ht="15" x14ac:dyDescent="0.25">
      <c r="A1071" s="1">
        <v>1070</v>
      </c>
      <c r="B1071" s="1">
        <v>20</v>
      </c>
      <c r="C1071" s="1">
        <v>5</v>
      </c>
      <c r="D1071" s="1" t="s">
        <v>134</v>
      </c>
      <c r="E1071" s="1" t="s">
        <v>17</v>
      </c>
      <c r="H1071"/>
      <c r="I1071"/>
    </row>
    <row r="1072" spans="1:9" ht="15" x14ac:dyDescent="0.25">
      <c r="A1072" s="1">
        <v>1071</v>
      </c>
      <c r="B1072" s="1">
        <v>20</v>
      </c>
      <c r="C1072" s="1">
        <v>5</v>
      </c>
      <c r="D1072" s="1" t="s">
        <v>134</v>
      </c>
      <c r="E1072" s="1" t="s">
        <v>17</v>
      </c>
      <c r="H1072"/>
      <c r="I1072"/>
    </row>
    <row r="1073" spans="1:9" ht="15" x14ac:dyDescent="0.25">
      <c r="A1073" s="1">
        <v>1072</v>
      </c>
      <c r="B1073" s="1">
        <v>20</v>
      </c>
      <c r="C1073" s="1">
        <v>5</v>
      </c>
      <c r="D1073" s="1" t="s">
        <v>134</v>
      </c>
      <c r="E1073" s="1" t="s">
        <v>17</v>
      </c>
      <c r="H1073"/>
      <c r="I1073"/>
    </row>
    <row r="1074" spans="1:9" ht="15" x14ac:dyDescent="0.25">
      <c r="A1074" s="1">
        <v>1073</v>
      </c>
      <c r="B1074" s="1">
        <v>20</v>
      </c>
      <c r="C1074" s="1">
        <v>5</v>
      </c>
      <c r="D1074" s="1" t="s">
        <v>134</v>
      </c>
      <c r="E1074" s="1" t="s">
        <v>17</v>
      </c>
      <c r="H1074"/>
      <c r="I1074"/>
    </row>
    <row r="1075" spans="1:9" ht="15" x14ac:dyDescent="0.25">
      <c r="A1075" s="1">
        <v>1074</v>
      </c>
      <c r="B1075" s="1">
        <v>20</v>
      </c>
      <c r="C1075" s="1">
        <v>5</v>
      </c>
      <c r="D1075" s="1" t="s">
        <v>134</v>
      </c>
      <c r="E1075" s="1" t="s">
        <v>17</v>
      </c>
      <c r="H1075"/>
      <c r="I1075"/>
    </row>
    <row r="1076" spans="1:9" ht="15" x14ac:dyDescent="0.25">
      <c r="A1076" s="1">
        <v>1075</v>
      </c>
      <c r="B1076" s="1">
        <v>20</v>
      </c>
      <c r="C1076" s="1">
        <v>5</v>
      </c>
      <c r="D1076" s="1" t="s">
        <v>134</v>
      </c>
      <c r="E1076" s="1" t="s">
        <v>17</v>
      </c>
      <c r="H1076"/>
      <c r="I1076"/>
    </row>
    <row r="1077" spans="1:9" ht="15" x14ac:dyDescent="0.25">
      <c r="A1077" s="1">
        <v>1076</v>
      </c>
      <c r="B1077" s="1">
        <v>20</v>
      </c>
      <c r="C1077" s="1">
        <v>5</v>
      </c>
      <c r="D1077" s="1" t="s">
        <v>134</v>
      </c>
      <c r="E1077" s="1" t="s">
        <v>17</v>
      </c>
      <c r="H1077"/>
      <c r="I1077"/>
    </row>
    <row r="1078" spans="1:9" ht="15" x14ac:dyDescent="0.25">
      <c r="A1078" s="1">
        <v>1077</v>
      </c>
      <c r="B1078" s="1">
        <v>20</v>
      </c>
      <c r="C1078" s="1">
        <v>5</v>
      </c>
      <c r="D1078" s="1" t="s">
        <v>134</v>
      </c>
      <c r="E1078" s="1" t="s">
        <v>17</v>
      </c>
      <c r="H1078"/>
      <c r="I1078"/>
    </row>
    <row r="1079" spans="1:9" ht="15" x14ac:dyDescent="0.25">
      <c r="A1079" s="1">
        <v>1078</v>
      </c>
      <c r="B1079" s="1">
        <v>20</v>
      </c>
      <c r="C1079" s="1">
        <v>5</v>
      </c>
      <c r="D1079" s="1" t="s">
        <v>134</v>
      </c>
      <c r="E1079" s="1" t="s">
        <v>17</v>
      </c>
      <c r="H1079"/>
      <c r="I1079"/>
    </row>
    <row r="1080" spans="1:9" ht="15" x14ac:dyDescent="0.25">
      <c r="A1080" s="1">
        <v>1079</v>
      </c>
      <c r="B1080" s="1">
        <v>20</v>
      </c>
      <c r="C1080" s="1">
        <v>5</v>
      </c>
      <c r="D1080" s="1" t="s">
        <v>134</v>
      </c>
      <c r="E1080" s="1" t="s">
        <v>17</v>
      </c>
      <c r="H1080"/>
      <c r="I1080"/>
    </row>
    <row r="1081" spans="1:9" ht="15" x14ac:dyDescent="0.25">
      <c r="A1081" s="1">
        <v>1080</v>
      </c>
      <c r="B1081" s="1">
        <v>20</v>
      </c>
      <c r="C1081" s="1">
        <v>5</v>
      </c>
      <c r="D1081" s="1" t="s">
        <v>134</v>
      </c>
      <c r="E1081" s="1" t="s">
        <v>17</v>
      </c>
      <c r="H1081"/>
      <c r="I1081"/>
    </row>
    <row r="1082" spans="1:9" ht="15" x14ac:dyDescent="0.25">
      <c r="A1082" s="1">
        <v>1081</v>
      </c>
      <c r="B1082" s="1">
        <v>20</v>
      </c>
      <c r="C1082" s="1">
        <v>5</v>
      </c>
      <c r="D1082" s="1" t="s">
        <v>134</v>
      </c>
      <c r="E1082" s="1" t="s">
        <v>17</v>
      </c>
      <c r="H1082"/>
      <c r="I1082"/>
    </row>
    <row r="1083" spans="1:9" ht="15" x14ac:dyDescent="0.25">
      <c r="A1083" s="1">
        <v>1082</v>
      </c>
      <c r="B1083" s="1">
        <v>20</v>
      </c>
      <c r="C1083" s="1">
        <v>5</v>
      </c>
      <c r="D1083" s="1" t="s">
        <v>134</v>
      </c>
      <c r="E1083" s="1" t="s">
        <v>17</v>
      </c>
      <c r="H1083"/>
      <c r="I1083"/>
    </row>
    <row r="1084" spans="1:9" ht="15" x14ac:dyDescent="0.25">
      <c r="A1084" s="1">
        <v>1083</v>
      </c>
      <c r="B1084" s="1">
        <v>20</v>
      </c>
      <c r="C1084" s="1">
        <v>5</v>
      </c>
      <c r="D1084" s="1" t="s">
        <v>134</v>
      </c>
      <c r="E1084" s="1" t="s">
        <v>17</v>
      </c>
      <c r="H1084"/>
      <c r="I1084"/>
    </row>
    <row r="1085" spans="1:9" ht="15" x14ac:dyDescent="0.25">
      <c r="A1085" s="1">
        <v>1084</v>
      </c>
      <c r="B1085" s="1">
        <v>20</v>
      </c>
      <c r="C1085" s="1">
        <v>5</v>
      </c>
      <c r="D1085" s="1" t="s">
        <v>134</v>
      </c>
      <c r="E1085" s="1" t="s">
        <v>17</v>
      </c>
      <c r="H1085"/>
      <c r="I1085"/>
    </row>
    <row r="1086" spans="1:9" ht="15" x14ac:dyDescent="0.25">
      <c r="A1086" s="1">
        <v>1085</v>
      </c>
      <c r="B1086" s="1">
        <v>20</v>
      </c>
      <c r="C1086" s="1">
        <v>5</v>
      </c>
      <c r="D1086" s="1" t="s">
        <v>134</v>
      </c>
      <c r="E1086" s="1" t="s">
        <v>17</v>
      </c>
      <c r="H1086"/>
      <c r="I1086"/>
    </row>
    <row r="1087" spans="1:9" ht="15" x14ac:dyDescent="0.25">
      <c r="A1087" s="1">
        <v>1086</v>
      </c>
      <c r="B1087" s="1">
        <v>20</v>
      </c>
      <c r="C1087" s="1">
        <v>5</v>
      </c>
      <c r="D1087" s="1" t="s">
        <v>134</v>
      </c>
      <c r="E1087" s="1" t="s">
        <v>17</v>
      </c>
      <c r="H1087"/>
      <c r="I1087"/>
    </row>
    <row r="1088" spans="1:9" ht="15" x14ac:dyDescent="0.25">
      <c r="A1088" s="1">
        <v>1087</v>
      </c>
      <c r="B1088" s="1">
        <v>20</v>
      </c>
      <c r="C1088" s="1">
        <v>5</v>
      </c>
      <c r="D1088" s="1" t="s">
        <v>134</v>
      </c>
      <c r="E1088" s="1" t="s">
        <v>17</v>
      </c>
      <c r="H1088"/>
      <c r="I1088"/>
    </row>
    <row r="1089" spans="1:9" ht="15" x14ac:dyDescent="0.25">
      <c r="A1089" s="1">
        <v>1088</v>
      </c>
      <c r="B1089" s="1">
        <v>20</v>
      </c>
      <c r="C1089" s="1">
        <v>5</v>
      </c>
      <c r="D1089" s="1" t="s">
        <v>134</v>
      </c>
      <c r="E1089" s="1" t="s">
        <v>17</v>
      </c>
      <c r="H1089"/>
      <c r="I1089"/>
    </row>
    <row r="1090" spans="1:9" ht="15" x14ac:dyDescent="0.25">
      <c r="A1090" s="1">
        <v>1089</v>
      </c>
      <c r="B1090" s="1">
        <v>20</v>
      </c>
      <c r="C1090" s="1">
        <v>5</v>
      </c>
      <c r="D1090" s="1" t="s">
        <v>134</v>
      </c>
      <c r="E1090" s="1" t="s">
        <v>17</v>
      </c>
      <c r="H1090"/>
      <c r="I1090"/>
    </row>
    <row r="1091" spans="1:9" ht="15" x14ac:dyDescent="0.25">
      <c r="A1091" s="1">
        <v>1090</v>
      </c>
      <c r="B1091" s="1">
        <v>20</v>
      </c>
      <c r="C1091" s="1">
        <v>5</v>
      </c>
      <c r="D1091" s="1" t="s">
        <v>134</v>
      </c>
      <c r="E1091" s="1" t="s">
        <v>17</v>
      </c>
      <c r="H1091"/>
      <c r="I1091"/>
    </row>
    <row r="1092" spans="1:9" ht="15" x14ac:dyDescent="0.25">
      <c r="A1092" s="1">
        <v>1091</v>
      </c>
      <c r="B1092" s="1">
        <v>21</v>
      </c>
      <c r="C1092" s="1">
        <v>5</v>
      </c>
      <c r="D1092" s="1" t="s">
        <v>133</v>
      </c>
      <c r="E1092" s="1" t="s">
        <v>17</v>
      </c>
      <c r="H1092"/>
      <c r="I1092"/>
    </row>
    <row r="1093" spans="1:9" ht="15" x14ac:dyDescent="0.25">
      <c r="A1093" s="1">
        <v>1092</v>
      </c>
      <c r="B1093" s="1">
        <v>21</v>
      </c>
      <c r="C1093" s="1">
        <v>5</v>
      </c>
      <c r="D1093" s="1" t="s">
        <v>133</v>
      </c>
      <c r="E1093" s="1" t="s">
        <v>17</v>
      </c>
      <c r="H1093"/>
      <c r="I1093"/>
    </row>
    <row r="1094" spans="1:9" ht="15" x14ac:dyDescent="0.25">
      <c r="A1094" s="1">
        <v>1093</v>
      </c>
      <c r="B1094" s="1">
        <v>21</v>
      </c>
      <c r="C1094" s="1">
        <v>5</v>
      </c>
      <c r="D1094" s="1" t="s">
        <v>133</v>
      </c>
      <c r="E1094" s="1" t="s">
        <v>17</v>
      </c>
      <c r="H1094"/>
      <c r="I1094"/>
    </row>
    <row r="1095" spans="1:9" ht="15" x14ac:dyDescent="0.25">
      <c r="A1095" s="1">
        <v>1094</v>
      </c>
      <c r="B1095" s="1">
        <v>21</v>
      </c>
      <c r="C1095" s="1">
        <v>5</v>
      </c>
      <c r="D1095" s="1" t="s">
        <v>133</v>
      </c>
      <c r="E1095" s="1" t="s">
        <v>17</v>
      </c>
      <c r="H1095"/>
      <c r="I1095"/>
    </row>
    <row r="1096" spans="1:9" ht="15" x14ac:dyDescent="0.25">
      <c r="A1096" s="1">
        <v>1095</v>
      </c>
      <c r="B1096" s="1">
        <v>21</v>
      </c>
      <c r="C1096" s="1">
        <v>5</v>
      </c>
      <c r="D1096" s="1" t="s">
        <v>133</v>
      </c>
      <c r="E1096" s="1" t="s">
        <v>17</v>
      </c>
      <c r="H1096"/>
      <c r="I1096"/>
    </row>
    <row r="1097" spans="1:9" ht="15" x14ac:dyDescent="0.25">
      <c r="A1097" s="1">
        <v>1096</v>
      </c>
      <c r="B1097" s="1">
        <v>21</v>
      </c>
      <c r="C1097" s="1">
        <v>5</v>
      </c>
      <c r="D1097" s="1" t="s">
        <v>133</v>
      </c>
      <c r="E1097" s="1" t="s">
        <v>17</v>
      </c>
      <c r="H1097"/>
      <c r="I1097"/>
    </row>
    <row r="1098" spans="1:9" ht="15" x14ac:dyDescent="0.25">
      <c r="A1098" s="1">
        <v>1097</v>
      </c>
      <c r="B1098" s="1">
        <v>21</v>
      </c>
      <c r="C1098" s="1">
        <v>5</v>
      </c>
      <c r="D1098" s="1" t="s">
        <v>133</v>
      </c>
      <c r="E1098" s="1" t="s">
        <v>17</v>
      </c>
      <c r="H1098"/>
      <c r="I1098"/>
    </row>
    <row r="1099" spans="1:9" ht="15" x14ac:dyDescent="0.25">
      <c r="A1099" s="1">
        <v>1098</v>
      </c>
      <c r="B1099" s="1">
        <v>21</v>
      </c>
      <c r="C1099" s="1">
        <v>5</v>
      </c>
      <c r="D1099" s="1" t="s">
        <v>133</v>
      </c>
      <c r="E1099" s="1" t="s">
        <v>17</v>
      </c>
      <c r="H1099"/>
      <c r="I1099"/>
    </row>
    <row r="1100" spans="1:9" ht="15" x14ac:dyDescent="0.25">
      <c r="A1100" s="1">
        <v>1099</v>
      </c>
      <c r="B1100" s="1">
        <v>21</v>
      </c>
      <c r="C1100" s="1">
        <v>5</v>
      </c>
      <c r="D1100" s="1" t="s">
        <v>133</v>
      </c>
      <c r="E1100" s="1" t="s">
        <v>17</v>
      </c>
      <c r="H1100"/>
      <c r="I1100"/>
    </row>
    <row r="1101" spans="1:9" ht="15" x14ac:dyDescent="0.25">
      <c r="A1101" s="1">
        <v>1100</v>
      </c>
      <c r="B1101" s="1">
        <v>21</v>
      </c>
      <c r="C1101" s="1">
        <v>5</v>
      </c>
      <c r="D1101" s="1" t="s">
        <v>133</v>
      </c>
      <c r="E1101" s="1" t="s">
        <v>17</v>
      </c>
      <c r="H1101"/>
      <c r="I1101"/>
    </row>
    <row r="1102" spans="1:9" ht="15" x14ac:dyDescent="0.25">
      <c r="A1102" s="1">
        <v>1101</v>
      </c>
      <c r="B1102" s="1">
        <v>21</v>
      </c>
      <c r="C1102" s="1">
        <v>5</v>
      </c>
      <c r="D1102" s="1" t="s">
        <v>133</v>
      </c>
      <c r="E1102" s="1" t="s">
        <v>17</v>
      </c>
      <c r="H1102"/>
      <c r="I1102"/>
    </row>
    <row r="1103" spans="1:9" ht="15" x14ac:dyDescent="0.25">
      <c r="A1103" s="1">
        <v>1102</v>
      </c>
      <c r="B1103" s="1">
        <v>21</v>
      </c>
      <c r="C1103" s="1">
        <v>5</v>
      </c>
      <c r="D1103" s="1" t="s">
        <v>133</v>
      </c>
      <c r="E1103" s="1" t="s">
        <v>17</v>
      </c>
      <c r="H1103"/>
      <c r="I1103"/>
    </row>
    <row r="1104" spans="1:9" ht="15" x14ac:dyDescent="0.25">
      <c r="A1104" s="1">
        <v>1103</v>
      </c>
      <c r="B1104" s="1">
        <v>21</v>
      </c>
      <c r="C1104" s="1">
        <v>5</v>
      </c>
      <c r="D1104" s="1" t="s">
        <v>133</v>
      </c>
      <c r="E1104" s="1" t="s">
        <v>17</v>
      </c>
      <c r="H1104"/>
      <c r="I1104"/>
    </row>
    <row r="1105" spans="1:9" ht="15" x14ac:dyDescent="0.25">
      <c r="A1105" s="1">
        <v>1104</v>
      </c>
      <c r="B1105" s="1">
        <v>21</v>
      </c>
      <c r="C1105" s="1">
        <v>5</v>
      </c>
      <c r="D1105" s="1" t="s">
        <v>133</v>
      </c>
      <c r="E1105" s="1" t="s">
        <v>17</v>
      </c>
      <c r="H1105"/>
      <c r="I1105"/>
    </row>
    <row r="1106" spans="1:9" ht="15" x14ac:dyDescent="0.25">
      <c r="A1106" s="1">
        <v>1105</v>
      </c>
      <c r="B1106" s="1">
        <v>21</v>
      </c>
      <c r="C1106" s="1">
        <v>5</v>
      </c>
      <c r="D1106" s="1" t="s">
        <v>133</v>
      </c>
      <c r="E1106" s="1" t="s">
        <v>17</v>
      </c>
      <c r="H1106"/>
      <c r="I1106"/>
    </row>
    <row r="1107" spans="1:9" ht="15" x14ac:dyDescent="0.25">
      <c r="A1107" s="1">
        <v>1106</v>
      </c>
      <c r="B1107" s="1">
        <v>21</v>
      </c>
      <c r="C1107" s="1">
        <v>5</v>
      </c>
      <c r="D1107" s="1" t="s">
        <v>133</v>
      </c>
      <c r="E1107" s="1" t="s">
        <v>17</v>
      </c>
      <c r="H1107"/>
      <c r="I1107"/>
    </row>
    <row r="1108" spans="1:9" ht="15" x14ac:dyDescent="0.25">
      <c r="A1108" s="1">
        <v>1107</v>
      </c>
      <c r="B1108" s="1">
        <v>21</v>
      </c>
      <c r="C1108" s="1">
        <v>5</v>
      </c>
      <c r="D1108" s="1" t="s">
        <v>133</v>
      </c>
      <c r="E1108" s="1" t="s">
        <v>17</v>
      </c>
      <c r="H1108"/>
      <c r="I1108"/>
    </row>
    <row r="1109" spans="1:9" ht="15" x14ac:dyDescent="0.25">
      <c r="A1109" s="1">
        <v>1108</v>
      </c>
      <c r="B1109" s="1">
        <v>21</v>
      </c>
      <c r="C1109" s="1">
        <v>5</v>
      </c>
      <c r="D1109" s="1" t="s">
        <v>133</v>
      </c>
      <c r="E1109" s="1" t="s">
        <v>17</v>
      </c>
      <c r="H1109"/>
      <c r="I1109"/>
    </row>
    <row r="1110" spans="1:9" ht="15" x14ac:dyDescent="0.25">
      <c r="A1110" s="1">
        <v>1109</v>
      </c>
      <c r="B1110" s="1">
        <v>21</v>
      </c>
      <c r="C1110" s="1">
        <v>5</v>
      </c>
      <c r="D1110" s="1" t="s">
        <v>133</v>
      </c>
      <c r="E1110" s="1" t="s">
        <v>17</v>
      </c>
      <c r="H1110"/>
      <c r="I1110"/>
    </row>
    <row r="1111" spans="1:9" ht="15" x14ac:dyDescent="0.25">
      <c r="A1111" s="1">
        <v>1110</v>
      </c>
      <c r="B1111" s="1">
        <v>21</v>
      </c>
      <c r="C1111" s="1">
        <v>5</v>
      </c>
      <c r="D1111" s="1" t="s">
        <v>133</v>
      </c>
      <c r="E1111" s="1" t="s">
        <v>17</v>
      </c>
      <c r="H1111"/>
      <c r="I1111"/>
    </row>
    <row r="1112" spans="1:9" ht="15" x14ac:dyDescent="0.25">
      <c r="A1112" s="1">
        <v>1111</v>
      </c>
      <c r="B1112" s="1">
        <v>21</v>
      </c>
      <c r="C1112" s="1">
        <v>5</v>
      </c>
      <c r="D1112" s="1" t="s">
        <v>133</v>
      </c>
      <c r="E1112" s="1" t="s">
        <v>17</v>
      </c>
      <c r="H1112"/>
      <c r="I1112"/>
    </row>
    <row r="1113" spans="1:9" ht="15" x14ac:dyDescent="0.25">
      <c r="A1113" s="1">
        <v>1112</v>
      </c>
      <c r="B1113" s="1">
        <v>21</v>
      </c>
      <c r="C1113" s="1">
        <v>5</v>
      </c>
      <c r="D1113" s="1" t="s">
        <v>133</v>
      </c>
      <c r="E1113" s="1" t="s">
        <v>17</v>
      </c>
      <c r="H1113"/>
      <c r="I1113"/>
    </row>
    <row r="1114" spans="1:9" ht="15" x14ac:dyDescent="0.25">
      <c r="A1114" s="1">
        <v>1113</v>
      </c>
      <c r="B1114" s="1">
        <v>21</v>
      </c>
      <c r="C1114" s="1">
        <v>5</v>
      </c>
      <c r="D1114" s="1" t="s">
        <v>133</v>
      </c>
      <c r="E1114" s="1" t="s">
        <v>17</v>
      </c>
      <c r="H1114"/>
      <c r="I1114"/>
    </row>
    <row r="1115" spans="1:9" ht="15" x14ac:dyDescent="0.25">
      <c r="A1115" s="1">
        <v>1114</v>
      </c>
      <c r="B1115" s="1">
        <v>21</v>
      </c>
      <c r="C1115" s="1">
        <v>5</v>
      </c>
      <c r="D1115" s="1" t="s">
        <v>133</v>
      </c>
      <c r="E1115" s="1" t="s">
        <v>17</v>
      </c>
      <c r="H1115"/>
      <c r="I1115"/>
    </row>
    <row r="1116" spans="1:9" ht="15" x14ac:dyDescent="0.25">
      <c r="A1116" s="1">
        <v>1115</v>
      </c>
      <c r="B1116" s="1">
        <v>21</v>
      </c>
      <c r="C1116" s="1">
        <v>5</v>
      </c>
      <c r="D1116" s="1" t="s">
        <v>133</v>
      </c>
      <c r="E1116" s="1" t="s">
        <v>17</v>
      </c>
      <c r="H1116"/>
      <c r="I1116"/>
    </row>
    <row r="1117" spans="1:9" ht="15" x14ac:dyDescent="0.25">
      <c r="A1117" s="1">
        <v>1116</v>
      </c>
      <c r="B1117" s="1">
        <v>21</v>
      </c>
      <c r="C1117" s="1">
        <v>5</v>
      </c>
      <c r="D1117" s="1" t="s">
        <v>133</v>
      </c>
      <c r="E1117" s="1" t="s">
        <v>17</v>
      </c>
      <c r="H1117"/>
      <c r="I1117"/>
    </row>
    <row r="1118" spans="1:9" ht="15" x14ac:dyDescent="0.25">
      <c r="A1118" s="1">
        <v>1117</v>
      </c>
      <c r="B1118" s="1">
        <v>21</v>
      </c>
      <c r="C1118" s="1">
        <v>5</v>
      </c>
      <c r="D1118" s="1" t="s">
        <v>133</v>
      </c>
      <c r="E1118" s="1" t="s">
        <v>17</v>
      </c>
      <c r="H1118"/>
      <c r="I1118"/>
    </row>
    <row r="1119" spans="1:9" ht="15" x14ac:dyDescent="0.25">
      <c r="A1119" s="1">
        <v>1118</v>
      </c>
      <c r="B1119" s="1">
        <v>21</v>
      </c>
      <c r="C1119" s="1">
        <v>5</v>
      </c>
      <c r="D1119" s="1" t="s">
        <v>133</v>
      </c>
      <c r="E1119" s="1" t="s">
        <v>17</v>
      </c>
      <c r="H1119"/>
      <c r="I1119"/>
    </row>
    <row r="1120" spans="1:9" ht="15" x14ac:dyDescent="0.25">
      <c r="A1120" s="1">
        <v>1119</v>
      </c>
      <c r="B1120" s="1">
        <v>21</v>
      </c>
      <c r="C1120" s="1">
        <v>5</v>
      </c>
      <c r="D1120" s="1" t="s">
        <v>133</v>
      </c>
      <c r="E1120" s="1" t="s">
        <v>17</v>
      </c>
      <c r="H1120"/>
      <c r="I1120"/>
    </row>
    <row r="1121" spans="1:9" ht="15" x14ac:dyDescent="0.25">
      <c r="A1121" s="1">
        <v>1120</v>
      </c>
      <c r="B1121" s="1">
        <v>21</v>
      </c>
      <c r="C1121" s="1">
        <v>5</v>
      </c>
      <c r="D1121" s="1" t="s">
        <v>133</v>
      </c>
      <c r="E1121" s="1" t="s">
        <v>17</v>
      </c>
      <c r="H1121"/>
      <c r="I1121"/>
    </row>
    <row r="1122" spans="1:9" ht="15" x14ac:dyDescent="0.25">
      <c r="A1122" s="1">
        <v>1121</v>
      </c>
      <c r="B1122" s="1">
        <v>21</v>
      </c>
      <c r="C1122" s="1">
        <v>5</v>
      </c>
      <c r="D1122" s="1" t="s">
        <v>133</v>
      </c>
      <c r="E1122" s="1" t="s">
        <v>17</v>
      </c>
      <c r="H1122"/>
      <c r="I1122"/>
    </row>
    <row r="1123" spans="1:9" ht="15" x14ac:dyDescent="0.25">
      <c r="A1123" s="1">
        <v>1122</v>
      </c>
      <c r="B1123" s="1">
        <v>21</v>
      </c>
      <c r="C1123" s="1">
        <v>5</v>
      </c>
      <c r="D1123" s="1" t="s">
        <v>133</v>
      </c>
      <c r="E1123" s="1" t="s">
        <v>17</v>
      </c>
      <c r="H1123"/>
      <c r="I1123"/>
    </row>
    <row r="1124" spans="1:9" ht="15" x14ac:dyDescent="0.25">
      <c r="A1124" s="1">
        <v>1123</v>
      </c>
      <c r="B1124" s="1">
        <v>21</v>
      </c>
      <c r="C1124" s="1">
        <v>5</v>
      </c>
      <c r="D1124" s="1" t="s">
        <v>133</v>
      </c>
      <c r="E1124" s="1" t="s">
        <v>17</v>
      </c>
      <c r="H1124"/>
      <c r="I1124"/>
    </row>
    <row r="1125" spans="1:9" ht="15" x14ac:dyDescent="0.25">
      <c r="A1125" s="1">
        <v>1124</v>
      </c>
      <c r="B1125" s="1">
        <v>21</v>
      </c>
      <c r="C1125" s="1">
        <v>5</v>
      </c>
      <c r="D1125" s="1" t="s">
        <v>133</v>
      </c>
      <c r="E1125" s="1" t="s">
        <v>17</v>
      </c>
      <c r="H1125"/>
      <c r="I1125"/>
    </row>
    <row r="1126" spans="1:9" ht="15" x14ac:dyDescent="0.25">
      <c r="A1126" s="1">
        <v>1125</v>
      </c>
      <c r="B1126" s="1">
        <v>21</v>
      </c>
      <c r="C1126" s="1">
        <v>5</v>
      </c>
      <c r="D1126" s="1" t="s">
        <v>133</v>
      </c>
      <c r="E1126" s="1" t="s">
        <v>17</v>
      </c>
      <c r="H1126"/>
      <c r="I1126"/>
    </row>
    <row r="1127" spans="1:9" ht="15" x14ac:dyDescent="0.25">
      <c r="A1127" s="1">
        <v>1126</v>
      </c>
      <c r="B1127" s="1">
        <v>21</v>
      </c>
      <c r="C1127" s="1">
        <v>5</v>
      </c>
      <c r="D1127" s="1" t="s">
        <v>133</v>
      </c>
      <c r="E1127" s="1" t="s">
        <v>17</v>
      </c>
      <c r="H1127"/>
      <c r="I1127"/>
    </row>
    <row r="1128" spans="1:9" ht="15" x14ac:dyDescent="0.25">
      <c r="A1128" s="1">
        <v>1127</v>
      </c>
      <c r="B1128" s="1">
        <v>21</v>
      </c>
      <c r="C1128" s="1">
        <v>5</v>
      </c>
      <c r="D1128" s="1" t="s">
        <v>133</v>
      </c>
      <c r="E1128" s="1" t="s">
        <v>17</v>
      </c>
      <c r="H1128"/>
      <c r="I1128"/>
    </row>
    <row r="1129" spans="1:9" ht="15" x14ac:dyDescent="0.25">
      <c r="A1129" s="1">
        <v>1128</v>
      </c>
      <c r="B1129" s="1">
        <v>21</v>
      </c>
      <c r="C1129" s="1">
        <v>5</v>
      </c>
      <c r="D1129" s="1" t="s">
        <v>133</v>
      </c>
      <c r="E1129" s="1" t="s">
        <v>17</v>
      </c>
      <c r="H1129"/>
      <c r="I1129"/>
    </row>
    <row r="1130" spans="1:9" ht="15" x14ac:dyDescent="0.25">
      <c r="A1130" s="1">
        <v>1129</v>
      </c>
      <c r="B1130" s="1">
        <v>21</v>
      </c>
      <c r="C1130" s="1">
        <v>5</v>
      </c>
      <c r="D1130" s="1" t="s">
        <v>133</v>
      </c>
      <c r="E1130" s="1" t="s">
        <v>17</v>
      </c>
      <c r="H1130"/>
      <c r="I1130"/>
    </row>
    <row r="1131" spans="1:9" ht="15" x14ac:dyDescent="0.25">
      <c r="A1131" s="1">
        <v>1130</v>
      </c>
      <c r="B1131" s="1">
        <v>21</v>
      </c>
      <c r="C1131" s="1">
        <v>5</v>
      </c>
      <c r="D1131" s="1" t="s">
        <v>133</v>
      </c>
      <c r="E1131" s="1" t="s">
        <v>17</v>
      </c>
      <c r="H1131"/>
      <c r="I1131"/>
    </row>
    <row r="1132" spans="1:9" ht="15" x14ac:dyDescent="0.25">
      <c r="A1132" s="1">
        <v>1131</v>
      </c>
      <c r="B1132" s="1">
        <v>21</v>
      </c>
      <c r="C1132" s="1">
        <v>5</v>
      </c>
      <c r="D1132" s="1" t="s">
        <v>133</v>
      </c>
      <c r="E1132" s="1" t="s">
        <v>17</v>
      </c>
      <c r="H1132"/>
      <c r="I1132"/>
    </row>
    <row r="1133" spans="1:9" ht="15" x14ac:dyDescent="0.25">
      <c r="A1133" s="1">
        <v>1132</v>
      </c>
      <c r="B1133" s="1">
        <v>22</v>
      </c>
      <c r="C1133" s="1">
        <v>5</v>
      </c>
      <c r="D1133" s="1" t="s">
        <v>132</v>
      </c>
      <c r="E1133" s="1" t="s">
        <v>17</v>
      </c>
      <c r="H1133"/>
      <c r="I1133"/>
    </row>
    <row r="1134" spans="1:9" ht="15" x14ac:dyDescent="0.25">
      <c r="A1134" s="1">
        <v>1133</v>
      </c>
      <c r="B1134" s="1">
        <v>22</v>
      </c>
      <c r="C1134" s="1">
        <v>5</v>
      </c>
      <c r="D1134" s="1" t="s">
        <v>132</v>
      </c>
      <c r="E1134" s="1" t="s">
        <v>17</v>
      </c>
      <c r="H1134"/>
      <c r="I1134"/>
    </row>
    <row r="1135" spans="1:9" ht="15" x14ac:dyDescent="0.25">
      <c r="A1135" s="1">
        <v>1134</v>
      </c>
      <c r="B1135" s="1">
        <v>22</v>
      </c>
      <c r="C1135" s="1">
        <v>5</v>
      </c>
      <c r="D1135" s="1" t="s">
        <v>132</v>
      </c>
      <c r="E1135" s="1" t="s">
        <v>17</v>
      </c>
      <c r="H1135"/>
      <c r="I1135"/>
    </row>
    <row r="1136" spans="1:9" ht="15" x14ac:dyDescent="0.25">
      <c r="A1136" s="1">
        <v>1135</v>
      </c>
      <c r="B1136" s="1">
        <v>22</v>
      </c>
      <c r="C1136" s="1">
        <v>5</v>
      </c>
      <c r="D1136" s="1" t="s">
        <v>132</v>
      </c>
      <c r="E1136" s="1" t="s">
        <v>17</v>
      </c>
      <c r="H1136"/>
      <c r="I1136"/>
    </row>
    <row r="1137" spans="1:9" ht="15" x14ac:dyDescent="0.25">
      <c r="A1137" s="1">
        <v>1136</v>
      </c>
      <c r="B1137" s="1">
        <v>22</v>
      </c>
      <c r="C1137" s="1">
        <v>5</v>
      </c>
      <c r="D1137" s="1" t="s">
        <v>132</v>
      </c>
      <c r="E1137" s="1" t="s">
        <v>17</v>
      </c>
      <c r="H1137"/>
      <c r="I1137"/>
    </row>
    <row r="1138" spans="1:9" ht="15" x14ac:dyDescent="0.25">
      <c r="A1138" s="1">
        <v>1137</v>
      </c>
      <c r="B1138" s="1">
        <v>22</v>
      </c>
      <c r="C1138" s="1">
        <v>5</v>
      </c>
      <c r="D1138" s="1" t="s">
        <v>132</v>
      </c>
      <c r="E1138" s="1" t="s">
        <v>17</v>
      </c>
      <c r="H1138"/>
      <c r="I1138"/>
    </row>
    <row r="1139" spans="1:9" ht="15" x14ac:dyDescent="0.25">
      <c r="A1139" s="1">
        <v>1138</v>
      </c>
      <c r="B1139" s="1">
        <v>22</v>
      </c>
      <c r="C1139" s="1">
        <v>5</v>
      </c>
      <c r="D1139" s="1" t="s">
        <v>132</v>
      </c>
      <c r="E1139" s="1" t="s">
        <v>17</v>
      </c>
      <c r="H1139"/>
      <c r="I1139"/>
    </row>
    <row r="1140" spans="1:9" ht="15" x14ac:dyDescent="0.25">
      <c r="A1140" s="1">
        <v>1139</v>
      </c>
      <c r="B1140" s="1">
        <v>22</v>
      </c>
      <c r="C1140" s="1">
        <v>5</v>
      </c>
      <c r="D1140" s="1" t="s">
        <v>132</v>
      </c>
      <c r="E1140" s="1" t="s">
        <v>17</v>
      </c>
      <c r="H1140"/>
      <c r="I1140"/>
    </row>
    <row r="1141" spans="1:9" ht="15" x14ac:dyDescent="0.25">
      <c r="A1141" s="1">
        <v>1140</v>
      </c>
      <c r="B1141" s="1">
        <v>22</v>
      </c>
      <c r="C1141" s="1">
        <v>5</v>
      </c>
      <c r="D1141" s="1" t="s">
        <v>132</v>
      </c>
      <c r="E1141" s="1" t="s">
        <v>17</v>
      </c>
      <c r="H1141"/>
      <c r="I1141"/>
    </row>
    <row r="1142" spans="1:9" ht="15" x14ac:dyDescent="0.25">
      <c r="A1142" s="1">
        <v>1141</v>
      </c>
      <c r="B1142" s="1">
        <v>22</v>
      </c>
      <c r="C1142" s="1">
        <v>5</v>
      </c>
      <c r="D1142" s="1" t="s">
        <v>132</v>
      </c>
      <c r="E1142" s="1" t="s">
        <v>17</v>
      </c>
      <c r="H1142"/>
      <c r="I1142"/>
    </row>
    <row r="1143" spans="1:9" ht="15" x14ac:dyDescent="0.25">
      <c r="A1143" s="1">
        <v>1142</v>
      </c>
      <c r="B1143" s="1">
        <v>22</v>
      </c>
      <c r="C1143" s="1">
        <v>5</v>
      </c>
      <c r="D1143" s="1" t="s">
        <v>132</v>
      </c>
      <c r="E1143" s="1" t="s">
        <v>17</v>
      </c>
      <c r="H1143"/>
      <c r="I1143"/>
    </row>
    <row r="1144" spans="1:9" ht="15" x14ac:dyDescent="0.25">
      <c r="A1144" s="1">
        <v>1143</v>
      </c>
      <c r="B1144" s="1">
        <v>22</v>
      </c>
      <c r="C1144" s="1">
        <v>5</v>
      </c>
      <c r="D1144" s="1" t="s">
        <v>132</v>
      </c>
      <c r="E1144" s="1" t="s">
        <v>17</v>
      </c>
      <c r="H1144"/>
      <c r="I1144"/>
    </row>
    <row r="1145" spans="1:9" ht="15" x14ac:dyDescent="0.25">
      <c r="A1145" s="1">
        <v>1144</v>
      </c>
      <c r="B1145" s="1">
        <v>22</v>
      </c>
      <c r="C1145" s="1">
        <v>5</v>
      </c>
      <c r="D1145" s="1" t="s">
        <v>132</v>
      </c>
      <c r="E1145" s="1" t="s">
        <v>17</v>
      </c>
      <c r="H1145"/>
      <c r="I1145"/>
    </row>
    <row r="1146" spans="1:9" ht="15" x14ac:dyDescent="0.25">
      <c r="A1146" s="1">
        <v>1145</v>
      </c>
      <c r="B1146" s="1">
        <v>22</v>
      </c>
      <c r="C1146" s="1">
        <v>5</v>
      </c>
      <c r="D1146" s="1" t="s">
        <v>132</v>
      </c>
      <c r="E1146" s="1" t="s">
        <v>17</v>
      </c>
      <c r="H1146"/>
      <c r="I1146"/>
    </row>
    <row r="1147" spans="1:9" ht="15" x14ac:dyDescent="0.25">
      <c r="A1147" s="1">
        <v>1146</v>
      </c>
      <c r="B1147" s="1">
        <v>22</v>
      </c>
      <c r="C1147" s="1">
        <v>5</v>
      </c>
      <c r="D1147" s="1" t="s">
        <v>132</v>
      </c>
      <c r="E1147" s="1" t="s">
        <v>17</v>
      </c>
      <c r="H1147"/>
      <c r="I1147"/>
    </row>
    <row r="1148" spans="1:9" ht="15" x14ac:dyDescent="0.25">
      <c r="A1148" s="1">
        <v>1147</v>
      </c>
      <c r="B1148" s="1">
        <v>22</v>
      </c>
      <c r="C1148" s="1">
        <v>5</v>
      </c>
      <c r="D1148" s="1" t="s">
        <v>132</v>
      </c>
      <c r="E1148" s="1" t="s">
        <v>17</v>
      </c>
      <c r="H1148"/>
      <c r="I1148"/>
    </row>
    <row r="1149" spans="1:9" ht="15" x14ac:dyDescent="0.25">
      <c r="A1149" s="1">
        <v>1148</v>
      </c>
      <c r="B1149" s="1">
        <v>22</v>
      </c>
      <c r="C1149" s="1">
        <v>5</v>
      </c>
      <c r="D1149" s="1" t="s">
        <v>132</v>
      </c>
      <c r="E1149" s="1" t="s">
        <v>17</v>
      </c>
      <c r="H1149"/>
      <c r="I1149"/>
    </row>
    <row r="1150" spans="1:9" ht="15" x14ac:dyDescent="0.25">
      <c r="A1150" s="1">
        <v>1149</v>
      </c>
      <c r="B1150" s="1">
        <v>22</v>
      </c>
      <c r="C1150" s="1">
        <v>5</v>
      </c>
      <c r="D1150" s="1" t="s">
        <v>132</v>
      </c>
      <c r="E1150" s="1" t="s">
        <v>17</v>
      </c>
      <c r="H1150"/>
      <c r="I1150"/>
    </row>
    <row r="1151" spans="1:9" ht="15" x14ac:dyDescent="0.25">
      <c r="A1151" s="1">
        <v>1150</v>
      </c>
      <c r="B1151" s="1">
        <v>22</v>
      </c>
      <c r="C1151" s="1">
        <v>5</v>
      </c>
      <c r="D1151" s="1" t="s">
        <v>132</v>
      </c>
      <c r="E1151" s="1" t="s">
        <v>17</v>
      </c>
      <c r="H1151"/>
      <c r="I1151"/>
    </row>
    <row r="1152" spans="1:9" ht="15" x14ac:dyDescent="0.25">
      <c r="A1152" s="1">
        <v>1151</v>
      </c>
      <c r="B1152" s="1">
        <v>22</v>
      </c>
      <c r="C1152" s="1">
        <v>5</v>
      </c>
      <c r="D1152" s="1" t="s">
        <v>132</v>
      </c>
      <c r="E1152" s="1" t="s">
        <v>17</v>
      </c>
      <c r="H1152"/>
      <c r="I1152"/>
    </row>
    <row r="1153" spans="1:9" ht="15" x14ac:dyDescent="0.25">
      <c r="A1153" s="1">
        <v>1152</v>
      </c>
      <c r="B1153" s="1">
        <v>22</v>
      </c>
      <c r="C1153" s="1">
        <v>5</v>
      </c>
      <c r="D1153" s="1" t="s">
        <v>132</v>
      </c>
      <c r="E1153" s="1" t="s">
        <v>17</v>
      </c>
      <c r="H1153"/>
      <c r="I1153"/>
    </row>
    <row r="1154" spans="1:9" ht="15" x14ac:dyDescent="0.25">
      <c r="A1154" s="1">
        <v>1153</v>
      </c>
      <c r="B1154" s="1">
        <v>22</v>
      </c>
      <c r="C1154" s="1">
        <v>5</v>
      </c>
      <c r="D1154" s="1" t="s">
        <v>132</v>
      </c>
      <c r="E1154" s="1" t="s">
        <v>17</v>
      </c>
      <c r="H1154"/>
      <c r="I1154"/>
    </row>
    <row r="1155" spans="1:9" ht="15" x14ac:dyDescent="0.25">
      <c r="A1155" s="1">
        <v>1154</v>
      </c>
      <c r="B1155" s="1">
        <v>22</v>
      </c>
      <c r="C1155" s="1">
        <v>5</v>
      </c>
      <c r="D1155" s="1" t="s">
        <v>132</v>
      </c>
      <c r="E1155" s="1" t="s">
        <v>17</v>
      </c>
      <c r="H1155"/>
      <c r="I1155"/>
    </row>
    <row r="1156" spans="1:9" ht="15" x14ac:dyDescent="0.25">
      <c r="A1156" s="1">
        <v>1155</v>
      </c>
      <c r="B1156" s="1">
        <v>22</v>
      </c>
      <c r="C1156" s="1">
        <v>5</v>
      </c>
      <c r="D1156" s="1" t="s">
        <v>132</v>
      </c>
      <c r="E1156" s="1" t="s">
        <v>17</v>
      </c>
      <c r="H1156"/>
      <c r="I1156"/>
    </row>
    <row r="1157" spans="1:9" ht="15" x14ac:dyDescent="0.25">
      <c r="A1157" s="1">
        <v>1156</v>
      </c>
      <c r="B1157" s="1">
        <v>22</v>
      </c>
      <c r="C1157" s="1">
        <v>5</v>
      </c>
      <c r="D1157" s="1" t="s">
        <v>132</v>
      </c>
      <c r="E1157" s="1" t="s">
        <v>17</v>
      </c>
      <c r="H1157"/>
      <c r="I1157"/>
    </row>
    <row r="1158" spans="1:9" ht="15" x14ac:dyDescent="0.25">
      <c r="A1158" s="1">
        <v>1157</v>
      </c>
      <c r="B1158" s="1">
        <v>22</v>
      </c>
      <c r="C1158" s="1">
        <v>5</v>
      </c>
      <c r="D1158" s="1" t="s">
        <v>132</v>
      </c>
      <c r="E1158" s="1" t="s">
        <v>17</v>
      </c>
      <c r="H1158"/>
      <c r="I1158"/>
    </row>
    <row r="1159" spans="1:9" ht="15" x14ac:dyDescent="0.25">
      <c r="A1159" s="1">
        <v>1158</v>
      </c>
      <c r="B1159" s="1">
        <v>22</v>
      </c>
      <c r="C1159" s="1">
        <v>5</v>
      </c>
      <c r="D1159" s="1" t="s">
        <v>132</v>
      </c>
      <c r="E1159" s="1" t="s">
        <v>17</v>
      </c>
      <c r="H1159"/>
      <c r="I1159"/>
    </row>
    <row r="1160" spans="1:9" ht="15" x14ac:dyDescent="0.25">
      <c r="A1160" s="1">
        <v>1159</v>
      </c>
      <c r="B1160" s="1">
        <v>22</v>
      </c>
      <c r="C1160" s="1">
        <v>5</v>
      </c>
      <c r="D1160" s="1" t="s">
        <v>132</v>
      </c>
      <c r="E1160" s="1" t="s">
        <v>17</v>
      </c>
      <c r="H1160"/>
      <c r="I1160"/>
    </row>
    <row r="1161" spans="1:9" ht="15" x14ac:dyDescent="0.25">
      <c r="A1161" s="1">
        <v>1160</v>
      </c>
      <c r="B1161" s="1">
        <v>22</v>
      </c>
      <c r="C1161" s="1">
        <v>5</v>
      </c>
      <c r="D1161" s="1" t="s">
        <v>132</v>
      </c>
      <c r="E1161" s="1" t="s">
        <v>17</v>
      </c>
      <c r="H1161"/>
      <c r="I1161"/>
    </row>
    <row r="1162" spans="1:9" ht="15" x14ac:dyDescent="0.25">
      <c r="A1162" s="1">
        <v>1161</v>
      </c>
      <c r="B1162" s="1">
        <v>23</v>
      </c>
      <c r="C1162" s="1">
        <v>5</v>
      </c>
      <c r="D1162" s="1" t="s">
        <v>131</v>
      </c>
      <c r="E1162" s="1" t="s">
        <v>17</v>
      </c>
      <c r="H1162"/>
      <c r="I1162"/>
    </row>
    <row r="1163" spans="1:9" ht="15" x14ac:dyDescent="0.25">
      <c r="A1163" s="1">
        <v>1162</v>
      </c>
      <c r="B1163" s="1">
        <v>23</v>
      </c>
      <c r="C1163" s="1">
        <v>5</v>
      </c>
      <c r="D1163" s="1" t="s">
        <v>131</v>
      </c>
      <c r="E1163" s="1" t="s">
        <v>17</v>
      </c>
      <c r="H1163"/>
      <c r="I1163"/>
    </row>
    <row r="1164" spans="1:9" ht="15" x14ac:dyDescent="0.25">
      <c r="A1164" s="1">
        <v>1163</v>
      </c>
      <c r="B1164" s="1">
        <v>23</v>
      </c>
      <c r="C1164" s="1">
        <v>5</v>
      </c>
      <c r="D1164" s="1" t="s">
        <v>131</v>
      </c>
      <c r="E1164" s="1" t="s">
        <v>17</v>
      </c>
      <c r="H1164"/>
      <c r="I1164"/>
    </row>
    <row r="1165" spans="1:9" ht="15" x14ac:dyDescent="0.25">
      <c r="A1165" s="1">
        <v>1164</v>
      </c>
      <c r="B1165" s="1">
        <v>23</v>
      </c>
      <c r="C1165" s="1">
        <v>5</v>
      </c>
      <c r="D1165" s="1" t="s">
        <v>131</v>
      </c>
      <c r="E1165" s="1" t="s">
        <v>17</v>
      </c>
      <c r="H1165"/>
      <c r="I1165"/>
    </row>
    <row r="1166" spans="1:9" ht="15" x14ac:dyDescent="0.25">
      <c r="A1166" s="1">
        <v>1165</v>
      </c>
      <c r="B1166" s="1">
        <v>23</v>
      </c>
      <c r="C1166" s="1">
        <v>5</v>
      </c>
      <c r="D1166" s="1" t="s">
        <v>131</v>
      </c>
      <c r="E1166" s="1" t="s">
        <v>17</v>
      </c>
      <c r="H1166"/>
      <c r="I1166"/>
    </row>
    <row r="1167" spans="1:9" ht="15" x14ac:dyDescent="0.25">
      <c r="A1167" s="1">
        <v>1166</v>
      </c>
      <c r="B1167" s="1">
        <v>23</v>
      </c>
      <c r="C1167" s="1">
        <v>5</v>
      </c>
      <c r="D1167" s="1" t="s">
        <v>131</v>
      </c>
      <c r="E1167" s="1" t="s">
        <v>17</v>
      </c>
      <c r="H1167"/>
      <c r="I1167"/>
    </row>
    <row r="1168" spans="1:9" ht="15" x14ac:dyDescent="0.25">
      <c r="A1168" s="1">
        <v>1167</v>
      </c>
      <c r="B1168" s="1">
        <v>23</v>
      </c>
      <c r="C1168" s="1">
        <v>5</v>
      </c>
      <c r="D1168" s="1" t="s">
        <v>131</v>
      </c>
      <c r="E1168" s="1" t="s">
        <v>17</v>
      </c>
      <c r="H1168"/>
      <c r="I1168"/>
    </row>
    <row r="1169" spans="1:9" ht="15" x14ac:dyDescent="0.25">
      <c r="A1169" s="1">
        <v>1168</v>
      </c>
      <c r="B1169" s="1">
        <v>23</v>
      </c>
      <c r="C1169" s="1">
        <v>5</v>
      </c>
      <c r="D1169" s="1" t="s">
        <v>131</v>
      </c>
      <c r="E1169" s="1" t="s">
        <v>17</v>
      </c>
      <c r="H1169"/>
      <c r="I1169"/>
    </row>
    <row r="1170" spans="1:9" ht="15" x14ac:dyDescent="0.25">
      <c r="A1170" s="1">
        <v>1169</v>
      </c>
      <c r="B1170" s="1">
        <v>23</v>
      </c>
      <c r="C1170" s="1">
        <v>5</v>
      </c>
      <c r="D1170" s="1" t="s">
        <v>131</v>
      </c>
      <c r="E1170" s="1" t="s">
        <v>17</v>
      </c>
      <c r="H1170"/>
      <c r="I1170"/>
    </row>
    <row r="1171" spans="1:9" ht="15" x14ac:dyDescent="0.25">
      <c r="A1171" s="1">
        <v>1170</v>
      </c>
      <c r="B1171" s="1">
        <v>23</v>
      </c>
      <c r="C1171" s="1">
        <v>5</v>
      </c>
      <c r="D1171" s="1" t="s">
        <v>131</v>
      </c>
      <c r="E1171" s="1" t="s">
        <v>17</v>
      </c>
      <c r="H1171"/>
      <c r="I1171"/>
    </row>
    <row r="1172" spans="1:9" ht="15" x14ac:dyDescent="0.25">
      <c r="A1172" s="1">
        <v>1171</v>
      </c>
      <c r="B1172" s="1">
        <v>23</v>
      </c>
      <c r="C1172" s="1">
        <v>5</v>
      </c>
      <c r="D1172" s="1" t="s">
        <v>131</v>
      </c>
      <c r="E1172" s="1" t="s">
        <v>17</v>
      </c>
      <c r="H1172"/>
      <c r="I1172"/>
    </row>
    <row r="1173" spans="1:9" ht="15" x14ac:dyDescent="0.25">
      <c r="A1173" s="1">
        <v>1172</v>
      </c>
      <c r="B1173" s="1">
        <v>23</v>
      </c>
      <c r="C1173" s="1">
        <v>5</v>
      </c>
      <c r="D1173" s="1" t="s">
        <v>131</v>
      </c>
      <c r="E1173" s="1" t="s">
        <v>17</v>
      </c>
      <c r="H1173"/>
      <c r="I1173"/>
    </row>
    <row r="1174" spans="1:9" ht="15" x14ac:dyDescent="0.25">
      <c r="A1174" s="1">
        <v>1173</v>
      </c>
      <c r="B1174" s="1">
        <v>23</v>
      </c>
      <c r="C1174" s="1">
        <v>5</v>
      </c>
      <c r="D1174" s="1" t="s">
        <v>131</v>
      </c>
      <c r="E1174" s="1" t="s">
        <v>17</v>
      </c>
      <c r="H1174"/>
      <c r="I1174"/>
    </row>
    <row r="1175" spans="1:9" ht="15" x14ac:dyDescent="0.25">
      <c r="A1175" s="1">
        <v>1174</v>
      </c>
      <c r="B1175" s="1">
        <v>23</v>
      </c>
      <c r="C1175" s="1">
        <v>5</v>
      </c>
      <c r="D1175" s="1" t="s">
        <v>131</v>
      </c>
      <c r="E1175" s="1" t="s">
        <v>17</v>
      </c>
      <c r="H1175"/>
      <c r="I1175"/>
    </row>
    <row r="1176" spans="1:9" ht="15" x14ac:dyDescent="0.25">
      <c r="A1176" s="1">
        <v>1175</v>
      </c>
      <c r="B1176" s="1">
        <v>23</v>
      </c>
      <c r="C1176" s="1">
        <v>5</v>
      </c>
      <c r="D1176" s="1" t="s">
        <v>131</v>
      </c>
      <c r="E1176" s="1" t="s">
        <v>17</v>
      </c>
      <c r="H1176"/>
      <c r="I1176"/>
    </row>
    <row r="1177" spans="1:9" ht="15" x14ac:dyDescent="0.25">
      <c r="A1177" s="1">
        <v>1176</v>
      </c>
      <c r="B1177" s="1">
        <v>23</v>
      </c>
      <c r="C1177" s="1">
        <v>5</v>
      </c>
      <c r="D1177" s="1" t="s">
        <v>131</v>
      </c>
      <c r="E1177" s="1" t="s">
        <v>17</v>
      </c>
      <c r="H1177"/>
      <c r="I1177"/>
    </row>
    <row r="1178" spans="1:9" ht="15" x14ac:dyDescent="0.25">
      <c r="A1178" s="1">
        <v>1177</v>
      </c>
      <c r="B1178" s="1">
        <v>24</v>
      </c>
      <c r="C1178" s="1">
        <v>5</v>
      </c>
      <c r="D1178" s="1" t="s">
        <v>130</v>
      </c>
      <c r="E1178" s="1" t="s">
        <v>17</v>
      </c>
      <c r="H1178"/>
      <c r="I1178"/>
    </row>
    <row r="1179" spans="1:9" ht="15" x14ac:dyDescent="0.25">
      <c r="A1179" s="1">
        <v>1178</v>
      </c>
      <c r="B1179" s="1">
        <v>24</v>
      </c>
      <c r="C1179" s="1">
        <v>5</v>
      </c>
      <c r="D1179" s="1" t="s">
        <v>130</v>
      </c>
      <c r="E1179" s="1" t="s">
        <v>17</v>
      </c>
      <c r="H1179"/>
      <c r="I1179"/>
    </row>
    <row r="1180" spans="1:9" ht="15" x14ac:dyDescent="0.25">
      <c r="A1180" s="1">
        <v>1179</v>
      </c>
      <c r="B1180" s="1">
        <v>24</v>
      </c>
      <c r="C1180" s="1">
        <v>5</v>
      </c>
      <c r="D1180" s="1" t="s">
        <v>130</v>
      </c>
      <c r="E1180" s="1" t="s">
        <v>17</v>
      </c>
      <c r="H1180"/>
      <c r="I1180"/>
    </row>
    <row r="1181" spans="1:9" ht="15" x14ac:dyDescent="0.25">
      <c r="A1181" s="1">
        <v>1180</v>
      </c>
      <c r="B1181" s="1">
        <v>24</v>
      </c>
      <c r="C1181" s="1">
        <v>5</v>
      </c>
      <c r="D1181" s="1" t="s">
        <v>130</v>
      </c>
      <c r="E1181" s="1" t="s">
        <v>17</v>
      </c>
      <c r="H1181"/>
      <c r="I1181"/>
    </row>
    <row r="1182" spans="1:9" ht="15" x14ac:dyDescent="0.25">
      <c r="A1182" s="1">
        <v>1181</v>
      </c>
      <c r="B1182" s="1">
        <v>24</v>
      </c>
      <c r="C1182" s="1">
        <v>5</v>
      </c>
      <c r="D1182" s="1" t="s">
        <v>130</v>
      </c>
      <c r="E1182" s="1" t="s">
        <v>17</v>
      </c>
      <c r="H1182"/>
      <c r="I1182"/>
    </row>
    <row r="1183" spans="1:9" ht="15" x14ac:dyDescent="0.25">
      <c r="A1183" s="1">
        <v>1182</v>
      </c>
      <c r="B1183" s="1">
        <v>24</v>
      </c>
      <c r="C1183" s="1">
        <v>5</v>
      </c>
      <c r="D1183" s="1" t="s">
        <v>130</v>
      </c>
      <c r="E1183" s="1" t="s">
        <v>17</v>
      </c>
      <c r="H1183"/>
      <c r="I1183"/>
    </row>
    <row r="1184" spans="1:9" ht="15" x14ac:dyDescent="0.25">
      <c r="A1184" s="1">
        <v>1183</v>
      </c>
      <c r="B1184" s="1">
        <v>24</v>
      </c>
      <c r="C1184" s="1">
        <v>5</v>
      </c>
      <c r="D1184" s="1" t="s">
        <v>130</v>
      </c>
      <c r="E1184" s="1" t="s">
        <v>17</v>
      </c>
      <c r="H1184"/>
      <c r="I1184"/>
    </row>
    <row r="1185" spans="1:9" ht="15" x14ac:dyDescent="0.25">
      <c r="A1185" s="1">
        <v>1184</v>
      </c>
      <c r="B1185" s="1">
        <v>24</v>
      </c>
      <c r="C1185" s="1">
        <v>5</v>
      </c>
      <c r="D1185" s="1" t="s">
        <v>130</v>
      </c>
      <c r="E1185" s="1" t="s">
        <v>17</v>
      </c>
      <c r="H1185"/>
      <c r="I1185"/>
    </row>
    <row r="1186" spans="1:9" ht="15" x14ac:dyDescent="0.25">
      <c r="A1186" s="1">
        <v>1185</v>
      </c>
      <c r="B1186" s="1">
        <v>24</v>
      </c>
      <c r="C1186" s="1">
        <v>5</v>
      </c>
      <c r="D1186" s="1" t="s">
        <v>130</v>
      </c>
      <c r="E1186" s="1" t="s">
        <v>17</v>
      </c>
      <c r="H1186"/>
      <c r="I1186"/>
    </row>
    <row r="1187" spans="1:9" ht="15" x14ac:dyDescent="0.25">
      <c r="A1187" s="1">
        <v>1186</v>
      </c>
      <c r="B1187" s="1">
        <v>24</v>
      </c>
      <c r="C1187" s="1">
        <v>5</v>
      </c>
      <c r="D1187" s="1" t="s">
        <v>130</v>
      </c>
      <c r="E1187" s="1" t="s">
        <v>17</v>
      </c>
      <c r="H1187"/>
      <c r="I1187"/>
    </row>
    <row r="1188" spans="1:9" ht="15" x14ac:dyDescent="0.25">
      <c r="A1188" s="1">
        <v>1187</v>
      </c>
      <c r="B1188" s="1">
        <v>24</v>
      </c>
      <c r="C1188" s="1">
        <v>5</v>
      </c>
      <c r="D1188" s="1" t="s">
        <v>130</v>
      </c>
      <c r="E1188" s="1" t="s">
        <v>17</v>
      </c>
      <c r="H1188"/>
      <c r="I1188"/>
    </row>
    <row r="1189" spans="1:9" ht="15" x14ac:dyDescent="0.25">
      <c r="A1189" s="1">
        <v>1188</v>
      </c>
      <c r="B1189" s="1">
        <v>24</v>
      </c>
      <c r="C1189" s="1">
        <v>5</v>
      </c>
      <c r="D1189" s="1" t="s">
        <v>130</v>
      </c>
      <c r="E1189" s="1" t="s">
        <v>17</v>
      </c>
      <c r="H1189"/>
      <c r="I1189"/>
    </row>
    <row r="1190" spans="1:9" ht="15" x14ac:dyDescent="0.25">
      <c r="A1190" s="1">
        <v>1189</v>
      </c>
      <c r="B1190" s="1">
        <v>24</v>
      </c>
      <c r="C1190" s="1">
        <v>5</v>
      </c>
      <c r="D1190" s="1" t="s">
        <v>130</v>
      </c>
      <c r="E1190" s="1" t="s">
        <v>17</v>
      </c>
      <c r="H1190"/>
      <c r="I1190"/>
    </row>
    <row r="1191" spans="1:9" ht="15" x14ac:dyDescent="0.25">
      <c r="A1191" s="1">
        <v>1190</v>
      </c>
      <c r="B1191" s="1">
        <v>24</v>
      </c>
      <c r="C1191" s="1">
        <v>5</v>
      </c>
      <c r="D1191" s="1" t="s">
        <v>130</v>
      </c>
      <c r="E1191" s="1" t="s">
        <v>17</v>
      </c>
      <c r="H1191"/>
      <c r="I1191"/>
    </row>
    <row r="1192" spans="1:9" ht="15" x14ac:dyDescent="0.25">
      <c r="A1192" s="1">
        <v>1191</v>
      </c>
      <c r="B1192" s="1">
        <v>24</v>
      </c>
      <c r="C1192" s="1">
        <v>5</v>
      </c>
      <c r="D1192" s="1" t="s">
        <v>130</v>
      </c>
      <c r="E1192" s="1" t="s">
        <v>17</v>
      </c>
      <c r="H1192"/>
      <c r="I1192"/>
    </row>
    <row r="1193" spans="1:9" ht="15" x14ac:dyDescent="0.25">
      <c r="A1193" s="1">
        <v>1192</v>
      </c>
      <c r="B1193" s="1">
        <v>24</v>
      </c>
      <c r="C1193" s="1">
        <v>5</v>
      </c>
      <c r="D1193" s="1" t="s">
        <v>130</v>
      </c>
      <c r="E1193" s="1" t="s">
        <v>17</v>
      </c>
      <c r="H1193"/>
      <c r="I1193"/>
    </row>
    <row r="1194" spans="1:9" ht="15" x14ac:dyDescent="0.25">
      <c r="A1194" s="1">
        <v>1193</v>
      </c>
      <c r="B1194" s="1">
        <v>24</v>
      </c>
      <c r="C1194" s="1">
        <v>5</v>
      </c>
      <c r="D1194" s="1" t="s">
        <v>130</v>
      </c>
      <c r="E1194" s="1" t="s">
        <v>17</v>
      </c>
      <c r="H1194"/>
      <c r="I1194"/>
    </row>
    <row r="1195" spans="1:9" ht="15" x14ac:dyDescent="0.25">
      <c r="A1195" s="1">
        <v>1194</v>
      </c>
      <c r="B1195" s="1">
        <v>24</v>
      </c>
      <c r="C1195" s="1">
        <v>5</v>
      </c>
      <c r="D1195" s="1" t="s">
        <v>130</v>
      </c>
      <c r="E1195" s="1" t="s">
        <v>17</v>
      </c>
      <c r="H1195"/>
      <c r="I1195"/>
    </row>
    <row r="1196" spans="1:9" ht="15" x14ac:dyDescent="0.25">
      <c r="A1196" s="1">
        <v>1195</v>
      </c>
      <c r="B1196" s="1">
        <v>24</v>
      </c>
      <c r="C1196" s="1">
        <v>5</v>
      </c>
      <c r="D1196" s="1" t="s">
        <v>130</v>
      </c>
      <c r="E1196" s="1" t="s">
        <v>17</v>
      </c>
      <c r="H1196"/>
      <c r="I1196"/>
    </row>
    <row r="1197" spans="1:9" ht="15" x14ac:dyDescent="0.25">
      <c r="A1197" s="1">
        <v>1196</v>
      </c>
      <c r="B1197" s="1">
        <v>24</v>
      </c>
      <c r="C1197" s="1">
        <v>5</v>
      </c>
      <c r="D1197" s="1" t="s">
        <v>130</v>
      </c>
      <c r="E1197" s="1" t="s">
        <v>17</v>
      </c>
      <c r="H1197"/>
      <c r="I1197"/>
    </row>
    <row r="1198" spans="1:9" ht="15" x14ac:dyDescent="0.25">
      <c r="A1198" s="1">
        <v>1197</v>
      </c>
      <c r="B1198" s="1">
        <v>24</v>
      </c>
      <c r="C1198" s="1">
        <v>5</v>
      </c>
      <c r="D1198" s="1" t="s">
        <v>130</v>
      </c>
      <c r="E1198" s="1" t="s">
        <v>17</v>
      </c>
      <c r="H1198"/>
      <c r="I1198"/>
    </row>
    <row r="1199" spans="1:9" ht="15" x14ac:dyDescent="0.25">
      <c r="A1199" s="1">
        <v>1198</v>
      </c>
      <c r="B1199" s="1">
        <v>24</v>
      </c>
      <c r="C1199" s="1">
        <v>5</v>
      </c>
      <c r="D1199" s="1" t="s">
        <v>130</v>
      </c>
      <c r="E1199" s="1" t="s">
        <v>17</v>
      </c>
      <c r="H1199"/>
      <c r="I1199"/>
    </row>
    <row r="1200" spans="1:9" ht="15" x14ac:dyDescent="0.25">
      <c r="A1200" s="1">
        <v>1199</v>
      </c>
      <c r="B1200" s="1">
        <v>24</v>
      </c>
      <c r="C1200" s="1">
        <v>5</v>
      </c>
      <c r="D1200" s="1" t="s">
        <v>130</v>
      </c>
      <c r="E1200" s="1" t="s">
        <v>17</v>
      </c>
      <c r="H1200"/>
      <c r="I1200"/>
    </row>
    <row r="1201" spans="1:9" ht="15" x14ac:dyDescent="0.25">
      <c r="A1201" s="1">
        <v>1200</v>
      </c>
      <c r="B1201" s="1">
        <v>24</v>
      </c>
      <c r="C1201" s="1">
        <v>5</v>
      </c>
      <c r="D1201" s="1" t="s">
        <v>130</v>
      </c>
      <c r="E1201" s="1" t="s">
        <v>17</v>
      </c>
      <c r="H1201"/>
      <c r="I1201"/>
    </row>
    <row r="1202" spans="1:9" ht="15" x14ac:dyDescent="0.25">
      <c r="A1202" s="1">
        <v>1201</v>
      </c>
      <c r="B1202" s="1">
        <v>24</v>
      </c>
      <c r="C1202" s="1">
        <v>5</v>
      </c>
      <c r="D1202" s="1" t="s">
        <v>130</v>
      </c>
      <c r="E1202" s="1" t="s">
        <v>17</v>
      </c>
      <c r="H1202"/>
      <c r="I1202"/>
    </row>
    <row r="1203" spans="1:9" ht="15" x14ac:dyDescent="0.25">
      <c r="A1203" s="1">
        <v>1202</v>
      </c>
      <c r="B1203" s="1">
        <v>24</v>
      </c>
      <c r="C1203" s="1">
        <v>5</v>
      </c>
      <c r="D1203" s="1" t="s">
        <v>130</v>
      </c>
      <c r="E1203" s="1" t="s">
        <v>17</v>
      </c>
      <c r="H1203"/>
      <c r="I1203"/>
    </row>
    <row r="1204" spans="1:9" ht="15" x14ac:dyDescent="0.25">
      <c r="A1204" s="1">
        <v>1203</v>
      </c>
      <c r="B1204" s="1">
        <v>24</v>
      </c>
      <c r="C1204" s="1">
        <v>5</v>
      </c>
      <c r="D1204" s="1" t="s">
        <v>130</v>
      </c>
      <c r="E1204" s="1" t="s">
        <v>17</v>
      </c>
      <c r="H1204"/>
      <c r="I1204"/>
    </row>
    <row r="1205" spans="1:9" ht="15" x14ac:dyDescent="0.25">
      <c r="A1205" s="1">
        <v>1204</v>
      </c>
      <c r="B1205" s="1">
        <v>24</v>
      </c>
      <c r="C1205" s="1">
        <v>5</v>
      </c>
      <c r="D1205" s="1" t="s">
        <v>130</v>
      </c>
      <c r="E1205" s="1" t="s">
        <v>17</v>
      </c>
      <c r="H1205"/>
      <c r="I1205"/>
    </row>
    <row r="1206" spans="1:9" ht="15" x14ac:dyDescent="0.25">
      <c r="A1206" s="1">
        <v>1205</v>
      </c>
      <c r="B1206" s="1">
        <v>24</v>
      </c>
      <c r="C1206" s="1">
        <v>5</v>
      </c>
      <c r="D1206" s="1" t="s">
        <v>130</v>
      </c>
      <c r="E1206" s="1" t="s">
        <v>17</v>
      </c>
      <c r="H1206"/>
      <c r="I1206"/>
    </row>
    <row r="1207" spans="1:9" ht="15" x14ac:dyDescent="0.25">
      <c r="A1207" s="1">
        <v>1206</v>
      </c>
      <c r="B1207" s="1">
        <v>24</v>
      </c>
      <c r="C1207" s="1">
        <v>5</v>
      </c>
      <c r="D1207" s="1" t="s">
        <v>130</v>
      </c>
      <c r="E1207" s="1" t="s">
        <v>17</v>
      </c>
      <c r="H1207"/>
      <c r="I1207"/>
    </row>
    <row r="1208" spans="1:9" ht="15" x14ac:dyDescent="0.25">
      <c r="A1208" s="1">
        <v>1207</v>
      </c>
      <c r="B1208" s="1">
        <v>24</v>
      </c>
      <c r="C1208" s="1">
        <v>5</v>
      </c>
      <c r="D1208" s="1" t="s">
        <v>130</v>
      </c>
      <c r="E1208" s="1" t="s">
        <v>17</v>
      </c>
      <c r="H1208"/>
      <c r="I1208"/>
    </row>
    <row r="1209" spans="1:9" ht="15" x14ac:dyDescent="0.25">
      <c r="A1209" s="1">
        <v>1208</v>
      </c>
      <c r="B1209" s="1">
        <v>24</v>
      </c>
      <c r="C1209" s="1">
        <v>5</v>
      </c>
      <c r="D1209" s="1" t="s">
        <v>130</v>
      </c>
      <c r="E1209" s="1" t="s">
        <v>17</v>
      </c>
      <c r="H1209"/>
      <c r="I1209"/>
    </row>
    <row r="1210" spans="1:9" ht="15" x14ac:dyDescent="0.25">
      <c r="A1210" s="1">
        <v>1209</v>
      </c>
      <c r="B1210" s="1">
        <v>24</v>
      </c>
      <c r="C1210" s="1">
        <v>5</v>
      </c>
      <c r="D1210" s="1" t="s">
        <v>130</v>
      </c>
      <c r="E1210" s="1" t="s">
        <v>17</v>
      </c>
      <c r="H1210"/>
      <c r="I1210"/>
    </row>
    <row r="1211" spans="1:9" ht="15" x14ac:dyDescent="0.25">
      <c r="A1211" s="1">
        <v>1210</v>
      </c>
      <c r="B1211" s="1">
        <v>24</v>
      </c>
      <c r="C1211" s="1">
        <v>5</v>
      </c>
      <c r="D1211" s="1" t="s">
        <v>130</v>
      </c>
      <c r="E1211" s="1" t="s">
        <v>17</v>
      </c>
      <c r="H1211"/>
      <c r="I1211"/>
    </row>
    <row r="1212" spans="1:9" ht="15" x14ac:dyDescent="0.25">
      <c r="A1212" s="1">
        <v>1211</v>
      </c>
      <c r="B1212" s="1">
        <v>25</v>
      </c>
      <c r="C1212" s="1">
        <v>6</v>
      </c>
      <c r="D1212" s="1" t="s">
        <v>129</v>
      </c>
      <c r="E1212" s="1" t="s">
        <v>18</v>
      </c>
      <c r="H1212"/>
      <c r="I1212"/>
    </row>
    <row r="1213" spans="1:9" ht="15" x14ac:dyDescent="0.25">
      <c r="A1213" s="1">
        <v>1212</v>
      </c>
      <c r="B1213" s="1">
        <v>25</v>
      </c>
      <c r="C1213" s="1">
        <v>6</v>
      </c>
      <c r="D1213" s="1" t="s">
        <v>129</v>
      </c>
      <c r="E1213" s="1" t="s">
        <v>18</v>
      </c>
      <c r="H1213"/>
      <c r="I1213"/>
    </row>
    <row r="1214" spans="1:9" ht="15" x14ac:dyDescent="0.25">
      <c r="A1214" s="1">
        <v>1213</v>
      </c>
      <c r="B1214" s="1">
        <v>25</v>
      </c>
      <c r="C1214" s="1">
        <v>6</v>
      </c>
      <c r="D1214" s="1" t="s">
        <v>129</v>
      </c>
      <c r="E1214" s="1" t="s">
        <v>18</v>
      </c>
      <c r="H1214"/>
      <c r="I1214"/>
    </row>
    <row r="1215" spans="1:9" ht="15" x14ac:dyDescent="0.25">
      <c r="A1215" s="1">
        <v>1214</v>
      </c>
      <c r="B1215" s="1">
        <v>25</v>
      </c>
      <c r="C1215" s="1">
        <v>6</v>
      </c>
      <c r="D1215" s="1" t="s">
        <v>129</v>
      </c>
      <c r="E1215" s="1" t="s">
        <v>18</v>
      </c>
      <c r="H1215"/>
      <c r="I1215"/>
    </row>
    <row r="1216" spans="1:9" ht="15" x14ac:dyDescent="0.25">
      <c r="A1216" s="1">
        <v>1215</v>
      </c>
      <c r="B1216" s="1">
        <v>25</v>
      </c>
      <c r="C1216" s="1">
        <v>6</v>
      </c>
      <c r="D1216" s="1" t="s">
        <v>129</v>
      </c>
      <c r="E1216" s="1" t="s">
        <v>18</v>
      </c>
      <c r="H1216"/>
      <c r="I1216"/>
    </row>
    <row r="1217" spans="1:9" ht="15" x14ac:dyDescent="0.25">
      <c r="A1217" s="1">
        <v>1216</v>
      </c>
      <c r="B1217" s="1">
        <v>25</v>
      </c>
      <c r="C1217" s="1">
        <v>6</v>
      </c>
      <c r="D1217" s="1" t="s">
        <v>129</v>
      </c>
      <c r="E1217" s="1" t="s">
        <v>18</v>
      </c>
      <c r="H1217"/>
      <c r="I1217"/>
    </row>
    <row r="1218" spans="1:9" ht="15" x14ac:dyDescent="0.25">
      <c r="A1218" s="1">
        <v>1217</v>
      </c>
      <c r="B1218" s="1">
        <v>25</v>
      </c>
      <c r="C1218" s="1">
        <v>6</v>
      </c>
      <c r="D1218" s="1" t="s">
        <v>129</v>
      </c>
      <c r="E1218" s="1" t="s">
        <v>18</v>
      </c>
      <c r="H1218"/>
      <c r="I1218"/>
    </row>
    <row r="1219" spans="1:9" ht="15" x14ac:dyDescent="0.25">
      <c r="A1219" s="1">
        <v>1218</v>
      </c>
      <c r="B1219" s="1">
        <v>25</v>
      </c>
      <c r="C1219" s="1">
        <v>6</v>
      </c>
      <c r="D1219" s="1" t="s">
        <v>129</v>
      </c>
      <c r="E1219" s="1" t="s">
        <v>18</v>
      </c>
      <c r="H1219"/>
      <c r="I1219"/>
    </row>
    <row r="1220" spans="1:9" ht="15" x14ac:dyDescent="0.25">
      <c r="A1220" s="1">
        <v>1219</v>
      </c>
      <c r="B1220" s="1">
        <v>25</v>
      </c>
      <c r="C1220" s="1">
        <v>6</v>
      </c>
      <c r="D1220" s="1" t="s">
        <v>129</v>
      </c>
      <c r="E1220" s="1" t="s">
        <v>18</v>
      </c>
      <c r="H1220"/>
      <c r="I1220"/>
    </row>
    <row r="1221" spans="1:9" ht="15" x14ac:dyDescent="0.25">
      <c r="A1221" s="1">
        <v>1220</v>
      </c>
      <c r="B1221" s="1">
        <v>25</v>
      </c>
      <c r="C1221" s="1">
        <v>6</v>
      </c>
      <c r="D1221" s="1" t="s">
        <v>129</v>
      </c>
      <c r="E1221" s="1" t="s">
        <v>18</v>
      </c>
      <c r="H1221"/>
      <c r="I1221"/>
    </row>
    <row r="1222" spans="1:9" ht="15" x14ac:dyDescent="0.25">
      <c r="A1222" s="1">
        <v>1221</v>
      </c>
      <c r="B1222" s="1">
        <v>25</v>
      </c>
      <c r="C1222" s="1">
        <v>6</v>
      </c>
      <c r="D1222" s="1" t="s">
        <v>129</v>
      </c>
      <c r="E1222" s="1" t="s">
        <v>18</v>
      </c>
      <c r="H1222"/>
      <c r="I1222"/>
    </row>
    <row r="1223" spans="1:9" ht="15" x14ac:dyDescent="0.25">
      <c r="A1223" s="1">
        <v>1222</v>
      </c>
      <c r="B1223" s="1">
        <v>25</v>
      </c>
      <c r="C1223" s="1">
        <v>6</v>
      </c>
      <c r="D1223" s="1" t="s">
        <v>129</v>
      </c>
      <c r="E1223" s="1" t="s">
        <v>18</v>
      </c>
      <c r="H1223"/>
      <c r="I1223"/>
    </row>
    <row r="1224" spans="1:9" ht="15" x14ac:dyDescent="0.25">
      <c r="A1224" s="1">
        <v>1223</v>
      </c>
      <c r="B1224" s="1">
        <v>25</v>
      </c>
      <c r="C1224" s="1">
        <v>6</v>
      </c>
      <c r="D1224" s="1" t="s">
        <v>129</v>
      </c>
      <c r="E1224" s="1" t="s">
        <v>18</v>
      </c>
      <c r="H1224"/>
      <c r="I1224"/>
    </row>
    <row r="1225" spans="1:9" ht="15" x14ac:dyDescent="0.25">
      <c r="A1225" s="1">
        <v>1224</v>
      </c>
      <c r="B1225" s="1">
        <v>25</v>
      </c>
      <c r="C1225" s="1">
        <v>6</v>
      </c>
      <c r="D1225" s="1" t="s">
        <v>129</v>
      </c>
      <c r="E1225" s="1" t="s">
        <v>18</v>
      </c>
      <c r="H1225"/>
      <c r="I1225"/>
    </row>
    <row r="1226" spans="1:9" ht="15" x14ac:dyDescent="0.25">
      <c r="A1226" s="1">
        <v>1225</v>
      </c>
      <c r="B1226" s="1">
        <v>25</v>
      </c>
      <c r="C1226" s="1">
        <v>6</v>
      </c>
      <c r="D1226" s="1" t="s">
        <v>129</v>
      </c>
      <c r="E1226" s="1" t="s">
        <v>18</v>
      </c>
      <c r="H1226"/>
      <c r="I1226"/>
    </row>
    <row r="1227" spans="1:9" ht="15" x14ac:dyDescent="0.25">
      <c r="A1227" s="1">
        <v>1226</v>
      </c>
      <c r="B1227" s="1">
        <v>25</v>
      </c>
      <c r="C1227" s="1">
        <v>6</v>
      </c>
      <c r="D1227" s="1" t="s">
        <v>129</v>
      </c>
      <c r="E1227" s="1" t="s">
        <v>18</v>
      </c>
      <c r="H1227"/>
      <c r="I1227"/>
    </row>
    <row r="1228" spans="1:9" ht="15" x14ac:dyDescent="0.25">
      <c r="A1228" s="1">
        <v>1227</v>
      </c>
      <c r="B1228" s="1">
        <v>25</v>
      </c>
      <c r="C1228" s="1">
        <v>6</v>
      </c>
      <c r="D1228" s="1" t="s">
        <v>129</v>
      </c>
      <c r="E1228" s="1" t="s">
        <v>18</v>
      </c>
      <c r="H1228"/>
      <c r="I1228"/>
    </row>
    <row r="1229" spans="1:9" ht="15" x14ac:dyDescent="0.25">
      <c r="A1229" s="1">
        <v>1228</v>
      </c>
      <c r="B1229" s="1">
        <v>25</v>
      </c>
      <c r="C1229" s="1">
        <v>6</v>
      </c>
      <c r="D1229" s="1" t="s">
        <v>129</v>
      </c>
      <c r="E1229" s="1" t="s">
        <v>18</v>
      </c>
      <c r="H1229"/>
      <c r="I1229"/>
    </row>
    <row r="1230" spans="1:9" ht="15" x14ac:dyDescent="0.25">
      <c r="A1230" s="1">
        <v>1229</v>
      </c>
      <c r="B1230" s="1">
        <v>25</v>
      </c>
      <c r="C1230" s="1">
        <v>6</v>
      </c>
      <c r="D1230" s="1" t="s">
        <v>129</v>
      </c>
      <c r="E1230" s="1" t="s">
        <v>18</v>
      </c>
      <c r="H1230"/>
      <c r="I1230"/>
    </row>
    <row r="1231" spans="1:9" ht="15" x14ac:dyDescent="0.25">
      <c r="A1231" s="1">
        <v>1230</v>
      </c>
      <c r="B1231" s="1">
        <v>25</v>
      </c>
      <c r="C1231" s="1">
        <v>6</v>
      </c>
      <c r="D1231" s="1" t="s">
        <v>129</v>
      </c>
      <c r="E1231" s="1" t="s">
        <v>18</v>
      </c>
      <c r="H1231"/>
      <c r="I1231"/>
    </row>
    <row r="1232" spans="1:9" ht="15" x14ac:dyDescent="0.25">
      <c r="A1232" s="1">
        <v>1231</v>
      </c>
      <c r="B1232" s="1">
        <v>25</v>
      </c>
      <c r="C1232" s="1">
        <v>6</v>
      </c>
      <c r="D1232" s="1" t="s">
        <v>129</v>
      </c>
      <c r="E1232" s="1" t="s">
        <v>18</v>
      </c>
      <c r="H1232"/>
      <c r="I1232"/>
    </row>
    <row r="1233" spans="1:9" ht="15" x14ac:dyDescent="0.25">
      <c r="A1233" s="1">
        <v>1232</v>
      </c>
      <c r="B1233" s="1">
        <v>25</v>
      </c>
      <c r="C1233" s="1">
        <v>6</v>
      </c>
      <c r="D1233" s="1" t="s">
        <v>129</v>
      </c>
      <c r="E1233" s="1" t="s">
        <v>18</v>
      </c>
      <c r="H1233"/>
      <c r="I1233"/>
    </row>
    <row r="1234" spans="1:9" ht="15" x14ac:dyDescent="0.25">
      <c r="A1234" s="1">
        <v>1233</v>
      </c>
      <c r="B1234" s="1">
        <v>25</v>
      </c>
      <c r="C1234" s="1">
        <v>6</v>
      </c>
      <c r="D1234" s="1" t="s">
        <v>129</v>
      </c>
      <c r="E1234" s="1" t="s">
        <v>18</v>
      </c>
      <c r="H1234"/>
      <c r="I1234"/>
    </row>
    <row r="1235" spans="1:9" ht="15" x14ac:dyDescent="0.25">
      <c r="A1235" s="1">
        <v>1234</v>
      </c>
      <c r="B1235" s="1">
        <v>25</v>
      </c>
      <c r="C1235" s="1">
        <v>6</v>
      </c>
      <c r="D1235" s="1" t="s">
        <v>129</v>
      </c>
      <c r="E1235" s="1" t="s">
        <v>18</v>
      </c>
      <c r="H1235"/>
      <c r="I1235"/>
    </row>
    <row r="1236" spans="1:9" ht="15" x14ac:dyDescent="0.25">
      <c r="A1236" s="1">
        <v>1235</v>
      </c>
      <c r="B1236" s="1">
        <v>25</v>
      </c>
      <c r="C1236" s="1">
        <v>6</v>
      </c>
      <c r="D1236" s="1" t="s">
        <v>129</v>
      </c>
      <c r="E1236" s="1" t="s">
        <v>18</v>
      </c>
      <c r="H1236"/>
      <c r="I1236"/>
    </row>
    <row r="1237" spans="1:9" ht="15" x14ac:dyDescent="0.25">
      <c r="A1237" s="1">
        <v>1236</v>
      </c>
      <c r="B1237" s="1">
        <v>25</v>
      </c>
      <c r="C1237" s="1">
        <v>6</v>
      </c>
      <c r="D1237" s="1" t="s">
        <v>129</v>
      </c>
      <c r="E1237" s="1" t="s">
        <v>18</v>
      </c>
      <c r="H1237"/>
      <c r="I1237"/>
    </row>
    <row r="1238" spans="1:9" ht="15" x14ac:dyDescent="0.25">
      <c r="A1238" s="1">
        <v>1237</v>
      </c>
      <c r="B1238" s="1">
        <v>25</v>
      </c>
      <c r="C1238" s="1">
        <v>6</v>
      </c>
      <c r="D1238" s="1" t="s">
        <v>129</v>
      </c>
      <c r="E1238" s="1" t="s">
        <v>18</v>
      </c>
      <c r="H1238"/>
      <c r="I1238"/>
    </row>
    <row r="1239" spans="1:9" ht="15" x14ac:dyDescent="0.25">
      <c r="A1239" s="1">
        <v>1238</v>
      </c>
      <c r="B1239" s="1">
        <v>25</v>
      </c>
      <c r="C1239" s="1">
        <v>6</v>
      </c>
      <c r="D1239" s="1" t="s">
        <v>129</v>
      </c>
      <c r="E1239" s="1" t="s">
        <v>18</v>
      </c>
      <c r="H1239"/>
      <c r="I1239"/>
    </row>
    <row r="1240" spans="1:9" ht="15" x14ac:dyDescent="0.25">
      <c r="A1240" s="1">
        <v>1239</v>
      </c>
      <c r="B1240" s="1">
        <v>25</v>
      </c>
      <c r="C1240" s="1">
        <v>6</v>
      </c>
      <c r="D1240" s="1" t="s">
        <v>129</v>
      </c>
      <c r="E1240" s="1" t="s">
        <v>18</v>
      </c>
      <c r="H1240"/>
      <c r="I1240"/>
    </row>
    <row r="1241" spans="1:9" ht="15" x14ac:dyDescent="0.25">
      <c r="A1241" s="1">
        <v>1240</v>
      </c>
      <c r="B1241" s="1">
        <v>25</v>
      </c>
      <c r="C1241" s="1">
        <v>6</v>
      </c>
      <c r="D1241" s="1" t="s">
        <v>129</v>
      </c>
      <c r="E1241" s="1" t="s">
        <v>18</v>
      </c>
      <c r="H1241"/>
      <c r="I1241"/>
    </row>
    <row r="1242" spans="1:9" ht="15" x14ac:dyDescent="0.25">
      <c r="A1242" s="1">
        <v>1241</v>
      </c>
      <c r="B1242" s="1">
        <v>25</v>
      </c>
      <c r="C1242" s="1">
        <v>6</v>
      </c>
      <c r="D1242" s="1" t="s">
        <v>129</v>
      </c>
      <c r="E1242" s="1" t="s">
        <v>18</v>
      </c>
      <c r="H1242"/>
      <c r="I1242"/>
    </row>
    <row r="1243" spans="1:9" ht="15" x14ac:dyDescent="0.25">
      <c r="A1243" s="1">
        <v>1242</v>
      </c>
      <c r="B1243" s="1">
        <v>25</v>
      </c>
      <c r="C1243" s="1">
        <v>6</v>
      </c>
      <c r="D1243" s="1" t="s">
        <v>129</v>
      </c>
      <c r="E1243" s="1" t="s">
        <v>18</v>
      </c>
      <c r="H1243"/>
      <c r="I1243"/>
    </row>
    <row r="1244" spans="1:9" ht="15" x14ac:dyDescent="0.25">
      <c r="A1244" s="1">
        <v>1243</v>
      </c>
      <c r="B1244" s="1">
        <v>25</v>
      </c>
      <c r="C1244" s="1">
        <v>6</v>
      </c>
      <c r="D1244" s="1" t="s">
        <v>129</v>
      </c>
      <c r="E1244" s="1" t="s">
        <v>18</v>
      </c>
      <c r="H1244"/>
      <c r="I1244"/>
    </row>
    <row r="1245" spans="1:9" ht="15" x14ac:dyDescent="0.25">
      <c r="A1245" s="1">
        <v>1244</v>
      </c>
      <c r="B1245" s="1">
        <v>25</v>
      </c>
      <c r="C1245" s="1">
        <v>6</v>
      </c>
      <c r="D1245" s="1" t="s">
        <v>129</v>
      </c>
      <c r="E1245" s="1" t="s">
        <v>18</v>
      </c>
      <c r="H1245"/>
      <c r="I1245"/>
    </row>
    <row r="1246" spans="1:9" ht="15" x14ac:dyDescent="0.25">
      <c r="A1246" s="1">
        <v>1245</v>
      </c>
      <c r="B1246" s="1">
        <v>25</v>
      </c>
      <c r="C1246" s="1">
        <v>6</v>
      </c>
      <c r="D1246" s="1" t="s">
        <v>129</v>
      </c>
      <c r="E1246" s="1" t="s">
        <v>18</v>
      </c>
      <c r="H1246"/>
      <c r="I1246"/>
    </row>
    <row r="1247" spans="1:9" ht="15" x14ac:dyDescent="0.25">
      <c r="A1247" s="1">
        <v>1246</v>
      </c>
      <c r="B1247" s="1">
        <v>25</v>
      </c>
      <c r="C1247" s="1">
        <v>6</v>
      </c>
      <c r="D1247" s="1" t="s">
        <v>129</v>
      </c>
      <c r="E1247" s="1" t="s">
        <v>18</v>
      </c>
      <c r="H1247"/>
      <c r="I1247"/>
    </row>
    <row r="1248" spans="1:9" ht="15" x14ac:dyDescent="0.25">
      <c r="A1248" s="1">
        <v>1247</v>
      </c>
      <c r="B1248" s="1">
        <v>26</v>
      </c>
      <c r="C1248" s="1">
        <v>6</v>
      </c>
      <c r="D1248" s="1" t="s">
        <v>128</v>
      </c>
      <c r="E1248" s="1" t="s">
        <v>18</v>
      </c>
      <c r="H1248"/>
      <c r="I1248"/>
    </row>
    <row r="1249" spans="1:9" ht="15" x14ac:dyDescent="0.25">
      <c r="A1249" s="1">
        <v>1248</v>
      </c>
      <c r="B1249" s="1">
        <v>26</v>
      </c>
      <c r="C1249" s="1">
        <v>6</v>
      </c>
      <c r="D1249" s="1" t="s">
        <v>128</v>
      </c>
      <c r="E1249" s="1" t="s">
        <v>18</v>
      </c>
      <c r="H1249"/>
      <c r="I1249"/>
    </row>
    <row r="1250" spans="1:9" ht="15" x14ac:dyDescent="0.25">
      <c r="A1250" s="1">
        <v>1249</v>
      </c>
      <c r="B1250" s="1">
        <v>26</v>
      </c>
      <c r="C1250" s="1">
        <v>6</v>
      </c>
      <c r="D1250" s="1" t="s">
        <v>128</v>
      </c>
      <c r="E1250" s="1" t="s">
        <v>18</v>
      </c>
      <c r="H1250"/>
      <c r="I1250"/>
    </row>
    <row r="1251" spans="1:9" ht="15" x14ac:dyDescent="0.25">
      <c r="A1251" s="1">
        <v>1250</v>
      </c>
      <c r="B1251" s="1">
        <v>26</v>
      </c>
      <c r="C1251" s="1">
        <v>6</v>
      </c>
      <c r="D1251" s="1" t="s">
        <v>128</v>
      </c>
      <c r="E1251" s="1" t="s">
        <v>18</v>
      </c>
      <c r="H1251"/>
      <c r="I1251"/>
    </row>
    <row r="1252" spans="1:9" ht="15" x14ac:dyDescent="0.25">
      <c r="A1252" s="1">
        <v>1251</v>
      </c>
      <c r="B1252" s="1">
        <v>26</v>
      </c>
      <c r="C1252" s="1">
        <v>6</v>
      </c>
      <c r="D1252" s="1" t="s">
        <v>128</v>
      </c>
      <c r="E1252" s="1" t="s">
        <v>18</v>
      </c>
      <c r="H1252"/>
      <c r="I1252"/>
    </row>
    <row r="1253" spans="1:9" ht="15" x14ac:dyDescent="0.25">
      <c r="A1253" s="1">
        <v>1252</v>
      </c>
      <c r="B1253" s="1">
        <v>26</v>
      </c>
      <c r="C1253" s="1">
        <v>6</v>
      </c>
      <c r="D1253" s="1" t="s">
        <v>128</v>
      </c>
      <c r="E1253" s="1" t="s">
        <v>18</v>
      </c>
      <c r="H1253"/>
      <c r="I1253"/>
    </row>
    <row r="1254" spans="1:9" ht="15" x14ac:dyDescent="0.25">
      <c r="A1254" s="1">
        <v>1253</v>
      </c>
      <c r="B1254" s="1">
        <v>26</v>
      </c>
      <c r="C1254" s="1">
        <v>6</v>
      </c>
      <c r="D1254" s="1" t="s">
        <v>128</v>
      </c>
      <c r="E1254" s="1" t="s">
        <v>18</v>
      </c>
      <c r="H1254"/>
      <c r="I1254"/>
    </row>
    <row r="1255" spans="1:9" ht="15" x14ac:dyDescent="0.25">
      <c r="A1255" s="1">
        <v>1254</v>
      </c>
      <c r="B1255" s="1">
        <v>26</v>
      </c>
      <c r="C1255" s="1">
        <v>6</v>
      </c>
      <c r="D1255" s="1" t="s">
        <v>128</v>
      </c>
      <c r="E1255" s="1" t="s">
        <v>18</v>
      </c>
      <c r="H1255"/>
      <c r="I1255"/>
    </row>
    <row r="1256" spans="1:9" ht="15" x14ac:dyDescent="0.25">
      <c r="A1256" s="1">
        <v>1255</v>
      </c>
      <c r="B1256" s="1">
        <v>26</v>
      </c>
      <c r="C1256" s="1">
        <v>6</v>
      </c>
      <c r="D1256" s="1" t="s">
        <v>128</v>
      </c>
      <c r="E1256" s="1" t="s">
        <v>18</v>
      </c>
      <c r="H1256"/>
      <c r="I1256"/>
    </row>
    <row r="1257" spans="1:9" ht="15" x14ac:dyDescent="0.25">
      <c r="A1257" s="1">
        <v>1256</v>
      </c>
      <c r="B1257" s="1">
        <v>26</v>
      </c>
      <c r="C1257" s="1">
        <v>6</v>
      </c>
      <c r="D1257" s="1" t="s">
        <v>128</v>
      </c>
      <c r="E1257" s="1" t="s">
        <v>18</v>
      </c>
      <c r="H1257"/>
      <c r="I1257"/>
    </row>
    <row r="1258" spans="1:9" ht="15" x14ac:dyDescent="0.25">
      <c r="A1258" s="1">
        <v>1257</v>
      </c>
      <c r="B1258" s="1">
        <v>26</v>
      </c>
      <c r="C1258" s="1">
        <v>6</v>
      </c>
      <c r="D1258" s="1" t="s">
        <v>128</v>
      </c>
      <c r="E1258" s="1" t="s">
        <v>18</v>
      </c>
      <c r="H1258"/>
      <c r="I1258"/>
    </row>
    <row r="1259" spans="1:9" ht="15" x14ac:dyDescent="0.25">
      <c r="A1259" s="1">
        <v>1258</v>
      </c>
      <c r="B1259" s="1">
        <v>26</v>
      </c>
      <c r="C1259" s="1">
        <v>6</v>
      </c>
      <c r="D1259" s="1" t="s">
        <v>128</v>
      </c>
      <c r="E1259" s="1" t="s">
        <v>18</v>
      </c>
      <c r="H1259"/>
      <c r="I1259"/>
    </row>
    <row r="1260" spans="1:9" ht="15" x14ac:dyDescent="0.25">
      <c r="A1260" s="1">
        <v>1259</v>
      </c>
      <c r="B1260" s="1">
        <v>26</v>
      </c>
      <c r="C1260" s="1">
        <v>6</v>
      </c>
      <c r="D1260" s="1" t="s">
        <v>128</v>
      </c>
      <c r="E1260" s="1" t="s">
        <v>18</v>
      </c>
      <c r="H1260"/>
      <c r="I1260"/>
    </row>
    <row r="1261" spans="1:9" ht="15" x14ac:dyDescent="0.25">
      <c r="A1261" s="1">
        <v>1260</v>
      </c>
      <c r="B1261" s="1">
        <v>26</v>
      </c>
      <c r="C1261" s="1">
        <v>6</v>
      </c>
      <c r="D1261" s="1" t="s">
        <v>128</v>
      </c>
      <c r="E1261" s="1" t="s">
        <v>18</v>
      </c>
      <c r="H1261"/>
      <c r="I1261"/>
    </row>
    <row r="1262" spans="1:9" ht="15" x14ac:dyDescent="0.25">
      <c r="A1262" s="1">
        <v>1261</v>
      </c>
      <c r="B1262" s="1">
        <v>26</v>
      </c>
      <c r="C1262" s="1">
        <v>6</v>
      </c>
      <c r="D1262" s="1" t="s">
        <v>128</v>
      </c>
      <c r="E1262" s="1" t="s">
        <v>18</v>
      </c>
      <c r="H1262"/>
      <c r="I1262"/>
    </row>
    <row r="1263" spans="1:9" ht="15" x14ac:dyDescent="0.25">
      <c r="A1263" s="1">
        <v>1262</v>
      </c>
      <c r="B1263" s="1">
        <v>26</v>
      </c>
      <c r="C1263" s="1">
        <v>6</v>
      </c>
      <c r="D1263" s="1" t="s">
        <v>128</v>
      </c>
      <c r="E1263" s="1" t="s">
        <v>18</v>
      </c>
      <c r="H1263"/>
      <c r="I1263"/>
    </row>
    <row r="1264" spans="1:9" ht="15" x14ac:dyDescent="0.25">
      <c r="A1264" s="1">
        <v>1263</v>
      </c>
      <c r="B1264" s="1">
        <v>26</v>
      </c>
      <c r="C1264" s="1">
        <v>6</v>
      </c>
      <c r="D1264" s="1" t="s">
        <v>128</v>
      </c>
      <c r="E1264" s="1" t="s">
        <v>18</v>
      </c>
      <c r="H1264"/>
      <c r="I1264"/>
    </row>
    <row r="1265" spans="1:9" ht="15" x14ac:dyDescent="0.25">
      <c r="A1265" s="1">
        <v>1264</v>
      </c>
      <c r="B1265" s="1">
        <v>26</v>
      </c>
      <c r="C1265" s="1">
        <v>6</v>
      </c>
      <c r="D1265" s="1" t="s">
        <v>128</v>
      </c>
      <c r="E1265" s="1" t="s">
        <v>18</v>
      </c>
      <c r="H1265"/>
      <c r="I1265"/>
    </row>
    <row r="1266" spans="1:9" ht="15" x14ac:dyDescent="0.25">
      <c r="A1266" s="1">
        <v>1265</v>
      </c>
      <c r="B1266" s="1">
        <v>26</v>
      </c>
      <c r="C1266" s="1">
        <v>6</v>
      </c>
      <c r="D1266" s="1" t="s">
        <v>128</v>
      </c>
      <c r="E1266" s="1" t="s">
        <v>18</v>
      </c>
      <c r="H1266"/>
      <c r="I1266"/>
    </row>
    <row r="1267" spans="1:9" ht="15" x14ac:dyDescent="0.25">
      <c r="A1267" s="1">
        <v>1266</v>
      </c>
      <c r="B1267" s="1">
        <v>26</v>
      </c>
      <c r="C1267" s="1">
        <v>6</v>
      </c>
      <c r="D1267" s="1" t="s">
        <v>128</v>
      </c>
      <c r="E1267" s="1" t="s">
        <v>18</v>
      </c>
      <c r="H1267"/>
      <c r="I1267"/>
    </row>
    <row r="1268" spans="1:9" ht="15" x14ac:dyDescent="0.25">
      <c r="A1268" s="1">
        <v>1267</v>
      </c>
      <c r="B1268" s="1">
        <v>26</v>
      </c>
      <c r="C1268" s="1">
        <v>6</v>
      </c>
      <c r="D1268" s="1" t="s">
        <v>128</v>
      </c>
      <c r="E1268" s="1" t="s">
        <v>18</v>
      </c>
      <c r="H1268"/>
      <c r="I1268"/>
    </row>
    <row r="1269" spans="1:9" ht="15" x14ac:dyDescent="0.25">
      <c r="A1269" s="1">
        <v>1268</v>
      </c>
      <c r="B1269" s="1">
        <v>26</v>
      </c>
      <c r="C1269" s="1">
        <v>6</v>
      </c>
      <c r="D1269" s="1" t="s">
        <v>128</v>
      </c>
      <c r="E1269" s="1" t="s">
        <v>18</v>
      </c>
      <c r="H1269"/>
      <c r="I1269"/>
    </row>
    <row r="1270" spans="1:9" ht="15" x14ac:dyDescent="0.25">
      <c r="A1270" s="1">
        <v>1269</v>
      </c>
      <c r="B1270" s="1">
        <v>26</v>
      </c>
      <c r="C1270" s="1">
        <v>6</v>
      </c>
      <c r="D1270" s="1" t="s">
        <v>128</v>
      </c>
      <c r="E1270" s="1" t="s">
        <v>18</v>
      </c>
      <c r="H1270"/>
      <c r="I1270"/>
    </row>
    <row r="1271" spans="1:9" ht="15" x14ac:dyDescent="0.25">
      <c r="A1271" s="1">
        <v>1270</v>
      </c>
      <c r="B1271" s="1">
        <v>26</v>
      </c>
      <c r="C1271" s="1">
        <v>6</v>
      </c>
      <c r="D1271" s="1" t="s">
        <v>128</v>
      </c>
      <c r="E1271" s="1" t="s">
        <v>18</v>
      </c>
      <c r="H1271"/>
      <c r="I1271"/>
    </row>
    <row r="1272" spans="1:9" ht="15" x14ac:dyDescent="0.25">
      <c r="A1272" s="1">
        <v>1271</v>
      </c>
      <c r="B1272" s="1">
        <v>26</v>
      </c>
      <c r="C1272" s="1">
        <v>6</v>
      </c>
      <c r="D1272" s="1" t="s">
        <v>128</v>
      </c>
      <c r="E1272" s="1" t="s">
        <v>18</v>
      </c>
      <c r="H1272"/>
      <c r="I1272"/>
    </row>
    <row r="1273" spans="1:9" ht="15" x14ac:dyDescent="0.25">
      <c r="A1273" s="1">
        <v>1272</v>
      </c>
      <c r="B1273" s="1">
        <v>26</v>
      </c>
      <c r="C1273" s="1">
        <v>6</v>
      </c>
      <c r="D1273" s="1" t="s">
        <v>128</v>
      </c>
      <c r="E1273" s="1" t="s">
        <v>18</v>
      </c>
      <c r="H1273"/>
      <c r="I1273"/>
    </row>
    <row r="1274" spans="1:9" ht="15" x14ac:dyDescent="0.25">
      <c r="A1274" s="1">
        <v>1273</v>
      </c>
      <c r="B1274" s="1">
        <v>26</v>
      </c>
      <c r="C1274" s="1">
        <v>6</v>
      </c>
      <c r="D1274" s="1" t="s">
        <v>128</v>
      </c>
      <c r="E1274" s="1" t="s">
        <v>18</v>
      </c>
      <c r="H1274"/>
      <c r="I1274"/>
    </row>
    <row r="1275" spans="1:9" ht="15" x14ac:dyDescent="0.25">
      <c r="A1275" s="1">
        <v>1274</v>
      </c>
      <c r="B1275" s="1">
        <v>26</v>
      </c>
      <c r="C1275" s="1">
        <v>6</v>
      </c>
      <c r="D1275" s="1" t="s">
        <v>128</v>
      </c>
      <c r="E1275" s="1" t="s">
        <v>18</v>
      </c>
      <c r="H1275"/>
      <c r="I1275"/>
    </row>
    <row r="1276" spans="1:9" ht="15" x14ac:dyDescent="0.25">
      <c r="A1276" s="1">
        <v>1275</v>
      </c>
      <c r="B1276" s="1">
        <v>26</v>
      </c>
      <c r="C1276" s="1">
        <v>6</v>
      </c>
      <c r="D1276" s="1" t="s">
        <v>128</v>
      </c>
      <c r="E1276" s="1" t="s">
        <v>18</v>
      </c>
      <c r="H1276"/>
      <c r="I1276"/>
    </row>
    <row r="1277" spans="1:9" ht="15" x14ac:dyDescent="0.25">
      <c r="A1277" s="1">
        <v>1276</v>
      </c>
      <c r="B1277" s="1">
        <v>26</v>
      </c>
      <c r="C1277" s="1">
        <v>6</v>
      </c>
      <c r="D1277" s="1" t="s">
        <v>128</v>
      </c>
      <c r="E1277" s="1" t="s">
        <v>18</v>
      </c>
      <c r="H1277"/>
      <c r="I1277"/>
    </row>
    <row r="1278" spans="1:9" ht="15" x14ac:dyDescent="0.25">
      <c r="A1278" s="1">
        <v>1277</v>
      </c>
      <c r="B1278" s="1">
        <v>26</v>
      </c>
      <c r="C1278" s="1">
        <v>6</v>
      </c>
      <c r="D1278" s="1" t="s">
        <v>128</v>
      </c>
      <c r="E1278" s="1" t="s">
        <v>18</v>
      </c>
      <c r="H1278"/>
      <c r="I1278"/>
    </row>
    <row r="1279" spans="1:9" ht="15" x14ac:dyDescent="0.25">
      <c r="A1279" s="1">
        <v>1278</v>
      </c>
      <c r="B1279" s="1">
        <v>26</v>
      </c>
      <c r="C1279" s="1">
        <v>6</v>
      </c>
      <c r="D1279" s="1" t="s">
        <v>128</v>
      </c>
      <c r="E1279" s="1" t="s">
        <v>18</v>
      </c>
      <c r="H1279"/>
      <c r="I1279"/>
    </row>
    <row r="1280" spans="1:9" ht="15" x14ac:dyDescent="0.25">
      <c r="A1280" s="1">
        <v>1279</v>
      </c>
      <c r="B1280" s="1">
        <v>26</v>
      </c>
      <c r="C1280" s="1">
        <v>6</v>
      </c>
      <c r="D1280" s="1" t="s">
        <v>128</v>
      </c>
      <c r="E1280" s="1" t="s">
        <v>18</v>
      </c>
      <c r="H1280"/>
      <c r="I1280"/>
    </row>
    <row r="1281" spans="1:9" ht="15" x14ac:dyDescent="0.25">
      <c r="A1281" s="1">
        <v>1280</v>
      </c>
      <c r="B1281" s="1">
        <v>26</v>
      </c>
      <c r="C1281" s="1">
        <v>6</v>
      </c>
      <c r="D1281" s="1" t="s">
        <v>128</v>
      </c>
      <c r="E1281" s="1" t="s">
        <v>18</v>
      </c>
      <c r="H1281"/>
      <c r="I1281"/>
    </row>
    <row r="1282" spans="1:9" ht="15" x14ac:dyDescent="0.25">
      <c r="A1282" s="1">
        <v>1281</v>
      </c>
      <c r="B1282" s="1">
        <v>26</v>
      </c>
      <c r="C1282" s="1">
        <v>6</v>
      </c>
      <c r="D1282" s="1" t="s">
        <v>128</v>
      </c>
      <c r="E1282" s="1" t="s">
        <v>18</v>
      </c>
      <c r="H1282"/>
      <c r="I1282"/>
    </row>
    <row r="1283" spans="1:9" ht="15" x14ac:dyDescent="0.25">
      <c r="A1283" s="1">
        <v>1282</v>
      </c>
      <c r="B1283" s="1">
        <v>26</v>
      </c>
      <c r="C1283" s="1">
        <v>6</v>
      </c>
      <c r="D1283" s="1" t="s">
        <v>128</v>
      </c>
      <c r="E1283" s="1" t="s">
        <v>18</v>
      </c>
      <c r="H1283"/>
      <c r="I1283"/>
    </row>
    <row r="1284" spans="1:9" ht="15" x14ac:dyDescent="0.25">
      <c r="A1284" s="1">
        <v>1283</v>
      </c>
      <c r="B1284" s="1">
        <v>26</v>
      </c>
      <c r="C1284" s="1">
        <v>6</v>
      </c>
      <c r="D1284" s="1" t="s">
        <v>128</v>
      </c>
      <c r="E1284" s="1" t="s">
        <v>18</v>
      </c>
      <c r="H1284"/>
      <c r="I1284"/>
    </row>
    <row r="1285" spans="1:9" ht="15" x14ac:dyDescent="0.25">
      <c r="A1285" s="1">
        <v>1284</v>
      </c>
      <c r="B1285" s="1">
        <v>26</v>
      </c>
      <c r="C1285" s="1">
        <v>6</v>
      </c>
      <c r="D1285" s="1" t="s">
        <v>128</v>
      </c>
      <c r="E1285" s="1" t="s">
        <v>18</v>
      </c>
      <c r="H1285"/>
      <c r="I1285"/>
    </row>
    <row r="1286" spans="1:9" ht="15" x14ac:dyDescent="0.25">
      <c r="A1286" s="1">
        <v>1285</v>
      </c>
      <c r="B1286" s="1">
        <v>26</v>
      </c>
      <c r="C1286" s="1">
        <v>6</v>
      </c>
      <c r="D1286" s="1" t="s">
        <v>128</v>
      </c>
      <c r="E1286" s="1" t="s">
        <v>18</v>
      </c>
      <c r="H1286"/>
      <c r="I1286"/>
    </row>
    <row r="1287" spans="1:9" ht="15" x14ac:dyDescent="0.25">
      <c r="A1287" s="1">
        <v>1286</v>
      </c>
      <c r="B1287" s="1">
        <v>26</v>
      </c>
      <c r="C1287" s="1">
        <v>6</v>
      </c>
      <c r="D1287" s="1" t="s">
        <v>128</v>
      </c>
      <c r="E1287" s="1" t="s">
        <v>18</v>
      </c>
      <c r="H1287"/>
      <c r="I1287"/>
    </row>
    <row r="1288" spans="1:9" ht="15" x14ac:dyDescent="0.25">
      <c r="A1288" s="1">
        <v>1287</v>
      </c>
      <c r="B1288" s="1">
        <v>26</v>
      </c>
      <c r="C1288" s="1">
        <v>6</v>
      </c>
      <c r="D1288" s="1" t="s">
        <v>128</v>
      </c>
      <c r="E1288" s="1" t="s">
        <v>18</v>
      </c>
      <c r="H1288"/>
      <c r="I1288"/>
    </row>
    <row r="1289" spans="1:9" ht="15" x14ac:dyDescent="0.25">
      <c r="A1289" s="1">
        <v>1288</v>
      </c>
      <c r="B1289" s="1">
        <v>26</v>
      </c>
      <c r="C1289" s="1">
        <v>6</v>
      </c>
      <c r="D1289" s="1" t="s">
        <v>128</v>
      </c>
      <c r="E1289" s="1" t="s">
        <v>18</v>
      </c>
      <c r="H1289"/>
      <c r="I1289"/>
    </row>
    <row r="1290" spans="1:9" ht="15" x14ac:dyDescent="0.25">
      <c r="A1290" s="1">
        <v>1289</v>
      </c>
      <c r="B1290" s="1">
        <v>26</v>
      </c>
      <c r="C1290" s="1">
        <v>6</v>
      </c>
      <c r="D1290" s="1" t="s">
        <v>128</v>
      </c>
      <c r="E1290" s="1" t="s">
        <v>18</v>
      </c>
      <c r="H1290"/>
      <c r="I1290"/>
    </row>
    <row r="1291" spans="1:9" ht="15" x14ac:dyDescent="0.25">
      <c r="A1291" s="1">
        <v>1290</v>
      </c>
      <c r="B1291" s="1">
        <v>26</v>
      </c>
      <c r="C1291" s="1">
        <v>6</v>
      </c>
      <c r="D1291" s="1" t="s">
        <v>128</v>
      </c>
      <c r="E1291" s="1" t="s">
        <v>18</v>
      </c>
      <c r="H1291"/>
      <c r="I1291"/>
    </row>
    <row r="1292" spans="1:9" ht="15" x14ac:dyDescent="0.25">
      <c r="A1292" s="1">
        <v>1291</v>
      </c>
      <c r="B1292" s="1">
        <v>27</v>
      </c>
      <c r="C1292" s="1">
        <v>7</v>
      </c>
      <c r="D1292" s="1" t="s">
        <v>19</v>
      </c>
      <c r="E1292" s="1" t="s">
        <v>19</v>
      </c>
      <c r="H1292"/>
      <c r="I1292"/>
    </row>
    <row r="1293" spans="1:9" ht="15" x14ac:dyDescent="0.25">
      <c r="A1293" s="1">
        <v>1292</v>
      </c>
      <c r="B1293" s="1">
        <v>27</v>
      </c>
      <c r="C1293" s="1">
        <v>7</v>
      </c>
      <c r="D1293" s="1" t="s">
        <v>19</v>
      </c>
      <c r="E1293" s="1" t="s">
        <v>19</v>
      </c>
      <c r="H1293"/>
      <c r="I1293"/>
    </row>
    <row r="1294" spans="1:9" ht="15" x14ac:dyDescent="0.25">
      <c r="A1294" s="1">
        <v>1293</v>
      </c>
      <c r="B1294" s="1">
        <v>27</v>
      </c>
      <c r="C1294" s="1">
        <v>7</v>
      </c>
      <c r="D1294" s="1" t="s">
        <v>19</v>
      </c>
      <c r="E1294" s="1" t="s">
        <v>19</v>
      </c>
      <c r="H1294"/>
      <c r="I1294"/>
    </row>
    <row r="1295" spans="1:9" ht="15" x14ac:dyDescent="0.25">
      <c r="A1295" s="1">
        <v>1294</v>
      </c>
      <c r="B1295" s="1">
        <v>27</v>
      </c>
      <c r="C1295" s="1">
        <v>7</v>
      </c>
      <c r="D1295" s="1" t="s">
        <v>19</v>
      </c>
      <c r="E1295" s="1" t="s">
        <v>19</v>
      </c>
      <c r="H1295"/>
      <c r="I1295"/>
    </row>
    <row r="1296" spans="1:9" ht="15" x14ac:dyDescent="0.25">
      <c r="A1296" s="1">
        <v>1295</v>
      </c>
      <c r="B1296" s="1">
        <v>27</v>
      </c>
      <c r="C1296" s="1">
        <v>7</v>
      </c>
      <c r="D1296" s="1" t="s">
        <v>19</v>
      </c>
      <c r="E1296" s="1" t="s">
        <v>19</v>
      </c>
      <c r="H1296"/>
      <c r="I1296"/>
    </row>
    <row r="1297" spans="1:9" ht="15" x14ac:dyDescent="0.25">
      <c r="A1297" s="1">
        <v>1296</v>
      </c>
      <c r="B1297" s="1">
        <v>27</v>
      </c>
      <c r="C1297" s="1">
        <v>7</v>
      </c>
      <c r="D1297" s="1" t="s">
        <v>19</v>
      </c>
      <c r="E1297" s="1" t="s">
        <v>19</v>
      </c>
      <c r="H1297"/>
      <c r="I1297"/>
    </row>
    <row r="1298" spans="1:9" ht="15" x14ac:dyDescent="0.25">
      <c r="A1298" s="1">
        <v>1297</v>
      </c>
      <c r="B1298" s="1">
        <v>27</v>
      </c>
      <c r="C1298" s="1">
        <v>7</v>
      </c>
      <c r="D1298" s="1" t="s">
        <v>19</v>
      </c>
      <c r="E1298" s="1" t="s">
        <v>19</v>
      </c>
      <c r="H1298"/>
      <c r="I1298"/>
    </row>
    <row r="1299" spans="1:9" ht="15" x14ac:dyDescent="0.25">
      <c r="A1299" s="1">
        <v>1298</v>
      </c>
      <c r="B1299" s="1">
        <v>27</v>
      </c>
      <c r="C1299" s="1">
        <v>7</v>
      </c>
      <c r="D1299" s="1" t="s">
        <v>19</v>
      </c>
      <c r="E1299" s="1" t="s">
        <v>19</v>
      </c>
      <c r="H1299"/>
      <c r="I1299"/>
    </row>
    <row r="1300" spans="1:9" ht="15" x14ac:dyDescent="0.25">
      <c r="A1300" s="1">
        <v>1299</v>
      </c>
      <c r="B1300" s="1">
        <v>27</v>
      </c>
      <c r="C1300" s="1">
        <v>7</v>
      </c>
      <c r="D1300" s="1" t="s">
        <v>19</v>
      </c>
      <c r="E1300" s="1" t="s">
        <v>19</v>
      </c>
      <c r="H1300"/>
      <c r="I1300"/>
    </row>
    <row r="1301" spans="1:9" ht="15" x14ac:dyDescent="0.25">
      <c r="A1301" s="1">
        <v>1300</v>
      </c>
      <c r="B1301" s="1">
        <v>27</v>
      </c>
      <c r="C1301" s="1">
        <v>7</v>
      </c>
      <c r="D1301" s="1" t="s">
        <v>19</v>
      </c>
      <c r="E1301" s="1" t="s">
        <v>19</v>
      </c>
      <c r="H1301"/>
      <c r="I1301"/>
    </row>
    <row r="1302" spans="1:9" ht="15" x14ac:dyDescent="0.25">
      <c r="A1302" s="1">
        <v>1301</v>
      </c>
      <c r="B1302" s="1">
        <v>27</v>
      </c>
      <c r="C1302" s="1">
        <v>7</v>
      </c>
      <c r="D1302" s="1" t="s">
        <v>19</v>
      </c>
      <c r="E1302" s="1" t="s">
        <v>19</v>
      </c>
      <c r="H1302"/>
      <c r="I1302"/>
    </row>
    <row r="1303" spans="1:9" ht="15" x14ac:dyDescent="0.25">
      <c r="A1303" s="1">
        <v>1302</v>
      </c>
      <c r="B1303" s="1">
        <v>27</v>
      </c>
      <c r="C1303" s="1">
        <v>7</v>
      </c>
      <c r="D1303" s="1" t="s">
        <v>19</v>
      </c>
      <c r="E1303" s="1" t="s">
        <v>19</v>
      </c>
      <c r="H1303"/>
      <c r="I1303"/>
    </row>
    <row r="1304" spans="1:9" ht="15" x14ac:dyDescent="0.25">
      <c r="A1304" s="1">
        <v>1303</v>
      </c>
      <c r="B1304" s="1">
        <v>27</v>
      </c>
      <c r="C1304" s="1">
        <v>7</v>
      </c>
      <c r="D1304" s="1" t="s">
        <v>19</v>
      </c>
      <c r="E1304" s="1" t="s">
        <v>19</v>
      </c>
      <c r="H1304"/>
      <c r="I1304"/>
    </row>
    <row r="1305" spans="1:9" ht="15" x14ac:dyDescent="0.25">
      <c r="A1305" s="1">
        <v>1304</v>
      </c>
      <c r="B1305" s="1">
        <v>27</v>
      </c>
      <c r="C1305" s="1">
        <v>7</v>
      </c>
      <c r="D1305" s="1" t="s">
        <v>19</v>
      </c>
      <c r="E1305" s="1" t="s">
        <v>19</v>
      </c>
      <c r="H1305"/>
      <c r="I1305"/>
    </row>
    <row r="1306" spans="1:9" ht="15" x14ac:dyDescent="0.25">
      <c r="A1306" s="1">
        <v>1305</v>
      </c>
      <c r="B1306" s="1">
        <v>27</v>
      </c>
      <c r="C1306" s="1">
        <v>7</v>
      </c>
      <c r="D1306" s="1" t="s">
        <v>19</v>
      </c>
      <c r="E1306" s="1" t="s">
        <v>19</v>
      </c>
      <c r="H1306"/>
      <c r="I1306"/>
    </row>
    <row r="1307" spans="1:9" ht="15" x14ac:dyDescent="0.25">
      <c r="A1307" s="1">
        <v>1306</v>
      </c>
      <c r="B1307" s="1">
        <v>27</v>
      </c>
      <c r="C1307" s="1">
        <v>7</v>
      </c>
      <c r="D1307" s="1" t="s">
        <v>19</v>
      </c>
      <c r="E1307" s="1" t="s">
        <v>19</v>
      </c>
      <c r="H1307"/>
      <c r="I1307"/>
    </row>
    <row r="1308" spans="1:9" ht="15" x14ac:dyDescent="0.25">
      <c r="A1308" s="1">
        <v>1307</v>
      </c>
      <c r="B1308" s="1">
        <v>27</v>
      </c>
      <c r="C1308" s="1">
        <v>7</v>
      </c>
      <c r="D1308" s="1" t="s">
        <v>19</v>
      </c>
      <c r="E1308" s="1" t="s">
        <v>19</v>
      </c>
      <c r="H1308"/>
      <c r="I1308"/>
    </row>
    <row r="1309" spans="1:9" ht="15" x14ac:dyDescent="0.25">
      <c r="A1309" s="1">
        <v>1308</v>
      </c>
      <c r="B1309" s="1">
        <v>27</v>
      </c>
      <c r="C1309" s="1">
        <v>7</v>
      </c>
      <c r="D1309" s="1" t="s">
        <v>19</v>
      </c>
      <c r="E1309" s="1" t="s">
        <v>19</v>
      </c>
      <c r="H1309"/>
      <c r="I1309"/>
    </row>
    <row r="1310" spans="1:9" ht="15" x14ac:dyDescent="0.25">
      <c r="A1310" s="1">
        <v>1309</v>
      </c>
      <c r="B1310" s="1">
        <v>28</v>
      </c>
      <c r="C1310" s="1">
        <v>7</v>
      </c>
      <c r="D1310" s="1" t="s">
        <v>127</v>
      </c>
      <c r="E1310" s="1" t="s">
        <v>19</v>
      </c>
      <c r="H1310"/>
      <c r="I1310"/>
    </row>
    <row r="1311" spans="1:9" ht="15" x14ac:dyDescent="0.25">
      <c r="A1311" s="1">
        <v>1310</v>
      </c>
      <c r="B1311" s="1">
        <v>28</v>
      </c>
      <c r="C1311" s="1">
        <v>7</v>
      </c>
      <c r="D1311" s="1" t="s">
        <v>127</v>
      </c>
      <c r="E1311" s="1" t="s">
        <v>19</v>
      </c>
      <c r="H1311"/>
      <c r="I1311"/>
    </row>
    <row r="1312" spans="1:9" ht="15" x14ac:dyDescent="0.25">
      <c r="A1312" s="1">
        <v>1311</v>
      </c>
      <c r="B1312" s="1">
        <v>28</v>
      </c>
      <c r="C1312" s="1">
        <v>7</v>
      </c>
      <c r="D1312" s="1" t="s">
        <v>127</v>
      </c>
      <c r="E1312" s="1" t="s">
        <v>19</v>
      </c>
      <c r="H1312"/>
      <c r="I1312"/>
    </row>
    <row r="1313" spans="1:9" ht="15" x14ac:dyDescent="0.25">
      <c r="A1313" s="1">
        <v>1312</v>
      </c>
      <c r="B1313" s="1">
        <v>28</v>
      </c>
      <c r="C1313" s="1">
        <v>7</v>
      </c>
      <c r="D1313" s="1" t="s">
        <v>127</v>
      </c>
      <c r="E1313" s="1" t="s">
        <v>19</v>
      </c>
      <c r="H1313"/>
      <c r="I1313"/>
    </row>
    <row r="1314" spans="1:9" ht="15" x14ac:dyDescent="0.25">
      <c r="A1314" s="1">
        <v>1313</v>
      </c>
      <c r="B1314" s="1">
        <v>28</v>
      </c>
      <c r="C1314" s="1">
        <v>7</v>
      </c>
      <c r="D1314" s="1" t="s">
        <v>127</v>
      </c>
      <c r="E1314" s="1" t="s">
        <v>19</v>
      </c>
      <c r="H1314"/>
      <c r="I1314"/>
    </row>
    <row r="1315" spans="1:9" ht="15" x14ac:dyDescent="0.25">
      <c r="A1315" s="1">
        <v>1314</v>
      </c>
      <c r="B1315" s="1">
        <v>28</v>
      </c>
      <c r="C1315" s="1">
        <v>7</v>
      </c>
      <c r="D1315" s="1" t="s">
        <v>127</v>
      </c>
      <c r="E1315" s="1" t="s">
        <v>19</v>
      </c>
      <c r="H1315"/>
      <c r="I1315"/>
    </row>
    <row r="1316" spans="1:9" ht="15" x14ac:dyDescent="0.25">
      <c r="A1316" s="1">
        <v>1315</v>
      </c>
      <c r="B1316" s="1">
        <v>28</v>
      </c>
      <c r="C1316" s="1">
        <v>7</v>
      </c>
      <c r="D1316" s="1" t="s">
        <v>127</v>
      </c>
      <c r="E1316" s="1" t="s">
        <v>19</v>
      </c>
      <c r="H1316"/>
      <c r="I1316"/>
    </row>
    <row r="1317" spans="1:9" ht="15" x14ac:dyDescent="0.25">
      <c r="A1317" s="1">
        <v>1316</v>
      </c>
      <c r="B1317" s="1">
        <v>28</v>
      </c>
      <c r="C1317" s="1">
        <v>7</v>
      </c>
      <c r="D1317" s="1" t="s">
        <v>127</v>
      </c>
      <c r="E1317" s="1" t="s">
        <v>19</v>
      </c>
      <c r="H1317"/>
      <c r="I1317"/>
    </row>
    <row r="1318" spans="1:9" ht="15" x14ac:dyDescent="0.25">
      <c r="A1318" s="1">
        <v>1317</v>
      </c>
      <c r="B1318" s="1">
        <v>28</v>
      </c>
      <c r="C1318" s="1">
        <v>7</v>
      </c>
      <c r="D1318" s="1" t="s">
        <v>127</v>
      </c>
      <c r="E1318" s="1" t="s">
        <v>19</v>
      </c>
      <c r="H1318"/>
      <c r="I1318"/>
    </row>
    <row r="1319" spans="1:9" ht="15" x14ac:dyDescent="0.25">
      <c r="A1319" s="1">
        <v>1318</v>
      </c>
      <c r="B1319" s="1">
        <v>29</v>
      </c>
      <c r="C1319" s="1">
        <v>8</v>
      </c>
      <c r="D1319" s="1" t="s">
        <v>126</v>
      </c>
      <c r="E1319" s="1" t="s">
        <v>20</v>
      </c>
      <c r="H1319"/>
      <c r="I1319"/>
    </row>
    <row r="1320" spans="1:9" ht="15" x14ac:dyDescent="0.25">
      <c r="A1320" s="1">
        <v>1319</v>
      </c>
      <c r="B1320" s="1">
        <v>29</v>
      </c>
      <c r="C1320" s="1">
        <v>8</v>
      </c>
      <c r="D1320" s="1" t="s">
        <v>126</v>
      </c>
      <c r="E1320" s="1" t="s">
        <v>20</v>
      </c>
      <c r="H1320"/>
      <c r="I1320"/>
    </row>
    <row r="1321" spans="1:9" ht="15" x14ac:dyDescent="0.25">
      <c r="A1321" s="1">
        <v>1320</v>
      </c>
      <c r="B1321" s="1">
        <v>29</v>
      </c>
      <c r="C1321" s="1">
        <v>8</v>
      </c>
      <c r="D1321" s="1" t="s">
        <v>126</v>
      </c>
      <c r="E1321" s="1" t="s">
        <v>20</v>
      </c>
      <c r="H1321"/>
      <c r="I1321"/>
    </row>
    <row r="1322" spans="1:9" ht="15" x14ac:dyDescent="0.25">
      <c r="A1322" s="1">
        <v>1321</v>
      </c>
      <c r="B1322" s="1">
        <v>29</v>
      </c>
      <c r="C1322" s="1">
        <v>8</v>
      </c>
      <c r="D1322" s="1" t="s">
        <v>126</v>
      </c>
      <c r="E1322" s="1" t="s">
        <v>20</v>
      </c>
      <c r="H1322"/>
      <c r="I1322"/>
    </row>
    <row r="1323" spans="1:9" ht="15" x14ac:dyDescent="0.25">
      <c r="A1323" s="1">
        <v>1322</v>
      </c>
      <c r="B1323" s="1">
        <v>29</v>
      </c>
      <c r="C1323" s="1">
        <v>8</v>
      </c>
      <c r="D1323" s="1" t="s">
        <v>126</v>
      </c>
      <c r="E1323" s="1" t="s">
        <v>20</v>
      </c>
      <c r="H1323"/>
      <c r="I1323"/>
    </row>
    <row r="1324" spans="1:9" ht="15" x14ac:dyDescent="0.25">
      <c r="A1324" s="1">
        <v>1323</v>
      </c>
      <c r="B1324" s="1">
        <v>29</v>
      </c>
      <c r="C1324" s="1">
        <v>8</v>
      </c>
      <c r="D1324" s="1" t="s">
        <v>126</v>
      </c>
      <c r="E1324" s="1" t="s">
        <v>20</v>
      </c>
      <c r="H1324"/>
      <c r="I1324"/>
    </row>
    <row r="1325" spans="1:9" ht="15" x14ac:dyDescent="0.25">
      <c r="A1325" s="1">
        <v>1324</v>
      </c>
      <c r="B1325" s="1">
        <v>29</v>
      </c>
      <c r="C1325" s="1">
        <v>8</v>
      </c>
      <c r="D1325" s="1" t="s">
        <v>126</v>
      </c>
      <c r="E1325" s="1" t="s">
        <v>20</v>
      </c>
      <c r="H1325"/>
      <c r="I1325"/>
    </row>
    <row r="1326" spans="1:9" ht="15" x14ac:dyDescent="0.25">
      <c r="A1326" s="1">
        <v>1325</v>
      </c>
      <c r="B1326" s="1">
        <v>29</v>
      </c>
      <c r="C1326" s="1">
        <v>8</v>
      </c>
      <c r="D1326" s="1" t="s">
        <v>126</v>
      </c>
      <c r="E1326" s="1" t="s">
        <v>20</v>
      </c>
      <c r="H1326"/>
      <c r="I1326"/>
    </row>
    <row r="1327" spans="1:9" ht="15" x14ac:dyDescent="0.25">
      <c r="A1327" s="1">
        <v>1326</v>
      </c>
      <c r="B1327" s="1">
        <v>29</v>
      </c>
      <c r="C1327" s="1">
        <v>8</v>
      </c>
      <c r="D1327" s="1" t="s">
        <v>126</v>
      </c>
      <c r="E1327" s="1" t="s">
        <v>20</v>
      </c>
      <c r="H1327"/>
      <c r="I1327"/>
    </row>
    <row r="1328" spans="1:9" ht="15" x14ac:dyDescent="0.25">
      <c r="A1328" s="1">
        <v>1327</v>
      </c>
      <c r="B1328" s="1">
        <v>29</v>
      </c>
      <c r="C1328" s="1">
        <v>8</v>
      </c>
      <c r="D1328" s="1" t="s">
        <v>126</v>
      </c>
      <c r="E1328" s="1" t="s">
        <v>20</v>
      </c>
      <c r="H1328"/>
      <c r="I1328"/>
    </row>
    <row r="1329" spans="1:9" ht="15" x14ac:dyDescent="0.25">
      <c r="A1329" s="1">
        <v>1328</v>
      </c>
      <c r="B1329" s="1">
        <v>29</v>
      </c>
      <c r="C1329" s="1">
        <v>8</v>
      </c>
      <c r="D1329" s="1" t="s">
        <v>126</v>
      </c>
      <c r="E1329" s="1" t="s">
        <v>20</v>
      </c>
      <c r="H1329"/>
      <c r="I1329"/>
    </row>
    <row r="1330" spans="1:9" ht="15" x14ac:dyDescent="0.25">
      <c r="A1330" s="1">
        <v>1329</v>
      </c>
      <c r="B1330" s="1">
        <v>29</v>
      </c>
      <c r="C1330" s="1">
        <v>8</v>
      </c>
      <c r="D1330" s="1" t="s">
        <v>126</v>
      </c>
      <c r="E1330" s="1" t="s">
        <v>20</v>
      </c>
      <c r="H1330"/>
      <c r="I1330"/>
    </row>
    <row r="1331" spans="1:9" ht="15" x14ac:dyDescent="0.25">
      <c r="A1331" s="1">
        <v>1330</v>
      </c>
      <c r="B1331" s="1">
        <v>29</v>
      </c>
      <c r="C1331" s="1">
        <v>8</v>
      </c>
      <c r="D1331" s="1" t="s">
        <v>126</v>
      </c>
      <c r="E1331" s="1" t="s">
        <v>20</v>
      </c>
      <c r="H1331"/>
      <c r="I1331"/>
    </row>
    <row r="1332" spans="1:9" ht="15" x14ac:dyDescent="0.25">
      <c r="A1332" s="1">
        <v>1331</v>
      </c>
      <c r="B1332" s="1">
        <v>29</v>
      </c>
      <c r="C1332" s="1">
        <v>8</v>
      </c>
      <c r="D1332" s="1" t="s">
        <v>126</v>
      </c>
      <c r="E1332" s="1" t="s">
        <v>20</v>
      </c>
      <c r="H1332"/>
      <c r="I1332"/>
    </row>
    <row r="1333" spans="1:9" ht="15" x14ac:dyDescent="0.25">
      <c r="A1333" s="1">
        <v>1332</v>
      </c>
      <c r="B1333" s="1">
        <v>29</v>
      </c>
      <c r="C1333" s="1">
        <v>8</v>
      </c>
      <c r="D1333" s="1" t="s">
        <v>126</v>
      </c>
      <c r="E1333" s="1" t="s">
        <v>20</v>
      </c>
      <c r="H1333"/>
      <c r="I1333"/>
    </row>
    <row r="1334" spans="1:9" ht="15" x14ac:dyDescent="0.25">
      <c r="A1334" s="1">
        <v>1333</v>
      </c>
      <c r="B1334" s="1">
        <v>29</v>
      </c>
      <c r="C1334" s="1">
        <v>8</v>
      </c>
      <c r="D1334" s="1" t="s">
        <v>126</v>
      </c>
      <c r="E1334" s="1" t="s">
        <v>20</v>
      </c>
      <c r="H1334"/>
      <c r="I1334"/>
    </row>
    <row r="1335" spans="1:9" ht="15" x14ac:dyDescent="0.25">
      <c r="A1335" s="1">
        <v>1334</v>
      </c>
      <c r="B1335" s="1">
        <v>29</v>
      </c>
      <c r="C1335" s="1">
        <v>8</v>
      </c>
      <c r="D1335" s="1" t="s">
        <v>126</v>
      </c>
      <c r="E1335" s="1" t="s">
        <v>20</v>
      </c>
      <c r="H1335"/>
      <c r="I1335"/>
    </row>
    <row r="1336" spans="1:9" ht="15" x14ac:dyDescent="0.25">
      <c r="A1336" s="1">
        <v>1335</v>
      </c>
      <c r="B1336" s="1">
        <v>29</v>
      </c>
      <c r="C1336" s="1">
        <v>8</v>
      </c>
      <c r="D1336" s="1" t="s">
        <v>126</v>
      </c>
      <c r="E1336" s="1" t="s">
        <v>20</v>
      </c>
      <c r="H1336"/>
      <c r="I1336"/>
    </row>
    <row r="1337" spans="1:9" ht="15" x14ac:dyDescent="0.25">
      <c r="A1337" s="1">
        <v>1336</v>
      </c>
      <c r="B1337" s="1">
        <v>29</v>
      </c>
      <c r="C1337" s="1">
        <v>8</v>
      </c>
      <c r="D1337" s="1" t="s">
        <v>126</v>
      </c>
      <c r="E1337" s="1" t="s">
        <v>20</v>
      </c>
      <c r="H1337"/>
      <c r="I1337"/>
    </row>
    <row r="1338" spans="1:9" ht="15" x14ac:dyDescent="0.25">
      <c r="A1338" s="1">
        <v>1337</v>
      </c>
      <c r="B1338" s="1">
        <v>29</v>
      </c>
      <c r="C1338" s="1">
        <v>8</v>
      </c>
      <c r="D1338" s="1" t="s">
        <v>126</v>
      </c>
      <c r="E1338" s="1" t="s">
        <v>20</v>
      </c>
      <c r="H1338"/>
      <c r="I1338"/>
    </row>
    <row r="1339" spans="1:9" ht="15" x14ac:dyDescent="0.25">
      <c r="A1339" s="1">
        <v>1338</v>
      </c>
      <c r="B1339" s="1">
        <v>29</v>
      </c>
      <c r="C1339" s="1">
        <v>8</v>
      </c>
      <c r="D1339" s="1" t="s">
        <v>126</v>
      </c>
      <c r="E1339" s="1" t="s">
        <v>20</v>
      </c>
      <c r="H1339"/>
      <c r="I1339"/>
    </row>
    <row r="1340" spans="1:9" ht="15" x14ac:dyDescent="0.25">
      <c r="A1340" s="1">
        <v>1339</v>
      </c>
      <c r="B1340" s="1">
        <v>29</v>
      </c>
      <c r="C1340" s="1">
        <v>8</v>
      </c>
      <c r="D1340" s="1" t="s">
        <v>126</v>
      </c>
      <c r="E1340" s="1" t="s">
        <v>20</v>
      </c>
      <c r="H1340"/>
      <c r="I1340"/>
    </row>
    <row r="1341" spans="1:9" ht="15" x14ac:dyDescent="0.25">
      <c r="A1341" s="1">
        <v>1340</v>
      </c>
      <c r="B1341" s="1">
        <v>29</v>
      </c>
      <c r="C1341" s="1">
        <v>8</v>
      </c>
      <c r="D1341" s="1" t="s">
        <v>126</v>
      </c>
      <c r="E1341" s="1" t="s">
        <v>20</v>
      </c>
      <c r="H1341"/>
      <c r="I1341"/>
    </row>
    <row r="1342" spans="1:9" ht="15" x14ac:dyDescent="0.25">
      <c r="A1342" s="1">
        <v>1341</v>
      </c>
      <c r="B1342" s="1">
        <v>29</v>
      </c>
      <c r="C1342" s="1">
        <v>8</v>
      </c>
      <c r="D1342" s="1" t="s">
        <v>126</v>
      </c>
      <c r="E1342" s="1" t="s">
        <v>20</v>
      </c>
      <c r="H1342"/>
      <c r="I1342"/>
    </row>
    <row r="1343" spans="1:9" ht="15" x14ac:dyDescent="0.25">
      <c r="A1343" s="1">
        <v>1342</v>
      </c>
      <c r="B1343" s="1">
        <v>29</v>
      </c>
      <c r="C1343" s="1">
        <v>8</v>
      </c>
      <c r="D1343" s="1" t="s">
        <v>126</v>
      </c>
      <c r="E1343" s="1" t="s">
        <v>20</v>
      </c>
      <c r="H1343"/>
      <c r="I1343"/>
    </row>
    <row r="1344" spans="1:9" ht="15" x14ac:dyDescent="0.25">
      <c r="A1344" s="1">
        <v>1343</v>
      </c>
      <c r="B1344" s="1">
        <v>29</v>
      </c>
      <c r="C1344" s="1">
        <v>8</v>
      </c>
      <c r="D1344" s="1" t="s">
        <v>126</v>
      </c>
      <c r="E1344" s="1" t="s">
        <v>20</v>
      </c>
      <c r="H1344"/>
      <c r="I1344"/>
    </row>
    <row r="1345" spans="1:9" ht="15" x14ac:dyDescent="0.25">
      <c r="A1345" s="1">
        <v>1344</v>
      </c>
      <c r="B1345" s="1">
        <v>29</v>
      </c>
      <c r="C1345" s="1">
        <v>8</v>
      </c>
      <c r="D1345" s="1" t="s">
        <v>126</v>
      </c>
      <c r="E1345" s="1" t="s">
        <v>20</v>
      </c>
      <c r="H1345"/>
      <c r="I1345"/>
    </row>
    <row r="1346" spans="1:9" ht="15" x14ac:dyDescent="0.25">
      <c r="A1346" s="1">
        <v>1345</v>
      </c>
      <c r="B1346" s="1">
        <v>29</v>
      </c>
      <c r="C1346" s="1">
        <v>8</v>
      </c>
      <c r="D1346" s="1" t="s">
        <v>126</v>
      </c>
      <c r="E1346" s="1" t="s">
        <v>20</v>
      </c>
      <c r="H1346"/>
      <c r="I1346"/>
    </row>
    <row r="1347" spans="1:9" ht="15" x14ac:dyDescent="0.25">
      <c r="A1347" s="1">
        <v>1346</v>
      </c>
      <c r="B1347" s="1">
        <v>29</v>
      </c>
      <c r="C1347" s="1">
        <v>8</v>
      </c>
      <c r="D1347" s="1" t="s">
        <v>126</v>
      </c>
      <c r="E1347" s="1" t="s">
        <v>20</v>
      </c>
      <c r="H1347"/>
      <c r="I1347"/>
    </row>
    <row r="1348" spans="1:9" ht="15" x14ac:dyDescent="0.25">
      <c r="A1348" s="1">
        <v>1347</v>
      </c>
      <c r="B1348" s="1">
        <v>29</v>
      </c>
      <c r="C1348" s="1">
        <v>8</v>
      </c>
      <c r="D1348" s="1" t="s">
        <v>126</v>
      </c>
      <c r="E1348" s="1" t="s">
        <v>20</v>
      </c>
      <c r="H1348"/>
      <c r="I1348"/>
    </row>
    <row r="1349" spans="1:9" ht="15" x14ac:dyDescent="0.25">
      <c r="A1349" s="1">
        <v>1348</v>
      </c>
      <c r="B1349" s="1">
        <v>30</v>
      </c>
      <c r="C1349" s="1">
        <v>8</v>
      </c>
      <c r="D1349" s="1" t="s">
        <v>125</v>
      </c>
      <c r="E1349" s="1" t="s">
        <v>20</v>
      </c>
      <c r="H1349"/>
      <c r="I1349"/>
    </row>
    <row r="1350" spans="1:9" ht="15" x14ac:dyDescent="0.25">
      <c r="A1350" s="1">
        <v>1349</v>
      </c>
      <c r="B1350" s="1">
        <v>30</v>
      </c>
      <c r="C1350" s="1">
        <v>8</v>
      </c>
      <c r="D1350" s="1" t="s">
        <v>125</v>
      </c>
      <c r="E1350" s="1" t="s">
        <v>20</v>
      </c>
      <c r="H1350"/>
      <c r="I1350"/>
    </row>
    <row r="1351" spans="1:9" ht="15" x14ac:dyDescent="0.25">
      <c r="A1351" s="1">
        <v>1350</v>
      </c>
      <c r="B1351" s="1">
        <v>30</v>
      </c>
      <c r="C1351" s="1">
        <v>8</v>
      </c>
      <c r="D1351" s="1" t="s">
        <v>125</v>
      </c>
      <c r="E1351" s="1" t="s">
        <v>20</v>
      </c>
      <c r="H1351"/>
      <c r="I1351"/>
    </row>
    <row r="1352" spans="1:9" ht="15" x14ac:dyDescent="0.25">
      <c r="A1352" s="1">
        <v>1351</v>
      </c>
      <c r="B1352" s="1">
        <v>30</v>
      </c>
      <c r="C1352" s="1">
        <v>8</v>
      </c>
      <c r="D1352" s="1" t="s">
        <v>125</v>
      </c>
      <c r="E1352" s="1" t="s">
        <v>20</v>
      </c>
      <c r="H1352"/>
      <c r="I1352"/>
    </row>
    <row r="1353" spans="1:9" ht="15" x14ac:dyDescent="0.25">
      <c r="A1353" s="1">
        <v>1352</v>
      </c>
      <c r="B1353" s="1">
        <v>30</v>
      </c>
      <c r="C1353" s="1">
        <v>8</v>
      </c>
      <c r="D1353" s="1" t="s">
        <v>125</v>
      </c>
      <c r="E1353" s="1" t="s">
        <v>20</v>
      </c>
      <c r="H1353"/>
      <c r="I1353"/>
    </row>
    <row r="1354" spans="1:9" ht="15" x14ac:dyDescent="0.25">
      <c r="A1354" s="1">
        <v>1353</v>
      </c>
      <c r="B1354" s="1">
        <v>30</v>
      </c>
      <c r="C1354" s="1">
        <v>8</v>
      </c>
      <c r="D1354" s="1" t="s">
        <v>125</v>
      </c>
      <c r="E1354" s="1" t="s">
        <v>20</v>
      </c>
      <c r="H1354"/>
      <c r="I1354"/>
    </row>
    <row r="1355" spans="1:9" ht="15" x14ac:dyDescent="0.25">
      <c r="A1355" s="1">
        <v>1354</v>
      </c>
      <c r="B1355" s="1">
        <v>30</v>
      </c>
      <c r="C1355" s="1">
        <v>8</v>
      </c>
      <c r="D1355" s="1" t="s">
        <v>125</v>
      </c>
      <c r="E1355" s="1" t="s">
        <v>20</v>
      </c>
      <c r="H1355"/>
      <c r="I1355"/>
    </row>
    <row r="1356" spans="1:9" ht="15" x14ac:dyDescent="0.25">
      <c r="A1356" s="1">
        <v>1355</v>
      </c>
      <c r="B1356" s="1">
        <v>30</v>
      </c>
      <c r="C1356" s="1">
        <v>8</v>
      </c>
      <c r="D1356" s="1" t="s">
        <v>125</v>
      </c>
      <c r="E1356" s="1" t="s">
        <v>20</v>
      </c>
      <c r="H1356"/>
      <c r="I1356"/>
    </row>
    <row r="1357" spans="1:9" ht="15" x14ac:dyDescent="0.25">
      <c r="A1357" s="1">
        <v>1356</v>
      </c>
      <c r="B1357" s="1">
        <v>30</v>
      </c>
      <c r="C1357" s="1">
        <v>8</v>
      </c>
      <c r="D1357" s="1" t="s">
        <v>125</v>
      </c>
      <c r="E1357" s="1" t="s">
        <v>20</v>
      </c>
      <c r="H1357"/>
      <c r="I1357"/>
    </row>
    <row r="1358" spans="1:9" ht="15" x14ac:dyDescent="0.25">
      <c r="A1358" s="1">
        <v>1357</v>
      </c>
      <c r="B1358" s="1">
        <v>30</v>
      </c>
      <c r="C1358" s="1">
        <v>8</v>
      </c>
      <c r="D1358" s="1" t="s">
        <v>125</v>
      </c>
      <c r="E1358" s="1" t="s">
        <v>20</v>
      </c>
      <c r="H1358"/>
      <c r="I1358"/>
    </row>
    <row r="1359" spans="1:9" ht="15" x14ac:dyDescent="0.25">
      <c r="A1359" s="1">
        <v>1358</v>
      </c>
      <c r="B1359" s="1">
        <v>30</v>
      </c>
      <c r="C1359" s="1">
        <v>8</v>
      </c>
      <c r="D1359" s="1" t="s">
        <v>125</v>
      </c>
      <c r="E1359" s="1" t="s">
        <v>20</v>
      </c>
      <c r="H1359"/>
      <c r="I1359"/>
    </row>
    <row r="1360" spans="1:9" ht="15" x14ac:dyDescent="0.25">
      <c r="A1360" s="1">
        <v>1359</v>
      </c>
      <c r="B1360" s="1">
        <v>30</v>
      </c>
      <c r="C1360" s="1">
        <v>8</v>
      </c>
      <c r="D1360" s="1" t="s">
        <v>125</v>
      </c>
      <c r="E1360" s="1" t="s">
        <v>20</v>
      </c>
      <c r="H1360"/>
      <c r="I1360"/>
    </row>
    <row r="1361" spans="1:9" ht="15" x14ac:dyDescent="0.25">
      <c r="A1361" s="1">
        <v>1360</v>
      </c>
      <c r="B1361" s="1">
        <v>30</v>
      </c>
      <c r="C1361" s="1">
        <v>8</v>
      </c>
      <c r="D1361" s="1" t="s">
        <v>125</v>
      </c>
      <c r="E1361" s="1" t="s">
        <v>20</v>
      </c>
      <c r="H1361"/>
      <c r="I1361"/>
    </row>
    <row r="1362" spans="1:9" ht="15" x14ac:dyDescent="0.25">
      <c r="A1362" s="1">
        <v>1361</v>
      </c>
      <c r="B1362" s="1">
        <v>30</v>
      </c>
      <c r="C1362" s="1">
        <v>8</v>
      </c>
      <c r="D1362" s="1" t="s">
        <v>125</v>
      </c>
      <c r="E1362" s="1" t="s">
        <v>20</v>
      </c>
      <c r="H1362"/>
      <c r="I1362"/>
    </row>
    <row r="1363" spans="1:9" ht="15" x14ac:dyDescent="0.25">
      <c r="A1363" s="1">
        <v>1362</v>
      </c>
      <c r="B1363" s="1">
        <v>30</v>
      </c>
      <c r="C1363" s="1">
        <v>8</v>
      </c>
      <c r="D1363" s="1" t="s">
        <v>125</v>
      </c>
      <c r="E1363" s="1" t="s">
        <v>20</v>
      </c>
      <c r="H1363"/>
      <c r="I1363"/>
    </row>
    <row r="1364" spans="1:9" ht="15" x14ac:dyDescent="0.25">
      <c r="A1364" s="1">
        <v>1363</v>
      </c>
      <c r="B1364" s="1">
        <v>30</v>
      </c>
      <c r="C1364" s="1">
        <v>8</v>
      </c>
      <c r="D1364" s="1" t="s">
        <v>125</v>
      </c>
      <c r="E1364" s="1" t="s">
        <v>20</v>
      </c>
      <c r="H1364"/>
      <c r="I1364"/>
    </row>
    <row r="1365" spans="1:9" ht="15" x14ac:dyDescent="0.25">
      <c r="A1365" s="1">
        <v>1364</v>
      </c>
      <c r="B1365" s="1">
        <v>30</v>
      </c>
      <c r="C1365" s="1">
        <v>8</v>
      </c>
      <c r="D1365" s="1" t="s">
        <v>125</v>
      </c>
      <c r="E1365" s="1" t="s">
        <v>20</v>
      </c>
      <c r="H1365"/>
      <c r="I1365"/>
    </row>
    <row r="1366" spans="1:9" ht="15" x14ac:dyDescent="0.25">
      <c r="A1366" s="1">
        <v>1365</v>
      </c>
      <c r="B1366" s="1">
        <v>30</v>
      </c>
      <c r="C1366" s="1">
        <v>8</v>
      </c>
      <c r="D1366" s="1" t="s">
        <v>125</v>
      </c>
      <c r="E1366" s="1" t="s">
        <v>20</v>
      </c>
      <c r="H1366"/>
      <c r="I1366"/>
    </row>
    <row r="1367" spans="1:9" ht="15" x14ac:dyDescent="0.25">
      <c r="A1367" s="1">
        <v>1366</v>
      </c>
      <c r="B1367" s="1">
        <v>30</v>
      </c>
      <c r="C1367" s="1">
        <v>8</v>
      </c>
      <c r="D1367" s="1" t="s">
        <v>125</v>
      </c>
      <c r="E1367" s="1" t="s">
        <v>20</v>
      </c>
      <c r="H1367"/>
      <c r="I1367"/>
    </row>
    <row r="1368" spans="1:9" ht="15" x14ac:dyDescent="0.25">
      <c r="A1368" s="1">
        <v>1367</v>
      </c>
      <c r="B1368" s="1">
        <v>30</v>
      </c>
      <c r="C1368" s="1">
        <v>8</v>
      </c>
      <c r="D1368" s="1" t="s">
        <v>125</v>
      </c>
      <c r="E1368" s="1" t="s">
        <v>20</v>
      </c>
      <c r="H1368"/>
      <c r="I1368"/>
    </row>
    <row r="1369" spans="1:9" ht="15" x14ac:dyDescent="0.25">
      <c r="A1369" s="1">
        <v>1368</v>
      </c>
      <c r="B1369" s="1">
        <v>30</v>
      </c>
      <c r="C1369" s="1">
        <v>8</v>
      </c>
      <c r="D1369" s="1" t="s">
        <v>125</v>
      </c>
      <c r="E1369" s="1" t="s">
        <v>20</v>
      </c>
      <c r="H1369"/>
      <c r="I1369"/>
    </row>
    <row r="1370" spans="1:9" ht="15" x14ac:dyDescent="0.25">
      <c r="A1370" s="1">
        <v>1369</v>
      </c>
      <c r="B1370" s="1">
        <v>30</v>
      </c>
      <c r="C1370" s="1">
        <v>8</v>
      </c>
      <c r="D1370" s="1" t="s">
        <v>125</v>
      </c>
      <c r="E1370" s="1" t="s">
        <v>20</v>
      </c>
      <c r="H1370"/>
      <c r="I1370"/>
    </row>
    <row r="1371" spans="1:9" ht="15" x14ac:dyDescent="0.25">
      <c r="A1371" s="1">
        <v>1370</v>
      </c>
      <c r="B1371" s="1">
        <v>30</v>
      </c>
      <c r="C1371" s="1">
        <v>8</v>
      </c>
      <c r="D1371" s="1" t="s">
        <v>125</v>
      </c>
      <c r="E1371" s="1" t="s">
        <v>20</v>
      </c>
      <c r="H1371"/>
      <c r="I1371"/>
    </row>
    <row r="1372" spans="1:9" ht="15" x14ac:dyDescent="0.25">
      <c r="A1372" s="1">
        <v>1371</v>
      </c>
      <c r="B1372" s="1">
        <v>30</v>
      </c>
      <c r="C1372" s="1">
        <v>8</v>
      </c>
      <c r="D1372" s="1" t="s">
        <v>125</v>
      </c>
      <c r="E1372" s="1" t="s">
        <v>20</v>
      </c>
      <c r="H1372"/>
      <c r="I1372"/>
    </row>
    <row r="1373" spans="1:9" ht="15" x14ac:dyDescent="0.25">
      <c r="A1373" s="1">
        <v>1372</v>
      </c>
      <c r="B1373" s="1">
        <v>30</v>
      </c>
      <c r="C1373" s="1">
        <v>8</v>
      </c>
      <c r="D1373" s="1" t="s">
        <v>125</v>
      </c>
      <c r="E1373" s="1" t="s">
        <v>20</v>
      </c>
      <c r="H1373"/>
      <c r="I1373"/>
    </row>
    <row r="1374" spans="1:9" ht="15" x14ac:dyDescent="0.25">
      <c r="A1374" s="1">
        <v>1373</v>
      </c>
      <c r="B1374" s="1">
        <v>30</v>
      </c>
      <c r="C1374" s="1">
        <v>8</v>
      </c>
      <c r="D1374" s="1" t="s">
        <v>125</v>
      </c>
      <c r="E1374" s="1" t="s">
        <v>20</v>
      </c>
      <c r="H1374"/>
      <c r="I1374"/>
    </row>
    <row r="1375" spans="1:9" ht="15" x14ac:dyDescent="0.25">
      <c r="A1375" s="1">
        <v>1374</v>
      </c>
      <c r="B1375" s="1">
        <v>30</v>
      </c>
      <c r="C1375" s="1">
        <v>8</v>
      </c>
      <c r="D1375" s="1" t="s">
        <v>125</v>
      </c>
      <c r="E1375" s="1" t="s">
        <v>20</v>
      </c>
      <c r="H1375"/>
      <c r="I1375"/>
    </row>
    <row r="1376" spans="1:9" ht="15" x14ac:dyDescent="0.25">
      <c r="A1376" s="1">
        <v>1375</v>
      </c>
      <c r="B1376" s="1">
        <v>30</v>
      </c>
      <c r="C1376" s="1">
        <v>8</v>
      </c>
      <c r="D1376" s="1" t="s">
        <v>125</v>
      </c>
      <c r="E1376" s="1" t="s">
        <v>20</v>
      </c>
      <c r="H1376"/>
      <c r="I1376"/>
    </row>
    <row r="1377" spans="1:9" ht="15" x14ac:dyDescent="0.25">
      <c r="A1377" s="1">
        <v>1376</v>
      </c>
      <c r="B1377" s="1">
        <v>30</v>
      </c>
      <c r="C1377" s="1">
        <v>8</v>
      </c>
      <c r="D1377" s="1" t="s">
        <v>125</v>
      </c>
      <c r="E1377" s="1" t="s">
        <v>20</v>
      </c>
      <c r="H1377"/>
      <c r="I1377"/>
    </row>
    <row r="1378" spans="1:9" ht="15" x14ac:dyDescent="0.25">
      <c r="A1378" s="1">
        <v>1377</v>
      </c>
      <c r="B1378" s="1">
        <v>30</v>
      </c>
      <c r="C1378" s="1">
        <v>8</v>
      </c>
      <c r="D1378" s="1" t="s">
        <v>125</v>
      </c>
      <c r="E1378" s="1" t="s">
        <v>20</v>
      </c>
      <c r="H1378"/>
      <c r="I1378"/>
    </row>
    <row r="1379" spans="1:9" ht="15" x14ac:dyDescent="0.25">
      <c r="A1379" s="1">
        <v>1378</v>
      </c>
      <c r="B1379" s="1">
        <v>30</v>
      </c>
      <c r="C1379" s="1">
        <v>8</v>
      </c>
      <c r="D1379" s="1" t="s">
        <v>125</v>
      </c>
      <c r="E1379" s="1" t="s">
        <v>20</v>
      </c>
      <c r="H1379"/>
      <c r="I1379"/>
    </row>
    <row r="1380" spans="1:9" ht="15" x14ac:dyDescent="0.25">
      <c r="A1380" s="1">
        <v>1379</v>
      </c>
      <c r="B1380" s="1">
        <v>30</v>
      </c>
      <c r="C1380" s="1">
        <v>8</v>
      </c>
      <c r="D1380" s="1" t="s">
        <v>125</v>
      </c>
      <c r="E1380" s="1" t="s">
        <v>20</v>
      </c>
      <c r="H1380"/>
      <c r="I1380"/>
    </row>
    <row r="1381" spans="1:9" ht="15" x14ac:dyDescent="0.25">
      <c r="A1381" s="1">
        <v>1380</v>
      </c>
      <c r="B1381" s="1">
        <v>30</v>
      </c>
      <c r="C1381" s="1">
        <v>8</v>
      </c>
      <c r="D1381" s="1" t="s">
        <v>125</v>
      </c>
      <c r="E1381" s="1" t="s">
        <v>20</v>
      </c>
      <c r="H1381"/>
      <c r="I1381"/>
    </row>
    <row r="1382" spans="1:9" ht="15" x14ac:dyDescent="0.25">
      <c r="A1382" s="1">
        <v>1381</v>
      </c>
      <c r="B1382" s="1">
        <v>30</v>
      </c>
      <c r="C1382" s="1">
        <v>8</v>
      </c>
      <c r="D1382" s="1" t="s">
        <v>125</v>
      </c>
      <c r="E1382" s="1" t="s">
        <v>20</v>
      </c>
      <c r="H1382"/>
      <c r="I1382"/>
    </row>
    <row r="1383" spans="1:9" ht="15" x14ac:dyDescent="0.25">
      <c r="A1383" s="1">
        <v>1382</v>
      </c>
      <c r="B1383" s="1">
        <v>30</v>
      </c>
      <c r="C1383" s="1">
        <v>8</v>
      </c>
      <c r="D1383" s="1" t="s">
        <v>125</v>
      </c>
      <c r="E1383" s="1" t="s">
        <v>20</v>
      </c>
      <c r="H1383"/>
      <c r="I1383"/>
    </row>
    <row r="1384" spans="1:9" ht="15" x14ac:dyDescent="0.25">
      <c r="A1384" s="1">
        <v>1383</v>
      </c>
      <c r="B1384" s="1">
        <v>30</v>
      </c>
      <c r="C1384" s="1">
        <v>8</v>
      </c>
      <c r="D1384" s="1" t="s">
        <v>125</v>
      </c>
      <c r="E1384" s="1" t="s">
        <v>20</v>
      </c>
      <c r="H1384"/>
      <c r="I1384"/>
    </row>
    <row r="1385" spans="1:9" ht="15" x14ac:dyDescent="0.25">
      <c r="A1385" s="1">
        <v>1384</v>
      </c>
      <c r="B1385" s="1">
        <v>30</v>
      </c>
      <c r="C1385" s="1">
        <v>8</v>
      </c>
      <c r="D1385" s="1" t="s">
        <v>125</v>
      </c>
      <c r="E1385" s="1" t="s">
        <v>20</v>
      </c>
      <c r="H1385"/>
      <c r="I1385"/>
    </row>
    <row r="1386" spans="1:9" ht="15" x14ac:dyDescent="0.25">
      <c r="A1386" s="1">
        <v>1385</v>
      </c>
      <c r="B1386" s="1">
        <v>30</v>
      </c>
      <c r="C1386" s="1">
        <v>8</v>
      </c>
      <c r="D1386" s="1" t="s">
        <v>125</v>
      </c>
      <c r="E1386" s="1" t="s">
        <v>20</v>
      </c>
      <c r="H1386"/>
      <c r="I1386"/>
    </row>
    <row r="1387" spans="1:9" ht="15" x14ac:dyDescent="0.25">
      <c r="A1387" s="1">
        <v>1386</v>
      </c>
      <c r="B1387" s="1">
        <v>30</v>
      </c>
      <c r="C1387" s="1">
        <v>8</v>
      </c>
      <c r="D1387" s="1" t="s">
        <v>125</v>
      </c>
      <c r="E1387" s="1" t="s">
        <v>20</v>
      </c>
      <c r="H1387"/>
      <c r="I1387"/>
    </row>
    <row r="1388" spans="1:9" ht="15" x14ac:dyDescent="0.25">
      <c r="A1388" s="1">
        <v>1387</v>
      </c>
      <c r="B1388" s="1">
        <v>30</v>
      </c>
      <c r="C1388" s="1">
        <v>8</v>
      </c>
      <c r="D1388" s="1" t="s">
        <v>125</v>
      </c>
      <c r="E1388" s="1" t="s">
        <v>20</v>
      </c>
      <c r="H1388"/>
      <c r="I1388"/>
    </row>
    <row r="1389" spans="1:9" ht="15" x14ac:dyDescent="0.25">
      <c r="A1389" s="1">
        <v>1388</v>
      </c>
      <c r="B1389" s="1">
        <v>30</v>
      </c>
      <c r="C1389" s="1">
        <v>8</v>
      </c>
      <c r="D1389" s="1" t="s">
        <v>125</v>
      </c>
      <c r="E1389" s="1" t="s">
        <v>20</v>
      </c>
      <c r="H1389"/>
      <c r="I1389"/>
    </row>
    <row r="1390" spans="1:9" ht="15" x14ac:dyDescent="0.25">
      <c r="A1390" s="1">
        <v>1389</v>
      </c>
      <c r="B1390" s="1">
        <v>31</v>
      </c>
      <c r="C1390" s="1">
        <v>8</v>
      </c>
      <c r="D1390" s="1" t="s">
        <v>124</v>
      </c>
      <c r="E1390" s="1" t="s">
        <v>20</v>
      </c>
      <c r="H1390"/>
      <c r="I1390"/>
    </row>
    <row r="1391" spans="1:9" ht="15" x14ac:dyDescent="0.25">
      <c r="A1391" s="1">
        <v>1390</v>
      </c>
      <c r="B1391" s="1">
        <v>31</v>
      </c>
      <c r="C1391" s="1">
        <v>8</v>
      </c>
      <c r="D1391" s="1" t="s">
        <v>124</v>
      </c>
      <c r="E1391" s="1" t="s">
        <v>20</v>
      </c>
      <c r="H1391"/>
      <c r="I1391"/>
    </row>
    <row r="1392" spans="1:9" ht="15" x14ac:dyDescent="0.25">
      <c r="A1392" s="1">
        <v>1391</v>
      </c>
      <c r="B1392" s="1">
        <v>31</v>
      </c>
      <c r="C1392" s="1">
        <v>8</v>
      </c>
      <c r="D1392" s="1" t="s">
        <v>124</v>
      </c>
      <c r="E1392" s="1" t="s">
        <v>20</v>
      </c>
      <c r="H1392"/>
      <c r="I1392"/>
    </row>
    <row r="1393" spans="1:9" ht="15" x14ac:dyDescent="0.25">
      <c r="A1393" s="1">
        <v>1392</v>
      </c>
      <c r="B1393" s="1">
        <v>31</v>
      </c>
      <c r="C1393" s="1">
        <v>8</v>
      </c>
      <c r="D1393" s="1" t="s">
        <v>124</v>
      </c>
      <c r="E1393" s="1" t="s">
        <v>20</v>
      </c>
      <c r="H1393"/>
      <c r="I1393"/>
    </row>
    <row r="1394" spans="1:9" ht="15" x14ac:dyDescent="0.25">
      <c r="A1394" s="1">
        <v>1393</v>
      </c>
      <c r="B1394" s="1">
        <v>31</v>
      </c>
      <c r="C1394" s="1">
        <v>8</v>
      </c>
      <c r="D1394" s="1" t="s">
        <v>124</v>
      </c>
      <c r="E1394" s="1" t="s">
        <v>20</v>
      </c>
      <c r="H1394"/>
      <c r="I1394"/>
    </row>
    <row r="1395" spans="1:9" ht="15" x14ac:dyDescent="0.25">
      <c r="A1395" s="1">
        <v>1394</v>
      </c>
      <c r="B1395" s="1">
        <v>31</v>
      </c>
      <c r="C1395" s="1">
        <v>8</v>
      </c>
      <c r="D1395" s="1" t="s">
        <v>124</v>
      </c>
      <c r="E1395" s="1" t="s">
        <v>20</v>
      </c>
      <c r="H1395"/>
      <c r="I1395"/>
    </row>
    <row r="1396" spans="1:9" ht="15" x14ac:dyDescent="0.25">
      <c r="A1396" s="1">
        <v>1395</v>
      </c>
      <c r="B1396" s="1">
        <v>31</v>
      </c>
      <c r="C1396" s="1">
        <v>8</v>
      </c>
      <c r="D1396" s="1" t="s">
        <v>124</v>
      </c>
      <c r="E1396" s="1" t="s">
        <v>20</v>
      </c>
      <c r="H1396"/>
      <c r="I1396"/>
    </row>
    <row r="1397" spans="1:9" ht="15" x14ac:dyDescent="0.25">
      <c r="A1397" s="1">
        <v>1396</v>
      </c>
      <c r="B1397" s="1">
        <v>31</v>
      </c>
      <c r="C1397" s="1">
        <v>8</v>
      </c>
      <c r="D1397" s="1" t="s">
        <v>124</v>
      </c>
      <c r="E1397" s="1" t="s">
        <v>20</v>
      </c>
      <c r="H1397"/>
      <c r="I1397"/>
    </row>
    <row r="1398" spans="1:9" ht="15" x14ac:dyDescent="0.25">
      <c r="A1398" s="1">
        <v>1397</v>
      </c>
      <c r="B1398" s="1">
        <v>31</v>
      </c>
      <c r="C1398" s="1">
        <v>8</v>
      </c>
      <c r="D1398" s="1" t="s">
        <v>124</v>
      </c>
      <c r="E1398" s="1" t="s">
        <v>20</v>
      </c>
      <c r="H1398"/>
      <c r="I1398"/>
    </row>
    <row r="1399" spans="1:9" ht="15" x14ac:dyDescent="0.25">
      <c r="A1399" s="1">
        <v>1398</v>
      </c>
      <c r="B1399" s="1">
        <v>31</v>
      </c>
      <c r="C1399" s="1">
        <v>8</v>
      </c>
      <c r="D1399" s="1" t="s">
        <v>124</v>
      </c>
      <c r="E1399" s="1" t="s">
        <v>20</v>
      </c>
      <c r="H1399"/>
      <c r="I1399"/>
    </row>
    <row r="1400" spans="1:9" ht="15" x14ac:dyDescent="0.25">
      <c r="A1400" s="1">
        <v>1399</v>
      </c>
      <c r="B1400" s="1">
        <v>31</v>
      </c>
      <c r="C1400" s="1">
        <v>8</v>
      </c>
      <c r="D1400" s="1" t="s">
        <v>124</v>
      </c>
      <c r="E1400" s="1" t="s">
        <v>20</v>
      </c>
      <c r="H1400"/>
      <c r="I1400"/>
    </row>
    <row r="1401" spans="1:9" ht="15" x14ac:dyDescent="0.25">
      <c r="A1401" s="1">
        <v>1400</v>
      </c>
      <c r="B1401" s="1">
        <v>31</v>
      </c>
      <c r="C1401" s="1">
        <v>8</v>
      </c>
      <c r="D1401" s="1" t="s">
        <v>124</v>
      </c>
      <c r="E1401" s="1" t="s">
        <v>20</v>
      </c>
      <c r="H1401"/>
      <c r="I1401"/>
    </row>
    <row r="1402" spans="1:9" ht="15" x14ac:dyDescent="0.25">
      <c r="A1402" s="1">
        <v>1401</v>
      </c>
      <c r="B1402" s="1">
        <v>31</v>
      </c>
      <c r="C1402" s="1">
        <v>8</v>
      </c>
      <c r="D1402" s="1" t="s">
        <v>124</v>
      </c>
      <c r="E1402" s="1" t="s">
        <v>20</v>
      </c>
      <c r="H1402"/>
      <c r="I1402"/>
    </row>
    <row r="1403" spans="1:9" ht="15" x14ac:dyDescent="0.25">
      <c r="A1403" s="1">
        <v>1402</v>
      </c>
      <c r="B1403" s="1">
        <v>31</v>
      </c>
      <c r="C1403" s="1">
        <v>8</v>
      </c>
      <c r="D1403" s="1" t="s">
        <v>124</v>
      </c>
      <c r="E1403" s="1" t="s">
        <v>20</v>
      </c>
      <c r="H1403"/>
      <c r="I1403"/>
    </row>
    <row r="1404" spans="1:9" ht="15" x14ac:dyDescent="0.25">
      <c r="A1404" s="1">
        <v>1403</v>
      </c>
      <c r="B1404" s="1">
        <v>31</v>
      </c>
      <c r="C1404" s="1">
        <v>8</v>
      </c>
      <c r="D1404" s="1" t="s">
        <v>124</v>
      </c>
      <c r="E1404" s="1" t="s">
        <v>20</v>
      </c>
      <c r="H1404"/>
      <c r="I1404"/>
    </row>
    <row r="1405" spans="1:9" ht="15" x14ac:dyDescent="0.25">
      <c r="A1405" s="1">
        <v>1404</v>
      </c>
      <c r="B1405" s="1">
        <v>32</v>
      </c>
      <c r="C1405" s="1">
        <v>9</v>
      </c>
      <c r="D1405" s="1" t="s">
        <v>123</v>
      </c>
      <c r="E1405" s="1" t="s">
        <v>21</v>
      </c>
      <c r="H1405"/>
      <c r="I1405"/>
    </row>
    <row r="1406" spans="1:9" ht="15" x14ac:dyDescent="0.25">
      <c r="A1406" s="1">
        <v>1405</v>
      </c>
      <c r="B1406" s="1">
        <v>32</v>
      </c>
      <c r="C1406" s="1">
        <v>9</v>
      </c>
      <c r="D1406" s="1" t="s">
        <v>123</v>
      </c>
      <c r="E1406" s="1" t="s">
        <v>21</v>
      </c>
      <c r="H1406"/>
      <c r="I1406"/>
    </row>
    <row r="1407" spans="1:9" ht="15" x14ac:dyDescent="0.25">
      <c r="A1407" s="1">
        <v>1406</v>
      </c>
      <c r="B1407" s="1">
        <v>32</v>
      </c>
      <c r="C1407" s="1">
        <v>9</v>
      </c>
      <c r="D1407" s="1" t="s">
        <v>123</v>
      </c>
      <c r="E1407" s="1" t="s">
        <v>21</v>
      </c>
      <c r="H1407"/>
      <c r="I1407"/>
    </row>
    <row r="1408" spans="1:9" ht="15" x14ac:dyDescent="0.25">
      <c r="A1408" s="1">
        <v>1407</v>
      </c>
      <c r="B1408" s="1">
        <v>32</v>
      </c>
      <c r="C1408" s="1">
        <v>9</v>
      </c>
      <c r="D1408" s="1" t="s">
        <v>123</v>
      </c>
      <c r="E1408" s="1" t="s">
        <v>21</v>
      </c>
      <c r="H1408"/>
      <c r="I1408"/>
    </row>
    <row r="1409" spans="1:9" ht="15" x14ac:dyDescent="0.25">
      <c r="A1409" s="1">
        <v>1408</v>
      </c>
      <c r="B1409" s="1">
        <v>32</v>
      </c>
      <c r="C1409" s="1">
        <v>9</v>
      </c>
      <c r="D1409" s="1" t="s">
        <v>123</v>
      </c>
      <c r="E1409" s="1" t="s">
        <v>21</v>
      </c>
      <c r="H1409"/>
      <c r="I1409"/>
    </row>
    <row r="1410" spans="1:9" ht="15" x14ac:dyDescent="0.25">
      <c r="A1410" s="1">
        <v>1409</v>
      </c>
      <c r="B1410" s="1">
        <v>32</v>
      </c>
      <c r="C1410" s="1">
        <v>9</v>
      </c>
      <c r="D1410" s="1" t="s">
        <v>123</v>
      </c>
      <c r="E1410" s="1" t="s">
        <v>21</v>
      </c>
      <c r="H1410"/>
      <c r="I1410"/>
    </row>
    <row r="1411" spans="1:9" ht="15" x14ac:dyDescent="0.25">
      <c r="A1411" s="1">
        <v>1410</v>
      </c>
      <c r="B1411" s="1">
        <v>32</v>
      </c>
      <c r="C1411" s="1">
        <v>9</v>
      </c>
      <c r="D1411" s="1" t="s">
        <v>123</v>
      </c>
      <c r="E1411" s="1" t="s">
        <v>21</v>
      </c>
      <c r="H1411"/>
      <c r="I1411"/>
    </row>
    <row r="1412" spans="1:9" ht="15" x14ac:dyDescent="0.25">
      <c r="A1412" s="1">
        <v>1411</v>
      </c>
      <c r="B1412" s="1">
        <v>32</v>
      </c>
      <c r="C1412" s="1">
        <v>9</v>
      </c>
      <c r="D1412" s="1" t="s">
        <v>123</v>
      </c>
      <c r="E1412" s="1" t="s">
        <v>21</v>
      </c>
      <c r="H1412"/>
      <c r="I1412"/>
    </row>
    <row r="1413" spans="1:9" ht="15" x14ac:dyDescent="0.25">
      <c r="A1413" s="1">
        <v>1412</v>
      </c>
      <c r="B1413" s="1">
        <v>32</v>
      </c>
      <c r="C1413" s="1">
        <v>9</v>
      </c>
      <c r="D1413" s="1" t="s">
        <v>123</v>
      </c>
      <c r="E1413" s="1" t="s">
        <v>21</v>
      </c>
      <c r="H1413"/>
      <c r="I1413"/>
    </row>
    <row r="1414" spans="1:9" ht="15" x14ac:dyDescent="0.25">
      <c r="A1414" s="1">
        <v>1413</v>
      </c>
      <c r="B1414" s="1">
        <v>32</v>
      </c>
      <c r="C1414" s="1">
        <v>9</v>
      </c>
      <c r="D1414" s="1" t="s">
        <v>123</v>
      </c>
      <c r="E1414" s="1" t="s">
        <v>21</v>
      </c>
      <c r="H1414"/>
      <c r="I1414"/>
    </row>
    <row r="1415" spans="1:9" ht="15" x14ac:dyDescent="0.25">
      <c r="A1415" s="1">
        <v>1414</v>
      </c>
      <c r="B1415" s="1">
        <v>32</v>
      </c>
      <c r="C1415" s="1">
        <v>9</v>
      </c>
      <c r="D1415" s="1" t="s">
        <v>123</v>
      </c>
      <c r="E1415" s="1" t="s">
        <v>21</v>
      </c>
      <c r="H1415"/>
      <c r="I1415"/>
    </row>
    <row r="1416" spans="1:9" ht="15" x14ac:dyDescent="0.25">
      <c r="A1416" s="1">
        <v>1415</v>
      </c>
      <c r="B1416" s="1">
        <v>33</v>
      </c>
      <c r="C1416" s="1">
        <v>9</v>
      </c>
      <c r="D1416" s="1" t="s">
        <v>122</v>
      </c>
      <c r="E1416" s="1" t="s">
        <v>21</v>
      </c>
      <c r="H1416"/>
      <c r="I1416"/>
    </row>
    <row r="1417" spans="1:9" ht="15" x14ac:dyDescent="0.25">
      <c r="A1417" s="1">
        <v>1416</v>
      </c>
      <c r="B1417" s="1">
        <v>33</v>
      </c>
      <c r="C1417" s="1">
        <v>9</v>
      </c>
      <c r="D1417" s="1" t="s">
        <v>122</v>
      </c>
      <c r="E1417" s="1" t="s">
        <v>21</v>
      </c>
      <c r="H1417"/>
      <c r="I1417"/>
    </row>
    <row r="1418" spans="1:9" ht="15" x14ac:dyDescent="0.25">
      <c r="A1418" s="1">
        <v>1417</v>
      </c>
      <c r="B1418" s="1">
        <v>33</v>
      </c>
      <c r="C1418" s="1">
        <v>9</v>
      </c>
      <c r="D1418" s="1" t="s">
        <v>122</v>
      </c>
      <c r="E1418" s="1" t="s">
        <v>21</v>
      </c>
      <c r="H1418"/>
      <c r="I1418"/>
    </row>
    <row r="1419" spans="1:9" ht="15" x14ac:dyDescent="0.25">
      <c r="A1419" s="1">
        <v>1418</v>
      </c>
      <c r="B1419" s="1">
        <v>33</v>
      </c>
      <c r="C1419" s="1">
        <v>9</v>
      </c>
      <c r="D1419" s="1" t="s">
        <v>122</v>
      </c>
      <c r="E1419" s="1" t="s">
        <v>21</v>
      </c>
      <c r="H1419"/>
      <c r="I1419"/>
    </row>
    <row r="1420" spans="1:9" ht="15" x14ac:dyDescent="0.25">
      <c r="A1420" s="1">
        <v>1419</v>
      </c>
      <c r="B1420" s="1">
        <v>33</v>
      </c>
      <c r="C1420" s="1">
        <v>9</v>
      </c>
      <c r="D1420" s="1" t="s">
        <v>122</v>
      </c>
      <c r="E1420" s="1" t="s">
        <v>21</v>
      </c>
      <c r="H1420"/>
      <c r="I1420"/>
    </row>
    <row r="1421" spans="1:9" ht="15" x14ac:dyDescent="0.25">
      <c r="A1421" s="1">
        <v>1420</v>
      </c>
      <c r="B1421" s="1">
        <v>33</v>
      </c>
      <c r="C1421" s="1">
        <v>9</v>
      </c>
      <c r="D1421" s="1" t="s">
        <v>122</v>
      </c>
      <c r="E1421" s="1" t="s">
        <v>21</v>
      </c>
      <c r="H1421"/>
      <c r="I1421"/>
    </row>
    <row r="1422" spans="1:9" ht="15" x14ac:dyDescent="0.25">
      <c r="A1422" s="1">
        <v>1421</v>
      </c>
      <c r="B1422" s="1">
        <v>33</v>
      </c>
      <c r="C1422" s="1">
        <v>9</v>
      </c>
      <c r="D1422" s="1" t="s">
        <v>122</v>
      </c>
      <c r="E1422" s="1" t="s">
        <v>21</v>
      </c>
      <c r="H1422"/>
      <c r="I1422"/>
    </row>
    <row r="1423" spans="1:9" ht="15" x14ac:dyDescent="0.25">
      <c r="A1423" s="1">
        <v>1422</v>
      </c>
      <c r="B1423" s="1">
        <v>33</v>
      </c>
      <c r="C1423" s="1">
        <v>9</v>
      </c>
      <c r="D1423" s="1" t="s">
        <v>122</v>
      </c>
      <c r="E1423" s="1" t="s">
        <v>21</v>
      </c>
      <c r="H1423"/>
      <c r="I1423"/>
    </row>
    <row r="1424" spans="1:9" ht="15" x14ac:dyDescent="0.25">
      <c r="A1424" s="1">
        <v>1423</v>
      </c>
      <c r="B1424" s="1">
        <v>33</v>
      </c>
      <c r="C1424" s="1">
        <v>9</v>
      </c>
      <c r="D1424" s="1" t="s">
        <v>122</v>
      </c>
      <c r="E1424" s="1" t="s">
        <v>21</v>
      </c>
      <c r="H1424"/>
      <c r="I1424"/>
    </row>
    <row r="1425" spans="1:9" ht="15" x14ac:dyDescent="0.25">
      <c r="A1425" s="1">
        <v>1424</v>
      </c>
      <c r="B1425" s="1">
        <v>33</v>
      </c>
      <c r="C1425" s="1">
        <v>9</v>
      </c>
      <c r="D1425" s="1" t="s">
        <v>122</v>
      </c>
      <c r="E1425" s="1" t="s">
        <v>21</v>
      </c>
      <c r="H1425"/>
      <c r="I1425"/>
    </row>
    <row r="1426" spans="1:9" ht="15" x14ac:dyDescent="0.25">
      <c r="A1426" s="1">
        <v>1425</v>
      </c>
      <c r="B1426" s="1">
        <v>33</v>
      </c>
      <c r="C1426" s="1">
        <v>9</v>
      </c>
      <c r="D1426" s="1" t="s">
        <v>122</v>
      </c>
      <c r="E1426" s="1" t="s">
        <v>21</v>
      </c>
      <c r="H1426"/>
      <c r="I1426"/>
    </row>
    <row r="1427" spans="1:9" ht="15" x14ac:dyDescent="0.25">
      <c r="A1427" s="1">
        <v>1426</v>
      </c>
      <c r="B1427" s="1">
        <v>33</v>
      </c>
      <c r="C1427" s="1">
        <v>9</v>
      </c>
      <c r="D1427" s="1" t="s">
        <v>122</v>
      </c>
      <c r="E1427" s="1" t="s">
        <v>21</v>
      </c>
      <c r="H1427"/>
      <c r="I1427"/>
    </row>
    <row r="1428" spans="1:9" ht="15" x14ac:dyDescent="0.25">
      <c r="A1428" s="1">
        <v>1427</v>
      </c>
      <c r="B1428" s="1">
        <v>33</v>
      </c>
      <c r="C1428" s="1">
        <v>9</v>
      </c>
      <c r="D1428" s="1" t="s">
        <v>122</v>
      </c>
      <c r="E1428" s="1" t="s">
        <v>21</v>
      </c>
      <c r="H1428"/>
      <c r="I1428"/>
    </row>
    <row r="1429" spans="1:9" ht="15" x14ac:dyDescent="0.25">
      <c r="A1429" s="1">
        <v>1428</v>
      </c>
      <c r="B1429" s="1">
        <v>33</v>
      </c>
      <c r="C1429" s="1">
        <v>9</v>
      </c>
      <c r="D1429" s="1" t="s">
        <v>122</v>
      </c>
      <c r="E1429" s="1" t="s">
        <v>21</v>
      </c>
      <c r="H1429"/>
      <c r="I1429"/>
    </row>
    <row r="1430" spans="1:9" ht="15" x14ac:dyDescent="0.25">
      <c r="A1430" s="1">
        <v>1429</v>
      </c>
      <c r="B1430" s="1">
        <v>33</v>
      </c>
      <c r="C1430" s="1">
        <v>9</v>
      </c>
      <c r="D1430" s="1" t="s">
        <v>122</v>
      </c>
      <c r="E1430" s="1" t="s">
        <v>21</v>
      </c>
      <c r="H1430"/>
      <c r="I1430"/>
    </row>
    <row r="1431" spans="1:9" ht="15" x14ac:dyDescent="0.25">
      <c r="A1431" s="1">
        <v>1430</v>
      </c>
      <c r="B1431" s="1">
        <v>33</v>
      </c>
      <c r="C1431" s="1">
        <v>9</v>
      </c>
      <c r="D1431" s="1" t="s">
        <v>122</v>
      </c>
      <c r="E1431" s="1" t="s">
        <v>21</v>
      </c>
      <c r="H1431"/>
      <c r="I1431"/>
    </row>
    <row r="1432" spans="1:9" ht="15" x14ac:dyDescent="0.25">
      <c r="A1432" s="1">
        <v>1431</v>
      </c>
      <c r="B1432" s="1">
        <v>33</v>
      </c>
      <c r="C1432" s="1">
        <v>9</v>
      </c>
      <c r="D1432" s="1" t="s">
        <v>122</v>
      </c>
      <c r="E1432" s="1" t="s">
        <v>21</v>
      </c>
      <c r="H1432"/>
      <c r="I1432"/>
    </row>
    <row r="1433" spans="1:9" ht="15" x14ac:dyDescent="0.25">
      <c r="A1433" s="1">
        <v>1432</v>
      </c>
      <c r="B1433" s="1">
        <v>33</v>
      </c>
      <c r="C1433" s="1">
        <v>9</v>
      </c>
      <c r="D1433" s="1" t="s">
        <v>122</v>
      </c>
      <c r="E1433" s="1" t="s">
        <v>21</v>
      </c>
      <c r="H1433"/>
      <c r="I1433"/>
    </row>
    <row r="1434" spans="1:9" ht="15" x14ac:dyDescent="0.25">
      <c r="A1434" s="1">
        <v>1433</v>
      </c>
      <c r="B1434" s="1">
        <v>33</v>
      </c>
      <c r="C1434" s="1">
        <v>9</v>
      </c>
      <c r="D1434" s="1" t="s">
        <v>122</v>
      </c>
      <c r="E1434" s="1" t="s">
        <v>21</v>
      </c>
      <c r="H1434"/>
      <c r="I1434"/>
    </row>
    <row r="1435" spans="1:9" ht="15" x14ac:dyDescent="0.25">
      <c r="A1435" s="1">
        <v>1434</v>
      </c>
      <c r="B1435" s="1">
        <v>33</v>
      </c>
      <c r="C1435" s="1">
        <v>9</v>
      </c>
      <c r="D1435" s="1" t="s">
        <v>122</v>
      </c>
      <c r="E1435" s="1" t="s">
        <v>21</v>
      </c>
      <c r="H1435"/>
      <c r="I1435"/>
    </row>
    <row r="1436" spans="1:9" ht="15" x14ac:dyDescent="0.25">
      <c r="A1436" s="1">
        <v>1435</v>
      </c>
      <c r="B1436" s="1">
        <v>33</v>
      </c>
      <c r="C1436" s="1">
        <v>9</v>
      </c>
      <c r="D1436" s="1" t="s">
        <v>122</v>
      </c>
      <c r="E1436" s="1" t="s">
        <v>21</v>
      </c>
      <c r="H1436"/>
      <c r="I1436"/>
    </row>
    <row r="1437" spans="1:9" ht="15" x14ac:dyDescent="0.25">
      <c r="A1437" s="1">
        <v>1436</v>
      </c>
      <c r="B1437" s="1">
        <v>34</v>
      </c>
      <c r="C1437" s="1">
        <v>9</v>
      </c>
      <c r="D1437" s="1" t="s">
        <v>121</v>
      </c>
      <c r="E1437" s="1" t="s">
        <v>21</v>
      </c>
      <c r="H1437"/>
      <c r="I1437"/>
    </row>
    <row r="1438" spans="1:9" ht="15" x14ac:dyDescent="0.25">
      <c r="A1438" s="1">
        <v>1437</v>
      </c>
      <c r="B1438" s="1">
        <v>34</v>
      </c>
      <c r="C1438" s="1">
        <v>9</v>
      </c>
      <c r="D1438" s="1" t="s">
        <v>121</v>
      </c>
      <c r="E1438" s="1" t="s">
        <v>21</v>
      </c>
      <c r="H1438"/>
      <c r="I1438"/>
    </row>
    <row r="1439" spans="1:9" ht="15" x14ac:dyDescent="0.25">
      <c r="A1439" s="1">
        <v>1438</v>
      </c>
      <c r="B1439" s="1">
        <v>34</v>
      </c>
      <c r="C1439" s="1">
        <v>9</v>
      </c>
      <c r="D1439" s="1" t="s">
        <v>121</v>
      </c>
      <c r="E1439" s="1" t="s">
        <v>21</v>
      </c>
      <c r="H1439"/>
      <c r="I1439"/>
    </row>
    <row r="1440" spans="1:9" ht="15" x14ac:dyDescent="0.25">
      <c r="A1440" s="1">
        <v>1439</v>
      </c>
      <c r="B1440" s="1">
        <v>34</v>
      </c>
      <c r="C1440" s="1">
        <v>9</v>
      </c>
      <c r="D1440" s="1" t="s">
        <v>121</v>
      </c>
      <c r="E1440" s="1" t="s">
        <v>21</v>
      </c>
      <c r="H1440"/>
      <c r="I1440"/>
    </row>
    <row r="1441" spans="1:9" ht="15" x14ac:dyDescent="0.25">
      <c r="A1441" s="1">
        <v>1440</v>
      </c>
      <c r="B1441" s="1">
        <v>34</v>
      </c>
      <c r="C1441" s="1">
        <v>9</v>
      </c>
      <c r="D1441" s="1" t="s">
        <v>121</v>
      </c>
      <c r="E1441" s="1" t="s">
        <v>21</v>
      </c>
      <c r="H1441"/>
      <c r="I1441"/>
    </row>
    <row r="1442" spans="1:9" ht="15" x14ac:dyDescent="0.25">
      <c r="A1442" s="1">
        <v>1441</v>
      </c>
      <c r="B1442" s="1">
        <v>34</v>
      </c>
      <c r="C1442" s="1">
        <v>9</v>
      </c>
      <c r="D1442" s="1" t="s">
        <v>121</v>
      </c>
      <c r="E1442" s="1" t="s">
        <v>21</v>
      </c>
      <c r="H1442"/>
      <c r="I1442"/>
    </row>
    <row r="1443" spans="1:9" ht="15" x14ac:dyDescent="0.25">
      <c r="A1443" s="1">
        <v>1442</v>
      </c>
      <c r="B1443" s="1">
        <v>34</v>
      </c>
      <c r="C1443" s="1">
        <v>9</v>
      </c>
      <c r="D1443" s="1" t="s">
        <v>121</v>
      </c>
      <c r="E1443" s="1" t="s">
        <v>21</v>
      </c>
      <c r="H1443"/>
      <c r="I1443"/>
    </row>
    <row r="1444" spans="1:9" ht="15" x14ac:dyDescent="0.25">
      <c r="A1444" s="1">
        <v>1443</v>
      </c>
      <c r="B1444" s="1">
        <v>34</v>
      </c>
      <c r="C1444" s="1">
        <v>9</v>
      </c>
      <c r="D1444" s="1" t="s">
        <v>121</v>
      </c>
      <c r="E1444" s="1" t="s">
        <v>21</v>
      </c>
      <c r="H1444"/>
      <c r="I1444"/>
    </row>
    <row r="1445" spans="1:9" ht="15" x14ac:dyDescent="0.25">
      <c r="A1445" s="1">
        <v>1444</v>
      </c>
      <c r="B1445" s="1">
        <v>34</v>
      </c>
      <c r="C1445" s="1">
        <v>9</v>
      </c>
      <c r="D1445" s="1" t="s">
        <v>121</v>
      </c>
      <c r="E1445" s="1" t="s">
        <v>21</v>
      </c>
      <c r="H1445"/>
      <c r="I1445"/>
    </row>
    <row r="1446" spans="1:9" ht="15" x14ac:dyDescent="0.25">
      <c r="A1446" s="1">
        <v>1445</v>
      </c>
      <c r="B1446" s="1">
        <v>34</v>
      </c>
      <c r="C1446" s="1">
        <v>9</v>
      </c>
      <c r="D1446" s="1" t="s">
        <v>121</v>
      </c>
      <c r="E1446" s="1" t="s">
        <v>21</v>
      </c>
      <c r="H1446"/>
      <c r="I1446"/>
    </row>
    <row r="1447" spans="1:9" ht="15" x14ac:dyDescent="0.25">
      <c r="A1447" s="1">
        <v>1446</v>
      </c>
      <c r="B1447" s="1">
        <v>34</v>
      </c>
      <c r="C1447" s="1">
        <v>9</v>
      </c>
      <c r="D1447" s="1" t="s">
        <v>121</v>
      </c>
      <c r="E1447" s="1" t="s">
        <v>21</v>
      </c>
      <c r="H1447"/>
      <c r="I1447"/>
    </row>
    <row r="1448" spans="1:9" ht="15" x14ac:dyDescent="0.25">
      <c r="A1448" s="1">
        <v>1447</v>
      </c>
      <c r="B1448" s="1">
        <v>34</v>
      </c>
      <c r="C1448" s="1">
        <v>9</v>
      </c>
      <c r="D1448" s="1" t="s">
        <v>121</v>
      </c>
      <c r="E1448" s="1" t="s">
        <v>21</v>
      </c>
      <c r="H1448"/>
      <c r="I1448"/>
    </row>
    <row r="1449" spans="1:9" ht="15" x14ac:dyDescent="0.25">
      <c r="A1449" s="1">
        <v>1448</v>
      </c>
      <c r="B1449" s="1">
        <v>34</v>
      </c>
      <c r="C1449" s="1">
        <v>9</v>
      </c>
      <c r="D1449" s="1" t="s">
        <v>121</v>
      </c>
      <c r="E1449" s="1" t="s">
        <v>21</v>
      </c>
      <c r="H1449"/>
      <c r="I1449"/>
    </row>
    <row r="1450" spans="1:9" ht="15" x14ac:dyDescent="0.25">
      <c r="A1450" s="1">
        <v>1449</v>
      </c>
      <c r="B1450" s="1">
        <v>34</v>
      </c>
      <c r="C1450" s="1">
        <v>9</v>
      </c>
      <c r="D1450" s="1" t="s">
        <v>121</v>
      </c>
      <c r="E1450" s="1" t="s">
        <v>21</v>
      </c>
      <c r="H1450"/>
      <c r="I1450"/>
    </row>
    <row r="1451" spans="1:9" ht="15" x14ac:dyDescent="0.25">
      <c r="A1451" s="1">
        <v>1450</v>
      </c>
      <c r="B1451" s="1">
        <v>34</v>
      </c>
      <c r="C1451" s="1">
        <v>9</v>
      </c>
      <c r="D1451" s="1" t="s">
        <v>121</v>
      </c>
      <c r="E1451" s="1" t="s">
        <v>21</v>
      </c>
      <c r="H1451"/>
      <c r="I1451"/>
    </row>
    <row r="1452" spans="1:9" ht="15" x14ac:dyDescent="0.25">
      <c r="A1452" s="1">
        <v>1451</v>
      </c>
      <c r="B1452" s="1">
        <v>34</v>
      </c>
      <c r="C1452" s="1">
        <v>9</v>
      </c>
      <c r="D1452" s="1" t="s">
        <v>121</v>
      </c>
      <c r="E1452" s="1" t="s">
        <v>21</v>
      </c>
      <c r="H1452"/>
      <c r="I1452"/>
    </row>
    <row r="1453" spans="1:9" ht="15" x14ac:dyDescent="0.25">
      <c r="A1453" s="1">
        <v>1452</v>
      </c>
      <c r="B1453" s="1">
        <v>34</v>
      </c>
      <c r="C1453" s="1">
        <v>9</v>
      </c>
      <c r="D1453" s="1" t="s">
        <v>121</v>
      </c>
      <c r="E1453" s="1" t="s">
        <v>21</v>
      </c>
      <c r="H1453"/>
      <c r="I1453"/>
    </row>
    <row r="1454" spans="1:9" ht="15" x14ac:dyDescent="0.25">
      <c r="A1454" s="1">
        <v>1453</v>
      </c>
      <c r="B1454" s="1">
        <v>34</v>
      </c>
      <c r="C1454" s="1">
        <v>9</v>
      </c>
      <c r="D1454" s="1" t="s">
        <v>121</v>
      </c>
      <c r="E1454" s="1" t="s">
        <v>21</v>
      </c>
      <c r="H1454"/>
      <c r="I1454"/>
    </row>
    <row r="1455" spans="1:9" ht="15" x14ac:dyDescent="0.25">
      <c r="A1455" s="1">
        <v>1454</v>
      </c>
      <c r="B1455" s="1">
        <v>34</v>
      </c>
      <c r="C1455" s="1">
        <v>9</v>
      </c>
      <c r="D1455" s="1" t="s">
        <v>121</v>
      </c>
      <c r="E1455" s="1" t="s">
        <v>21</v>
      </c>
      <c r="H1455"/>
      <c r="I145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34</vt:i4>
      </vt:variant>
    </vt:vector>
  </HeadingPairs>
  <TitlesOfParts>
    <vt:vector size="45" baseType="lpstr">
      <vt:lpstr>WorkPlaceLocationChoice</vt:lpstr>
      <vt:lpstr>calibration</vt:lpstr>
      <vt:lpstr>modeldata</vt:lpstr>
      <vt:lpstr>ACS_2023_1YR_B08501</vt:lpstr>
      <vt:lpstr>PUMS 2023</vt:lpstr>
      <vt:lpstr>BATS 2023 TLFD</vt:lpstr>
      <vt:lpstr>BATS 2023 AvgTourLen</vt:lpstr>
      <vt:lpstr>TAZ Data</vt:lpstr>
      <vt:lpstr>Personas - For Reference</vt:lpstr>
      <vt:lpstr>OBS Transit</vt:lpstr>
      <vt:lpstr>taz-superdistrict-county</vt:lpstr>
      <vt:lpstr>AL_SC_model</vt:lpstr>
      <vt:lpstr>AL_SC_obs</vt:lpstr>
      <vt:lpstr>AL_tot_model</vt:lpstr>
      <vt:lpstr>AL_tot_obs</vt:lpstr>
      <vt:lpstr>CC_SC_model</vt:lpstr>
      <vt:lpstr>CC_SC_obs</vt:lpstr>
      <vt:lpstr>CC_SM_model</vt:lpstr>
      <vt:lpstr>CC_SM_obs</vt:lpstr>
      <vt:lpstr>CC_tot_model</vt:lpstr>
      <vt:lpstr>CC_tot_obs</vt:lpstr>
      <vt:lpstr>damp_county_work</vt:lpstr>
      <vt:lpstr>damp_school</vt:lpstr>
      <vt:lpstr>damp_university</vt:lpstr>
      <vt:lpstr>damp_work</vt:lpstr>
      <vt:lpstr>SC_SC_model</vt:lpstr>
      <vt:lpstr>SC_SC_obs</vt:lpstr>
      <vt:lpstr>SC_SF_model</vt:lpstr>
      <vt:lpstr>SC_SF_obs</vt:lpstr>
      <vt:lpstr>SC_tot_model</vt:lpstr>
      <vt:lpstr>SC_tot_obs</vt:lpstr>
      <vt:lpstr>SF_SC_model</vt:lpstr>
      <vt:lpstr>SF_SC_obs</vt:lpstr>
      <vt:lpstr>SF_SF_model</vt:lpstr>
      <vt:lpstr>SF_SF_obs</vt:lpstr>
      <vt:lpstr>SF_SM_model</vt:lpstr>
      <vt:lpstr>SF_SM_obs</vt:lpstr>
      <vt:lpstr>SF_tot_model</vt:lpstr>
      <vt:lpstr>SF_tot_obs</vt:lpstr>
      <vt:lpstr>SM_AL_model</vt:lpstr>
      <vt:lpstr>SM_AL_obs</vt:lpstr>
      <vt:lpstr>SM_SC_model</vt:lpstr>
      <vt:lpstr>SM_SC_obs</vt:lpstr>
      <vt:lpstr>SM_tot_model</vt:lpstr>
      <vt:lpstr>SM_tot_obs</vt:lpstr>
    </vt:vector>
  </TitlesOfParts>
  <Company>MTC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 Zorn</dc:creator>
  <cp:lastModifiedBy>Melody Tsao</cp:lastModifiedBy>
  <cp:lastPrinted>2018-12-14T23:36:13Z</cp:lastPrinted>
  <dcterms:created xsi:type="dcterms:W3CDTF">2018-11-21T22:32:56Z</dcterms:created>
  <dcterms:modified xsi:type="dcterms:W3CDTF">2026-10-22T21:25:02Z</dcterms:modified>
</cp:coreProperties>
</file>