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8_{D5C98CB1-E3CC-4CCA-9AE6-EA53009FA18B}" xr6:coauthVersionLast="47" xr6:coauthVersionMax="47" xr10:uidLastSave="{00000000-0000-0000-0000-000000000000}"/>
  <bookViews>
    <workbookView xWindow="1560" yWindow="1560" windowWidth="21600" windowHeight="11295" tabRatio="818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our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externalReferences>
    <externalReference r:id="rId12"/>
  </externalReference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6" i="5" l="1"/>
  <c r="K13" i="5"/>
  <c r="K12" i="5"/>
  <c r="K11" i="5"/>
  <c r="K10" i="5"/>
  <c r="K9" i="5"/>
  <c r="K8" i="5"/>
  <c r="K7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8" i="5" l="1"/>
  <c r="C9" i="5" s="1"/>
  <c r="C7" i="5"/>
  <c r="C6" i="5"/>
  <c r="C5" i="5"/>
  <c r="C4" i="5"/>
  <c r="I13" i="5"/>
  <c r="I12" i="5"/>
  <c r="I11" i="5"/>
  <c r="I10" i="5"/>
  <c r="I9" i="5"/>
  <c r="I8" i="5"/>
  <c r="I7" i="5"/>
  <c r="I6" i="5"/>
  <c r="I5" i="5"/>
  <c r="I4" i="5"/>
  <c r="O8" i="5"/>
  <c r="O9" i="5" s="1"/>
  <c r="O7" i="5"/>
  <c r="O6" i="5"/>
  <c r="O5" i="5"/>
  <c r="O4" i="5"/>
  <c r="AF8" i="5"/>
  <c r="AF9" i="5" s="1"/>
  <c r="AE8" i="5"/>
  <c r="AE9" i="5" s="1"/>
  <c r="AF7" i="5"/>
  <c r="AE7" i="5"/>
  <c r="AF6" i="5"/>
  <c r="AE6" i="5"/>
  <c r="AF5" i="5"/>
  <c r="AE5" i="5"/>
  <c r="AF4" i="5"/>
  <c r="AE4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B7" i="5" s="1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AB8" i="5" s="1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<sst xmlns="http://schemas.openxmlformats.org/spreadsheetml/2006/main" count="4149" uniqueCount="525">
  <si>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</si>
  <si>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</si>
  <si>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</si>
  <si>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</si>
  <si>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</si>
  <si>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</si>
  <si>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</si>
  <si>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</si>
  <si>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</si>
  <si>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</si>
  <si>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</si>
  <si>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</si>
  <si>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</si>
  <si>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</si>
  <si>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</si>
  <si>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</si>
  <si>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</si>
  <si>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</si>
  <si>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</si>
  <si>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</si>
  <si>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</si>
  <si>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</si>
  <si>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</si>
  <si>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</si>
  <si>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</si>
  <si>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</si>
  <si>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</si>
  <si>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</si>
  <si>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</si>
  <si>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</si>
  <si>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</si>
  <si>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</si>
  <si>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</si>
  <si>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</si>
  <si>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</si>
  <si>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</si>
  <si>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</si>
  <si>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</si>
  <si>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</si>
  <si>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</si>
  <si>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</si>
  <si>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</si>
  <si>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</si>
  <si>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</si>
  <si>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</si>
  <si>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</si>
  <si>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</si>
  <si>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</si>
  <si>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</si>
  <si>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</si>
  <si>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</si>
  <si>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</si>
  <si>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</si>
  <si>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</si>
  <si>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</si>
  <si>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</si>
  <si>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</si>
  <si>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</si>
  <si>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</si>
  <si>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</si>
  <si>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</si>
  <si>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</si>
  <si>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</si>
  <si>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</si>
  <si>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</si>
  <si>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</si>
  <si>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</si>
  <si>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</si>
  <si>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</si>
  <si>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</si>
  <si>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</si>
  <si>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</si>
  <si>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</si>
  <si>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</si>
  <si>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</si>
  <si>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</si>
  <si>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</si>
  <si>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</si>
  <si>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</si>
  <si>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</si>
  <si>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</si>
  <si>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</si>
  <si>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</si>
  <si>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</si>
  <si>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</si>
  <si>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</si>
  <si>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</si>
  <si>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</si>
  <si>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</si>
  <si>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</si>
  <si>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</si>
  <si>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</si>
  <si>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</si>
  <si>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</si>
  <si>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</si>
  <si>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</si>
  <si>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</si>
  <si>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</si>
  <si>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</si>
  <si>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</si>
  <si>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</si>
  <si>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</si>
  <si>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</si>
  <si>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</si>
  <si>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</si>
  <si>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</si>
  <si>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</si>
  <si>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</si>
  <si>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</si>
  <si>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</si>
  <si>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</si>
  <si>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</si>
  <si>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</si>
  <si>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</si>
  <si>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</si>
  <si>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</si>
  <si>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</si>
  <si>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</si>
  <si>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</si>
  <si>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</si>
  <si>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</si>
  <si>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</si>
  <si>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</si>
  <si>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</si>
  <si>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</si>
  <si>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</si>
  <si>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</si>
  <si>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</si>
  <si>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</si>
  <si>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</si>
  <si>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</si>
  <si>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</si>
  <si>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</si>
  <si>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</si>
  <si>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</si>
  <si>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</si>
  <si>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</si>
  <si>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</si>
  <si>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</si>
  <si>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</si>
  <si>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</si>
  <si>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</si>
  <si>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</si>
  <si>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</si>
  <si>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</si>
  <si>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</si>
  <si>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</si>
  <si>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</si>
  <si>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</si>
  <si>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</si>
  <si>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</si>
  <si>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</si>
  <si>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</si>
  <si>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</si>
  <si>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</si>
  <si>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</si>
  <si>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</si>
  <si>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</si>
  <si>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</si>
  <si>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</si>
  <si>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</si>
  <si>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</si>
  <si>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</si>
  <si>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</si>
  <si>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</si>
  <si>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</si>
  <si>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</si>
  <si>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</si>
  <si>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</si>
  <si>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</si>
  <si>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</si>
  <si>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</si>
  <si>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</si>
  <si>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</si>
  <si>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</si>
  <si>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</si>
  <si>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</si>
  <si>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</si>
  <si>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</si>
  <si>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</si>
  <si>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</si>
  <si>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</si>
  <si>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</si>
  <si>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</si>
  <si>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</si>
  <si>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</si>
  <si>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</si>
  <si>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</si>
  <si>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</si>
  <si>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</si>
  <si>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</si>
  <si>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</si>
  <si>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</si>
  <si>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</si>
  <si>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</si>
  <si>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</si>
  <si>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</si>
  <si>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</si>
  <si>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</si>
  <si>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</si>
  <si>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</si>
  <si>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</si>
  <si>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</si>
  <si>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</si>
  <si>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</si>
  <si>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</si>
  <si>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</si>
  <si>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</si>
  <si>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</si>
  <si>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</si>
  <si>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</si>
  <si>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</si>
  <si>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</si>
  <si>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</si>
  <si>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</si>
  <si>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</si>
  <si>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</si>
  <si>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</si>
  <si>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</si>
  <si>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</si>
  <si>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</si>
  <si>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</si>
  <si>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</si>
  <si>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</si>
  <si>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</si>
  <si>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</si>
  <si>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</si>
  <si>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</si>
  <si>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</si>
  <si>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</si>
  <si>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</si>
  <si>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</si>
  <si>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</si>
  <si>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</si>
  <si>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</si>
  <si>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</si>
  <si>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</si>
  <si>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</si>
  <si>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</si>
  <si>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</si>
  <si>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</si>
  <si>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</si>
  <si>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</si>
  <si>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</si>
  <si>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</si>
  <si>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</si>
  <si>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</si>
  <si>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</si>
  <si>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</si>
  <si>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</si>
  <si>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</si>
  <si>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</si>
  <si>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</si>
  <si>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</si>
  <si>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</si>
  <si>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</si>
  <si>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</si>
  <si>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</si>
  <si>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</si>
  <si>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</si>
  <si>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</si>
  <si>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</si>
  <si>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</si>
  <si>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</si>
  <si>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</si>
  <si>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</si>
  <si>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</si>
  <si>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</si>
  <si>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</si>
  <si>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</si>
  <si>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</si>
  <si>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</si>
  <si>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</si>
  <si>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</si>
  <si>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</si>
  <si>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</si>
  <si>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</si>
  <si>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</si>
  <si>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</si>
  <si>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</si>
  <si>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</si>
  <si>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</si>
  <si>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</si>
  <si>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</si>
  <si>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</si>
  <si>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</si>
  <si>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</si>
  <si>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</si>
  <si>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</si>
  <si>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</si>
  <si>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</si>
  <si>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</si>
  <si>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</si>
  <si>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</si>
  <si>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</si>
  <si>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</si>
  <si>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</si>
  <si>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</si>
  <si>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</si>
  <si>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</si>
  <si>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</si>
  <si>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</si>
  <si>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</si>
  <si>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</si>
  <si>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</si>
  <si>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</si>
  <si>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</si>
  <si>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</si>
  <si>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</si>
  <si>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</si>
  <si>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</si>
  <si>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</si>
  <si>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</si>
  <si>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</si>
  <si>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</si>
  <si>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</si>
  <si>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</si>
  <si>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</si>
  <si>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</si>
  <si>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</si>
  <si>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</si>
  <si>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</si>
  <si>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</si>
  <si>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</si>
  <si>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</si>
  <si>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</si>
  <si>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</si>
  <si>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</si>
  <si>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</si>
  <si>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</si>
  <si>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</si>
  <si>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</si>
  <si>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</si>
  <si>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</si>
  <si>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</si>
  <si>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</si>
  <si>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</si>
  <si>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</si>
  <si>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</si>
  <si>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</si>
  <si>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</si>
  <si>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</si>
  <si>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</si>
  <si>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</si>
  <si>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</si>
  <si>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</si>
  <si>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</si>
  <si>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</si>
  <si>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</si>
  <si>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</si>
  <si>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</si>
  <si>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</si>
  <si>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</si>
  <si>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</si>
  <si>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</si>
  <si>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</si>
  <si>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</si>
  <si>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</si>
  <si>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</si>
  <si>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</si>
  <si>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</si>
  <si>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</si>
  <si>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</si>
  <si>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</si>
  <si>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</si>
  <si>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</si>
  <si>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</si>
  <si>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</si>
  <si>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</si>
  <si>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</si>
  <si>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</si>
  <si>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</si>
  <si>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</si>
  <si>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</si>
  <si>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</si>
  <si>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</si>
  <si>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</si>
  <si>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</si>
  <si>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</si>
  <si>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</si>
  <si>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</si>
  <si>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</si>
  <si>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</si>
  <si>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</si>
  <si>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</si>
  <si>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</si>
  <si>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</si>
  <si>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</si>
  <si>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</si>
  <si>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</si>
  <si>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</si>
  <si>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</si>
  <si>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</si>
  <si>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</si>
  <si>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</si>
  <si>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</si>
  <si>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</si>
  <si>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</si>
  <si>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</si>
  <si>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</si>
  <si>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</si>
  <si>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</si>
  <si>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</si>
  <si>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</si>
  <si>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</si>
  <si>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</si>
  <si>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</si>
  <si>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</si>
  <si>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</si>
  <si>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</si>
  <si>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</si>
  <si>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</si>
  <si>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</si>
  <si>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</si>
  <si>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</si>
  <si>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</si>
  <si>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</si>
  <si>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</si>
  <si>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</si>
  <si>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</si>
  <si>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</si>
  <si>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</si>
  <si>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</si>
  <si>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</si>
  <si>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</si>
  <si>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</si>
  <si>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</si>
  <si>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</si>
  <si>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</si>
  <si>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</si>
  <si>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</si>
  <si>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</si>
  <si>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</si>
  <si>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</si>
  <si>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</si>
  <si>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</si>
  <si>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</si>
  <si>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</si>
  <si>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</si>
  <si>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</si>
  <si>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</si>
  <si>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</si>
  <si>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</si>
  <si>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</si>
  <si>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</si>
  <si>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</si>
  <si>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</si>
  <si>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</si>
  <si>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</si>
  <si>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</si>
  <si>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</si>
  <si>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</si>
  <si>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</si>
  <si>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</si>
  <si>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</si>
  <si>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</si>
  <si>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</si>
  <si>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</si>
  <si>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</si>
  <si>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</si>
  <si>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</si>
  <si>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</si>
  <si>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</si>
  <si>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</si>
  <si>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</si>
  <si>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</si>
  <si>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</si>
  <si>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</si>
  <si>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</si>
  <si>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</si>
  <si>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</si>
  <si>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</si>
  <si>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</si>
  <si>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</si>
  <si>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</si>
  <si>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</si>
  <si>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</si>
  <si>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</si>
  <si>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</si>
  <si>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</si>
  <si>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</si>
  <si>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</si>
  <si>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</si>
  <si>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</si>
  <si>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</si>
  <si>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</si>
  <si>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</si>
  <si>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</si>
  <si>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</si>
  <si>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</si>
  <si>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</si>
  <si>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</si>
  <si>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</si>
  <si>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</si>
  <si>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</si>
  <si>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</si>
  <si>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</si>
  <si>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</si>
  <si>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</si>
  <si>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</si>
  <si>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</si>
  <si>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</si>
  <si>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</si>
  <si>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</si>
  <si>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</si>
  <si>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</si>
  <si>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</si>
  <si>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</si>
  <si>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</si>
  <si>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</si>
  <si>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</si>
  <si>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</si>
  <si>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</si>
  <si>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</si>
  <si>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</si>
  <si>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</si>
  <si>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</si>
  <si>
    <t>BATS 2023 Work Tour Length Frequency Distribution</t>
  </si>
  <si>
    <t>BATS 2023 University Tour Length Frequency Distribution</t>
  </si>
  <si>
    <t>BATS 2023 School Tour Length Frequency Distribution</t>
  </si>
  <si>
    <t>BATS 2023 Mandatory Tour Lengths, Average by County</t>
  </si>
  <si>
    <t>Source: M:/Development/Travel Model One/Calibration/Version 1.7/2023_BATS_Summaries/pipeline_mt_20260623_NoMon_rmo/ctramp_2023/BATS_Summaries/workTLFD.csv</t>
  </si>
  <si>
    <t>Source: M:/Development/Travel Model One/Calibration/Version 1.7/2023_BATS_Summaries/pipeline_mt_20260623_NoMon_rmo/ctramp_2023/BATS_Summaries/univTLFD.csv</t>
  </si>
  <si>
    <t>Source: M:/Development/Travel Model One/Calibration/Version 1.7/2023_BATS_Summaries/pipeline_mt_20260623_NoMon_rmo/ctramp_2023/BATS_Summaries/schoolTLFD.csv</t>
  </si>
  <si>
    <t>Source: M:/Development/Travel Model One/Calibration/Version 1.7/2023_BATS_Summaries/pipeline_mt_20260623_NoMon_rmo/ctramp_2023/BATS_Summaries/AvgTourLen.csv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</si>
</sst>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0" xfId="0" applyFont="1"/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11.904731209190953</c:v>
                </c:pt>
                <c:pt idx="1">
                  <c:v>13.474065302792562</c:v>
                </c:pt>
                <c:pt idx="2">
                  <c:v>18.603810430278671</c:v>
                </c:pt>
                <c:pt idx="3">
                  <c:v>10.520274364313339</c:v>
                </c:pt>
                <c:pt idx="4">
                  <c:v>8.9394910222781814</c:v>
                </c:pt>
                <c:pt idx="5">
                  <c:v>11.45993854745139</c:v>
                </c:pt>
                <c:pt idx="6">
                  <c:v>9.8773790811030793</c:v>
                </c:pt>
                <c:pt idx="7">
                  <c:v>15.023531499303834</c:v>
                </c:pt>
                <c:pt idx="8">
                  <c:v>15.848714404386422</c:v>
                </c:pt>
                <c:pt idx="9">
                  <c:v>11.744612735373204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11.88818880318907</c:v>
                </c:pt>
                <c:pt idx="1">
                  <c:v>12.282320379590667</c:v>
                </c:pt>
                <c:pt idx="2">
                  <c:v>15.55</c:v>
                </c:pt>
                <c:pt idx="3">
                  <c:v>27.636389348712481</c:v>
                </c:pt>
                <c:pt idx="4">
                  <c:v>5.984922793386013</c:v>
                </c:pt>
                <c:pt idx="5">
                  <c:v>7.1103882349374032</c:v>
                </c:pt>
                <c:pt idx="6">
                  <c:v>5.1261908211343243</c:v>
                </c:pt>
                <c:pt idx="7">
                  <c:v>11.599493369501499</c:v>
                </c:pt>
                <c:pt idx="8">
                  <c:v>6.8438537634649013</c:v>
                </c:pt>
                <c:pt idx="9">
                  <c:v>9.1137559809535915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3.354816884183029</c:v>
                </c:pt>
                <c:pt idx="1">
                  <c:v>2.6374741356358355</c:v>
                </c:pt>
                <c:pt idx="2">
                  <c:v>2.7118933779272258</c:v>
                </c:pt>
                <c:pt idx="3">
                  <c:v>2.7295761640160436</c:v>
                </c:pt>
                <c:pt idx="4">
                  <c:v>3.0662431644802579</c:v>
                </c:pt>
                <c:pt idx="5">
                  <c:v>1.7670674128841191</c:v>
                </c:pt>
                <c:pt idx="6">
                  <c:v>2.7823730697456313</c:v>
                </c:pt>
                <c:pt idx="7">
                  <c:v>3.4739403699141036</c:v>
                </c:pt>
                <c:pt idx="8">
                  <c:v>6.218170988530705</c:v>
                </c:pt>
                <c:pt idx="9">
                  <c:v>3.0524789735300204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7.953932002914528E-2</c:v>
                </c:pt>
                <c:pt idx="1">
                  <c:v>7.5065705565646318E-2</c:v>
                </c:pt>
                <c:pt idx="2">
                  <c:v>8.9872933485591083E-2</c:v>
                </c:pt>
                <c:pt idx="3">
                  <c:v>6.7872464202276467E-2</c:v>
                </c:pt>
                <c:pt idx="4">
                  <c:v>6.1222242903389568E-2</c:v>
                </c:pt>
                <c:pt idx="5">
                  <c:v>7.6790738286286908E-2</c:v>
                </c:pt>
                <c:pt idx="6">
                  <c:v>3.5675056288461605E-2</c:v>
                </c:pt>
                <c:pt idx="7">
                  <c:v>4.538824168237978E-2</c:v>
                </c:pt>
                <c:pt idx="8">
                  <c:v>3.0824109765572424E-2</c:v>
                </c:pt>
                <c:pt idx="9">
                  <c:v>2.8290341395834973E-2</c:v>
                </c:pt>
                <c:pt idx="10">
                  <c:v>4.0727469669807788E-2</c:v>
                </c:pt>
                <c:pt idx="11">
                  <c:v>3.0824208618396003E-2</c:v>
                </c:pt>
                <c:pt idx="12">
                  <c:v>1.8826286985520291E-2</c:v>
                </c:pt>
                <c:pt idx="13">
                  <c:v>3.0563565210529622E-2</c:v>
                </c:pt>
                <c:pt idx="14">
                  <c:v>2.0043159098551585E-2</c:v>
                </c:pt>
                <c:pt idx="15">
                  <c:v>2.1588140543538376E-2</c:v>
                </c:pt>
                <c:pt idx="16">
                  <c:v>1.3014475208445302E-2</c:v>
                </c:pt>
                <c:pt idx="17">
                  <c:v>1.808309968538796E-2</c:v>
                </c:pt>
                <c:pt idx="18">
                  <c:v>1.2679505981521297E-2</c:v>
                </c:pt>
                <c:pt idx="19">
                  <c:v>1.7325286209793078E-2</c:v>
                </c:pt>
                <c:pt idx="20">
                  <c:v>2.2936163898969207E-2</c:v>
                </c:pt>
                <c:pt idx="21">
                  <c:v>1.2278066917195515E-2</c:v>
                </c:pt>
                <c:pt idx="22">
                  <c:v>1.0654089326930904E-2</c:v>
                </c:pt>
                <c:pt idx="23">
                  <c:v>1.160530717730817E-2</c:v>
                </c:pt>
                <c:pt idx="24">
                  <c:v>5.9951470477791731E-3</c:v>
                </c:pt>
                <c:pt idx="25">
                  <c:v>8.1572310799194747E-3</c:v>
                </c:pt>
                <c:pt idx="26">
                  <c:v>4.2178272482569024E-3</c:v>
                </c:pt>
                <c:pt idx="27">
                  <c:v>8.0554262731027306E-3</c:v>
                </c:pt>
                <c:pt idx="28">
                  <c:v>1.427129887312323E-2</c:v>
                </c:pt>
                <c:pt idx="29">
                  <c:v>6.1545988165002206E-3</c:v>
                </c:pt>
                <c:pt idx="30">
                  <c:v>4.0695519692779828E-3</c:v>
                </c:pt>
                <c:pt idx="31">
                  <c:v>9.9574312129258411E-3</c:v>
                </c:pt>
                <c:pt idx="32">
                  <c:v>1.2693187298118318E-2</c:v>
                </c:pt>
                <c:pt idx="33">
                  <c:v>5.5993678083599363E-3</c:v>
                </c:pt>
                <c:pt idx="34">
                  <c:v>1.5150498279548768E-3</c:v>
                </c:pt>
                <c:pt idx="35">
                  <c:v>5.3878266797000229E-3</c:v>
                </c:pt>
                <c:pt idx="36">
                  <c:v>1.2259562957101311E-3</c:v>
                </c:pt>
                <c:pt idx="37">
                  <c:v>6.5242099173443832E-3</c:v>
                </c:pt>
                <c:pt idx="38">
                  <c:v>1.7212461913208201E-3</c:v>
                </c:pt>
                <c:pt idx="39">
                  <c:v>3.0198577891897833E-3</c:v>
                </c:pt>
                <c:pt idx="40">
                  <c:v>4.1617891343026263E-3</c:v>
                </c:pt>
                <c:pt idx="41">
                  <c:v>6.2300841217038409E-3</c:v>
                </c:pt>
                <c:pt idx="42">
                  <c:v>3.8029558618887255E-3</c:v>
                </c:pt>
                <c:pt idx="43">
                  <c:v>2.4290032753664474E-3</c:v>
                </c:pt>
                <c:pt idx="44">
                  <c:v>2.3472376796861857E-3</c:v>
                </c:pt>
                <c:pt idx="45">
                  <c:v>4.9266697361748909E-3</c:v>
                </c:pt>
                <c:pt idx="46">
                  <c:v>2.6366004213598934E-3</c:v>
                </c:pt>
                <c:pt idx="47">
                  <c:v>7.7474536894735983E-4</c:v>
                </c:pt>
                <c:pt idx="48">
                  <c:v>7.9096015297139429E-4</c:v>
                </c:pt>
                <c:pt idx="49">
                  <c:v>1.019832890967275E-3</c:v>
                </c:pt>
                <c:pt idx="50">
                  <c:v>6.2492889156802749E-4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0.1516515676870249</c:v>
                </c:pt>
                <c:pt idx="1">
                  <c:v>0.24569097546568361</c:v>
                </c:pt>
                <c:pt idx="2">
                  <c:v>3.5979773913738182E-2</c:v>
                </c:pt>
                <c:pt idx="3">
                  <c:v>4.6528995501407946E-2</c:v>
                </c:pt>
                <c:pt idx="4">
                  <c:v>4.9956405260759347E-2</c:v>
                </c:pt>
                <c:pt idx="5">
                  <c:v>9.4765670506886557E-2</c:v>
                </c:pt>
                <c:pt idx="6">
                  <c:v>2.8006708852186205E-2</c:v>
                </c:pt>
                <c:pt idx="7">
                  <c:v>1.1610510183663077E-2</c:v>
                </c:pt>
                <c:pt idx="8">
                  <c:v>1.7077773976817805E-2</c:v>
                </c:pt>
                <c:pt idx="9">
                  <c:v>2.1838804884090129E-3</c:v>
                </c:pt>
                <c:pt idx="10">
                  <c:v>2.8773117650292595E-2</c:v>
                </c:pt>
                <c:pt idx="11">
                  <c:v>2.7812311544293425E-3</c:v>
                </c:pt>
                <c:pt idx="12">
                  <c:v>1.5121112870028549E-3</c:v>
                </c:pt>
                <c:pt idx="13">
                  <c:v>1.9699352953276305E-2</c:v>
                </c:pt>
                <c:pt idx="14">
                  <c:v>4.0823116969816907E-2</c:v>
                </c:pt>
                <c:pt idx="15">
                  <c:v>1.8128623361998102E-2</c:v>
                </c:pt>
                <c:pt idx="16">
                  <c:v>1.3894137179195031E-3</c:v>
                </c:pt>
                <c:pt idx="17">
                  <c:v>1.7183072076939612E-2</c:v>
                </c:pt>
                <c:pt idx="18">
                  <c:v>2.2037541144862044E-3</c:v>
                </c:pt>
                <c:pt idx="19">
                  <c:v>1.3841354590238077E-2</c:v>
                </c:pt>
                <c:pt idx="20">
                  <c:v>1.2591457595442718E-2</c:v>
                </c:pt>
                <c:pt idx="21">
                  <c:v>1.3998449439382204E-2</c:v>
                </c:pt>
                <c:pt idx="22">
                  <c:v>1.6592736098082141E-3</c:v>
                </c:pt>
                <c:pt idx="23">
                  <c:v>1.052075508256108E-3</c:v>
                </c:pt>
                <c:pt idx="24">
                  <c:v>8.9121226893979135E-3</c:v>
                </c:pt>
                <c:pt idx="25">
                  <c:v>7.5875247551510745E-3</c:v>
                </c:pt>
                <c:pt idx="26">
                  <c:v>4.8694122153507963E-4</c:v>
                </c:pt>
                <c:pt idx="27">
                  <c:v>4.4856692825283984E-4</c:v>
                </c:pt>
                <c:pt idx="28">
                  <c:v>6.914128900851732E-2</c:v>
                </c:pt>
                <c:pt idx="29">
                  <c:v>1.123952079904183E-3</c:v>
                </c:pt>
                <c:pt idx="30">
                  <c:v>8.0617428691007978E-4</c:v>
                </c:pt>
                <c:pt idx="31">
                  <c:v>5.1479050987633165E-3</c:v>
                </c:pt>
                <c:pt idx="32">
                  <c:v>6.4241549358804795E-4</c:v>
                </c:pt>
                <c:pt idx="33">
                  <c:v>0</c:v>
                </c:pt>
                <c:pt idx="34">
                  <c:v>1.5559776952318473E-2</c:v>
                </c:pt>
                <c:pt idx="35">
                  <c:v>1.2470793829488848E-2</c:v>
                </c:pt>
                <c:pt idx="36">
                  <c:v>3.386007302590533E-4</c:v>
                </c:pt>
                <c:pt idx="37">
                  <c:v>0</c:v>
                </c:pt>
                <c:pt idx="38">
                  <c:v>0</c:v>
                </c:pt>
                <c:pt idx="39">
                  <c:v>9.5251830224471956E-4</c:v>
                </c:pt>
                <c:pt idx="40">
                  <c:v>2.842004388521215E-4</c:v>
                </c:pt>
                <c:pt idx="41">
                  <c:v>5.7808029283661273E-4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3.4878506417454261E-3</c:v>
                </c:pt>
                <c:pt idx="46">
                  <c:v>0</c:v>
                </c:pt>
                <c:pt idx="47">
                  <c:v>8.3050582456450795E-3</c:v>
                </c:pt>
                <c:pt idx="48">
                  <c:v>3.2973537902367127E-3</c:v>
                </c:pt>
                <c:pt idx="49">
                  <c:v>0</c:v>
                </c:pt>
                <c:pt idx="50">
                  <c:v>1.3402093484877514E-3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0.21794148867697988</c:v>
                </c:pt>
                <c:pt idx="1">
                  <c:v>0.21293024397185348</c:v>
                </c:pt>
                <c:pt idx="2">
                  <c:v>0.2139726875723188</c:v>
                </c:pt>
                <c:pt idx="3">
                  <c:v>0.10191608970031879</c:v>
                </c:pt>
                <c:pt idx="4">
                  <c:v>4.3557119064182741E-2</c:v>
                </c:pt>
                <c:pt idx="5">
                  <c:v>0.10263646779255578</c:v>
                </c:pt>
                <c:pt idx="6">
                  <c:v>2.4037493184606601E-2</c:v>
                </c:pt>
                <c:pt idx="7">
                  <c:v>2.8016111524551579E-2</c:v>
                </c:pt>
                <c:pt idx="8">
                  <c:v>1.2315653612078745E-2</c:v>
                </c:pt>
                <c:pt idx="9">
                  <c:v>1.2390111337711444E-2</c:v>
                </c:pt>
                <c:pt idx="10">
                  <c:v>1.0749444496901815E-2</c:v>
                </c:pt>
                <c:pt idx="11">
                  <c:v>5.3424169402355387E-4</c:v>
                </c:pt>
                <c:pt idx="12">
                  <c:v>1.3535585524011948E-2</c:v>
                </c:pt>
                <c:pt idx="13">
                  <c:v>9.1709026048525529E-4</c:v>
                </c:pt>
                <c:pt idx="14">
                  <c:v>0</c:v>
                </c:pt>
                <c:pt idx="15">
                  <c:v>0</c:v>
                </c:pt>
                <c:pt idx="16">
                  <c:v>1.2675893873975033E-4</c:v>
                </c:pt>
                <c:pt idx="17">
                  <c:v>3.1744728315596204E-3</c:v>
                </c:pt>
                <c:pt idx="18">
                  <c:v>0</c:v>
                </c:pt>
                <c:pt idx="19">
                  <c:v>0</c:v>
                </c:pt>
                <c:pt idx="20">
                  <c:v>2.7936077016973743E-4</c:v>
                </c:pt>
                <c:pt idx="21">
                  <c:v>3.4851056986445116E-4</c:v>
                </c:pt>
                <c:pt idx="22">
                  <c:v>0</c:v>
                </c:pt>
                <c:pt idx="23">
                  <c:v>1.1530055243576422E-4</c:v>
                </c:pt>
                <c:pt idx="24">
                  <c:v>3.7863953244055503E-4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1.2712839220969236E-4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travel-model-one-tm1.7_calibration\model-files\model\DestinationChoice.xls" TargetMode="External"/><Relationship Id="rId1" Type="http://schemas.openxmlformats.org/officeDocument/2006/relationships/externalLinkPath" Target="https://api.box.com/travel-model-one-tm1.7_calibration/model-files/model/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>
        <row r="22">
          <cell r="G22">
            <v>-2.6481308889438444</v>
          </cell>
        </row>
        <row r="23">
          <cell r="G23">
            <v>-0.50419002549104164</v>
          </cell>
        </row>
        <row r="24">
          <cell r="G24">
            <v>-0.23555352265666718</v>
          </cell>
        </row>
        <row r="25">
          <cell r="G25">
            <v>-0.20243286791722692</v>
          </cell>
        </row>
        <row r="26">
          <cell r="G26">
            <v>-0.1273712880138449</v>
          </cell>
        </row>
        <row r="38">
          <cell r="G38">
            <v>-0.17504882970749294</v>
          </cell>
        </row>
        <row r="39">
          <cell r="G39">
            <v>0.70738111750485255</v>
          </cell>
        </row>
        <row r="40">
          <cell r="G40">
            <v>3.5256171097058089</v>
          </cell>
        </row>
        <row r="41">
          <cell r="G41">
            <v>0.4372222484096927</v>
          </cell>
        </row>
        <row r="42">
          <cell r="G42">
            <v>-2.2149119039990135E-2</v>
          </cell>
        </row>
        <row r="43">
          <cell r="G43">
            <v>1.5342839118736928</v>
          </cell>
        </row>
        <row r="44">
          <cell r="G44">
            <v>-2.0337939479809462E-2</v>
          </cell>
        </row>
        <row r="45">
          <cell r="G45">
            <v>0.60673055276005883</v>
          </cell>
        </row>
        <row r="46">
          <cell r="G46">
            <v>0.70096648479764723</v>
          </cell>
        </row>
        <row r="47">
          <cell r="G47">
            <v>1.3180557029786457</v>
          </cell>
        </row>
      </sheetData>
      <sheetData sheetId="2">
        <row r="12">
          <cell r="G12">
            <v>2.1957552070032174</v>
          </cell>
        </row>
        <row r="13">
          <cell r="G13">
            <v>-6.4435481197641149</v>
          </cell>
        </row>
        <row r="14">
          <cell r="G14">
            <v>0.37092007579519803</v>
          </cell>
        </row>
        <row r="15">
          <cell r="G15">
            <v>-0.17920515524980546</v>
          </cell>
        </row>
        <row r="16">
          <cell r="G16">
            <v>-0.31198492638919889</v>
          </cell>
        </row>
      </sheetData>
      <sheetData sheetId="3">
        <row r="12">
          <cell r="G12">
            <v>-1.1445060279170556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-0.27772540332061751</v>
          </cell>
        </row>
        <row r="16">
          <cell r="G16">
            <v>-0.3818014189868591</v>
          </cell>
        </row>
      </sheetData>
      <sheetData sheetId="4">
        <row r="12">
          <cell r="G12">
            <v>-1.9732484361448255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-0.29219769956704994</v>
          </cell>
        </row>
        <row r="16">
          <cell r="G16">
            <v>-9.331366790651309E-2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zoomScale="80" zoomScaleNormal="55" workbookViewId="0">
      <selection activeCell="Q7" sqref="Q7"/>
    </sheetView>
  </sheetViews>
  <sheetFormatPr defaultColWidth="9.140625" defaultRowHeight="12.75" x14ac:dyDescent="0.2"/>
  <cols>
    <col min="1" max="1" width="10.7109375" style="1" customWidth="1"/>
    <col min="2" max="2" width="17.42578125" style="1" customWidth="1"/>
    <col min="3" max="3" width="14.5703125" style="1" bestFit="1" customWidth="1"/>
    <col min="4" max="4" width="11.85546875" style="1" bestFit="1" customWidth="1"/>
    <col min="5" max="6" width="9.7109375" style="1" customWidth="1"/>
    <col min="7" max="7" width="9.85546875" style="1" customWidth="1"/>
    <col min="8" max="11" width="9.7109375" style="1" customWidth="1"/>
    <col min="12" max="12" width="12.7109375" style="1" customWidth="1"/>
    <col min="13" max="14" width="9.7109375" style="1" customWidth="1"/>
    <col min="15" max="15" width="6.85546875" style="1" customWidth="1"/>
    <col min="16" max="16" width="15" style="1" customWidth="1"/>
    <col min="17" max="25" width="9.7109375" style="1" customWidth="1"/>
    <col min="26" max="26" width="12.140625" style="1" customWidth="1"/>
    <col min="27" max="27" width="9.7109375" style="1" customWidth="1"/>
    <col min="28" max="28" width="4" style="1" customWidth="1"/>
    <col min="29" max="29" width="15" style="1" customWidth="1"/>
    <col min="30" max="38" width="9.140625" style="1"/>
    <col min="39" max="39" width="11.7109375" style="1" customWidth="1"/>
    <col min="40" max="40" width="3.28515625" style="1" customWidth="1"/>
    <col min="41" max="41" width="14.42578125" style="1" customWidth="1"/>
    <col min="42" max="51" width="9.140625" style="1"/>
    <col min="52" max="52" width="9.140625" style="1" customWidth="1"/>
    <col min="53" max="16384" width="9.140625" style="1"/>
  </cols>
  <sheetData>
    <row r="1" spans="1:67" x14ac:dyDescent="0.2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2">
      <c r="A2" s="16" t="s">
        <v>499</v>
      </c>
      <c r="P2" s="16" t="s">
        <v>496</v>
      </c>
      <c r="AC2" s="95" t="s">
        <v>495</v>
      </c>
      <c r="AO2" s="95" t="s">
        <v>516</v>
      </c>
    </row>
    <row r="3" spans="1:67" x14ac:dyDescent="0.2">
      <c r="A3" s="81" t="s">
        <v>514</v>
      </c>
      <c r="P3" s="24" t="s">
        <v>55</v>
      </c>
    </row>
    <row r="5" spans="1:67" x14ac:dyDescent="0.2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5.5" x14ac:dyDescent="0.2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2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2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2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2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2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2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2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2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2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2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2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2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2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2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2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2">
      <c r="A22" s="16" t="s">
        <v>501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2">
      <c r="A23" s="81" t="s">
        <v>103</v>
      </c>
      <c r="AC23" s="95" t="s">
        <v>495</v>
      </c>
      <c r="AO23" s="95" t="s">
        <v>516</v>
      </c>
    </row>
    <row r="24" spans="1:51" x14ac:dyDescent="0.2">
      <c r="P24" s="16" t="s">
        <v>502</v>
      </c>
      <c r="AC24" s="97" t="s">
        <v>104</v>
      </c>
      <c r="AO24" s="97" t="s">
        <v>104</v>
      </c>
    </row>
    <row r="25" spans="1:51" x14ac:dyDescent="0.2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5.5" x14ac:dyDescent="0.2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2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AvgTourLen'!B4</f>
        <v>11.904731209190953</v>
      </c>
      <c r="R27" s="88">
        <f>modeldata!O5</f>
        <v>1</v>
      </c>
      <c r="S27" s="86">
        <f>'BATS 2023 AvgTourLen'!C4</f>
        <v>11.88818880318907</v>
      </c>
      <c r="T27" s="88">
        <f>modeldata!P5</f>
        <v>1</v>
      </c>
      <c r="U27" s="86">
        <f>'BATS 2023 AvgTourLen'!D4</f>
        <v>3.354816884183029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2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AvgTourLen'!B5</f>
        <v>13.474065302792562</v>
      </c>
      <c r="R28" s="91">
        <f>modeldata!O6</f>
        <v>1</v>
      </c>
      <c r="S28" s="89">
        <f>'BATS 2023 AvgTourLen'!C5</f>
        <v>12.282320379590667</v>
      </c>
      <c r="T28" s="91">
        <f>modeldata!P6</f>
        <v>1</v>
      </c>
      <c r="U28" s="89">
        <f>'BATS 2023 AvgTourLen'!D5</f>
        <v>2.6374741356358355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2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AvgTourLen'!B6</f>
        <v>18.603810430278671</v>
      </c>
      <c r="R29" s="91">
        <f>modeldata!O7</f>
        <v>1</v>
      </c>
      <c r="S29" s="89">
        <f>'BATS 2023 AvgTourLen'!C6</f>
        <v>15.55</v>
      </c>
      <c r="T29" s="91">
        <f>modeldata!P7</f>
        <v>1</v>
      </c>
      <c r="U29" s="89">
        <f>'BATS 2023 AvgTourLen'!D6</f>
        <v>2.7118933779272258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2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AvgTourLen'!B7</f>
        <v>10.520274364313339</v>
      </c>
      <c r="R30" s="91">
        <f>modeldata!O8</f>
        <v>1</v>
      </c>
      <c r="S30" s="89">
        <f>'BATS 2023 AvgTourLen'!C7</f>
        <v>27.636389348712481</v>
      </c>
      <c r="T30" s="91">
        <f>modeldata!P8</f>
        <v>1</v>
      </c>
      <c r="U30" s="89">
        <f>'BATS 2023 AvgTourLen'!D7</f>
        <v>2.7295761640160436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2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AvgTourLen'!B8</f>
        <v>8.9394910222781814</v>
      </c>
      <c r="R31" s="91">
        <f>modeldata!O9</f>
        <v>1</v>
      </c>
      <c r="S31" s="89">
        <f>'BATS 2023 AvgTourLen'!C8</f>
        <v>5.984922793386013</v>
      </c>
      <c r="T31" s="91">
        <f>modeldata!P9</f>
        <v>1</v>
      </c>
      <c r="U31" s="89">
        <f>'BATS 2023 AvgTourLen'!D8</f>
        <v>3.0662431644802579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2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AvgTourLen'!B9</f>
        <v>11.45993854745139</v>
      </c>
      <c r="R32" s="91">
        <f>modeldata!O10</f>
        <v>1</v>
      </c>
      <c r="S32" s="89">
        <f>'BATS 2023 AvgTourLen'!C9</f>
        <v>7.1103882349374032</v>
      </c>
      <c r="T32" s="91">
        <f>modeldata!P10</f>
        <v>1</v>
      </c>
      <c r="U32" s="89">
        <f>'BATS 2023 AvgTourLen'!D9</f>
        <v>1.7670674128841191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2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AvgTourLen'!B10</f>
        <v>9.8773790811030793</v>
      </c>
      <c r="R33" s="91">
        <f>modeldata!O11</f>
        <v>1</v>
      </c>
      <c r="S33" s="89">
        <f>'BATS 2023 AvgTourLen'!C10</f>
        <v>5.1261908211343243</v>
      </c>
      <c r="T33" s="91">
        <f>modeldata!P11</f>
        <v>1</v>
      </c>
      <c r="U33" s="89">
        <f>'BATS 2023 AvgTourLen'!D10</f>
        <v>2.7823730697456313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2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AvgTourLen'!B11</f>
        <v>15.023531499303834</v>
      </c>
      <c r="R34" s="91">
        <f>modeldata!O12</f>
        <v>1</v>
      </c>
      <c r="S34" s="89">
        <f>'BATS 2023 AvgTourLen'!C11</f>
        <v>11.599493369501499</v>
      </c>
      <c r="T34" s="91">
        <f>modeldata!P12</f>
        <v>1</v>
      </c>
      <c r="U34" s="89">
        <f>'BATS 2023 AvgTourLen'!D11</f>
        <v>3.4739403699141036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2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AvgTourLen'!B12</f>
        <v>15.848714404386422</v>
      </c>
      <c r="R35" s="94">
        <f>modeldata!O13</f>
        <v>1</v>
      </c>
      <c r="S35" s="92">
        <f>'BATS 2023 AvgTourLen'!C12</f>
        <v>6.8438537634649013</v>
      </c>
      <c r="T35" s="94">
        <f>modeldata!P13</f>
        <v>1</v>
      </c>
      <c r="U35" s="92">
        <f>'BATS 2023 AvgTourLen'!D12</f>
        <v>6.218170988530705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2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AvgTourLen'!B13</f>
        <v>11.744612735373204</v>
      </c>
      <c r="R36" s="90">
        <f>modeldata!O14</f>
        <v>1</v>
      </c>
      <c r="S36" s="90">
        <f>'BATS 2023 AvgTourLen'!C13</f>
        <v>9.1137559809535915</v>
      </c>
      <c r="T36" s="90">
        <f>modeldata!P14</f>
        <v>1</v>
      </c>
      <c r="U36" s="90">
        <f>'BATS 2023 AvgTourLen'!D13</f>
        <v>3.0524789735300204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2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2">
      <c r="A41" s="16" t="s">
        <v>515</v>
      </c>
    </row>
    <row r="42" spans="1:53" x14ac:dyDescent="0.2">
      <c r="A42" s="257" t="s">
        <v>500</v>
      </c>
    </row>
    <row r="43" spans="1:53" x14ac:dyDescent="0.2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38.25" x14ac:dyDescent="0.2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2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2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2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2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2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2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2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2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2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2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2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2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2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495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495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2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2"/>
    <row r="62" spans="1:67" hidden="1" x14ac:dyDescent="0.2">
      <c r="C62" s="14" t="s">
        <v>11</v>
      </c>
      <c r="AD62" s="14" t="s">
        <v>11</v>
      </c>
      <c r="AP62" s="14" t="s">
        <v>11</v>
      </c>
    </row>
    <row r="63" spans="1:67" ht="25.5" hidden="1" x14ac:dyDescent="0.2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2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2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2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2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2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2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2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2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2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2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2"/>
    <row r="76" spans="1:67" hidden="1" x14ac:dyDescent="0.2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2">
      <c r="A77" s="2" t="s">
        <v>166</v>
      </c>
    </row>
    <row r="78" spans="1:67" hidden="1" x14ac:dyDescent="0.2">
      <c r="C78" s="14" t="s">
        <v>11</v>
      </c>
    </row>
    <row r="79" spans="1:67" ht="25.5" hidden="1" x14ac:dyDescent="0.2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2"/>
    <row r="81" spans="1:67" hidden="1" x14ac:dyDescent="0.2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2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2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2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2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2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2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2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2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2">
      <c r="A93" s="16" t="s">
        <v>105</v>
      </c>
    </row>
    <row r="94" spans="1:67" x14ac:dyDescent="0.2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5.5" x14ac:dyDescent="0.2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1" x14ac:dyDescent="0.2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2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workbookViewId="0">
      <pane ySplit="20" topLeftCell="A66" activePane="bottomLeft" state="frozen"/>
      <selection pane="bottomLeft" activeCell="K13" sqref="K13"/>
    </sheetView>
  </sheetViews>
  <sheetFormatPr defaultColWidth="9.140625" defaultRowHeight="12.75" x14ac:dyDescent="0.2"/>
  <cols>
    <col min="1" max="1" width="5.85546875" style="1" customWidth="1"/>
    <col min="2" max="2" width="15.140625" style="1" customWidth="1"/>
    <col min="3" max="3" width="9.140625" style="1"/>
    <col min="4" max="4" width="8.7109375" style="1" customWidth="1"/>
    <col min="5" max="8" width="9.140625" style="1"/>
    <col min="9" max="9" width="10.140625" style="1" customWidth="1"/>
    <col min="10" max="10" width="9.140625" style="1"/>
    <col min="11" max="11" width="9.140625" style="173"/>
    <col min="12" max="12" width="8.42578125" style="173" customWidth="1"/>
    <col min="13" max="13" width="9.140625" style="1"/>
    <col min="14" max="14" width="22.42578125" style="1" customWidth="1"/>
    <col min="15" max="20" width="9.140625" style="1"/>
    <col min="21" max="21" width="10.42578125" style="1" customWidth="1"/>
    <col min="22" max="25" width="9.140625" style="1"/>
    <col min="26" max="26" width="16.7109375" style="1" customWidth="1"/>
    <col min="27" max="16384" width="9.140625" style="1"/>
  </cols>
  <sheetData>
    <row r="1" spans="2:36" x14ac:dyDescent="0.2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2">
      <c r="AE2" s="1" t="s">
        <v>63</v>
      </c>
      <c r="AG2" s="1" t="s">
        <v>64</v>
      </c>
    </row>
    <row r="3" spans="2:36" x14ac:dyDescent="0.2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2">
      <c r="B4" s="1" t="s">
        <v>65</v>
      </c>
      <c r="C4" s="33">
        <f>[1]Work!$G$22</f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f>[1]Work!$G38</f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f>[1]University!$G12</f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f>[1]HighSchool!$G12</f>
        <v>-1.1445060279170556</v>
      </c>
      <c r="AF4" s="232">
        <f>[1]GradeSchool!$G12</f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2">
      <c r="B5" s="1" t="s">
        <v>66</v>
      </c>
      <c r="C5" s="33">
        <f>[1]Work!$G$23</f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f>[1]Work!$G39</f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f>[1]University!$G13</f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f>[1]HighSchool!$G13</f>
        <v>-0.10907884717484495</v>
      </c>
      <c r="AF5" s="232">
        <f>[1]GradeSchool!$G13</f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2">
      <c r="B6" s="1" t="s">
        <v>67</v>
      </c>
      <c r="C6" s="33">
        <f>[1]Work!$G$24</f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f>[1]Work!$G40</f>
        <v>3.5256171097058089</v>
      </c>
      <c r="J6" s="33">
        <f t="shared" si="2"/>
        <v>3.5256171097058089</v>
      </c>
      <c r="K6" s="33">
        <f>damp_county_work*LN((SF_SC_obs/SF_tot_obs)/(SF_SC_model/SF_tot_model))</f>
        <v>0</v>
      </c>
      <c r="N6" s="1" t="s">
        <v>67</v>
      </c>
      <c r="O6" s="232">
        <f>[1]University!$G14</f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f>[1]HighSchool!$G14</f>
        <v>-0.38571852319234695</v>
      </c>
      <c r="AF6" s="232">
        <f>[1]GradeSchool!$G14</f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2">
      <c r="B7" s="1" t="s">
        <v>68</v>
      </c>
      <c r="C7" s="33">
        <f>[1]Work!$G$25</f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f>[1]Work!$G41</f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f>[1]University!$G15</f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 t="e">
        <f>(AH33-AH23)/10</f>
        <v>#NUM!</v>
      </c>
      <c r="AC7" s="33" t="e">
        <f t="shared" si="1"/>
        <v>#NUM!</v>
      </c>
      <c r="AE7" s="232">
        <f>[1]HighSchool!$G15</f>
        <v>-0.27772540332061751</v>
      </c>
      <c r="AF7" s="232">
        <f>[1]GradeSchool!$G15</f>
        <v>-0.29219769956704994</v>
      </c>
      <c r="AG7" s="33" t="e">
        <f t="shared" si="3"/>
        <v>#NUM!</v>
      </c>
      <c r="AH7" s="33" t="e">
        <f t="shared" si="3"/>
        <v>#NUM!</v>
      </c>
    </row>
    <row r="8" spans="2:36" x14ac:dyDescent="0.2">
      <c r="B8" s="1" t="s">
        <v>69</v>
      </c>
      <c r="C8" s="33">
        <f>[1]Work!$G$26</f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f>[1]Work!$G42</f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f>[1]University!$G16</f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 t="e">
        <f>(AH48-AH33)/15</f>
        <v>#NUM!</v>
      </c>
      <c r="AC8" s="33" t="e">
        <f t="shared" si="1"/>
        <v>#NUM!</v>
      </c>
      <c r="AE8" s="232">
        <f>[1]HighSchool!$G16</f>
        <v>-0.3818014189868591</v>
      </c>
      <c r="AF8" s="232">
        <f>[1]GradeSchool!$G16</f>
        <v>-9.331366790651309E-2</v>
      </c>
      <c r="AG8" s="33" t="e">
        <f t="shared" si="3"/>
        <v>#NUM!</v>
      </c>
      <c r="AH8" s="33" t="e">
        <f t="shared" si="3"/>
        <v>#NUM!</v>
      </c>
    </row>
    <row r="9" spans="2:36" x14ac:dyDescent="0.2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f>[1]Work!$G43</f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 t="e">
        <f>AB8</f>
        <v>#NUM!</v>
      </c>
      <c r="AC9" s="33" t="e">
        <f t="shared" si="1"/>
        <v>#NUM!</v>
      </c>
      <c r="AE9" s="33">
        <f>AE8</f>
        <v>-0.3818014189868591</v>
      </c>
      <c r="AF9" s="33">
        <f>AF8</f>
        <v>-9.331366790651309E-2</v>
      </c>
      <c r="AG9" s="33" t="e">
        <f t="shared" si="3"/>
        <v>#NUM!</v>
      </c>
      <c r="AH9" s="33" t="e">
        <f t="shared" si="3"/>
        <v>#NUM!</v>
      </c>
    </row>
    <row r="10" spans="2:36" x14ac:dyDescent="0.2">
      <c r="F10" s="118"/>
      <c r="G10" s="119"/>
      <c r="H10" s="120" t="s">
        <v>117</v>
      </c>
      <c r="I10" s="33">
        <f>[1]Work!$G44</f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2">
      <c r="F11" s="163"/>
      <c r="G11" s="164"/>
      <c r="H11" s="165" t="s">
        <v>173</v>
      </c>
      <c r="I11" s="33">
        <f>[1]Work!$G45</f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2">
      <c r="F12" s="166"/>
      <c r="G12" s="166"/>
      <c r="H12" s="167" t="s">
        <v>174</v>
      </c>
      <c r="I12" s="33">
        <f>[1]Work!$G46</f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2">
      <c r="F13" s="166"/>
      <c r="G13" s="166"/>
      <c r="H13" s="167" t="s">
        <v>175</v>
      </c>
      <c r="I13" s="33">
        <f>[1]Work!$G47</f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2">
      <c r="F14" s="122"/>
      <c r="G14" s="122"/>
      <c r="H14" s="123"/>
      <c r="I14" s="33"/>
      <c r="J14" s="33"/>
    </row>
    <row r="15" spans="2:36" x14ac:dyDescent="0.2">
      <c r="B15" s="16" t="s">
        <v>83</v>
      </c>
      <c r="N15" s="16" t="s">
        <v>84</v>
      </c>
      <c r="Z15" s="16" t="s">
        <v>88</v>
      </c>
    </row>
    <row r="16" spans="2:36" x14ac:dyDescent="0.2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5.5" x14ac:dyDescent="0.2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2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7.953932002914528E-2</v>
      </c>
      <c r="F18" s="38">
        <f>modeldata!L20</f>
        <v>6.6666666666666671E-3</v>
      </c>
      <c r="G18" s="34">
        <f t="shared" ref="G18:G49" si="4">(F18-E18)/E18</f>
        <v>-0.91618401233221725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0.1516515676870249</v>
      </c>
      <c r="R18" s="38">
        <f>modeldata!Y20</f>
        <v>6.6666666666666671E-3</v>
      </c>
      <c r="S18" s="34">
        <f>(R18-Q18)/Q18</f>
        <v>-0.95603957962092967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0.21794148867697988</v>
      </c>
      <c r="AD18" s="38">
        <f>modeldata!AL20</f>
        <v>6.6666666666666671E-3</v>
      </c>
      <c r="AE18" s="34">
        <f>(AD18-AC18)/AC18</f>
        <v>-0.96941075007270594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2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7.5065705565646318E-2</v>
      </c>
      <c r="F19" s="48">
        <f>modeldata!L21</f>
        <v>6.6666666666666671E-3</v>
      </c>
      <c r="G19" s="49">
        <f t="shared" si="4"/>
        <v>-0.91118891621105791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0.24569097546568361</v>
      </c>
      <c r="R19" s="48">
        <f>modeldata!Y21</f>
        <v>6.6666666666666671E-3</v>
      </c>
      <c r="S19" s="49">
        <f t="shared" ref="S19:S68" si="15">(R19-Q19)/Q19</f>
        <v>-0.9728656428913165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0.21293024397185348</v>
      </c>
      <c r="AD19" s="48">
        <f>modeldata!AL21</f>
        <v>6.6666666666666671E-3</v>
      </c>
      <c r="AE19" s="49">
        <f t="shared" ref="AE19:AE68" si="17">(AD19-AC19)/AC19</f>
        <v>-0.96869084192874033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2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8.9872933485591083E-2</v>
      </c>
      <c r="F20" s="38">
        <f>modeldata!L22</f>
        <v>6.6666666666666671E-3</v>
      </c>
      <c r="G20" s="34">
        <f t="shared" si="4"/>
        <v>-0.92582119657042794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3.5979773913738182E-2</v>
      </c>
      <c r="R20" s="38">
        <f>modeldata!Y22</f>
        <v>6.6666666666666671E-3</v>
      </c>
      <c r="S20" s="34">
        <f t="shared" si="15"/>
        <v>-0.81471071267290174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0.2139726875723188</v>
      </c>
      <c r="AD20" s="38">
        <f>modeldata!AL22</f>
        <v>6.6666666666666671E-3</v>
      </c>
      <c r="AE20" s="34">
        <f t="shared" si="17"/>
        <v>-0.96884337556206357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2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6.7872464202276467E-2</v>
      </c>
      <c r="F21" s="38">
        <f>modeldata!L23</f>
        <v>6.6666666666666671E-3</v>
      </c>
      <c r="G21" s="34">
        <f t="shared" si="4"/>
        <v>-0.90177656366212988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4.6528995501407946E-2</v>
      </c>
      <c r="R21" s="38">
        <f>modeldata!Y23</f>
        <v>6.6666666666666671E-3</v>
      </c>
      <c r="S21" s="34">
        <f t="shared" si="15"/>
        <v>-0.85672016782599703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0.10191608970031879</v>
      </c>
      <c r="AD21" s="38">
        <f>modeldata!AL23</f>
        <v>6.6666666666666671E-3</v>
      </c>
      <c r="AE21" s="34">
        <f t="shared" si="17"/>
        <v>-0.93458671063352405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2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6.1222242903389568E-2</v>
      </c>
      <c r="F22" s="38">
        <f>modeldata!L24</f>
        <v>6.6666666666666671E-3</v>
      </c>
      <c r="G22" s="34">
        <f t="shared" si="4"/>
        <v>-0.8911071148244788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4.9956405260759347E-2</v>
      </c>
      <c r="R22" s="38">
        <f>modeldata!Y24</f>
        <v>6.6666666666666671E-3</v>
      </c>
      <c r="S22" s="34">
        <f t="shared" si="15"/>
        <v>-0.86655031258017035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4.3557119064182741E-2</v>
      </c>
      <c r="AD22" s="38">
        <f>modeldata!AL24</f>
        <v>6.6666666666666671E-3</v>
      </c>
      <c r="AE22" s="34">
        <f t="shared" si="17"/>
        <v>-0.84694426973365411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2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7.6790738286286908E-2</v>
      </c>
      <c r="F23" s="48">
        <f>modeldata!L25</f>
        <v>6.6666666666666671E-3</v>
      </c>
      <c r="G23" s="49">
        <f t="shared" si="4"/>
        <v>-0.91318397484586777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9.4765670506886557E-2</v>
      </c>
      <c r="R23" s="48">
        <f>modeldata!Y25</f>
        <v>6.6666666666666671E-3</v>
      </c>
      <c r="S23" s="49">
        <f t="shared" si="15"/>
        <v>-0.92965103680470229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0.10263646779255578</v>
      </c>
      <c r="AD23" s="48">
        <f>modeldata!AL25</f>
        <v>6.6666666666666671E-3</v>
      </c>
      <c r="AE23" s="49">
        <f t="shared" si="17"/>
        <v>-0.93504582912828771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 t="e">
        <f>AB7</f>
        <v>#NUM!</v>
      </c>
      <c r="AJ23" s="46">
        <f t="shared" si="22"/>
        <v>-2.8251116487828263</v>
      </c>
    </row>
    <row r="24" spans="1:36" x14ac:dyDescent="0.2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3.5675056288461605E-2</v>
      </c>
      <c r="F24" s="48">
        <f>modeldata!L26</f>
        <v>6.6666666666666671E-3</v>
      </c>
      <c r="G24" s="49">
        <f t="shared" si="4"/>
        <v>-0.81312806873347887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2.8006708852186205E-2</v>
      </c>
      <c r="R24" s="48">
        <f>modeldata!Y26</f>
        <v>6.6666666666666671E-3</v>
      </c>
      <c r="S24" s="49">
        <f t="shared" si="15"/>
        <v>-0.76196179630202188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2.4037493184606601E-2</v>
      </c>
      <c r="AD24" s="48">
        <f>modeldata!AL26</f>
        <v>6.6666666666666671E-3</v>
      </c>
      <c r="AE24" s="49">
        <f t="shared" si="17"/>
        <v>-0.72265549425362119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 t="e">
        <f>AI23</f>
        <v>#NUM!</v>
      </c>
      <c r="AJ24" s="46" t="e">
        <f t="shared" si="22"/>
        <v>#NUM!</v>
      </c>
    </row>
    <row r="25" spans="1:36" x14ac:dyDescent="0.2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4.538824168237978E-2</v>
      </c>
      <c r="F25" s="48">
        <f>modeldata!L27</f>
        <v>6.6666666666666671E-3</v>
      </c>
      <c r="G25" s="49">
        <f t="shared" si="4"/>
        <v>-0.85311908063504605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1.1610510183663077E-2</v>
      </c>
      <c r="R25" s="48">
        <f>modeldata!Y27</f>
        <v>6.6666666666666671E-3</v>
      </c>
      <c r="S25" s="49">
        <f t="shared" si="15"/>
        <v>-0.42580760352398606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2.8016111524551579E-2</v>
      </c>
      <c r="AD25" s="48">
        <f>modeldata!AL27</f>
        <v>6.6666666666666671E-3</v>
      </c>
      <c r="AE25" s="49">
        <f t="shared" si="17"/>
        <v>-0.76204168587691357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 t="e">
        <f t="shared" ref="AI25:AI32" si="28">AI24</f>
        <v>#NUM!</v>
      </c>
      <c r="AJ25" s="46" t="e">
        <f t="shared" si="22"/>
        <v>#NUM!</v>
      </c>
    </row>
    <row r="26" spans="1:36" x14ac:dyDescent="0.2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3.0824109765572424E-2</v>
      </c>
      <c r="F26" s="48">
        <f>modeldata!L28</f>
        <v>6.6666666666666671E-3</v>
      </c>
      <c r="G26" s="49">
        <f t="shared" si="4"/>
        <v>-0.78371908491862774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1.7077773976817805E-2</v>
      </c>
      <c r="R26" s="48">
        <f>modeldata!Y28</f>
        <v>6.6666666666666671E-3</v>
      </c>
      <c r="S26" s="49">
        <f t="shared" si="15"/>
        <v>-0.60962906080638357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1.2315653612078745E-2</v>
      </c>
      <c r="AD26" s="48">
        <f>modeldata!AL28</f>
        <v>6.6666666666666671E-3</v>
      </c>
      <c r="AE26" s="49">
        <f t="shared" si="17"/>
        <v>-0.45868348715749496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 t="e">
        <f t="shared" si="28"/>
        <v>#NUM!</v>
      </c>
      <c r="AJ26" s="46" t="e">
        <f t="shared" si="22"/>
        <v>#NUM!</v>
      </c>
    </row>
    <row r="27" spans="1:36" x14ac:dyDescent="0.2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2.8290341395834973E-2</v>
      </c>
      <c r="F27" s="48">
        <f>modeldata!L29</f>
        <v>6.6666666666666671E-3</v>
      </c>
      <c r="G27" s="49">
        <f t="shared" si="4"/>
        <v>-0.76434831332052555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2.1838804884090129E-3</v>
      </c>
      <c r="R27" s="48">
        <f>modeldata!Y29</f>
        <v>6.6666666666666671E-3</v>
      </c>
      <c r="S27" s="49">
        <f t="shared" si="15"/>
        <v>2.0526700989592275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1.2390111337711444E-2</v>
      </c>
      <c r="AD27" s="48">
        <f>modeldata!AL29</f>
        <v>6.6666666666666671E-3</v>
      </c>
      <c r="AE27" s="49">
        <f t="shared" si="17"/>
        <v>-0.46193650041097573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 t="e">
        <f t="shared" si="28"/>
        <v>#NUM!</v>
      </c>
      <c r="AJ27" s="46" t="e">
        <f t="shared" si="22"/>
        <v>#NUM!</v>
      </c>
    </row>
    <row r="28" spans="1:36" x14ac:dyDescent="0.2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4.0727469669807788E-2</v>
      </c>
      <c r="F28" s="48">
        <f>modeldata!L30</f>
        <v>6.6666666666666671E-3</v>
      </c>
      <c r="G28" s="49">
        <f t="shared" si="4"/>
        <v>-0.83631031535433631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2.8773117650292595E-2</v>
      </c>
      <c r="R28" s="48">
        <f>modeldata!Y30</f>
        <v>6.6666666666666671E-3</v>
      </c>
      <c r="S28" s="49">
        <f t="shared" si="15"/>
        <v>-0.76830224838013428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1.0749444496901815E-2</v>
      </c>
      <c r="AD28" s="48">
        <f>modeldata!AL30</f>
        <v>6.6666666666666671E-3</v>
      </c>
      <c r="AE28" s="49">
        <f t="shared" si="17"/>
        <v>-0.37981291325443645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 t="e">
        <f t="shared" si="28"/>
        <v>#NUM!</v>
      </c>
      <c r="AJ28" s="46" t="e">
        <f t="shared" si="22"/>
        <v>#NUM!</v>
      </c>
    </row>
    <row r="29" spans="1:36" x14ac:dyDescent="0.2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3.0824208618396003E-2</v>
      </c>
      <c r="F29" s="48">
        <f>modeldata!L31</f>
        <v>6.6666666666666671E-3</v>
      </c>
      <c r="G29" s="49">
        <f t="shared" si="4"/>
        <v>-0.78371977852862129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2.7812311544293425E-3</v>
      </c>
      <c r="R29" s="48">
        <f>modeldata!Y31</f>
        <v>6.6666666666666671E-3</v>
      </c>
      <c r="S29" s="49">
        <f t="shared" si="15"/>
        <v>1.3970199873712204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5.3424169402355387E-4</v>
      </c>
      <c r="AD29" s="48">
        <f>modeldata!AL31</f>
        <v>6.6666666666666671E-3</v>
      </c>
      <c r="AE29" s="49">
        <f t="shared" si="17"/>
        <v>11.478746494789199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 t="e">
        <f t="shared" si="28"/>
        <v>#NUM!</v>
      </c>
      <c r="AJ29" s="46" t="e">
        <f t="shared" si="22"/>
        <v>#NUM!</v>
      </c>
    </row>
    <row r="30" spans="1:36" x14ac:dyDescent="0.2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1.8826286985520291E-2</v>
      </c>
      <c r="F30" s="48">
        <f>modeldata!L32</f>
        <v>6.6666666666666671E-3</v>
      </c>
      <c r="G30" s="49">
        <f t="shared" si="4"/>
        <v>-0.64588520977109576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1.5121112870028549E-3</v>
      </c>
      <c r="R30" s="48">
        <f>modeldata!Y32</f>
        <v>6.6666666666666671E-3</v>
      </c>
      <c r="S30" s="49">
        <f t="shared" si="15"/>
        <v>3.4088465736411639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1.3535585524011948E-2</v>
      </c>
      <c r="AD30" s="48">
        <f>modeldata!AL32</f>
        <v>6.6666666666666671E-3</v>
      </c>
      <c r="AE30" s="49">
        <f t="shared" si="17"/>
        <v>-0.5074711282463481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 t="e">
        <f t="shared" si="28"/>
        <v>#NUM!</v>
      </c>
      <c r="AJ30" s="46" t="e">
        <f t="shared" si="22"/>
        <v>#NUM!</v>
      </c>
    </row>
    <row r="31" spans="1:36" x14ac:dyDescent="0.2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3.0563565210529622E-2</v>
      </c>
      <c r="F31" s="48">
        <f>modeldata!L33</f>
        <v>6.6666666666666671E-3</v>
      </c>
      <c r="G31" s="49">
        <f t="shared" si="4"/>
        <v>-0.78187535973814015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1.9699352953276305E-2</v>
      </c>
      <c r="R31" s="48">
        <f>modeldata!Y33</f>
        <v>6.6666666666666671E-3</v>
      </c>
      <c r="S31" s="49">
        <f t="shared" si="15"/>
        <v>-0.66157940910653623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9.1709026048525529E-4</v>
      </c>
      <c r="AD31" s="48">
        <f>modeldata!AL33</f>
        <v>6.6666666666666671E-3</v>
      </c>
      <c r="AE31" s="49">
        <f t="shared" si="17"/>
        <v>6.2693680806719803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 t="e">
        <f t="shared" si="28"/>
        <v>#NUM!</v>
      </c>
      <c r="AJ31" s="46" t="e">
        <f t="shared" si="22"/>
        <v>#NUM!</v>
      </c>
    </row>
    <row r="32" spans="1:36" x14ac:dyDescent="0.2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2.0043159098551585E-2</v>
      </c>
      <c r="F32" s="48">
        <f>modeldata!L34</f>
        <v>6.6666666666666671E-3</v>
      </c>
      <c r="G32" s="49">
        <f t="shared" si="4"/>
        <v>-0.66738443606185649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4.0823116969816907E-2</v>
      </c>
      <c r="R32" s="48">
        <f>modeldata!Y34</f>
        <v>6.6666666666666671E-3</v>
      </c>
      <c r="S32" s="49">
        <f t="shared" si="15"/>
        <v>-0.83669383522096674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0</v>
      </c>
      <c r="AD32" s="48">
        <f>modeldata!AL34</f>
        <v>6.6666666666666671E-3</v>
      </c>
      <c r="AE32" s="49" t="e">
        <f t="shared" si="17"/>
        <v>#DIV/0!</v>
      </c>
      <c r="AF32" s="50" t="e">
        <f t="shared" si="10"/>
        <v>#NUM!</v>
      </c>
      <c r="AG32" s="51" t="e">
        <f t="shared" si="11"/>
        <v>#NUM!</v>
      </c>
      <c r="AH32" s="52" t="e">
        <f t="shared" si="21"/>
        <v>#NUM!</v>
      </c>
      <c r="AI32" s="178" t="e">
        <f t="shared" si="28"/>
        <v>#NUM!</v>
      </c>
      <c r="AJ32" s="46" t="e">
        <f t="shared" si="22"/>
        <v>#NUM!</v>
      </c>
    </row>
    <row r="33" spans="1:36" x14ac:dyDescent="0.2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2.1588140543538376E-2</v>
      </c>
      <c r="F33" s="38">
        <f>modeldata!L35</f>
        <v>6.6666666666666671E-3</v>
      </c>
      <c r="G33" s="34">
        <f t="shared" si="4"/>
        <v>-0.69118847205846579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1.8128623361998102E-2</v>
      </c>
      <c r="R33" s="38">
        <f>modeldata!Y35</f>
        <v>6.6666666666666671E-3</v>
      </c>
      <c r="S33" s="34">
        <f t="shared" si="15"/>
        <v>-0.63225742332748858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0</v>
      </c>
      <c r="AD33" s="38">
        <f>modeldata!AL35</f>
        <v>6.6666666666666671E-3</v>
      </c>
      <c r="AE33" s="34" t="e">
        <f t="shared" si="17"/>
        <v>#DIV/0!</v>
      </c>
      <c r="AF33" s="39" t="e">
        <f t="shared" si="10"/>
        <v>#NUM!</v>
      </c>
      <c r="AG33" s="40" t="e">
        <f t="shared" si="11"/>
        <v>#NUM!</v>
      </c>
      <c r="AH33" s="41" t="e">
        <f t="shared" si="21"/>
        <v>#NUM!</v>
      </c>
      <c r="AI33" s="176" t="e">
        <f>AB8</f>
        <v>#NUM!</v>
      </c>
      <c r="AJ33" s="42" t="e">
        <f t="shared" si="22"/>
        <v>#NUM!</v>
      </c>
    </row>
    <row r="34" spans="1:36" x14ac:dyDescent="0.2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1.3014475208445302E-2</v>
      </c>
      <c r="F34" s="38">
        <f>modeldata!L36</f>
        <v>6.6666666666666671E-3</v>
      </c>
      <c r="G34" s="34">
        <f t="shared" si="4"/>
        <v>-0.48774986621507721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1.3894137179195031E-3</v>
      </c>
      <c r="R34" s="38">
        <f>modeldata!Y36</f>
        <v>6.6666666666666671E-3</v>
      </c>
      <c r="S34" s="34">
        <f t="shared" si="15"/>
        <v>3.7981868760078745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1.2675893873975033E-4</v>
      </c>
      <c r="AD34" s="38">
        <f>modeldata!AL36</f>
        <v>6.6666666666666671E-3</v>
      </c>
      <c r="AE34" s="34">
        <f t="shared" si="17"/>
        <v>51.593266659908281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 t="e">
        <f>AI33</f>
        <v>#NUM!</v>
      </c>
      <c r="AJ34" s="42" t="e">
        <f t="shared" si="22"/>
        <v>#NUM!</v>
      </c>
    </row>
    <row r="35" spans="1:36" x14ac:dyDescent="0.2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1.808309968538796E-2</v>
      </c>
      <c r="F35" s="38">
        <f>modeldata!L37</f>
        <v>6.6666666666666671E-3</v>
      </c>
      <c r="G35" s="34">
        <f t="shared" si="4"/>
        <v>-0.63133164210482873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1.7183072076939612E-2</v>
      </c>
      <c r="R35" s="38">
        <f>modeldata!Y37</f>
        <v>6.6666666666666671E-3</v>
      </c>
      <c r="S35" s="34">
        <f t="shared" si="15"/>
        <v>-0.61202125924772155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3.1744728315596204E-3</v>
      </c>
      <c r="AD35" s="38">
        <f>modeldata!AL37</f>
        <v>6.6666666666666671E-3</v>
      </c>
      <c r="AE35" s="34">
        <f t="shared" si="17"/>
        <v>1.1000862254635613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 t="e">
        <f t="shared" ref="AI35:AI68" si="34">AI34</f>
        <v>#NUM!</v>
      </c>
      <c r="AJ35" s="42" t="e">
        <f t="shared" si="22"/>
        <v>#NUM!</v>
      </c>
    </row>
    <row r="36" spans="1:36" x14ac:dyDescent="0.2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1.2679505981521297E-2</v>
      </c>
      <c r="F36" s="38">
        <f>modeldata!L38</f>
        <v>6.6666666666666671E-3</v>
      </c>
      <c r="G36" s="34">
        <f t="shared" si="4"/>
        <v>-0.47421715984972507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2.2037541144862044E-3</v>
      </c>
      <c r="R36" s="38">
        <f>modeldata!Y38</f>
        <v>6.6666666666666671E-3</v>
      </c>
      <c r="S36" s="34">
        <f t="shared" si="15"/>
        <v>2.025140882480426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0</v>
      </c>
      <c r="AD36" s="38">
        <f>modeldata!AL38</f>
        <v>6.6666666666666671E-3</v>
      </c>
      <c r="AE36" s="34" t="e">
        <f t="shared" si="17"/>
        <v>#DIV/0!</v>
      </c>
      <c r="AF36" s="39" t="e">
        <f t="shared" si="10"/>
        <v>#NUM!</v>
      </c>
      <c r="AG36" s="40" t="e">
        <f t="shared" si="11"/>
        <v>#NUM!</v>
      </c>
      <c r="AH36" s="41" t="e">
        <f t="shared" si="21"/>
        <v>#NUM!</v>
      </c>
      <c r="AI36" s="176" t="e">
        <f t="shared" si="34"/>
        <v>#NUM!</v>
      </c>
      <c r="AJ36" s="42" t="e">
        <f t="shared" si="22"/>
        <v>#NUM!</v>
      </c>
    </row>
    <row r="37" spans="1:36" x14ac:dyDescent="0.2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1.7325286209793078E-2</v>
      </c>
      <c r="F37" s="38">
        <f>modeldata!L39</f>
        <v>6.6666666666666671E-3</v>
      </c>
      <c r="G37" s="34">
        <f t="shared" si="4"/>
        <v>-0.61520597201457194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1.3841354590238077E-2</v>
      </c>
      <c r="R37" s="38">
        <f>modeldata!Y39</f>
        <v>6.6666666666666671E-3</v>
      </c>
      <c r="S37" s="34">
        <f t="shared" si="15"/>
        <v>-0.51835157294731238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 t="e">
        <f t="shared" si="34"/>
        <v>#NUM!</v>
      </c>
      <c r="AJ37" s="42" t="e">
        <f t="shared" si="22"/>
        <v>#NUM!</v>
      </c>
    </row>
    <row r="38" spans="1:36" x14ac:dyDescent="0.2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2.2936163898969207E-2</v>
      </c>
      <c r="F38" s="38">
        <f>modeldata!L40</f>
        <v>6.6666666666666671E-3</v>
      </c>
      <c r="G38" s="34">
        <f t="shared" si="4"/>
        <v>-0.70933820075438681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1.2591457595442718E-2</v>
      </c>
      <c r="R38" s="38">
        <f>modeldata!Y40</f>
        <v>6.6666666666666671E-3</v>
      </c>
      <c r="S38" s="34">
        <f t="shared" si="15"/>
        <v>-0.47054051398469043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2.7936077016973743E-4</v>
      </c>
      <c r="AD38" s="38">
        <f>modeldata!AL40</f>
        <v>6.6666666666666671E-3</v>
      </c>
      <c r="AE38" s="34">
        <f t="shared" si="17"/>
        <v>22.864004464964971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 t="e">
        <f t="shared" si="34"/>
        <v>#NUM!</v>
      </c>
      <c r="AJ38" s="42" t="e">
        <f t="shared" si="22"/>
        <v>#NUM!</v>
      </c>
    </row>
    <row r="39" spans="1:36" x14ac:dyDescent="0.2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1.2278066917195515E-2</v>
      </c>
      <c r="F39" s="38">
        <f>modeldata!L41</f>
        <v>6.6666666666666671E-3</v>
      </c>
      <c r="G39" s="34">
        <f t="shared" si="4"/>
        <v>-0.45702636159036109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1.3998449439382204E-2</v>
      </c>
      <c r="R39" s="38">
        <f>modeldata!Y41</f>
        <v>6.6666666666666671E-3</v>
      </c>
      <c r="S39" s="34">
        <f t="shared" si="15"/>
        <v>-0.52375677781060814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3.4851056986445116E-4</v>
      </c>
      <c r="AD39" s="38">
        <f>modeldata!AL41</f>
        <v>6.6666666666666671E-3</v>
      </c>
      <c r="AE39" s="34">
        <f t="shared" si="17"/>
        <v>18.129022885187052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 t="e">
        <f t="shared" si="34"/>
        <v>#NUM!</v>
      </c>
      <c r="AJ39" s="42" t="e">
        <f t="shared" si="22"/>
        <v>#NUM!</v>
      </c>
    </row>
    <row r="40" spans="1:36" x14ac:dyDescent="0.2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1.0654089326930904E-2</v>
      </c>
      <c r="F40" s="38">
        <f>modeldata!L42</f>
        <v>6.6666666666666671E-3</v>
      </c>
      <c r="G40" s="34">
        <f t="shared" si="4"/>
        <v>-0.37426217651329602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1.6592736098082141E-3</v>
      </c>
      <c r="R40" s="38">
        <f>modeldata!Y42</f>
        <v>6.6666666666666671E-3</v>
      </c>
      <c r="S40" s="34">
        <f t="shared" si="15"/>
        <v>3.0178223936420157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 t="e">
        <f t="shared" si="34"/>
        <v>#NUM!</v>
      </c>
      <c r="AJ40" s="42" t="e">
        <f t="shared" si="22"/>
        <v>#NUM!</v>
      </c>
    </row>
    <row r="41" spans="1:36" x14ac:dyDescent="0.2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1.160530717730817E-2</v>
      </c>
      <c r="F41" s="38">
        <f>modeldata!L43</f>
        <v>6.6666666666666671E-3</v>
      </c>
      <c r="G41" s="34">
        <f t="shared" si="4"/>
        <v>-0.42555017589693922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1.052075508256108E-3</v>
      </c>
      <c r="R41" s="38">
        <f>modeldata!Y43</f>
        <v>6.6666666666666671E-3</v>
      </c>
      <c r="S41" s="34">
        <f t="shared" si="15"/>
        <v>5.3366807936791103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1.1530055243576422E-4</v>
      </c>
      <c r="AD41" s="38">
        <f>modeldata!AL43</f>
        <v>6.6666666666666671E-3</v>
      </c>
      <c r="AE41" s="34">
        <f t="shared" si="17"/>
        <v>56.819902210622743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 t="e">
        <f t="shared" si="34"/>
        <v>#NUM!</v>
      </c>
      <c r="AJ41" s="42" t="e">
        <f t="shared" si="22"/>
        <v>#NUM!</v>
      </c>
    </row>
    <row r="42" spans="1:36" x14ac:dyDescent="0.2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5.9951470477791731E-3</v>
      </c>
      <c r="F42" s="38">
        <f>modeldata!L44</f>
        <v>6.6666666666666671E-3</v>
      </c>
      <c r="G42" s="34">
        <f t="shared" si="4"/>
        <v>0.11201053344241989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8.9121226893979135E-3</v>
      </c>
      <c r="R42" s="38">
        <f>modeldata!Y44</f>
        <v>6.6666666666666671E-3</v>
      </c>
      <c r="S42" s="34">
        <f t="shared" si="15"/>
        <v>-0.25195524130323044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3.7863953244055503E-4</v>
      </c>
      <c r="AD42" s="38">
        <f>modeldata!AL44</f>
        <v>6.6666666666666671E-3</v>
      </c>
      <c r="AE42" s="34">
        <f t="shared" si="17"/>
        <v>16.606895465183126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 t="e">
        <f t="shared" si="34"/>
        <v>#NUM!</v>
      </c>
      <c r="AJ42" s="42" t="e">
        <f t="shared" si="22"/>
        <v>#NUM!</v>
      </c>
    </row>
    <row r="43" spans="1:36" x14ac:dyDescent="0.2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8.1572310799194747E-3</v>
      </c>
      <c r="F43" s="38">
        <f>modeldata!L45</f>
        <v>6.6666666666666671E-3</v>
      </c>
      <c r="G43" s="34">
        <f t="shared" si="4"/>
        <v>-0.1827292127253948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7.5875247551510745E-3</v>
      </c>
      <c r="R43" s="38">
        <f>modeldata!Y45</f>
        <v>6.6666666666666671E-3</v>
      </c>
      <c r="S43" s="34">
        <f t="shared" si="15"/>
        <v>-0.12136475572738639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 t="e">
        <f t="shared" si="34"/>
        <v>#NUM!</v>
      </c>
      <c r="AJ43" s="42" t="e">
        <f t="shared" si="22"/>
        <v>#NUM!</v>
      </c>
    </row>
    <row r="44" spans="1:36" x14ac:dyDescent="0.2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4.2178272482569024E-3</v>
      </c>
      <c r="F44" s="38">
        <f>modeldata!L46</f>
        <v>6.6666666666666671E-3</v>
      </c>
      <c r="G44" s="34">
        <f t="shared" si="4"/>
        <v>0.58059263082000201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4.8694122153507963E-4</v>
      </c>
      <c r="R44" s="38">
        <f>modeldata!Y46</f>
        <v>6.6666666666666671E-3</v>
      </c>
      <c r="S44" s="34">
        <f t="shared" si="15"/>
        <v>12.690906359601341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 t="e">
        <f t="shared" si="34"/>
        <v>#NUM!</v>
      </c>
      <c r="AJ44" s="42" t="e">
        <f t="shared" si="22"/>
        <v>#NUM!</v>
      </c>
    </row>
    <row r="45" spans="1:36" x14ac:dyDescent="0.2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8.0554262731027306E-3</v>
      </c>
      <c r="F45" s="38">
        <f>modeldata!L47</f>
        <v>6.6666666666666671E-3</v>
      </c>
      <c r="G45" s="34">
        <f t="shared" si="4"/>
        <v>-0.17240051107824877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4.4856692825283984E-4</v>
      </c>
      <c r="R45" s="38">
        <f>modeldata!Y47</f>
        <v>6.6666666666666671E-3</v>
      </c>
      <c r="S45" s="34">
        <f t="shared" si="15"/>
        <v>13.862144859036341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0</v>
      </c>
      <c r="AD45" s="38">
        <f>modeldata!AL47</f>
        <v>6.6666666666666671E-3</v>
      </c>
      <c r="AE45" s="34" t="e">
        <f t="shared" si="17"/>
        <v>#DIV/0!</v>
      </c>
      <c r="AF45" s="39" t="e">
        <f t="shared" si="10"/>
        <v>#NUM!</v>
      </c>
      <c r="AG45" s="40" t="e">
        <f t="shared" si="11"/>
        <v>#NUM!</v>
      </c>
      <c r="AH45" s="41" t="e">
        <f t="shared" si="21"/>
        <v>#NUM!</v>
      </c>
      <c r="AI45" s="176" t="e">
        <f t="shared" si="34"/>
        <v>#NUM!</v>
      </c>
      <c r="AJ45" s="42" t="e">
        <f t="shared" si="22"/>
        <v>#NUM!</v>
      </c>
    </row>
    <row r="46" spans="1:36" x14ac:dyDescent="0.2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1.427129887312323E-2</v>
      </c>
      <c r="F46" s="38">
        <f>modeldata!L48</f>
        <v>6.6666666666666671E-3</v>
      </c>
      <c r="G46" s="34">
        <f t="shared" si="4"/>
        <v>-0.53286195419662685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6.914128900851732E-2</v>
      </c>
      <c r="R46" s="38">
        <f>modeldata!Y48</f>
        <v>6.6666666666666671E-3</v>
      </c>
      <c r="S46" s="34">
        <f t="shared" si="15"/>
        <v>-0.90357908042695845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 t="e">
        <f t="shared" si="34"/>
        <v>#NUM!</v>
      </c>
      <c r="AJ46" s="42" t="e">
        <f t="shared" si="22"/>
        <v>#NUM!</v>
      </c>
    </row>
    <row r="47" spans="1:36" x14ac:dyDescent="0.2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6.1545988165002206E-3</v>
      </c>
      <c r="F47" s="38">
        <f>modeldata!L49</f>
        <v>6.6666666666666671E-3</v>
      </c>
      <c r="G47" s="34">
        <f t="shared" si="4"/>
        <v>8.3200849549058209E-2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1.123952079904183E-3</v>
      </c>
      <c r="R47" s="38">
        <f>modeldata!Y49</f>
        <v>6.6666666666666671E-3</v>
      </c>
      <c r="S47" s="34">
        <f t="shared" si="15"/>
        <v>4.9314509807526674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 t="e">
        <f t="shared" si="34"/>
        <v>#NUM!</v>
      </c>
      <c r="AJ47" s="42" t="e">
        <f t="shared" si="22"/>
        <v>#NUM!</v>
      </c>
    </row>
    <row r="48" spans="1:36" x14ac:dyDescent="0.2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4.0695519692779828E-3</v>
      </c>
      <c r="F48" s="48">
        <f>modeldata!L50</f>
        <v>6.6666666666666671E-3</v>
      </c>
      <c r="G48" s="49">
        <f t="shared" si="4"/>
        <v>0.63818197113464137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8.0617428691007978E-4</v>
      </c>
      <c r="R48" s="48">
        <f>modeldata!Y50</f>
        <v>6.6666666666666671E-3</v>
      </c>
      <c r="S48" s="49">
        <f t="shared" si="15"/>
        <v>7.2695104209026491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 t="e">
        <f t="shared" si="34"/>
        <v>#NUM!</v>
      </c>
      <c r="AJ48" s="46" t="e">
        <f t="shared" si="22"/>
        <v>#NUM!</v>
      </c>
    </row>
    <row r="49" spans="1:36" x14ac:dyDescent="0.2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9.9574312129258411E-3</v>
      </c>
      <c r="F49" s="48">
        <f>modeldata!L51</f>
        <v>6.6666666666666671E-3</v>
      </c>
      <c r="G49" s="49">
        <f t="shared" si="4"/>
        <v>-0.33048328187167386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5.1479050987633165E-3</v>
      </c>
      <c r="R49" s="48">
        <f>modeldata!Y51</f>
        <v>6.6666666666666671E-3</v>
      </c>
      <c r="S49" s="49">
        <f t="shared" si="15"/>
        <v>0.29502516825110148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 t="e">
        <f t="shared" si="34"/>
        <v>#NUM!</v>
      </c>
      <c r="AJ49" s="46" t="e">
        <f t="shared" si="22"/>
        <v>#NUM!</v>
      </c>
    </row>
    <row r="50" spans="1:36" x14ac:dyDescent="0.2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1.2693187298118318E-2</v>
      </c>
      <c r="F50" s="48">
        <f>modeldata!L52</f>
        <v>6.6666666666666671E-3</v>
      </c>
      <c r="G50" s="49">
        <f t="shared" ref="G50:G68" si="35">(F50-E50)/E50</f>
        <v>-0.47478387342043266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6.4241549358804795E-4</v>
      </c>
      <c r="R50" s="48">
        <f>modeldata!Y52</f>
        <v>6.6666666666666671E-3</v>
      </c>
      <c r="S50" s="49">
        <f t="shared" si="15"/>
        <v>9.3774998162508503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 t="e">
        <f t="shared" si="34"/>
        <v>#NUM!</v>
      </c>
      <c r="AJ50" s="46" t="e">
        <f t="shared" si="22"/>
        <v>#NUM!</v>
      </c>
    </row>
    <row r="51" spans="1:36" x14ac:dyDescent="0.2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5.5993678083599363E-3</v>
      </c>
      <c r="F51" s="48">
        <f>modeldata!L53</f>
        <v>6.6666666666666671E-3</v>
      </c>
      <c r="G51" s="49">
        <f t="shared" si="35"/>
        <v>0.19061060013118594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 t="e">
        <f t="shared" si="34"/>
        <v>#NUM!</v>
      </c>
      <c r="AJ51" s="46" t="e">
        <f t="shared" si="22"/>
        <v>#NUM!</v>
      </c>
    </row>
    <row r="52" spans="1:36" x14ac:dyDescent="0.2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1.5150498279548768E-3</v>
      </c>
      <c r="F52" s="48">
        <f>modeldata!L54</f>
        <v>6.6666666666666671E-3</v>
      </c>
      <c r="G52" s="49">
        <f t="shared" si="35"/>
        <v>3.4002953194389738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1.5559776952318473E-2</v>
      </c>
      <c r="R52" s="48">
        <f>modeldata!Y54</f>
        <v>6.6666666666666671E-3</v>
      </c>
      <c r="S52" s="49">
        <f t="shared" si="15"/>
        <v>-0.571544843663501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 t="e">
        <f t="shared" si="34"/>
        <v>#NUM!</v>
      </c>
      <c r="AJ52" s="46" t="e">
        <f t="shared" si="22"/>
        <v>#NUM!</v>
      </c>
    </row>
    <row r="53" spans="1:36" x14ac:dyDescent="0.2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5.3878266797000229E-3</v>
      </c>
      <c r="F53" s="48">
        <f>modeldata!L55</f>
        <v>6.6666666666666671E-3</v>
      </c>
      <c r="G53" s="49">
        <f t="shared" si="35"/>
        <v>0.23735729877595951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1.2470793829488848E-2</v>
      </c>
      <c r="R53" s="48">
        <f>modeldata!Y55</f>
        <v>6.6666666666666671E-3</v>
      </c>
      <c r="S53" s="49">
        <f t="shared" si="15"/>
        <v>-0.46541761833136491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 t="e">
        <f t="shared" si="34"/>
        <v>#NUM!</v>
      </c>
      <c r="AJ53" s="46" t="e">
        <f t="shared" si="22"/>
        <v>#NUM!</v>
      </c>
    </row>
    <row r="54" spans="1:36" x14ac:dyDescent="0.2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1.2259562957101311E-3</v>
      </c>
      <c r="F54" s="48">
        <f>modeldata!L56</f>
        <v>6.6666666666666671E-3</v>
      </c>
      <c r="G54" s="49">
        <f t="shared" si="35"/>
        <v>4.4379317517228642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3.386007302590533E-4</v>
      </c>
      <c r="R54" s="48">
        <f>modeldata!Y56</f>
        <v>6.6666666666666671E-3</v>
      </c>
      <c r="S54" s="49">
        <f t="shared" si="15"/>
        <v>18.688872677758845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1.2712839220969236E-4</v>
      </c>
      <c r="AD54" s="48">
        <f>modeldata!AL56</f>
        <v>6.6666666666666671E-3</v>
      </c>
      <c r="AE54" s="49">
        <f t="shared" si="17"/>
        <v>51.440423030524222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 t="e">
        <f t="shared" si="34"/>
        <v>#NUM!</v>
      </c>
      <c r="AJ54" s="46" t="e">
        <f t="shared" si="22"/>
        <v>#NUM!</v>
      </c>
    </row>
    <row r="55" spans="1:36" x14ac:dyDescent="0.2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6.5242099173443832E-3</v>
      </c>
      <c r="F55" s="48">
        <f>modeldata!L57</f>
        <v>6.6666666666666671E-3</v>
      </c>
      <c r="G55" s="49">
        <f t="shared" si="35"/>
        <v>2.1835095916145745E-2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 t="e">
        <f t="shared" si="34"/>
        <v>#NUM!</v>
      </c>
      <c r="AJ55" s="46" t="e">
        <f t="shared" si="22"/>
        <v>#NUM!</v>
      </c>
    </row>
    <row r="56" spans="1:36" x14ac:dyDescent="0.2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1.7212461913208201E-3</v>
      </c>
      <c r="F56" s="48">
        <f>modeldata!L58</f>
        <v>6.6666666666666671E-3</v>
      </c>
      <c r="G56" s="49">
        <f t="shared" si="35"/>
        <v>2.8731627702547975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0</v>
      </c>
      <c r="R56" s="48">
        <f>modeldata!Y58</f>
        <v>6.6666666666666671E-3</v>
      </c>
      <c r="S56" s="49" t="e">
        <f t="shared" si="15"/>
        <v>#DIV/0!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 t="e">
        <f t="shared" si="34"/>
        <v>#NUM!</v>
      </c>
      <c r="AJ56" s="46" t="e">
        <f t="shared" si="22"/>
        <v>#NUM!</v>
      </c>
    </row>
    <row r="57" spans="1:36" x14ac:dyDescent="0.2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3.0198577891897833E-3</v>
      </c>
      <c r="F57" s="48">
        <f>modeldata!L59</f>
        <v>6.6666666666666671E-3</v>
      </c>
      <c r="G57" s="49">
        <f t="shared" si="35"/>
        <v>1.2076094743704171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9.5251830224471956E-4</v>
      </c>
      <c r="R57" s="48">
        <f>modeldata!Y59</f>
        <v>6.6666666666666671E-3</v>
      </c>
      <c r="S57" s="49">
        <f t="shared" si="15"/>
        <v>5.9989906240708413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 t="e">
        <f t="shared" si="34"/>
        <v>#NUM!</v>
      </c>
      <c r="AJ57" s="46" t="e">
        <f t="shared" si="22"/>
        <v>#NUM!</v>
      </c>
    </row>
    <row r="58" spans="1:36" x14ac:dyDescent="0.2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4.1617891343026263E-3</v>
      </c>
      <c r="F58" s="48">
        <f>modeldata!L60</f>
        <v>6.6666666666666671E-3</v>
      </c>
      <c r="G58" s="49">
        <f t="shared" si="35"/>
        <v>0.60187516751344794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2.842004388521215E-4</v>
      </c>
      <c r="R58" s="48">
        <f>modeldata!Y60</f>
        <v>6.6666666666666671E-3</v>
      </c>
      <c r="S58" s="49">
        <f t="shared" si="15"/>
        <v>22.457622703163896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 t="e">
        <f t="shared" si="34"/>
        <v>#NUM!</v>
      </c>
      <c r="AJ58" s="46" t="e">
        <f t="shared" si="22"/>
        <v>#NUM!</v>
      </c>
    </row>
    <row r="59" spans="1:36" x14ac:dyDescent="0.2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6.2300841217038409E-3</v>
      </c>
      <c r="F59" s="48">
        <f>modeldata!L61</f>
        <v>6.6666666666666671E-3</v>
      </c>
      <c r="G59" s="49">
        <f t="shared" si="35"/>
        <v>7.0076508829454931E-2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5.7808029283661273E-4</v>
      </c>
      <c r="R59" s="48">
        <f>modeldata!Y61</f>
        <v>6.6666666666666671E-3</v>
      </c>
      <c r="S59" s="49">
        <f t="shared" si="15"/>
        <v>10.532423348932461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 t="e">
        <f t="shared" si="34"/>
        <v>#NUM!</v>
      </c>
      <c r="AJ59" s="46" t="e">
        <f t="shared" si="22"/>
        <v>#NUM!</v>
      </c>
    </row>
    <row r="60" spans="1:36" x14ac:dyDescent="0.2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3.8029558618887255E-3</v>
      </c>
      <c r="F60" s="48">
        <f>modeldata!L62</f>
        <v>6.6666666666666671E-3</v>
      </c>
      <c r="G60" s="49">
        <f t="shared" si="35"/>
        <v>0.7530223617572277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 t="e">
        <f t="shared" si="34"/>
        <v>#NUM!</v>
      </c>
      <c r="AJ60" s="46" t="e">
        <f t="shared" si="22"/>
        <v>#NUM!</v>
      </c>
    </row>
    <row r="61" spans="1:36" x14ac:dyDescent="0.2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2.4290032753664474E-3</v>
      </c>
      <c r="F61" s="48">
        <f>modeldata!L63</f>
        <v>6.6666666666666671E-3</v>
      </c>
      <c r="G61" s="49">
        <f t="shared" si="35"/>
        <v>1.7446099946740137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0</v>
      </c>
      <c r="R61" s="48">
        <f>modeldata!Y63</f>
        <v>6.6666666666666671E-3</v>
      </c>
      <c r="S61" s="49" t="e">
        <f t="shared" si="15"/>
        <v>#DIV/0!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 t="e">
        <f t="shared" si="34"/>
        <v>#NUM!</v>
      </c>
      <c r="AJ61" s="46" t="e">
        <f t="shared" si="22"/>
        <v>#NUM!</v>
      </c>
    </row>
    <row r="62" spans="1:36" x14ac:dyDescent="0.2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2.3472376796861857E-3</v>
      </c>
      <c r="F62" s="48">
        <f>modeldata!L64</f>
        <v>6.6666666666666671E-3</v>
      </c>
      <c r="G62" s="49">
        <f t="shared" si="35"/>
        <v>1.8402179823382729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 t="e">
        <f t="shared" si="34"/>
        <v>#NUM!</v>
      </c>
      <c r="AJ62" s="46" t="e">
        <f t="shared" si="22"/>
        <v>#NUM!</v>
      </c>
    </row>
    <row r="63" spans="1:36" x14ac:dyDescent="0.2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4.9266697361748909E-3</v>
      </c>
      <c r="F63" s="48">
        <f>modeldata!L65</f>
        <v>6.6666666666666671E-3</v>
      </c>
      <c r="G63" s="49">
        <f t="shared" si="35"/>
        <v>0.35317912985227318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3.4878506417454261E-3</v>
      </c>
      <c r="R63" s="48">
        <f>modeldata!Y65</f>
        <v>6.6666666666666671E-3</v>
      </c>
      <c r="S63" s="49">
        <f t="shared" si="15"/>
        <v>0.91139683186963105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 t="e">
        <f t="shared" si="34"/>
        <v>#NUM!</v>
      </c>
      <c r="AJ63" s="46" t="e">
        <f t="shared" si="22"/>
        <v>#NUM!</v>
      </c>
    </row>
    <row r="64" spans="1:36" x14ac:dyDescent="0.2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2.6366004213598934E-3</v>
      </c>
      <c r="F64" s="48">
        <f>modeldata!L66</f>
        <v>6.6666666666666671E-3</v>
      </c>
      <c r="G64" s="49">
        <f t="shared" si="35"/>
        <v>1.5285085341934994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 t="e">
        <f t="shared" si="34"/>
        <v>#NUM!</v>
      </c>
      <c r="AJ64" s="46" t="e">
        <f t="shared" si="22"/>
        <v>#NUM!</v>
      </c>
    </row>
    <row r="65" spans="1:36" x14ac:dyDescent="0.2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7.7474536894735983E-4</v>
      </c>
      <c r="F65" s="48">
        <f>modeldata!L67</f>
        <v>6.6666666666666671E-3</v>
      </c>
      <c r="G65" s="49">
        <f t="shared" si="35"/>
        <v>7.6049777564009347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8.3050582456450795E-3</v>
      </c>
      <c r="R65" s="48">
        <f>modeldata!Y67</f>
        <v>6.6666666666666671E-3</v>
      </c>
      <c r="S65" s="49">
        <f t="shared" si="15"/>
        <v>-0.19727635020952866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 t="e">
        <f t="shared" si="34"/>
        <v>#NUM!</v>
      </c>
      <c r="AJ65" s="46" t="e">
        <f t="shared" si="22"/>
        <v>#NUM!</v>
      </c>
    </row>
    <row r="66" spans="1:36" x14ac:dyDescent="0.2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7.9096015297139429E-4</v>
      </c>
      <c r="F66" s="48">
        <f>modeldata!L68</f>
        <v>6.6666666666666671E-3</v>
      </c>
      <c r="G66" s="49">
        <f t="shared" si="35"/>
        <v>7.4285746148172551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3.2973537902367127E-3</v>
      </c>
      <c r="R66" s="48">
        <f>modeldata!Y68</f>
        <v>6.6666666666666671E-3</v>
      </c>
      <c r="S66" s="49">
        <f t="shared" si="15"/>
        <v>1.0218232833875178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 t="e">
        <f t="shared" si="34"/>
        <v>#NUM!</v>
      </c>
      <c r="AJ66" s="46" t="e">
        <f t="shared" si="22"/>
        <v>#NUM!</v>
      </c>
    </row>
    <row r="67" spans="1:36" x14ac:dyDescent="0.2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1.019832890967275E-3</v>
      </c>
      <c r="F67" s="48">
        <f>modeldata!L69</f>
        <v>6.6666666666666671E-3</v>
      </c>
      <c r="G67" s="49">
        <f t="shared" si="35"/>
        <v>5.5370186877808703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 t="e">
        <f t="shared" si="34"/>
        <v>#NUM!</v>
      </c>
      <c r="AJ67" s="46" t="e">
        <f t="shared" si="22"/>
        <v>#NUM!</v>
      </c>
    </row>
    <row r="68" spans="1:36" x14ac:dyDescent="0.2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6.2492889156802749E-4</v>
      </c>
      <c r="F68" s="57">
        <f>SUM(modeldata!L70:L169)</f>
        <v>0.66666666666666707</v>
      </c>
      <c r="G68" s="58">
        <f t="shared" si="35"/>
        <v>1065.7880388661727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1.3402093484877514E-3</v>
      </c>
      <c r="R68" s="57">
        <f>SUM(modeldata!Y70:Y169)</f>
        <v>0.66666666666666707</v>
      </c>
      <c r="S68" s="58">
        <f t="shared" si="15"/>
        <v>496.43472347727766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 t="e">
        <f t="shared" si="34"/>
        <v>#NUM!</v>
      </c>
      <c r="AJ68" s="55" t="e">
        <f t="shared" si="22"/>
        <v>#NUM!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40625" defaultRowHeight="12.75" x14ac:dyDescent="0.2"/>
  <cols>
    <col min="1" max="1" width="20.140625" style="1" customWidth="1"/>
    <col min="2" max="11" width="11.42578125" style="1" customWidth="1"/>
    <col min="12" max="12" width="7.42578125" style="1" customWidth="1"/>
    <col min="13" max="25" width="9.140625" style="1"/>
    <col min="26" max="26" width="13.140625" style="1" customWidth="1"/>
    <col min="27" max="16384" width="9.140625" style="1"/>
  </cols>
  <sheetData>
    <row r="1" spans="1:17" x14ac:dyDescent="0.2">
      <c r="A1" s="2" t="s">
        <v>169</v>
      </c>
    </row>
    <row r="2" spans="1:17" x14ac:dyDescent="0.2">
      <c r="A2" s="24" t="s">
        <v>34</v>
      </c>
    </row>
    <row r="3" spans="1:17" x14ac:dyDescent="0.2">
      <c r="N3" s="2" t="s">
        <v>169</v>
      </c>
    </row>
    <row r="4" spans="1:17" x14ac:dyDescent="0.2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2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2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2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2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2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2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2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2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2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2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2">
      <c r="A17" s="2" t="s">
        <v>169</v>
      </c>
      <c r="N17" s="2" t="s">
        <v>169</v>
      </c>
      <c r="AA17" s="2" t="s">
        <v>169</v>
      </c>
    </row>
    <row r="18" spans="1:38" x14ac:dyDescent="0.2">
      <c r="A18" s="24" t="s">
        <v>34</v>
      </c>
      <c r="N18" s="24" t="s">
        <v>61</v>
      </c>
      <c r="AA18" s="24" t="s">
        <v>62</v>
      </c>
    </row>
    <row r="19" spans="1:38" x14ac:dyDescent="0.2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2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2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2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2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2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2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2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2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2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2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2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2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2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2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2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2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2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2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2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2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2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2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2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2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2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2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2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2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2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2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2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2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2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2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2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2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2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2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2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2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2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2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2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2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2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2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2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2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2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2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2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2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2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2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2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2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2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2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2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2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2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2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2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2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2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2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2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2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2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2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2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2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2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2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2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2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2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2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2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2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2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2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2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2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2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2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2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2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2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2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2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2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2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2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2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2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2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2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2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2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2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2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2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2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2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2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2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2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2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2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2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2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2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2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2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2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2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2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2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2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2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2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2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2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2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2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2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2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2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2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2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2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2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2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2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2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2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2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2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2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2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2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2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2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2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2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2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2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2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2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40625" defaultRowHeight="12.75" x14ac:dyDescent="0.2"/>
  <cols>
    <col min="1" max="1" width="18.28515625" style="1" customWidth="1"/>
    <col min="2" max="2" width="9.140625" style="1"/>
    <col min="3" max="3" width="25.42578125" style="1" customWidth="1"/>
    <col min="4" max="4" width="22.85546875" style="1" customWidth="1"/>
    <col min="5" max="98" width="0" style="1" hidden="1" customWidth="1"/>
    <col min="99" max="99" width="3.28515625" style="1" hidden="1" customWidth="1"/>
    <col min="100" max="100" width="28" style="1" customWidth="1"/>
    <col min="101" max="115" width="0" style="1" hidden="1" customWidth="1"/>
    <col min="116" max="116" width="11.7109375" style="1" customWidth="1"/>
    <col min="117" max="16384" width="9.140625" style="1"/>
  </cols>
  <sheetData>
    <row r="1" spans="1:116" x14ac:dyDescent="0.2">
      <c r="A1" s="2" t="s">
        <v>409</v>
      </c>
    </row>
    <row r="2" spans="1:116" x14ac:dyDescent="0.2">
      <c r="A2" s="2" t="s">
        <v>410</v>
      </c>
    </row>
    <row r="3" spans="1:116" ht="15" x14ac:dyDescent="0.25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5" x14ac:dyDescent="0.25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5" x14ac:dyDescent="0.25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5" x14ac:dyDescent="0.25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5" x14ac:dyDescent="0.25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5" x14ac:dyDescent="0.25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5" x14ac:dyDescent="0.25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5" x14ac:dyDescent="0.25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5" x14ac:dyDescent="0.25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5" x14ac:dyDescent="0.25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5" x14ac:dyDescent="0.25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2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2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5" x14ac:dyDescent="0.25"/>
  <cols>
    <col min="1" max="1" width="18.140625" bestFit="1" customWidth="1"/>
    <col min="2" max="2" width="23.28515625" bestFit="1" customWidth="1"/>
    <col min="3" max="11" width="9.28515625" customWidth="1"/>
    <col min="12" max="12" width="13.28515625" customWidth="1"/>
    <col min="13" max="15" width="9.28515625" customWidth="1"/>
    <col min="16" max="16" width="12.85546875" customWidth="1"/>
  </cols>
  <sheetData>
    <row r="1" spans="1:16" x14ac:dyDescent="0.25">
      <c r="A1" s="236" t="s">
        <v>503</v>
      </c>
    </row>
    <row r="3" spans="1:16" x14ac:dyDescent="0.25">
      <c r="A3" s="238" t="s">
        <v>504</v>
      </c>
    </row>
    <row r="4" spans="1:16" x14ac:dyDescent="0.25">
      <c r="A4" t="s">
        <v>510</v>
      </c>
    </row>
    <row r="5" spans="1:16" x14ac:dyDescent="0.25">
      <c r="A5" s="237" t="s">
        <v>505</v>
      </c>
    </row>
    <row r="6" spans="1:16" x14ac:dyDescent="0.25">
      <c r="A6" s="237" t="s">
        <v>506</v>
      </c>
    </row>
    <row r="7" spans="1:16" x14ac:dyDescent="0.25">
      <c r="A7" s="207" t="s">
        <v>497</v>
      </c>
    </row>
    <row r="8" spans="1:16" x14ac:dyDescent="0.25">
      <c r="B8" s="186"/>
      <c r="C8" s="276" t="s">
        <v>181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</row>
    <row r="9" spans="1:16" x14ac:dyDescent="0.25">
      <c r="A9" s="186"/>
      <c r="B9" s="186"/>
      <c r="C9" s="268" t="s">
        <v>56</v>
      </c>
      <c r="D9" s="265"/>
      <c r="E9" s="265"/>
      <c r="F9" s="265"/>
      <c r="G9" s="265"/>
      <c r="H9" s="265"/>
      <c r="I9" s="265"/>
      <c r="J9" s="265"/>
      <c r="K9" s="265"/>
      <c r="L9" s="265"/>
      <c r="M9" s="269" t="s">
        <v>179</v>
      </c>
      <c r="N9" s="265"/>
      <c r="O9" s="270"/>
      <c r="P9" s="277" t="s">
        <v>9</v>
      </c>
    </row>
    <row r="10" spans="1:16" ht="39" x14ac:dyDescent="0.25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8"/>
    </row>
    <row r="11" spans="1:16" x14ac:dyDescent="0.25">
      <c r="A11" s="264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25">
      <c r="A12" s="265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25">
      <c r="A13" s="265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25">
      <c r="A14" s="265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25">
      <c r="A15" s="265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25">
      <c r="A16" s="265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25">
      <c r="A17" s="265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25">
      <c r="A18" s="265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25">
      <c r="A19" s="265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25">
      <c r="A20" s="266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25">
      <c r="A21" s="264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25">
      <c r="A22" s="265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25">
      <c r="A23" s="266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25">
      <c r="A24" s="267" t="s">
        <v>9</v>
      </c>
      <c r="B24" s="265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25">
      <c r="A28" s="238" t="s">
        <v>507</v>
      </c>
    </row>
    <row r="29" spans="1:16" x14ac:dyDescent="0.25">
      <c r="A29" t="s">
        <v>509</v>
      </c>
    </row>
    <row r="30" spans="1:16" x14ac:dyDescent="0.25">
      <c r="A30" s="237" t="s">
        <v>508</v>
      </c>
    </row>
    <row r="31" spans="1:16" x14ac:dyDescent="0.25">
      <c r="A31" s="2" t="s">
        <v>498</v>
      </c>
    </row>
    <row r="32" spans="1:16" s="1" customFormat="1" ht="12.75" x14ac:dyDescent="0.2">
      <c r="B32" s="239"/>
      <c r="C32" s="275" t="s">
        <v>181</v>
      </c>
      <c r="D32" s="275"/>
      <c r="E32" s="275"/>
      <c r="F32" s="275"/>
      <c r="G32" s="275"/>
      <c r="H32" s="275"/>
      <c r="I32" s="275"/>
      <c r="J32" s="275"/>
      <c r="K32" s="275"/>
      <c r="L32" s="275"/>
      <c r="M32" s="275"/>
      <c r="N32" s="275"/>
      <c r="O32" s="275"/>
      <c r="P32" s="275"/>
    </row>
    <row r="33" spans="2:16" s="1" customFormat="1" ht="12.75" x14ac:dyDescent="0.2">
      <c r="B33" s="239"/>
      <c r="C33" s="271" t="s">
        <v>56</v>
      </c>
      <c r="D33" s="272"/>
      <c r="E33" s="272"/>
      <c r="F33" s="272"/>
      <c r="G33" s="272"/>
      <c r="H33" s="272"/>
      <c r="I33" s="272"/>
      <c r="J33" s="272"/>
      <c r="K33" s="272"/>
      <c r="L33" s="273"/>
      <c r="M33" s="271" t="s">
        <v>171</v>
      </c>
      <c r="N33" s="272"/>
      <c r="O33" s="272"/>
      <c r="P33" s="271" t="s">
        <v>9</v>
      </c>
    </row>
    <row r="34" spans="2:16" s="3" customFormat="1" ht="27.6" customHeight="1" x14ac:dyDescent="0.2">
      <c r="B34" s="242" t="s">
        <v>511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512</v>
      </c>
      <c r="N34" s="243" t="s">
        <v>513</v>
      </c>
      <c r="O34" s="243" t="s">
        <v>59</v>
      </c>
      <c r="P34" s="274" t="s">
        <v>59</v>
      </c>
    </row>
    <row r="35" spans="2:16" s="1" customFormat="1" ht="12.75" x14ac:dyDescent="0.2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2.75" x14ac:dyDescent="0.2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2.75" x14ac:dyDescent="0.2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2.75" x14ac:dyDescent="0.2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2.75" x14ac:dyDescent="0.2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2.75" x14ac:dyDescent="0.2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2.75" x14ac:dyDescent="0.2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2.75" x14ac:dyDescent="0.2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2.75" x14ac:dyDescent="0.2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2.75" x14ac:dyDescent="0.2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2.75" x14ac:dyDescent="0.2"/>
  </sheetData>
  <mergeCells count="11">
    <mergeCell ref="C33:L33"/>
    <mergeCell ref="M33:O33"/>
    <mergeCell ref="P33:P34"/>
    <mergeCell ref="C32:P32"/>
    <mergeCell ref="C8:P8"/>
    <mergeCell ref="P9:P10"/>
    <mergeCell ref="A11:A20"/>
    <mergeCell ref="A21:A23"/>
    <mergeCell ref="A24:B24"/>
    <mergeCell ref="C9:L9"/>
    <mergeCell ref="M9:O9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topLeftCell="A18" workbookViewId="0">
      <selection activeCell="K3" sqref="K3"/>
    </sheetView>
  </sheetViews>
  <sheetFormatPr defaultColWidth="9.140625" defaultRowHeight="12.75" x14ac:dyDescent="0.2"/>
  <cols>
    <col min="1" max="1" width="4.42578125" style="1" customWidth="1"/>
    <col min="2" max="2" width="9.140625" style="1"/>
    <col min="3" max="11" width="9.28515625" style="1" bestFit="1" customWidth="1"/>
    <col min="12" max="12" width="9.42578125" style="1" bestFit="1" customWidth="1"/>
    <col min="13" max="13" width="9.42578125" style="1" customWidth="1"/>
    <col min="14" max="16384" width="9.140625" style="1"/>
  </cols>
  <sheetData>
    <row r="2" spans="2:39" x14ac:dyDescent="0.2">
      <c r="B2" s="2" t="s">
        <v>521</v>
      </c>
      <c r="O2" s="2" t="s">
        <v>522</v>
      </c>
      <c r="AB2" s="2" t="s">
        <v>523</v>
      </c>
    </row>
    <row r="3" spans="2:39" x14ac:dyDescent="0.2">
      <c r="B3" s="16" t="s">
        <v>517</v>
      </c>
      <c r="O3" s="16" t="s">
        <v>518</v>
      </c>
      <c r="AB3" s="16" t="s">
        <v>519</v>
      </c>
    </row>
    <row r="4" spans="2:39" ht="25.5" x14ac:dyDescent="0.2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2">
      <c r="B5" s="1">
        <v>1</v>
      </c>
      <c r="C5" s="5">
        <v>37833.141549217384</v>
      </c>
      <c r="D5" s="6">
        <v>23827.387412729517</v>
      </c>
      <c r="E5" s="6">
        <v>236.35842183547925</v>
      </c>
      <c r="F5" s="6">
        <v>5220.8012458271205</v>
      </c>
      <c r="G5" s="6">
        <v>49189.916154923463</v>
      </c>
      <c r="H5" s="6">
        <v>7175.8994329407051</v>
      </c>
      <c r="I5" s="6">
        <v>43778.313889263081</v>
      </c>
      <c r="J5" s="6">
        <v>18568.271922753294</v>
      </c>
      <c r="K5" s="6">
        <v>12233.834826524919</v>
      </c>
      <c r="L5" s="7">
        <v>198063.9248560147</v>
      </c>
      <c r="M5" s="27">
        <f>L5/L$56</f>
        <v>7.953932002914528E-2</v>
      </c>
      <c r="O5" s="1">
        <v>1</v>
      </c>
      <c r="P5" s="5">
        <v>12888.846357142926</v>
      </c>
      <c r="Q5" s="6">
        <v>104.08089330576875</v>
      </c>
      <c r="R5" s="6">
        <v>0</v>
      </c>
      <c r="S5" s="6">
        <v>0</v>
      </c>
      <c r="T5" s="6">
        <v>7224.5752774485882</v>
      </c>
      <c r="U5" s="6">
        <v>0</v>
      </c>
      <c r="V5" s="6">
        <v>18275.953821245435</v>
      </c>
      <c r="W5" s="6">
        <v>3959.1496273023499</v>
      </c>
      <c r="X5" s="6">
        <v>0</v>
      </c>
      <c r="Y5" s="7">
        <v>42452.605976445098</v>
      </c>
      <c r="Z5" s="27">
        <f>Y5/Y$56</f>
        <v>0.1516515676870249</v>
      </c>
      <c r="AB5" s="1">
        <v>1</v>
      </c>
      <c r="AC5" s="5">
        <v>17907.573645335553</v>
      </c>
      <c r="AD5" s="6">
        <v>30637.480270912572</v>
      </c>
      <c r="AE5" s="6">
        <v>0</v>
      </c>
      <c r="AF5" s="6">
        <v>0</v>
      </c>
      <c r="AG5" s="6">
        <v>10902.867758382463</v>
      </c>
      <c r="AH5" s="6">
        <v>15538.644387808521</v>
      </c>
      <c r="AI5" s="6">
        <v>36272.989114822631</v>
      </c>
      <c r="AJ5" s="6">
        <v>18316.972528072449</v>
      </c>
      <c r="AK5" s="6">
        <v>350.99933218864533</v>
      </c>
      <c r="AL5" s="7">
        <v>129927.52703752278</v>
      </c>
      <c r="AM5" s="27">
        <f>AL5/AL$56</f>
        <v>0.21794148867697988</v>
      </c>
    </row>
    <row r="6" spans="2:39" x14ac:dyDescent="0.2">
      <c r="B6" s="1">
        <v>2</v>
      </c>
      <c r="C6" s="9">
        <v>24806.408456829507</v>
      </c>
      <c r="D6" s="8">
        <v>28000.781872874653</v>
      </c>
      <c r="E6" s="8">
        <v>10082.644732601517</v>
      </c>
      <c r="F6" s="8">
        <v>8428.5772038011564</v>
      </c>
      <c r="G6" s="8">
        <v>38101.086582740398</v>
      </c>
      <c r="H6" s="8">
        <v>14855.606441978553</v>
      </c>
      <c r="I6" s="8">
        <v>37746.472967243943</v>
      </c>
      <c r="J6" s="8">
        <v>8573.443766664408</v>
      </c>
      <c r="K6" s="8">
        <v>16328.983121021327</v>
      </c>
      <c r="L6" s="10">
        <v>186924.00514575615</v>
      </c>
      <c r="M6" s="27">
        <f t="shared" ref="M6:M56" si="0">L6/L$56</f>
        <v>7.5065705565646318E-2</v>
      </c>
      <c r="O6" s="1">
        <v>2</v>
      </c>
      <c r="P6" s="9">
        <v>20081.274482410117</v>
      </c>
      <c r="Q6" s="8">
        <v>1832.1672334277848</v>
      </c>
      <c r="R6" s="8">
        <v>0</v>
      </c>
      <c r="S6" s="8">
        <v>58.664503487961341</v>
      </c>
      <c r="T6" s="8">
        <v>5818.9242093161993</v>
      </c>
      <c r="U6" s="8">
        <v>0</v>
      </c>
      <c r="V6" s="8">
        <v>40619.722241757707</v>
      </c>
      <c r="W6" s="8">
        <v>56.372705261966985</v>
      </c>
      <c r="X6" s="8">
        <v>310.41733288968521</v>
      </c>
      <c r="Y6" s="10">
        <v>68777.542708551249</v>
      </c>
      <c r="Z6" s="27">
        <f t="shared" ref="Z6:Z56" si="1">Y6/Y$56</f>
        <v>0.24569097546568361</v>
      </c>
      <c r="AB6" s="1">
        <v>2</v>
      </c>
      <c r="AC6" s="9">
        <v>19715.894370529411</v>
      </c>
      <c r="AD6" s="8">
        <v>16643.885177286917</v>
      </c>
      <c r="AE6" s="8">
        <v>4803.0147722326174</v>
      </c>
      <c r="AF6" s="8">
        <v>9458.4887147925292</v>
      </c>
      <c r="AG6" s="8">
        <v>10345.463613282214</v>
      </c>
      <c r="AH6" s="8">
        <v>23434.486931250976</v>
      </c>
      <c r="AI6" s="8">
        <v>31743.494916657786</v>
      </c>
      <c r="AJ6" s="8">
        <v>3120.2919261261777</v>
      </c>
      <c r="AK6" s="8">
        <v>7675.0137985099755</v>
      </c>
      <c r="AL6" s="10">
        <v>126940.03422066875</v>
      </c>
      <c r="AM6" s="27">
        <f t="shared" ref="AM6:AM56" si="2">AL6/AL$56</f>
        <v>0.21293024397185348</v>
      </c>
    </row>
    <row r="7" spans="2:39" x14ac:dyDescent="0.2">
      <c r="B7" s="1">
        <v>3</v>
      </c>
      <c r="C7" s="9">
        <v>37692.757068975465</v>
      </c>
      <c r="D7" s="8">
        <v>38184.570269946453</v>
      </c>
      <c r="E7" s="8">
        <v>4757.7982912538591</v>
      </c>
      <c r="F7" s="8">
        <v>8886.4261123905362</v>
      </c>
      <c r="G7" s="8">
        <v>37204.664648980339</v>
      </c>
      <c r="H7" s="8">
        <v>11600.996932055325</v>
      </c>
      <c r="I7" s="8">
        <v>52263.531364426352</v>
      </c>
      <c r="J7" s="8">
        <v>20798.000557927538</v>
      </c>
      <c r="K7" s="8">
        <v>12407.308554316209</v>
      </c>
      <c r="L7" s="10">
        <v>223796.05380027287</v>
      </c>
      <c r="M7" s="27">
        <f t="shared" si="0"/>
        <v>8.9872933485591083E-2</v>
      </c>
      <c r="O7" s="1">
        <v>3</v>
      </c>
      <c r="P7" s="9">
        <v>3583.1412978545341</v>
      </c>
      <c r="Q7" s="8">
        <v>179.2321598994547</v>
      </c>
      <c r="R7" s="8">
        <v>0</v>
      </c>
      <c r="S7" s="8">
        <v>1089.6931581353797</v>
      </c>
      <c r="T7" s="8">
        <v>1874.869965526801</v>
      </c>
      <c r="U7" s="8">
        <v>87.779237568863522</v>
      </c>
      <c r="V7" s="8">
        <v>1097.5096496202532</v>
      </c>
      <c r="W7" s="8">
        <v>134.06745405792799</v>
      </c>
      <c r="X7" s="8">
        <v>2025.7108711504472</v>
      </c>
      <c r="Y7" s="10">
        <v>10072.003793813667</v>
      </c>
      <c r="Z7" s="27">
        <f t="shared" si="1"/>
        <v>3.5979773913738182E-2</v>
      </c>
      <c r="AB7" s="1">
        <v>3</v>
      </c>
      <c r="AC7" s="9">
        <v>36756.209205873318</v>
      </c>
      <c r="AD7" s="8">
        <v>32972.908283525336</v>
      </c>
      <c r="AE7" s="8">
        <v>2640.1829059922675</v>
      </c>
      <c r="AF7" s="8">
        <v>3529.49508673743</v>
      </c>
      <c r="AG7" s="8">
        <v>5600.0095391750801</v>
      </c>
      <c r="AH7" s="8">
        <v>1866.2377137339281</v>
      </c>
      <c r="AI7" s="8">
        <v>37921.160105160699</v>
      </c>
      <c r="AJ7" s="8">
        <v>4323.959262057062</v>
      </c>
      <c r="AK7" s="8">
        <v>1951.3330431180639</v>
      </c>
      <c r="AL7" s="10">
        <v>127561.4951453727</v>
      </c>
      <c r="AM7" s="27">
        <f t="shared" si="2"/>
        <v>0.2139726875723188</v>
      </c>
    </row>
    <row r="8" spans="2:39" x14ac:dyDescent="0.2">
      <c r="B8" s="1">
        <v>4</v>
      </c>
      <c r="C8" s="9">
        <v>28331.898985825057</v>
      </c>
      <c r="D8" s="8">
        <v>16469.371823159032</v>
      </c>
      <c r="E8" s="8">
        <v>243.80809162109472</v>
      </c>
      <c r="F8" s="8">
        <v>760.61500410462759</v>
      </c>
      <c r="G8" s="8">
        <v>28517.065960467269</v>
      </c>
      <c r="H8" s="8">
        <v>20168.279102460103</v>
      </c>
      <c r="I8" s="8">
        <v>47524.094636745227</v>
      </c>
      <c r="J8" s="8">
        <v>8015.221772383491</v>
      </c>
      <c r="K8" s="8">
        <v>18981.482348604237</v>
      </c>
      <c r="L8" s="10">
        <v>169011.83772537077</v>
      </c>
      <c r="M8" s="27">
        <f t="shared" si="0"/>
        <v>6.7872464202276467E-2</v>
      </c>
      <c r="O8" s="1">
        <v>4</v>
      </c>
      <c r="P8" s="9">
        <v>3200.8002943038955</v>
      </c>
      <c r="Q8" s="8">
        <v>80.851339269654545</v>
      </c>
      <c r="R8" s="8">
        <v>0</v>
      </c>
      <c r="S8" s="8">
        <v>0</v>
      </c>
      <c r="T8" s="8">
        <v>2300.4842055516292</v>
      </c>
      <c r="U8" s="8">
        <v>0</v>
      </c>
      <c r="V8" s="8">
        <v>1177.6468189860971</v>
      </c>
      <c r="W8" s="8">
        <v>2736.0855058239076</v>
      </c>
      <c r="X8" s="8">
        <v>3529.2336706702977</v>
      </c>
      <c r="Y8" s="10">
        <v>13025.101834605433</v>
      </c>
      <c r="Z8" s="27">
        <f t="shared" si="1"/>
        <v>4.6528995501407946E-2</v>
      </c>
      <c r="AB8" s="1">
        <v>4</v>
      </c>
      <c r="AC8" s="9">
        <v>8263.6161581238557</v>
      </c>
      <c r="AD8" s="8">
        <v>16788.956660421027</v>
      </c>
      <c r="AE8" s="8">
        <v>624.46537826371332</v>
      </c>
      <c r="AF8" s="8">
        <v>1682.4327428777397</v>
      </c>
      <c r="AG8" s="8">
        <v>7754.8799821780303</v>
      </c>
      <c r="AH8" s="8">
        <v>3818.430971584974</v>
      </c>
      <c r="AI8" s="8">
        <v>8450.6545890019333</v>
      </c>
      <c r="AJ8" s="8">
        <v>10999.806322469904</v>
      </c>
      <c r="AK8" s="8">
        <v>2374.8330459917743</v>
      </c>
      <c r="AL8" s="10">
        <v>60758.075850912661</v>
      </c>
      <c r="AM8" s="27">
        <f t="shared" si="2"/>
        <v>0.10191608970031879</v>
      </c>
    </row>
    <row r="9" spans="2:39" x14ac:dyDescent="0.2">
      <c r="B9" s="1">
        <v>5</v>
      </c>
      <c r="C9" s="9">
        <v>25765.571890274063</v>
      </c>
      <c r="D9" s="8">
        <v>18335.405273706434</v>
      </c>
      <c r="E9" s="8">
        <v>9001.6603450173388</v>
      </c>
      <c r="F9" s="8">
        <v>97.655545484183676</v>
      </c>
      <c r="G9" s="8">
        <v>20849.302057425346</v>
      </c>
      <c r="H9" s="8">
        <v>18037.064078958247</v>
      </c>
      <c r="I9" s="8">
        <v>44707.553394677409</v>
      </c>
      <c r="J9" s="8">
        <v>10391.023673112744</v>
      </c>
      <c r="K9" s="8">
        <v>5266.6292273765721</v>
      </c>
      <c r="L9" s="10">
        <v>152451.86548603105</v>
      </c>
      <c r="M9" s="27">
        <f t="shared" si="0"/>
        <v>6.1222242903389568E-2</v>
      </c>
      <c r="O9" s="1">
        <v>5</v>
      </c>
      <c r="P9" s="9">
        <v>3015.3196778111742</v>
      </c>
      <c r="Q9" s="8">
        <v>161.83121871212597</v>
      </c>
      <c r="R9" s="8">
        <v>0</v>
      </c>
      <c r="S9" s="8">
        <v>0</v>
      </c>
      <c r="T9" s="8">
        <v>1723.6982578051975</v>
      </c>
      <c r="U9" s="8">
        <v>0</v>
      </c>
      <c r="V9" s="8">
        <v>4463.7738318865813</v>
      </c>
      <c r="W9" s="8">
        <v>1640.6267694007402</v>
      </c>
      <c r="X9" s="8">
        <v>2979.304580884289</v>
      </c>
      <c r="Y9" s="10">
        <v>13984.554336500121</v>
      </c>
      <c r="Z9" s="27">
        <f t="shared" si="1"/>
        <v>4.9956405260759347E-2</v>
      </c>
      <c r="AB9" s="1">
        <v>5</v>
      </c>
      <c r="AC9" s="9">
        <v>2765.4280567172973</v>
      </c>
      <c r="AD9" s="8">
        <v>9128.6757573766954</v>
      </c>
      <c r="AE9" s="8">
        <v>0</v>
      </c>
      <c r="AF9" s="8">
        <v>0</v>
      </c>
      <c r="AG9" s="8">
        <v>7470.1503804649983</v>
      </c>
      <c r="AH9" s="8">
        <v>3159.5513886045155</v>
      </c>
      <c r="AI9" s="8">
        <v>631.42419056761719</v>
      </c>
      <c r="AJ9" s="8">
        <v>173.4105111093013</v>
      </c>
      <c r="AK9" s="8">
        <v>2638.2777133937634</v>
      </c>
      <c r="AL9" s="10">
        <v>25966.917998234101</v>
      </c>
      <c r="AM9" s="27">
        <f t="shared" si="2"/>
        <v>4.3557119064182741E-2</v>
      </c>
    </row>
    <row r="10" spans="2:39" x14ac:dyDescent="0.2">
      <c r="B10" s="1">
        <v>6</v>
      </c>
      <c r="C10" s="9">
        <v>24382.237990332447</v>
      </c>
      <c r="D10" s="8">
        <v>17085.252901261003</v>
      </c>
      <c r="E10" s="8">
        <v>3714.7060544660671</v>
      </c>
      <c r="F10" s="8">
        <v>8357.5419897350912</v>
      </c>
      <c r="G10" s="8">
        <v>31247.497113229561</v>
      </c>
      <c r="H10" s="8">
        <v>15554.349688336268</v>
      </c>
      <c r="I10" s="8">
        <v>75040.360991218069</v>
      </c>
      <c r="J10" s="8">
        <v>4694.8796771737398</v>
      </c>
      <c r="K10" s="8">
        <v>11142.749170201314</v>
      </c>
      <c r="L10" s="10">
        <v>191219.57557595253</v>
      </c>
      <c r="M10" s="27">
        <f t="shared" si="0"/>
        <v>7.6790738286286908E-2</v>
      </c>
      <c r="O10" s="1">
        <v>6</v>
      </c>
      <c r="P10" s="9">
        <v>4321.5664680795526</v>
      </c>
      <c r="Q10" s="8">
        <v>3298.6956051867537</v>
      </c>
      <c r="R10" s="8">
        <v>0</v>
      </c>
      <c r="S10" s="8">
        <v>0</v>
      </c>
      <c r="T10" s="8">
        <v>2685.0077802595224</v>
      </c>
      <c r="U10" s="8">
        <v>11107.267209731983</v>
      </c>
      <c r="V10" s="8">
        <v>964.90980210590351</v>
      </c>
      <c r="W10" s="8">
        <v>0</v>
      </c>
      <c r="X10" s="8">
        <v>4150.7963403059239</v>
      </c>
      <c r="Y10" s="10">
        <v>26528.243205669714</v>
      </c>
      <c r="Z10" s="27">
        <f t="shared" si="1"/>
        <v>9.4765670506886557E-2</v>
      </c>
      <c r="AB10" s="1">
        <v>6</v>
      </c>
      <c r="AC10" s="9">
        <v>10090.56806599097</v>
      </c>
      <c r="AD10" s="8">
        <v>8008.711196073782</v>
      </c>
      <c r="AE10" s="8">
        <v>0</v>
      </c>
      <c r="AF10" s="8">
        <v>0</v>
      </c>
      <c r="AG10" s="8">
        <v>8429.2420354708665</v>
      </c>
      <c r="AH10" s="8">
        <v>1202.0225753252671</v>
      </c>
      <c r="AI10" s="8">
        <v>22066.013348352266</v>
      </c>
      <c r="AJ10" s="8">
        <v>4380.2676144503566</v>
      </c>
      <c r="AK10" s="8">
        <v>7010.7100623747319</v>
      </c>
      <c r="AL10" s="10">
        <v>61187.534898038313</v>
      </c>
      <c r="AM10" s="27">
        <f t="shared" si="2"/>
        <v>0.10263646779255578</v>
      </c>
    </row>
    <row r="11" spans="2:39" x14ac:dyDescent="0.2">
      <c r="B11" s="1">
        <v>7</v>
      </c>
      <c r="C11" s="9">
        <v>9104.5373316024488</v>
      </c>
      <c r="D11" s="8">
        <v>12670.466596379818</v>
      </c>
      <c r="E11" s="8">
        <v>0</v>
      </c>
      <c r="F11" s="8">
        <v>0</v>
      </c>
      <c r="G11" s="8">
        <v>14654.233292154298</v>
      </c>
      <c r="H11" s="8">
        <v>10748.844848127628</v>
      </c>
      <c r="I11" s="8">
        <v>40227.734170959913</v>
      </c>
      <c r="J11" s="8">
        <v>897.33749982409063</v>
      </c>
      <c r="K11" s="8">
        <v>532.67821630134131</v>
      </c>
      <c r="L11" s="10">
        <v>88835.831955350004</v>
      </c>
      <c r="M11" s="27">
        <f t="shared" si="0"/>
        <v>3.5675056288461605E-2</v>
      </c>
      <c r="O11" s="1">
        <v>7</v>
      </c>
      <c r="P11" s="9">
        <v>1297.6497202512401</v>
      </c>
      <c r="Q11" s="8">
        <v>4938.7988729516073</v>
      </c>
      <c r="R11" s="8">
        <v>0</v>
      </c>
      <c r="S11" s="8">
        <v>0</v>
      </c>
      <c r="T11" s="8">
        <v>319.89944300839852</v>
      </c>
      <c r="U11" s="8">
        <v>744.48653715894216</v>
      </c>
      <c r="V11" s="8">
        <v>539.22797087338404</v>
      </c>
      <c r="W11" s="8">
        <v>0</v>
      </c>
      <c r="X11" s="8">
        <v>0</v>
      </c>
      <c r="Y11" s="10">
        <v>7840.0625442436722</v>
      </c>
      <c r="Z11" s="27">
        <f t="shared" si="1"/>
        <v>2.8006708852186205E-2</v>
      </c>
      <c r="AB11" s="1">
        <v>7</v>
      </c>
      <c r="AC11" s="9">
        <v>335.51509964863362</v>
      </c>
      <c r="AD11" s="8">
        <v>6470.211714238103</v>
      </c>
      <c r="AE11" s="8">
        <v>0</v>
      </c>
      <c r="AF11" s="8">
        <v>4075.7367333481106</v>
      </c>
      <c r="AG11" s="8">
        <v>2754.0802670132907</v>
      </c>
      <c r="AH11" s="8">
        <v>276.9487738656826</v>
      </c>
      <c r="AI11" s="8">
        <v>339.97827479912667</v>
      </c>
      <c r="AJ11" s="8">
        <v>77.669142169681436</v>
      </c>
      <c r="AK11" s="8">
        <v>0</v>
      </c>
      <c r="AL11" s="10">
        <v>14330.140005082591</v>
      </c>
      <c r="AM11" s="27">
        <f t="shared" si="2"/>
        <v>2.4037493184606601E-2</v>
      </c>
    </row>
    <row r="12" spans="2:39" x14ac:dyDescent="0.2">
      <c r="B12" s="1">
        <v>8</v>
      </c>
      <c r="C12" s="9">
        <v>23118.174985276477</v>
      </c>
      <c r="D12" s="8">
        <v>10587.537498397665</v>
      </c>
      <c r="E12" s="8">
        <v>1571.7876189674644</v>
      </c>
      <c r="F12" s="8">
        <v>394.58234095933221</v>
      </c>
      <c r="G12" s="8">
        <v>10049.97152805535</v>
      </c>
      <c r="H12" s="8">
        <v>851.1086775456497</v>
      </c>
      <c r="I12" s="8">
        <v>58266.284352090384</v>
      </c>
      <c r="J12" s="8">
        <v>309.33832081765286</v>
      </c>
      <c r="K12" s="8">
        <v>7874.2237585763214</v>
      </c>
      <c r="L12" s="10">
        <v>113023.00908068381</v>
      </c>
      <c r="M12" s="27">
        <f t="shared" si="0"/>
        <v>4.538824168237978E-2</v>
      </c>
      <c r="O12" s="1">
        <v>8</v>
      </c>
      <c r="P12" s="9">
        <v>1165.3337310779461</v>
      </c>
      <c r="Q12" s="8">
        <v>161.49279443648629</v>
      </c>
      <c r="R12" s="8">
        <v>0</v>
      </c>
      <c r="S12" s="8">
        <v>98.939074263466182</v>
      </c>
      <c r="T12" s="8">
        <v>115.94648301669076</v>
      </c>
      <c r="U12" s="8">
        <v>131.8315649088745</v>
      </c>
      <c r="V12" s="8">
        <v>1576.6463867958373</v>
      </c>
      <c r="W12" s="8">
        <v>0</v>
      </c>
      <c r="X12" s="8">
        <v>0</v>
      </c>
      <c r="Y12" s="10">
        <v>3250.1900344992173</v>
      </c>
      <c r="Z12" s="27">
        <f t="shared" si="1"/>
        <v>1.1610510183663077E-2</v>
      </c>
      <c r="AB12" s="1">
        <v>8</v>
      </c>
      <c r="AC12" s="9">
        <v>8637.5449913806951</v>
      </c>
      <c r="AD12" s="8">
        <v>80.671158480792656</v>
      </c>
      <c r="AE12" s="8">
        <v>901.44471948332466</v>
      </c>
      <c r="AF12" s="8">
        <v>0</v>
      </c>
      <c r="AG12" s="8">
        <v>401.41765246122668</v>
      </c>
      <c r="AH12" s="8">
        <v>0</v>
      </c>
      <c r="AI12" s="8">
        <v>991.91218716136063</v>
      </c>
      <c r="AJ12" s="8">
        <v>5549.4186730536021</v>
      </c>
      <c r="AK12" s="8">
        <v>139.61513698852286</v>
      </c>
      <c r="AL12" s="10">
        <v>16702.024519009865</v>
      </c>
      <c r="AM12" s="27">
        <f t="shared" si="2"/>
        <v>2.8016111524551579E-2</v>
      </c>
    </row>
    <row r="13" spans="2:39" x14ac:dyDescent="0.2">
      <c r="B13" s="1">
        <v>9</v>
      </c>
      <c r="C13" s="9">
        <v>8915.1999045800476</v>
      </c>
      <c r="D13" s="8">
        <v>16707.347462903563</v>
      </c>
      <c r="E13" s="8">
        <v>43.462469504462206</v>
      </c>
      <c r="F13" s="8">
        <v>97.655545484183676</v>
      </c>
      <c r="G13" s="8">
        <v>3970.4626950172533</v>
      </c>
      <c r="H13" s="8">
        <v>13735.359584849983</v>
      </c>
      <c r="I13" s="8">
        <v>26498.334159477265</v>
      </c>
      <c r="J13" s="8">
        <v>598.63541369167797</v>
      </c>
      <c r="K13" s="8">
        <v>6189.8459127319657</v>
      </c>
      <c r="L13" s="10">
        <v>76756.303148239153</v>
      </c>
      <c r="M13" s="27">
        <f t="shared" si="0"/>
        <v>3.0824109765572424E-2</v>
      </c>
      <c r="O13" s="1">
        <v>9</v>
      </c>
      <c r="P13" s="9">
        <v>75.236667889803357</v>
      </c>
      <c r="Q13" s="8">
        <v>0</v>
      </c>
      <c r="R13" s="8">
        <v>0</v>
      </c>
      <c r="S13" s="8">
        <v>0</v>
      </c>
      <c r="T13" s="8">
        <v>0</v>
      </c>
      <c r="U13" s="8">
        <v>4587.6018049585546</v>
      </c>
      <c r="V13" s="8">
        <v>0</v>
      </c>
      <c r="W13" s="8">
        <v>0</v>
      </c>
      <c r="X13" s="8">
        <v>117.83093037784056</v>
      </c>
      <c r="Y13" s="10">
        <v>4780.6694032261148</v>
      </c>
      <c r="Z13" s="27">
        <f t="shared" si="1"/>
        <v>1.7077773976817805E-2</v>
      </c>
      <c r="AB13" s="1">
        <v>9</v>
      </c>
      <c r="AC13" s="9">
        <v>846.0688017669454</v>
      </c>
      <c r="AD13" s="8">
        <v>81.189334112263168</v>
      </c>
      <c r="AE13" s="8">
        <v>0</v>
      </c>
      <c r="AF13" s="8">
        <v>104.94263606152163</v>
      </c>
      <c r="AG13" s="8">
        <v>0</v>
      </c>
      <c r="AH13" s="8">
        <v>263.62645727125346</v>
      </c>
      <c r="AI13" s="8">
        <v>2537.9042293125531</v>
      </c>
      <c r="AJ13" s="8">
        <v>187.00300006567704</v>
      </c>
      <c r="AK13" s="8">
        <v>3321.3389914070904</v>
      </c>
      <c r="AL13" s="10">
        <v>7342.0734499972314</v>
      </c>
      <c r="AM13" s="27">
        <f t="shared" si="2"/>
        <v>1.2315653612078745E-2</v>
      </c>
    </row>
    <row r="14" spans="2:39" x14ac:dyDescent="0.2">
      <c r="B14" s="1">
        <v>10</v>
      </c>
      <c r="C14" s="9">
        <v>20872.916535574041</v>
      </c>
      <c r="D14" s="8">
        <v>7648.0966243514267</v>
      </c>
      <c r="E14" s="8">
        <v>87.667398719422636</v>
      </c>
      <c r="F14" s="8">
        <v>6931.9093527728837</v>
      </c>
      <c r="G14" s="8">
        <v>8255.4499487919966</v>
      </c>
      <c r="H14" s="8">
        <v>1760.3780829240131</v>
      </c>
      <c r="I14" s="8">
        <v>22930.880592648231</v>
      </c>
      <c r="J14" s="8">
        <v>191.92612904097768</v>
      </c>
      <c r="K14" s="8">
        <v>1767.6442589052458</v>
      </c>
      <c r="L14" s="10">
        <v>70446.868923728121</v>
      </c>
      <c r="M14" s="27">
        <f t="shared" si="0"/>
        <v>2.8290341395834973E-2</v>
      </c>
      <c r="O14" s="1">
        <v>10</v>
      </c>
      <c r="P14" s="9">
        <v>0</v>
      </c>
      <c r="Q14" s="8">
        <v>0</v>
      </c>
      <c r="R14" s="8">
        <v>0</v>
      </c>
      <c r="S14" s="8">
        <v>0</v>
      </c>
      <c r="T14" s="8">
        <v>227.63926521347094</v>
      </c>
      <c r="U14" s="8">
        <v>125.54949146974104</v>
      </c>
      <c r="V14" s="8">
        <v>258.15617886927794</v>
      </c>
      <c r="W14" s="8">
        <v>0</v>
      </c>
      <c r="X14" s="8">
        <v>0</v>
      </c>
      <c r="Y14" s="10">
        <v>611.34493555259542</v>
      </c>
      <c r="Z14" s="27">
        <f t="shared" si="1"/>
        <v>2.1838804884090129E-3</v>
      </c>
      <c r="AB14" s="1">
        <v>10</v>
      </c>
      <c r="AC14" s="9">
        <v>643.32945057805046</v>
      </c>
      <c r="AD14" s="8">
        <v>82.342822290040203</v>
      </c>
      <c r="AE14" s="8">
        <v>93.991167519387091</v>
      </c>
      <c r="AF14" s="8">
        <v>0</v>
      </c>
      <c r="AG14" s="8">
        <v>0</v>
      </c>
      <c r="AH14" s="8">
        <v>0</v>
      </c>
      <c r="AI14" s="8">
        <v>2042.5918196354469</v>
      </c>
      <c r="AJ14" s="8">
        <v>4524.2067468250534</v>
      </c>
      <c r="AK14" s="8">
        <v>0</v>
      </c>
      <c r="AL14" s="10">
        <v>7386.4620068480726</v>
      </c>
      <c r="AM14" s="27">
        <f t="shared" si="2"/>
        <v>1.2390111337711444E-2</v>
      </c>
    </row>
    <row r="15" spans="2:39" x14ac:dyDescent="0.2">
      <c r="B15" s="1">
        <v>11</v>
      </c>
      <c r="C15" s="9">
        <v>15752.238797236205</v>
      </c>
      <c r="D15" s="8">
        <v>7587.7192863259988</v>
      </c>
      <c r="E15" s="8">
        <v>946.52430238413217</v>
      </c>
      <c r="F15" s="8">
        <v>473.99924971565633</v>
      </c>
      <c r="G15" s="8">
        <v>3583.2051022906671</v>
      </c>
      <c r="H15" s="8">
        <v>32895.475318832701</v>
      </c>
      <c r="I15" s="8">
        <v>30046.895178960636</v>
      </c>
      <c r="J15" s="8">
        <v>3857.4798245808342</v>
      </c>
      <c r="K15" s="8">
        <v>6273.5040873762191</v>
      </c>
      <c r="L15" s="10">
        <v>101417.04114770656</v>
      </c>
      <c r="M15" s="27">
        <f t="shared" si="0"/>
        <v>4.0727469669807788E-2</v>
      </c>
      <c r="O15" s="1">
        <v>11</v>
      </c>
      <c r="P15" s="9">
        <v>329.24904044002324</v>
      </c>
      <c r="Q15" s="8">
        <v>0</v>
      </c>
      <c r="R15" s="8">
        <v>0</v>
      </c>
      <c r="S15" s="8">
        <v>0</v>
      </c>
      <c r="T15" s="8">
        <v>26.219660047845537</v>
      </c>
      <c r="U15" s="8">
        <v>0</v>
      </c>
      <c r="V15" s="8">
        <v>7350.3370216289477</v>
      </c>
      <c r="W15" s="8">
        <v>348.80159221485519</v>
      </c>
      <c r="X15" s="8">
        <v>0</v>
      </c>
      <c r="Y15" s="10">
        <v>8054.6073143316316</v>
      </c>
      <c r="Z15" s="27">
        <f t="shared" si="1"/>
        <v>2.8773117650292595E-2</v>
      </c>
      <c r="AB15" s="1">
        <v>11</v>
      </c>
      <c r="AC15" s="9">
        <v>6327.4898630947573</v>
      </c>
      <c r="AD15" s="8">
        <v>80.875744518212741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10">
        <v>6408.3656076131156</v>
      </c>
      <c r="AM15" s="27">
        <f t="shared" si="2"/>
        <v>1.0749444496901815E-2</v>
      </c>
    </row>
    <row r="16" spans="2:39" x14ac:dyDescent="0.2">
      <c r="B16" s="1">
        <v>12</v>
      </c>
      <c r="C16" s="9">
        <v>21725.975338900811</v>
      </c>
      <c r="D16" s="8">
        <v>5660.3750262281683</v>
      </c>
      <c r="E16" s="8">
        <v>161.93696271679801</v>
      </c>
      <c r="F16" s="8">
        <v>729.71548320504371</v>
      </c>
      <c r="G16" s="8">
        <v>4365.5887545954029</v>
      </c>
      <c r="H16" s="8">
        <v>1490.0633458136872</v>
      </c>
      <c r="I16" s="8">
        <v>32592.05904152256</v>
      </c>
      <c r="J16" s="8">
        <v>3202.0403623903985</v>
      </c>
      <c r="K16" s="8">
        <v>6828.7949900922977</v>
      </c>
      <c r="L16" s="10">
        <v>76756.54930546321</v>
      </c>
      <c r="M16" s="27">
        <f t="shared" si="0"/>
        <v>3.0824208618396003E-2</v>
      </c>
      <c r="O16" s="1">
        <v>12</v>
      </c>
      <c r="P16" s="9">
        <v>527.30563132809039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83.236943261901615</v>
      </c>
      <c r="W16" s="8">
        <v>0</v>
      </c>
      <c r="X16" s="8">
        <v>168.02181567115986</v>
      </c>
      <c r="Y16" s="10">
        <v>778.56439026119187</v>
      </c>
      <c r="Z16" s="27">
        <f t="shared" si="1"/>
        <v>2.7812311544293425E-3</v>
      </c>
      <c r="AB16" s="1">
        <v>12</v>
      </c>
      <c r="AC16" s="9">
        <v>215.8585511312267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102.6338229742978</v>
      </c>
      <c r="AL16" s="10">
        <v>318.4923741054954</v>
      </c>
      <c r="AM16" s="27">
        <f t="shared" si="2"/>
        <v>5.3424169402355387E-4</v>
      </c>
    </row>
    <row r="17" spans="2:39" x14ac:dyDescent="0.2">
      <c r="B17" s="1">
        <v>13</v>
      </c>
      <c r="C17" s="9">
        <v>13603.657970516593</v>
      </c>
      <c r="D17" s="8">
        <v>5449.3781092615973</v>
      </c>
      <c r="E17" s="8">
        <v>42.791673372037621</v>
      </c>
      <c r="F17" s="8">
        <v>209.5091094791569</v>
      </c>
      <c r="G17" s="8">
        <v>2684.8949987269589</v>
      </c>
      <c r="H17" s="8">
        <v>5549.5494121304946</v>
      </c>
      <c r="I17" s="8">
        <v>19098.990368104191</v>
      </c>
      <c r="J17" s="8">
        <v>241.29081621658406</v>
      </c>
      <c r="K17" s="8">
        <v>0</v>
      </c>
      <c r="L17" s="10">
        <v>46880.062457807362</v>
      </c>
      <c r="M17" s="27">
        <f t="shared" si="0"/>
        <v>1.8826286985520291E-2</v>
      </c>
      <c r="O17" s="1">
        <v>13</v>
      </c>
      <c r="P17" s="9">
        <v>68.403270727940253</v>
      </c>
      <c r="Q17" s="8">
        <v>0</v>
      </c>
      <c r="R17" s="8">
        <v>0</v>
      </c>
      <c r="S17" s="8">
        <v>0</v>
      </c>
      <c r="T17" s="8">
        <v>323.45556452657911</v>
      </c>
      <c r="U17" s="8">
        <v>0</v>
      </c>
      <c r="V17" s="8">
        <v>31.434280924469931</v>
      </c>
      <c r="W17" s="8">
        <v>0</v>
      </c>
      <c r="X17" s="8">
        <v>0</v>
      </c>
      <c r="Y17" s="10">
        <v>423.29311617897474</v>
      </c>
      <c r="Z17" s="27">
        <f t="shared" si="1"/>
        <v>1.5121112870028549E-3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427.9480668103206</v>
      </c>
      <c r="AJ17" s="8">
        <v>0</v>
      </c>
      <c r="AK17" s="8">
        <v>7641.3973562005194</v>
      </c>
      <c r="AL17" s="10">
        <v>8069.3454230108764</v>
      </c>
      <c r="AM17" s="27">
        <f t="shared" si="2"/>
        <v>1.3535585524011948E-2</v>
      </c>
    </row>
    <row r="18" spans="2:39" x14ac:dyDescent="0.2">
      <c r="B18" s="1">
        <v>14</v>
      </c>
      <c r="C18" s="9">
        <v>15402.881966732035</v>
      </c>
      <c r="D18" s="8">
        <v>3867.4227784338873</v>
      </c>
      <c r="E18" s="8">
        <v>116.19270025869264</v>
      </c>
      <c r="F18" s="8">
        <v>0</v>
      </c>
      <c r="G18" s="8">
        <v>4882.980121819186</v>
      </c>
      <c r="H18" s="8">
        <v>15112.702069222491</v>
      </c>
      <c r="I18" s="8">
        <v>25669.803354261559</v>
      </c>
      <c r="J18" s="8">
        <v>6181.3566983572964</v>
      </c>
      <c r="K18" s="8">
        <v>4874.1714258221182</v>
      </c>
      <c r="L18" s="10">
        <v>76107.511114906054</v>
      </c>
      <c r="M18" s="27">
        <f t="shared" si="0"/>
        <v>3.0563565210529622E-2</v>
      </c>
      <c r="O18" s="1">
        <v>14</v>
      </c>
      <c r="P18" s="9">
        <v>75.383337380182638</v>
      </c>
      <c r="Q18" s="8">
        <v>4041.3549296126184</v>
      </c>
      <c r="R18" s="8">
        <v>0</v>
      </c>
      <c r="S18" s="8">
        <v>0</v>
      </c>
      <c r="T18" s="8">
        <v>507.97252914761702</v>
      </c>
      <c r="U18" s="8">
        <v>179.39707874169835</v>
      </c>
      <c r="V18" s="8">
        <v>294.37717393261846</v>
      </c>
      <c r="W18" s="8">
        <v>0</v>
      </c>
      <c r="X18" s="8">
        <v>416.0564865703127</v>
      </c>
      <c r="Y18" s="10">
        <v>5514.5415353850694</v>
      </c>
      <c r="Z18" s="27">
        <f t="shared" si="1"/>
        <v>1.9699352953276305E-2</v>
      </c>
      <c r="AB18" s="1">
        <v>14</v>
      </c>
      <c r="AC18" s="9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546.73054836121446</v>
      </c>
      <c r="AK18" s="8">
        <v>0</v>
      </c>
      <c r="AL18" s="10">
        <v>546.73054836131632</v>
      </c>
      <c r="AM18" s="27">
        <f t="shared" si="2"/>
        <v>9.1709026048525529E-4</v>
      </c>
    </row>
    <row r="19" spans="2:39" x14ac:dyDescent="0.2">
      <c r="B19" s="1">
        <v>15</v>
      </c>
      <c r="C19" s="9">
        <v>12180.806774432363</v>
      </c>
      <c r="D19" s="8">
        <v>2365.4564760263893</v>
      </c>
      <c r="E19" s="8">
        <v>0</v>
      </c>
      <c r="F19" s="8">
        <v>4332.3018524716099</v>
      </c>
      <c r="G19" s="8">
        <v>3999.962486007018</v>
      </c>
      <c r="H19" s="8">
        <v>6919.8398113437288</v>
      </c>
      <c r="I19" s="8">
        <v>13096.120431164978</v>
      </c>
      <c r="J19" s="8">
        <v>3949.667357827755</v>
      </c>
      <c r="K19" s="8">
        <v>3066.0873941147729</v>
      </c>
      <c r="L19" s="10">
        <v>49910.242583391722</v>
      </c>
      <c r="M19" s="27">
        <f t="shared" si="0"/>
        <v>2.0043159098551585E-2</v>
      </c>
      <c r="O19" s="1">
        <v>15</v>
      </c>
      <c r="P19" s="9">
        <v>1194.8052401946479</v>
      </c>
      <c r="Q19" s="8">
        <v>3628.2617151805771</v>
      </c>
      <c r="R19" s="8">
        <v>0</v>
      </c>
      <c r="S19" s="8">
        <v>0</v>
      </c>
      <c r="T19" s="8">
        <v>643.42980959593115</v>
      </c>
      <c r="U19" s="8">
        <v>231.17318866541609</v>
      </c>
      <c r="V19" s="8">
        <v>0</v>
      </c>
      <c r="W19" s="8">
        <v>2343.7732824135364</v>
      </c>
      <c r="X19" s="8">
        <v>3386.3825746700459</v>
      </c>
      <c r="Y19" s="10">
        <v>11427.825810720213</v>
      </c>
      <c r="Z19" s="27">
        <f t="shared" si="1"/>
        <v>4.0823116969816907E-2</v>
      </c>
      <c r="AB19" s="1">
        <v>15</v>
      </c>
      <c r="AC19" s="9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10">
        <v>0</v>
      </c>
      <c r="AM19" s="27">
        <f t="shared" si="2"/>
        <v>0</v>
      </c>
    </row>
    <row r="20" spans="2:39" x14ac:dyDescent="0.2">
      <c r="B20" s="1">
        <v>16</v>
      </c>
      <c r="C20" s="9">
        <v>6298.7678346600733</v>
      </c>
      <c r="D20" s="8">
        <v>11613.125560365996</v>
      </c>
      <c r="E20" s="8">
        <v>2240.5598283186082</v>
      </c>
      <c r="F20" s="8">
        <v>3579.8131318091837</v>
      </c>
      <c r="G20" s="8">
        <v>1503.0224469114037</v>
      </c>
      <c r="H20" s="8">
        <v>4886.7909054057673</v>
      </c>
      <c r="I20" s="8">
        <v>19341.490520178806</v>
      </c>
      <c r="J20" s="8">
        <v>377.47506160367629</v>
      </c>
      <c r="K20" s="8">
        <v>3916.4151068109204</v>
      </c>
      <c r="L20" s="10">
        <v>53757.460396061884</v>
      </c>
      <c r="M20" s="27">
        <f t="shared" si="0"/>
        <v>2.1588140543538376E-2</v>
      </c>
      <c r="O20" s="1">
        <v>16</v>
      </c>
      <c r="P20" s="9">
        <v>0</v>
      </c>
      <c r="Q20" s="8">
        <v>0</v>
      </c>
      <c r="R20" s="8">
        <v>4757.7982912538591</v>
      </c>
      <c r="S20" s="8">
        <v>0</v>
      </c>
      <c r="T20" s="8">
        <v>0</v>
      </c>
      <c r="U20" s="8">
        <v>211.14795632623282</v>
      </c>
      <c r="V20" s="8">
        <v>105.89284719654825</v>
      </c>
      <c r="W20" s="8">
        <v>0</v>
      </c>
      <c r="X20" s="8">
        <v>0</v>
      </c>
      <c r="Y20" s="10">
        <v>5074.8390947766602</v>
      </c>
      <c r="Z20" s="27">
        <f t="shared" si="1"/>
        <v>1.8128623361998102E-2</v>
      </c>
      <c r="AB20" s="1">
        <v>16</v>
      </c>
      <c r="AC20" s="9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0</v>
      </c>
      <c r="AM20" s="27">
        <f t="shared" si="2"/>
        <v>0</v>
      </c>
    </row>
    <row r="21" spans="2:39" x14ac:dyDescent="0.2">
      <c r="B21" s="1">
        <v>17</v>
      </c>
      <c r="C21" s="9">
        <v>7503.9899923969642</v>
      </c>
      <c r="D21" s="8">
        <v>8597.8121439988317</v>
      </c>
      <c r="E21" s="8">
        <v>204.19463248697866</v>
      </c>
      <c r="F21" s="8">
        <v>197.39918064902304</v>
      </c>
      <c r="G21" s="8">
        <v>3276.9842593926005</v>
      </c>
      <c r="H21" s="8">
        <v>4435.7156748471316</v>
      </c>
      <c r="I21" s="8">
        <v>7646.52353146323</v>
      </c>
      <c r="J21" s="8">
        <v>428.70342192923999</v>
      </c>
      <c r="K21" s="8">
        <v>116.52322917515994</v>
      </c>
      <c r="L21" s="10">
        <v>32407.846066341037</v>
      </c>
      <c r="M21" s="27">
        <f t="shared" si="0"/>
        <v>1.3014475208445302E-2</v>
      </c>
      <c r="O21" s="1">
        <v>17</v>
      </c>
      <c r="P21" s="9">
        <v>154.67110061833228</v>
      </c>
      <c r="Q21" s="8">
        <v>0</v>
      </c>
      <c r="R21" s="8">
        <v>0</v>
      </c>
      <c r="S21" s="8">
        <v>0</v>
      </c>
      <c r="T21" s="8">
        <v>103.4663585923372</v>
      </c>
      <c r="U21" s="8">
        <v>0</v>
      </c>
      <c r="V21" s="8">
        <v>0</v>
      </c>
      <c r="W21" s="8">
        <v>130.80829324491788</v>
      </c>
      <c r="X21" s="8">
        <v>0</v>
      </c>
      <c r="Y21" s="10">
        <v>388.9457524556201</v>
      </c>
      <c r="Z21" s="27">
        <f t="shared" si="1"/>
        <v>1.3894137179195031E-3</v>
      </c>
      <c r="AB21" s="1">
        <v>17</v>
      </c>
      <c r="AC21" s="9">
        <v>75.568335062489496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10">
        <v>75.568335062474944</v>
      </c>
      <c r="AM21" s="27">
        <f t="shared" si="2"/>
        <v>1.2675893873975033E-4</v>
      </c>
    </row>
    <row r="22" spans="2:39" x14ac:dyDescent="0.2">
      <c r="B22" s="1">
        <v>18</v>
      </c>
      <c r="C22" s="9">
        <v>17033.835488991346</v>
      </c>
      <c r="D22" s="8">
        <v>9806.6654374447244</v>
      </c>
      <c r="E22" s="8">
        <v>0</v>
      </c>
      <c r="F22" s="8">
        <v>0</v>
      </c>
      <c r="G22" s="8">
        <v>468.17978741216939</v>
      </c>
      <c r="H22" s="8">
        <v>7615.0805252870196</v>
      </c>
      <c r="I22" s="8">
        <v>6481.9878452870762</v>
      </c>
      <c r="J22" s="8">
        <v>3507.3815950139542</v>
      </c>
      <c r="K22" s="8">
        <v>116.29245289643586</v>
      </c>
      <c r="L22" s="10">
        <v>45029.423132333905</v>
      </c>
      <c r="M22" s="27">
        <f t="shared" si="0"/>
        <v>1.808309968538796E-2</v>
      </c>
      <c r="O22" s="1">
        <v>18</v>
      </c>
      <c r="P22" s="9">
        <v>241.14904226279759</v>
      </c>
      <c r="Q22" s="8">
        <v>4568.9970015461622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4810.1460438089853</v>
      </c>
      <c r="Z22" s="27">
        <f t="shared" si="1"/>
        <v>1.7183072076939612E-2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1892.4868649661657</v>
      </c>
      <c r="AJ22" s="8">
        <v>0</v>
      </c>
      <c r="AK22" s="8">
        <v>0</v>
      </c>
      <c r="AL22" s="10">
        <v>1892.4868649661075</v>
      </c>
      <c r="AM22" s="27">
        <f t="shared" si="2"/>
        <v>3.1744728315596204E-3</v>
      </c>
    </row>
    <row r="23" spans="2:39" x14ac:dyDescent="0.2">
      <c r="B23" s="1">
        <v>19</v>
      </c>
      <c r="C23" s="9">
        <v>4901.4985305481241</v>
      </c>
      <c r="D23" s="8">
        <v>8136.7402463102189</v>
      </c>
      <c r="E23" s="8">
        <v>0</v>
      </c>
      <c r="F23" s="8">
        <v>5545.703984163003</v>
      </c>
      <c r="G23" s="8">
        <v>995.63009110849816</v>
      </c>
      <c r="H23" s="8">
        <v>6194.3424429294246</v>
      </c>
      <c r="I23" s="8">
        <v>2225.9009505520808</v>
      </c>
      <c r="J23" s="8">
        <v>3205.6916638605471</v>
      </c>
      <c r="K23" s="8">
        <v>368.2183810636634</v>
      </c>
      <c r="L23" s="10">
        <v>31573.726290534018</v>
      </c>
      <c r="M23" s="27">
        <f t="shared" si="0"/>
        <v>1.2679505981521297E-2</v>
      </c>
      <c r="O23" s="1">
        <v>19</v>
      </c>
      <c r="P23" s="9">
        <v>75.323578927585913</v>
      </c>
      <c r="Q23" s="8">
        <v>80.375180815113708</v>
      </c>
      <c r="R23" s="8">
        <v>0</v>
      </c>
      <c r="S23" s="8">
        <v>0</v>
      </c>
      <c r="T23" s="8">
        <v>0</v>
      </c>
      <c r="U23" s="8">
        <v>126.15824746320868</v>
      </c>
      <c r="V23" s="8">
        <v>100.78001747113012</v>
      </c>
      <c r="W23" s="8">
        <v>234.27123758591733</v>
      </c>
      <c r="X23" s="8">
        <v>0</v>
      </c>
      <c r="Y23" s="10">
        <v>616.90826226293575</v>
      </c>
      <c r="Z23" s="27">
        <f t="shared" si="1"/>
        <v>2.2037541144862044E-3</v>
      </c>
      <c r="AB23" s="1">
        <v>19</v>
      </c>
      <c r="AC23" s="9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0</v>
      </c>
      <c r="AM23" s="27">
        <f t="shared" si="2"/>
        <v>0</v>
      </c>
    </row>
    <row r="24" spans="2:39" x14ac:dyDescent="0.2">
      <c r="B24" s="1">
        <v>20</v>
      </c>
      <c r="C24" s="9">
        <v>5637.9633651784388</v>
      </c>
      <c r="D24" s="8">
        <v>12115.263299037731</v>
      </c>
      <c r="E24" s="8">
        <v>9615.6740423582232</v>
      </c>
      <c r="F24" s="8">
        <v>301.26331788861717</v>
      </c>
      <c r="G24" s="8">
        <v>866.36086206423352</v>
      </c>
      <c r="H24" s="8">
        <v>8019.6053275448794</v>
      </c>
      <c r="I24" s="8">
        <v>4184.8273872770369</v>
      </c>
      <c r="J24" s="8">
        <v>307.29674028692534</v>
      </c>
      <c r="K24" s="8">
        <v>2094.1082622675458</v>
      </c>
      <c r="L24" s="10">
        <v>43142.362603904679</v>
      </c>
      <c r="M24" s="27">
        <f t="shared" si="0"/>
        <v>1.7325286209793078E-2</v>
      </c>
      <c r="O24" s="1">
        <v>20</v>
      </c>
      <c r="P24" s="9">
        <v>3488.6223712760257</v>
      </c>
      <c r="Q24" s="8">
        <v>114.7591224027783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155.27545259492945</v>
      </c>
      <c r="X24" s="8">
        <v>116.02487575870327</v>
      </c>
      <c r="Y24" s="10">
        <v>3874.6818220324349</v>
      </c>
      <c r="Z24" s="27">
        <f t="shared" si="1"/>
        <v>1.3841354590238077E-2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2">
      <c r="B25" s="1">
        <v>21</v>
      </c>
      <c r="C25" s="9">
        <v>7683.4705725819222</v>
      </c>
      <c r="D25" s="8">
        <v>17695.180276982195</v>
      </c>
      <c r="E25" s="8">
        <v>249.41507977133733</v>
      </c>
      <c r="F25" s="8">
        <v>0</v>
      </c>
      <c r="G25" s="8">
        <v>2226.454016841366</v>
      </c>
      <c r="H25" s="8">
        <v>10860.962146093254</v>
      </c>
      <c r="I25" s="8">
        <v>8010.6154987632763</v>
      </c>
      <c r="J25" s="8">
        <v>308.36568293036544</v>
      </c>
      <c r="K25" s="8">
        <v>10079.762008648671</v>
      </c>
      <c r="L25" s="10">
        <v>57114.225282615749</v>
      </c>
      <c r="M25" s="27">
        <f t="shared" si="0"/>
        <v>2.2936163898969207E-2</v>
      </c>
      <c r="O25" s="1">
        <v>21</v>
      </c>
      <c r="P25" s="9">
        <v>3524.7917058900493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10">
        <v>3524.7917058900348</v>
      </c>
      <c r="Z25" s="27">
        <f t="shared" si="1"/>
        <v>1.2591457595442718E-2</v>
      </c>
      <c r="AB25" s="1">
        <v>21</v>
      </c>
      <c r="AC25" s="9">
        <v>166.54311319878616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10">
        <v>166.54311319882981</v>
      </c>
      <c r="AM25" s="27">
        <f t="shared" si="2"/>
        <v>2.7936077016973743E-4</v>
      </c>
    </row>
    <row r="26" spans="2:39" x14ac:dyDescent="0.2">
      <c r="B26" s="1">
        <v>22</v>
      </c>
      <c r="C26" s="9">
        <v>9835.6618301288108</v>
      </c>
      <c r="D26" s="8">
        <v>2969.0075030975859</v>
      </c>
      <c r="E26" s="8">
        <v>2544.6683480605425</v>
      </c>
      <c r="F26" s="8">
        <v>4596.579092226275</v>
      </c>
      <c r="G26" s="8">
        <v>641.08794258226408</v>
      </c>
      <c r="H26" s="8">
        <v>2091.8970577571308</v>
      </c>
      <c r="I26" s="8">
        <v>5771.2841552210739</v>
      </c>
      <c r="J26" s="8">
        <v>2007.3782537787774</v>
      </c>
      <c r="K26" s="8">
        <v>116.52322917515994</v>
      </c>
      <c r="L26" s="10">
        <v>30574.087412030203</v>
      </c>
      <c r="M26" s="27">
        <f t="shared" si="0"/>
        <v>1.2278066917195515E-2</v>
      </c>
      <c r="O26" s="1">
        <v>22</v>
      </c>
      <c r="P26" s="9">
        <v>0</v>
      </c>
      <c r="Q26" s="8">
        <v>3918.6581938784948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3918.6581938785093</v>
      </c>
      <c r="Z26" s="27">
        <f t="shared" si="1"/>
        <v>1.3998449439382204E-2</v>
      </c>
      <c r="AB26" s="1">
        <v>22</v>
      </c>
      <c r="AC26" s="9">
        <v>207.76730838998628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10">
        <v>207.76730839000084</v>
      </c>
      <c r="AM26" s="27">
        <f t="shared" si="2"/>
        <v>3.4851056986445116E-4</v>
      </c>
    </row>
    <row r="27" spans="2:39" x14ac:dyDescent="0.2">
      <c r="B27" s="1">
        <v>23</v>
      </c>
      <c r="C27" s="9">
        <v>1784.4656690008123</v>
      </c>
      <c r="D27" s="8">
        <v>9583.9236749192351</v>
      </c>
      <c r="E27" s="8">
        <v>151.66527218359261</v>
      </c>
      <c r="F27" s="8">
        <v>118.05914040612697</v>
      </c>
      <c r="G27" s="8">
        <v>997.54242781695211</v>
      </c>
      <c r="H27" s="8">
        <v>8144.3123345196364</v>
      </c>
      <c r="I27" s="8">
        <v>5452.889447640162</v>
      </c>
      <c r="J27" s="8">
        <v>297.30028839080478</v>
      </c>
      <c r="K27" s="8">
        <v>0</v>
      </c>
      <c r="L27" s="10">
        <v>26530.158254876733</v>
      </c>
      <c r="M27" s="27">
        <f t="shared" si="0"/>
        <v>1.0654089326930904E-2</v>
      </c>
      <c r="O27" s="1">
        <v>23</v>
      </c>
      <c r="P27" s="9">
        <v>0</v>
      </c>
      <c r="Q27" s="8">
        <v>80.513023645740759</v>
      </c>
      <c r="R27" s="8">
        <v>0</v>
      </c>
      <c r="S27" s="8">
        <v>0</v>
      </c>
      <c r="T27" s="8">
        <v>39.143363446230069</v>
      </c>
      <c r="U27" s="8">
        <v>170.64367095465423</v>
      </c>
      <c r="V27" s="8">
        <v>174.18896662120824</v>
      </c>
      <c r="W27" s="8">
        <v>0</v>
      </c>
      <c r="X27" s="8">
        <v>0</v>
      </c>
      <c r="Y27" s="10">
        <v>464.48902466788422</v>
      </c>
      <c r="Z27" s="27">
        <f t="shared" si="1"/>
        <v>1.6592736098082141E-3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2">
      <c r="B28" s="1">
        <v>24</v>
      </c>
      <c r="C28" s="9">
        <v>15795.221342727426</v>
      </c>
      <c r="D28" s="8">
        <v>5698.7437680166331</v>
      </c>
      <c r="E28" s="8">
        <v>0</v>
      </c>
      <c r="F28" s="8">
        <v>101.03337261453271</v>
      </c>
      <c r="G28" s="8">
        <v>1202.1910682922462</v>
      </c>
      <c r="H28" s="8">
        <v>2500.0858364857268</v>
      </c>
      <c r="I28" s="8">
        <v>3168.7242127725622</v>
      </c>
      <c r="J28" s="8">
        <v>230.95284295300371</v>
      </c>
      <c r="K28" s="8">
        <v>201.87002350746479</v>
      </c>
      <c r="L28" s="10">
        <v>28898.822467366699</v>
      </c>
      <c r="M28" s="27">
        <f t="shared" si="0"/>
        <v>1.160530717730817E-2</v>
      </c>
      <c r="O28" s="1">
        <v>24</v>
      </c>
      <c r="P28" s="9">
        <v>134.99231622650404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76.195835031887327</v>
      </c>
      <c r="X28" s="8">
        <v>83.324775252491236</v>
      </c>
      <c r="Y28" s="10">
        <v>294.51292651085532</v>
      </c>
      <c r="Z28" s="27">
        <f t="shared" si="1"/>
        <v>1.052075508256108E-3</v>
      </c>
      <c r="AB28" s="1">
        <v>24</v>
      </c>
      <c r="AC28" s="9">
        <v>0</v>
      </c>
      <c r="AD28" s="8">
        <v>68.737328238741611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10">
        <v>68.737328238785267</v>
      </c>
      <c r="AM28" s="27">
        <f t="shared" si="2"/>
        <v>1.1530055243576422E-4</v>
      </c>
    </row>
    <row r="29" spans="2:39" x14ac:dyDescent="0.2">
      <c r="B29" s="1">
        <v>25</v>
      </c>
      <c r="C29" s="9">
        <v>2139.5723232917371</v>
      </c>
      <c r="D29" s="8">
        <v>4437.0654666959308</v>
      </c>
      <c r="E29" s="8">
        <v>2332.4787279190568</v>
      </c>
      <c r="F29" s="8">
        <v>94.14204234918725</v>
      </c>
      <c r="G29" s="8">
        <v>827.09441586647881</v>
      </c>
      <c r="H29" s="8">
        <v>2013.2596289434587</v>
      </c>
      <c r="I29" s="8">
        <v>2681.4289049988147</v>
      </c>
      <c r="J29" s="8">
        <v>286.80879747330619</v>
      </c>
      <c r="K29" s="8">
        <v>116.89630404028867</v>
      </c>
      <c r="L29" s="10">
        <v>14928.74661157513</v>
      </c>
      <c r="M29" s="27">
        <f t="shared" si="0"/>
        <v>5.9951470477791731E-3</v>
      </c>
      <c r="O29" s="1">
        <v>25</v>
      </c>
      <c r="P29" s="9">
        <v>151.0432151485802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2343.7732824135346</v>
      </c>
      <c r="X29" s="8">
        <v>0</v>
      </c>
      <c r="Y29" s="10">
        <v>2494.8164975621039</v>
      </c>
      <c r="Z29" s="27">
        <f t="shared" si="1"/>
        <v>8.9121226893979135E-3</v>
      </c>
      <c r="AB29" s="1">
        <v>25</v>
      </c>
      <c r="AC29" s="9">
        <v>75.738220841041766</v>
      </c>
      <c r="AD29" s="8">
        <v>149.99070478616341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225.72892562719062</v>
      </c>
      <c r="AM29" s="27">
        <f t="shared" si="2"/>
        <v>3.7863953244055503E-4</v>
      </c>
    </row>
    <row r="30" spans="2:39" x14ac:dyDescent="0.2">
      <c r="B30" s="1">
        <v>26</v>
      </c>
      <c r="C30" s="9">
        <v>2921.7602695096866</v>
      </c>
      <c r="D30" s="8">
        <v>7027.6371888806461</v>
      </c>
      <c r="E30" s="8">
        <v>0</v>
      </c>
      <c r="F30" s="8">
        <v>70.234404236369301</v>
      </c>
      <c r="G30" s="8">
        <v>179.78589362109778</v>
      </c>
      <c r="H30" s="8">
        <v>1959.3731112384703</v>
      </c>
      <c r="I30" s="8">
        <v>4642.8525403579697</v>
      </c>
      <c r="J30" s="8">
        <v>2979.2661140320997</v>
      </c>
      <c r="K30" s="8">
        <v>531.72582695778692</v>
      </c>
      <c r="L30" s="10">
        <v>20312.635348835029</v>
      </c>
      <c r="M30" s="27">
        <f t="shared" si="0"/>
        <v>8.1572310799194747E-3</v>
      </c>
      <c r="O30" s="1">
        <v>26</v>
      </c>
      <c r="P30" s="9">
        <v>0</v>
      </c>
      <c r="Q30" s="8">
        <v>81.423142291689146</v>
      </c>
      <c r="R30" s="8">
        <v>0</v>
      </c>
      <c r="S30" s="8">
        <v>0</v>
      </c>
      <c r="T30" s="8">
        <v>0</v>
      </c>
      <c r="U30" s="8">
        <v>0</v>
      </c>
      <c r="V30" s="8">
        <v>2042.5918196354469</v>
      </c>
      <c r="W30" s="8">
        <v>0</v>
      </c>
      <c r="X30" s="8">
        <v>0</v>
      </c>
      <c r="Y30" s="10">
        <v>2124.0149619271688</v>
      </c>
      <c r="Z30" s="27">
        <f t="shared" si="1"/>
        <v>7.5875247551510745E-3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2">
      <c r="B31" s="1">
        <v>27</v>
      </c>
      <c r="C31" s="9">
        <v>4971.0500276056118</v>
      </c>
      <c r="D31" s="8">
        <v>267.05843435513088</v>
      </c>
      <c r="E31" s="8">
        <v>0</v>
      </c>
      <c r="F31" s="8">
        <v>0</v>
      </c>
      <c r="G31" s="8">
        <v>1118.3209493011236</v>
      </c>
      <c r="H31" s="8">
        <v>524.79858574288664</v>
      </c>
      <c r="I31" s="8">
        <v>3400.8166364814388</v>
      </c>
      <c r="J31" s="8">
        <v>220.92947854014346</v>
      </c>
      <c r="K31" s="8">
        <v>0</v>
      </c>
      <c r="L31" s="10">
        <v>10502.97411202779</v>
      </c>
      <c r="M31" s="27">
        <f t="shared" si="0"/>
        <v>4.2178272482569024E-3</v>
      </c>
      <c r="O31" s="1">
        <v>27</v>
      </c>
      <c r="P31" s="9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136.31196911972074</v>
      </c>
      <c r="W31" s="8">
        <v>0</v>
      </c>
      <c r="X31" s="8">
        <v>0</v>
      </c>
      <c r="Y31" s="10">
        <v>136.3119691197644</v>
      </c>
      <c r="Z31" s="27">
        <f t="shared" si="1"/>
        <v>4.8694122153507963E-4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2">
      <c r="B32" s="1">
        <v>28</v>
      </c>
      <c r="C32" s="9">
        <v>4659.2657338239951</v>
      </c>
      <c r="D32" s="8">
        <v>9908.4470821200521</v>
      </c>
      <c r="E32" s="8">
        <v>101.77803019434214</v>
      </c>
      <c r="F32" s="8">
        <v>1235.8785998776148</v>
      </c>
      <c r="G32" s="8">
        <v>1945.145418387372</v>
      </c>
      <c r="H32" s="8">
        <v>311.96961741929408</v>
      </c>
      <c r="I32" s="8">
        <v>1686.938804419362</v>
      </c>
      <c r="J32" s="8">
        <v>112.07737207594619</v>
      </c>
      <c r="K32" s="8">
        <v>97.626619288814254</v>
      </c>
      <c r="L32" s="10">
        <v>20059.127277607564</v>
      </c>
      <c r="M32" s="27">
        <f t="shared" si="0"/>
        <v>8.0554262731027306E-3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125.569655161642</v>
      </c>
      <c r="V32" s="8">
        <v>0</v>
      </c>
      <c r="W32" s="8">
        <v>0</v>
      </c>
      <c r="X32" s="8">
        <v>0</v>
      </c>
      <c r="Y32" s="10">
        <v>125.569655161642</v>
      </c>
      <c r="Z32" s="27">
        <f t="shared" si="1"/>
        <v>4.4856692825283984E-4</v>
      </c>
      <c r="AB32" s="1">
        <v>28</v>
      </c>
      <c r="AC32" s="9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0</v>
      </c>
      <c r="AM32" s="27">
        <f t="shared" si="2"/>
        <v>0</v>
      </c>
    </row>
    <row r="33" spans="2:39" x14ac:dyDescent="0.2">
      <c r="B33" s="1">
        <v>29</v>
      </c>
      <c r="C33" s="9">
        <v>7483.8402689727955</v>
      </c>
      <c r="D33" s="8">
        <v>7569.1007565782056</v>
      </c>
      <c r="E33" s="8">
        <v>2793.1535345707089</v>
      </c>
      <c r="F33" s="8">
        <v>0</v>
      </c>
      <c r="G33" s="8">
        <v>6539.2766046836623</v>
      </c>
      <c r="H33" s="8">
        <v>3636.5602240352891</v>
      </c>
      <c r="I33" s="8">
        <v>6542.3386257245438</v>
      </c>
      <c r="J33" s="8">
        <v>470.87551242142217</v>
      </c>
      <c r="K33" s="8">
        <v>502.36556272767484</v>
      </c>
      <c r="L33" s="10">
        <v>35537.511089713313</v>
      </c>
      <c r="M33" s="27">
        <f t="shared" si="0"/>
        <v>1.427129887312323E-2</v>
      </c>
      <c r="O33" s="1">
        <v>29</v>
      </c>
      <c r="P33" s="9">
        <v>19355.077852144394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19355.077852144314</v>
      </c>
      <c r="Z33" s="27">
        <f t="shared" si="1"/>
        <v>6.914128900851732E-2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2">
      <c r="B34" s="1">
        <v>30</v>
      </c>
      <c r="C34" s="9">
        <v>7634.6232001022436</v>
      </c>
      <c r="D34" s="8">
        <v>1009.9168739450979</v>
      </c>
      <c r="E34" s="8">
        <v>0</v>
      </c>
      <c r="F34" s="8">
        <v>0</v>
      </c>
      <c r="G34" s="8">
        <v>966.84658131486503</v>
      </c>
      <c r="H34" s="8">
        <v>0</v>
      </c>
      <c r="I34" s="8">
        <v>5191.7327063233824</v>
      </c>
      <c r="J34" s="8">
        <v>522.68424166462501</v>
      </c>
      <c r="K34" s="8">
        <v>0</v>
      </c>
      <c r="L34" s="10">
        <v>15325.803603344131</v>
      </c>
      <c r="M34" s="27">
        <f t="shared" si="0"/>
        <v>6.1545988165002206E-3</v>
      </c>
      <c r="O34" s="1">
        <v>30</v>
      </c>
      <c r="P34" s="9">
        <v>231.5382481370616</v>
      </c>
      <c r="Q34" s="8">
        <v>83.09545801132117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314.63370614836458</v>
      </c>
      <c r="Z34" s="27">
        <f t="shared" si="1"/>
        <v>1.123952079904183E-3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2">
      <c r="B35" s="1">
        <v>31</v>
      </c>
      <c r="C35" s="9">
        <v>2828.9808957917267</v>
      </c>
      <c r="D35" s="8">
        <v>161.76308890222572</v>
      </c>
      <c r="E35" s="8">
        <v>0</v>
      </c>
      <c r="F35" s="8">
        <v>3377.2317188474335</v>
      </c>
      <c r="G35" s="8">
        <v>1669.2788892416283</v>
      </c>
      <c r="H35" s="8">
        <v>159.89824231358944</v>
      </c>
      <c r="I35" s="8">
        <v>234.03750701481476</v>
      </c>
      <c r="J35" s="8">
        <v>418.96244957648742</v>
      </c>
      <c r="K35" s="8">
        <v>1283.5953362258442</v>
      </c>
      <c r="L35" s="10">
        <v>10133.748127911706</v>
      </c>
      <c r="M35" s="27">
        <f t="shared" si="0"/>
        <v>4.0695519692779828E-3</v>
      </c>
      <c r="O35" s="1">
        <v>31</v>
      </c>
      <c r="P35" s="9">
        <v>0</v>
      </c>
      <c r="Q35" s="8">
        <v>80.519532401878678</v>
      </c>
      <c r="R35" s="8">
        <v>0</v>
      </c>
      <c r="S35" s="8">
        <v>0</v>
      </c>
      <c r="T35" s="8">
        <v>90.093115896353993</v>
      </c>
      <c r="U35" s="8">
        <v>0</v>
      </c>
      <c r="V35" s="8">
        <v>0</v>
      </c>
      <c r="W35" s="8">
        <v>55.063880289926601</v>
      </c>
      <c r="X35" s="8">
        <v>0</v>
      </c>
      <c r="Y35" s="10">
        <v>225.67652858799556</v>
      </c>
      <c r="Z35" s="27">
        <f t="shared" si="1"/>
        <v>8.0617428691007978E-4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2">
      <c r="B36" s="1">
        <v>32</v>
      </c>
      <c r="C36" s="9">
        <v>7841.5392811544007</v>
      </c>
      <c r="D36" s="8">
        <v>5373.1110794063425</v>
      </c>
      <c r="E36" s="8">
        <v>0</v>
      </c>
      <c r="F36" s="8">
        <v>0</v>
      </c>
      <c r="G36" s="8">
        <v>4832.6173091297387</v>
      </c>
      <c r="H36" s="8">
        <v>0</v>
      </c>
      <c r="I36" s="8">
        <v>1458.6926934130024</v>
      </c>
      <c r="J36" s="8">
        <v>5289.4226850937703</v>
      </c>
      <c r="K36" s="8">
        <v>0</v>
      </c>
      <c r="L36" s="10">
        <v>24795.383048198186</v>
      </c>
      <c r="M36" s="27">
        <f t="shared" si="0"/>
        <v>9.9574312129258411E-3</v>
      </c>
      <c r="O36" s="1">
        <v>32</v>
      </c>
      <c r="P36" s="9">
        <v>0</v>
      </c>
      <c r="Q36" s="8">
        <v>0</v>
      </c>
      <c r="R36" s="8">
        <v>0</v>
      </c>
      <c r="S36" s="8">
        <v>94.142042349185431</v>
      </c>
      <c r="T36" s="8">
        <v>144.45892433001791</v>
      </c>
      <c r="U36" s="8">
        <v>0</v>
      </c>
      <c r="V36" s="8">
        <v>1123.0832840610092</v>
      </c>
      <c r="W36" s="8">
        <v>79.395390539515574</v>
      </c>
      <c r="X36" s="8">
        <v>0</v>
      </c>
      <c r="Y36" s="10">
        <v>1441.0796412797645</v>
      </c>
      <c r="Z36" s="27">
        <f t="shared" si="1"/>
        <v>5.1479050987633165E-3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2">
      <c r="B37" s="1">
        <v>33</v>
      </c>
      <c r="C37" s="9">
        <v>4842.6337394921575</v>
      </c>
      <c r="D37" s="8">
        <v>568.60543260304257</v>
      </c>
      <c r="E37" s="8">
        <v>6505.4527079310501</v>
      </c>
      <c r="F37" s="8">
        <v>0</v>
      </c>
      <c r="G37" s="8">
        <v>1166.2691748903599</v>
      </c>
      <c r="H37" s="8">
        <v>126.15824746320141</v>
      </c>
      <c r="I37" s="8">
        <v>7935.4857710816432</v>
      </c>
      <c r="J37" s="8">
        <v>6951.1531090820499</v>
      </c>
      <c r="K37" s="8">
        <v>3512.0364814890199</v>
      </c>
      <c r="L37" s="10">
        <v>31607.794664030429</v>
      </c>
      <c r="M37" s="27">
        <f t="shared" si="0"/>
        <v>1.2693187298118318E-2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110.19482870705542</v>
      </c>
      <c r="U37" s="8">
        <v>0</v>
      </c>
      <c r="V37" s="8">
        <v>0</v>
      </c>
      <c r="W37" s="8">
        <v>69.639855750338029</v>
      </c>
      <c r="X37" s="8">
        <v>0</v>
      </c>
      <c r="Y37" s="10">
        <v>179.83468445733888</v>
      </c>
      <c r="Z37" s="27">
        <f t="shared" si="1"/>
        <v>6.4241549358804795E-4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2">
      <c r="B38" s="1">
        <v>34</v>
      </c>
      <c r="C38" s="9">
        <v>1938.8976654435974</v>
      </c>
      <c r="D38" s="8">
        <v>9602.6104110507877</v>
      </c>
      <c r="E38" s="8">
        <v>0</v>
      </c>
      <c r="F38" s="8">
        <v>0</v>
      </c>
      <c r="G38" s="8">
        <v>820.60240244644228</v>
      </c>
      <c r="H38" s="8">
        <v>719.11738631254411</v>
      </c>
      <c r="I38" s="8">
        <v>410.12005602079444</v>
      </c>
      <c r="J38" s="8">
        <v>336.18421944003785</v>
      </c>
      <c r="K38" s="8">
        <v>115.66934038745239</v>
      </c>
      <c r="L38" s="10">
        <v>13943.201481101569</v>
      </c>
      <c r="M38" s="27">
        <f t="shared" si="0"/>
        <v>5.5993678083599363E-3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2">
      <c r="B39" s="1">
        <v>35</v>
      </c>
      <c r="C39" s="9">
        <v>1993.993314465275</v>
      </c>
      <c r="D39" s="8">
        <v>243.07426817103988</v>
      </c>
      <c r="E39" s="8">
        <v>0</v>
      </c>
      <c r="F39" s="8">
        <v>0</v>
      </c>
      <c r="G39" s="8">
        <v>1030.1074028208386</v>
      </c>
      <c r="H39" s="8">
        <v>288.13996434578439</v>
      </c>
      <c r="I39" s="8">
        <v>140.24762872885913</v>
      </c>
      <c r="J39" s="8">
        <v>77.121361528188572</v>
      </c>
      <c r="K39" s="8">
        <v>0</v>
      </c>
      <c r="L39" s="10">
        <v>3772.6839400590397</v>
      </c>
      <c r="M39" s="27">
        <f t="shared" si="0"/>
        <v>1.5150498279548768E-3</v>
      </c>
      <c r="O39" s="1">
        <v>35</v>
      </c>
      <c r="P39" s="9">
        <v>0</v>
      </c>
      <c r="Q39" s="8">
        <v>0</v>
      </c>
      <c r="R39" s="8">
        <v>0</v>
      </c>
      <c r="S39" s="8">
        <v>4025.7725617935066</v>
      </c>
      <c r="T39" s="8">
        <v>0</v>
      </c>
      <c r="U39" s="8">
        <v>107.59595378226732</v>
      </c>
      <c r="V39" s="8">
        <v>115.64323292841436</v>
      </c>
      <c r="W39" s="8">
        <v>106.71691367077983</v>
      </c>
      <c r="X39" s="8">
        <v>0</v>
      </c>
      <c r="Y39" s="10">
        <v>4355.72866217501</v>
      </c>
      <c r="Z39" s="27">
        <f t="shared" si="1"/>
        <v>1.5559776952318473E-2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2">
      <c r="B40" s="1">
        <v>36</v>
      </c>
      <c r="C40" s="9">
        <v>6161.8695704467245</v>
      </c>
      <c r="D40" s="8">
        <v>5031.1444634252694</v>
      </c>
      <c r="E40" s="8">
        <v>0</v>
      </c>
      <c r="F40" s="8">
        <v>103.70714273033082</v>
      </c>
      <c r="G40" s="8">
        <v>1426.4342187365983</v>
      </c>
      <c r="H40" s="8">
        <v>57.208524749265052</v>
      </c>
      <c r="I40" s="8">
        <v>154.31670453795232</v>
      </c>
      <c r="J40" s="8">
        <v>481.75414291197376</v>
      </c>
      <c r="K40" s="8">
        <v>0</v>
      </c>
      <c r="L40" s="10">
        <v>13416.43476753775</v>
      </c>
      <c r="M40" s="27">
        <f t="shared" si="0"/>
        <v>5.3878266797000229E-3</v>
      </c>
      <c r="O40" s="1">
        <v>36</v>
      </c>
      <c r="P40" s="9">
        <v>3491.0136751726386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3491.0136751726386</v>
      </c>
      <c r="Z40" s="27">
        <f t="shared" si="1"/>
        <v>1.2470793829488848E-2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2">
      <c r="B41" s="1">
        <v>37</v>
      </c>
      <c r="C41" s="9">
        <v>1222.0338857557508</v>
      </c>
      <c r="D41" s="8">
        <v>80.606619352009147</v>
      </c>
      <c r="E41" s="8">
        <v>0</v>
      </c>
      <c r="F41" s="8">
        <v>0</v>
      </c>
      <c r="G41" s="8">
        <v>1315.8739580375841</v>
      </c>
      <c r="H41" s="8">
        <v>0</v>
      </c>
      <c r="I41" s="8">
        <v>279.48796070285607</v>
      </c>
      <c r="J41" s="8">
        <v>154.79857496939076</v>
      </c>
      <c r="K41" s="8">
        <v>0</v>
      </c>
      <c r="L41" s="10">
        <v>3052.8009988181293</v>
      </c>
      <c r="M41" s="27">
        <f t="shared" si="0"/>
        <v>1.2259562957101311E-3</v>
      </c>
      <c r="O41" s="1">
        <v>37</v>
      </c>
      <c r="P41" s="9">
        <v>0</v>
      </c>
      <c r="Q41" s="8">
        <v>0</v>
      </c>
      <c r="R41" s="8">
        <v>0</v>
      </c>
      <c r="S41" s="8">
        <v>0</v>
      </c>
      <c r="T41" s="8">
        <v>94.786249850621971</v>
      </c>
      <c r="U41" s="8">
        <v>0</v>
      </c>
      <c r="V41" s="8">
        <v>0</v>
      </c>
      <c r="W41" s="8">
        <v>0</v>
      </c>
      <c r="X41" s="8">
        <v>0</v>
      </c>
      <c r="Y41" s="10">
        <v>94.786249850643799</v>
      </c>
      <c r="Z41" s="27">
        <f t="shared" si="1"/>
        <v>3.386007302590533E-4</v>
      </c>
      <c r="AB41" s="1">
        <v>37</v>
      </c>
      <c r="AC41" s="9">
        <v>75.788587644870859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75.788587644929066</v>
      </c>
      <c r="AM41" s="27">
        <f t="shared" si="2"/>
        <v>1.2712839220969236E-4</v>
      </c>
    </row>
    <row r="42" spans="2:39" x14ac:dyDescent="0.2">
      <c r="B42" s="1">
        <v>38</v>
      </c>
      <c r="C42" s="9">
        <v>2036.3424514026265</v>
      </c>
      <c r="D42" s="8">
        <v>1319.9380988372723</v>
      </c>
      <c r="E42" s="8">
        <v>0</v>
      </c>
      <c r="F42" s="8">
        <v>102.96077155748208</v>
      </c>
      <c r="G42" s="8">
        <v>2430.6569617035566</v>
      </c>
      <c r="H42" s="8">
        <v>0</v>
      </c>
      <c r="I42" s="8">
        <v>5484.837156633148</v>
      </c>
      <c r="J42" s="8">
        <v>75.618915030689095</v>
      </c>
      <c r="K42" s="8">
        <v>4795.8320887262234</v>
      </c>
      <c r="L42" s="10">
        <v>16246.186443890445</v>
      </c>
      <c r="M42" s="27">
        <f t="shared" si="0"/>
        <v>6.5242099173443832E-3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2">
      <c r="B43" s="1">
        <v>39</v>
      </c>
      <c r="C43" s="9">
        <v>1218.8026267074747</v>
      </c>
      <c r="D43" s="8">
        <v>114.57323067187099</v>
      </c>
      <c r="E43" s="8">
        <v>0</v>
      </c>
      <c r="F43" s="8">
        <v>0</v>
      </c>
      <c r="G43" s="8">
        <v>367.08813400875079</v>
      </c>
      <c r="H43" s="8">
        <v>1288.9481579663116</v>
      </c>
      <c r="I43" s="8">
        <v>1102.7444248757092</v>
      </c>
      <c r="J43" s="8">
        <v>75.940327549426001</v>
      </c>
      <c r="K43" s="8">
        <v>118.04454589160741</v>
      </c>
      <c r="L43" s="10">
        <v>4286.1414476707578</v>
      </c>
      <c r="M43" s="27">
        <f t="shared" si="0"/>
        <v>1.7212461913208201E-3</v>
      </c>
      <c r="O43" s="1">
        <v>39</v>
      </c>
      <c r="P43" s="9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0</v>
      </c>
      <c r="Z43" s="27">
        <f t="shared" si="1"/>
        <v>0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2">
      <c r="B44" s="1">
        <v>40</v>
      </c>
      <c r="C44" s="9">
        <v>916.39743292430649</v>
      </c>
      <c r="D44" s="8">
        <v>80.760232205386274</v>
      </c>
      <c r="E44" s="8">
        <v>3311.1885396503203</v>
      </c>
      <c r="F44" s="8">
        <v>0</v>
      </c>
      <c r="G44" s="8">
        <v>1165.2738536256948</v>
      </c>
      <c r="H44" s="8">
        <v>0</v>
      </c>
      <c r="I44" s="8">
        <v>1657.1739852951141</v>
      </c>
      <c r="J44" s="8">
        <v>77.230882474046666</v>
      </c>
      <c r="K44" s="8">
        <v>311.8392870798416</v>
      </c>
      <c r="L44" s="10">
        <v>7519.864213256631</v>
      </c>
      <c r="M44" s="27">
        <f t="shared" si="0"/>
        <v>3.0198577891897833E-3</v>
      </c>
      <c r="O44" s="1">
        <v>40</v>
      </c>
      <c r="P44" s="9">
        <v>160.91191123398312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105.73145280954486</v>
      </c>
      <c r="W44" s="8">
        <v>0</v>
      </c>
      <c r="X44" s="8">
        <v>0</v>
      </c>
      <c r="Y44" s="10">
        <v>266.64336404355709</v>
      </c>
      <c r="Z44" s="27">
        <f t="shared" si="1"/>
        <v>9.5251830224471956E-4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2">
      <c r="B45" s="1">
        <v>41</v>
      </c>
      <c r="C45" s="9">
        <v>789.47990025387844</v>
      </c>
      <c r="D45" s="8">
        <v>0</v>
      </c>
      <c r="E45" s="8">
        <v>3311.1885396503203</v>
      </c>
      <c r="F45" s="8">
        <v>0</v>
      </c>
      <c r="G45" s="8">
        <v>1528.9085751160164</v>
      </c>
      <c r="H45" s="8">
        <v>0</v>
      </c>
      <c r="I45" s="8">
        <v>1421.4800236439332</v>
      </c>
      <c r="J45" s="8">
        <v>3312.3744070790272</v>
      </c>
      <c r="K45" s="8">
        <v>0</v>
      </c>
      <c r="L45" s="10">
        <v>10363.431445743423</v>
      </c>
      <c r="M45" s="27">
        <f t="shared" si="0"/>
        <v>4.1617891343026263E-3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79.557695531517311</v>
      </c>
      <c r="X45" s="8">
        <v>0</v>
      </c>
      <c r="Y45" s="10">
        <v>79.55769553151913</v>
      </c>
      <c r="Z45" s="27">
        <f t="shared" si="1"/>
        <v>2.842004388521215E-4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2">
      <c r="B46" s="1">
        <v>42</v>
      </c>
      <c r="C46" s="9">
        <v>991.54621294559911</v>
      </c>
      <c r="D46" s="8">
        <v>4834.936085063091</v>
      </c>
      <c r="E46" s="8">
        <v>0</v>
      </c>
      <c r="F46" s="8">
        <v>0</v>
      </c>
      <c r="G46" s="8">
        <v>5617.2533185639768</v>
      </c>
      <c r="H46" s="8">
        <v>0</v>
      </c>
      <c r="I46" s="8">
        <v>218.09800819633529</v>
      </c>
      <c r="J46" s="8">
        <v>3733.8540213387168</v>
      </c>
      <c r="K46" s="8">
        <v>118.08482360598282</v>
      </c>
      <c r="L46" s="10">
        <v>15513.772469712421</v>
      </c>
      <c r="M46" s="27">
        <f t="shared" si="0"/>
        <v>6.2300841217038409E-3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161.82499969394121</v>
      </c>
      <c r="W46" s="8">
        <v>0</v>
      </c>
      <c r="X46" s="8">
        <v>0</v>
      </c>
      <c r="Y46" s="10">
        <v>161.82499969395576</v>
      </c>
      <c r="Z46" s="27">
        <f t="shared" si="1"/>
        <v>5.7808029283661273E-4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2">
      <c r="B47" s="1">
        <v>43</v>
      </c>
      <c r="C47" s="9">
        <v>201.29782209580299</v>
      </c>
      <c r="D47" s="8">
        <v>858.25148586637806</v>
      </c>
      <c r="E47" s="8">
        <v>0</v>
      </c>
      <c r="F47" s="8">
        <v>0</v>
      </c>
      <c r="G47" s="8">
        <v>1956.7064283197979</v>
      </c>
      <c r="H47" s="8">
        <v>4790.5980761024402</v>
      </c>
      <c r="I47" s="8">
        <v>377.66764007240999</v>
      </c>
      <c r="J47" s="8">
        <v>0</v>
      </c>
      <c r="K47" s="8">
        <v>1285.3654385041737</v>
      </c>
      <c r="L47" s="10">
        <v>9469.8868909599259</v>
      </c>
      <c r="M47" s="27">
        <f t="shared" si="0"/>
        <v>3.8029558618887255E-3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2">
      <c r="B48" s="1">
        <v>44</v>
      </c>
      <c r="C48" s="9">
        <v>488.41361452057026</v>
      </c>
      <c r="D48" s="8">
        <v>3612.6376375137479</v>
      </c>
      <c r="E48" s="8">
        <v>0</v>
      </c>
      <c r="F48" s="8">
        <v>0</v>
      </c>
      <c r="G48" s="8">
        <v>1868.1079846310313</v>
      </c>
      <c r="H48" s="8">
        <v>0</v>
      </c>
      <c r="I48" s="8">
        <v>0</v>
      </c>
      <c r="J48" s="8">
        <v>79.395390539517393</v>
      </c>
      <c r="K48" s="8">
        <v>0</v>
      </c>
      <c r="L48" s="10">
        <v>6048.5546272071078</v>
      </c>
      <c r="M48" s="27">
        <f t="shared" si="0"/>
        <v>2.4290032753664474E-3</v>
      </c>
      <c r="O48" s="1">
        <v>44</v>
      </c>
      <c r="P48" s="9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0</v>
      </c>
      <c r="Z48" s="27">
        <f t="shared" si="1"/>
        <v>0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2">
      <c r="B49" s="1">
        <v>45</v>
      </c>
      <c r="C49" s="9">
        <v>127.12200384750031</v>
      </c>
      <c r="D49" s="8">
        <v>348.82645793980919</v>
      </c>
      <c r="E49" s="8">
        <v>0</v>
      </c>
      <c r="F49" s="8">
        <v>102.85722749169508</v>
      </c>
      <c r="G49" s="8">
        <v>659.27182608062867</v>
      </c>
      <c r="H49" s="8">
        <v>0</v>
      </c>
      <c r="I49" s="8">
        <v>2234.1588650500635</v>
      </c>
      <c r="J49" s="8">
        <v>2142.6628586859733</v>
      </c>
      <c r="K49" s="8">
        <v>230.0477284953522</v>
      </c>
      <c r="L49" s="10">
        <v>5844.9469675906003</v>
      </c>
      <c r="M49" s="27">
        <f t="shared" si="0"/>
        <v>2.3472376796861857E-3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2">
      <c r="B50" s="1">
        <v>46</v>
      </c>
      <c r="C50" s="9">
        <v>0</v>
      </c>
      <c r="D50" s="8">
        <v>195.04207962774672</v>
      </c>
      <c r="E50" s="8">
        <v>2793.1535345707016</v>
      </c>
      <c r="F50" s="8">
        <v>185.44110554907093</v>
      </c>
      <c r="G50" s="8">
        <v>848.15840636315988</v>
      </c>
      <c r="H50" s="8">
        <v>0</v>
      </c>
      <c r="I50" s="8">
        <v>3347.5054638454458</v>
      </c>
      <c r="J50" s="8">
        <v>0</v>
      </c>
      <c r="K50" s="8">
        <v>4898.7895076017303</v>
      </c>
      <c r="L50" s="10">
        <v>12268.09009755915</v>
      </c>
      <c r="M50" s="27">
        <f t="shared" si="0"/>
        <v>4.9266697361748909E-3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976.37203002272872</v>
      </c>
      <c r="U50" s="8">
        <v>0</v>
      </c>
      <c r="V50" s="8">
        <v>0</v>
      </c>
      <c r="W50" s="8">
        <v>0</v>
      </c>
      <c r="X50" s="8">
        <v>0</v>
      </c>
      <c r="Y50" s="10">
        <v>976.37203002272872</v>
      </c>
      <c r="Z50" s="27">
        <f t="shared" si="1"/>
        <v>3.4878506417454261E-3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2">
      <c r="B51" s="1">
        <v>47</v>
      </c>
      <c r="C51" s="9">
        <v>75.263986039557494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4301.8286530292826</v>
      </c>
      <c r="J51" s="8">
        <v>76.737634654215071</v>
      </c>
      <c r="K51" s="8">
        <v>2111.6700038790586</v>
      </c>
      <c r="L51" s="10">
        <v>6565.5002776011825</v>
      </c>
      <c r="M51" s="27">
        <f t="shared" si="0"/>
        <v>2.6366004213598934E-3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2">
      <c r="B52" s="1">
        <v>48</v>
      </c>
      <c r="C52" s="9">
        <v>93.437799074570648</v>
      </c>
      <c r="D52" s="8">
        <v>153.14677890541498</v>
      </c>
      <c r="E52" s="8">
        <v>624.46537826371787</v>
      </c>
      <c r="F52" s="8">
        <v>0</v>
      </c>
      <c r="G52" s="8">
        <v>0</v>
      </c>
      <c r="H52" s="8">
        <v>0</v>
      </c>
      <c r="I52" s="8">
        <v>0</v>
      </c>
      <c r="J52" s="8">
        <v>1058.1733320806088</v>
      </c>
      <c r="K52" s="8">
        <v>0</v>
      </c>
      <c r="L52" s="10">
        <v>1929.2232883246616</v>
      </c>
      <c r="M52" s="27">
        <f t="shared" si="0"/>
        <v>7.7474536894735983E-4</v>
      </c>
      <c r="O52" s="1">
        <v>48</v>
      </c>
      <c r="P52" s="9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2324.87781492254</v>
      </c>
      <c r="W52" s="8">
        <v>0</v>
      </c>
      <c r="X52" s="8">
        <v>0</v>
      </c>
      <c r="Y52" s="10">
        <v>2324.8778149225982</v>
      </c>
      <c r="Z52" s="27">
        <f t="shared" si="1"/>
        <v>8.3050582456450795E-3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2">
      <c r="B53" s="1">
        <v>49</v>
      </c>
      <c r="C53" s="9">
        <v>0</v>
      </c>
      <c r="D53" s="8">
        <v>0</v>
      </c>
      <c r="E53" s="8">
        <v>0</v>
      </c>
      <c r="F53" s="8">
        <v>110.99678300164669</v>
      </c>
      <c r="G53" s="8">
        <v>597.72797719133087</v>
      </c>
      <c r="H53" s="8">
        <v>0</v>
      </c>
      <c r="I53" s="8">
        <v>1185.3760745128384</v>
      </c>
      <c r="J53" s="8">
        <v>75.499511951129534</v>
      </c>
      <c r="K53" s="8">
        <v>0</v>
      </c>
      <c r="L53" s="10">
        <v>1969.6003466565162</v>
      </c>
      <c r="M53" s="27">
        <f t="shared" si="0"/>
        <v>7.9096015297139429E-4</v>
      </c>
      <c r="O53" s="1">
        <v>49</v>
      </c>
      <c r="P53" s="9">
        <v>0</v>
      </c>
      <c r="Q53" s="8">
        <v>0</v>
      </c>
      <c r="R53" s="8">
        <v>0</v>
      </c>
      <c r="S53" s="8">
        <v>100.34997391597244</v>
      </c>
      <c r="T53" s="8">
        <v>0</v>
      </c>
      <c r="U53" s="8">
        <v>0</v>
      </c>
      <c r="V53" s="8">
        <v>0</v>
      </c>
      <c r="W53" s="8">
        <v>822.69528935985909</v>
      </c>
      <c r="X53" s="8">
        <v>0</v>
      </c>
      <c r="Y53" s="10">
        <v>923.04526327579515</v>
      </c>
      <c r="Z53" s="27">
        <f t="shared" si="1"/>
        <v>3.2973537902367127E-3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2">
      <c r="B54" s="1">
        <v>50</v>
      </c>
      <c r="C54" s="9">
        <v>0</v>
      </c>
      <c r="D54" s="8">
        <v>35.8495665306109</v>
      </c>
      <c r="E54" s="8">
        <v>0</v>
      </c>
      <c r="F54" s="8">
        <v>87.530683797245729</v>
      </c>
      <c r="G54" s="8">
        <v>224.55212803120958</v>
      </c>
      <c r="H54" s="8">
        <v>0</v>
      </c>
      <c r="I54" s="8">
        <v>1819.0676611618837</v>
      </c>
      <c r="J54" s="8">
        <v>0</v>
      </c>
      <c r="K54" s="8">
        <v>372.52512876340188</v>
      </c>
      <c r="L54" s="10">
        <v>2539.5251682843082</v>
      </c>
      <c r="M54" s="27">
        <f t="shared" si="0"/>
        <v>1.019832890967275E-3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2">
      <c r="B55" s="1">
        <v>51</v>
      </c>
      <c r="C55" s="11">
        <v>0</v>
      </c>
      <c r="D55" s="12">
        <v>753.25296659732703</v>
      </c>
      <c r="E55" s="12">
        <v>0</v>
      </c>
      <c r="F55" s="12">
        <v>0</v>
      </c>
      <c r="G55" s="12">
        <v>234.31296502472833</v>
      </c>
      <c r="H55" s="12">
        <v>0</v>
      </c>
      <c r="I55" s="12">
        <v>435.80000669881701</v>
      </c>
      <c r="J55" s="12">
        <v>132.79356837853265</v>
      </c>
      <c r="K55" s="12">
        <v>0</v>
      </c>
      <c r="L55" s="13">
        <v>1556.159506700933</v>
      </c>
      <c r="M55" s="27">
        <f t="shared" si="0"/>
        <v>6.2492889156802749E-4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375.17171938981119</v>
      </c>
      <c r="U55" s="12">
        <v>0</v>
      </c>
      <c r="V55" s="12">
        <v>0</v>
      </c>
      <c r="W55" s="12">
        <v>0</v>
      </c>
      <c r="X55" s="12">
        <v>0</v>
      </c>
      <c r="Y55" s="13">
        <v>375.171719389793</v>
      </c>
      <c r="Z55" s="27">
        <f t="shared" si="1"/>
        <v>1.3402093484877514E-3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2">
      <c r="L56" s="31">
        <f>SUM(L5:L55)</f>
        <v>2490138.5224746568</v>
      </c>
      <c r="M56" s="27">
        <f t="shared" si="0"/>
        <v>1</v>
      </c>
      <c r="Y56" s="31">
        <f>SUM(Y5:Y55)</f>
        <v>279935.16073673457</v>
      </c>
      <c r="Z56" s="27">
        <f t="shared" si="1"/>
        <v>1</v>
      </c>
      <c r="AL56" s="31">
        <f>SUM(AL5:AL55)</f>
        <v>596157.83954790619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N22" sqref="N22"/>
    </sheetView>
  </sheetViews>
  <sheetFormatPr defaultRowHeight="15" x14ac:dyDescent="0.25"/>
  <cols>
    <col min="1" max="1" width="11.42578125" customWidth="1"/>
  </cols>
  <sheetData>
    <row r="1" spans="1:4" x14ac:dyDescent="0.25">
      <c r="A1" s="2" t="s">
        <v>524</v>
      </c>
    </row>
    <row r="2" spans="1:4" x14ac:dyDescent="0.25">
      <c r="A2" s="16" t="s">
        <v>520</v>
      </c>
    </row>
    <row r="3" spans="1:4" x14ac:dyDescent="0.25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25">
      <c r="A4" s="1" t="s">
        <v>16</v>
      </c>
      <c r="B4" s="1">
        <v>11.904731209190953</v>
      </c>
      <c r="C4" s="1">
        <v>11.88818880318907</v>
      </c>
      <c r="D4" s="1">
        <v>3.354816884183029</v>
      </c>
    </row>
    <row r="5" spans="1:4" x14ac:dyDescent="0.25">
      <c r="A5" s="1" t="s">
        <v>17</v>
      </c>
      <c r="B5" s="1">
        <v>13.474065302792562</v>
      </c>
      <c r="C5" s="1">
        <v>12.282320379590667</v>
      </c>
      <c r="D5" s="1">
        <v>2.6374741356358355</v>
      </c>
    </row>
    <row r="6" spans="1:4" x14ac:dyDescent="0.25">
      <c r="A6" s="1" t="s">
        <v>21</v>
      </c>
      <c r="B6" s="1">
        <v>18.603810430278671</v>
      </c>
      <c r="C6" s="1">
        <v>15.55</v>
      </c>
      <c r="D6" s="1">
        <v>2.7118933779272258</v>
      </c>
    </row>
    <row r="7" spans="1:4" x14ac:dyDescent="0.25">
      <c r="A7" s="1" t="s">
        <v>19</v>
      </c>
      <c r="B7" s="1">
        <v>10.520274364313339</v>
      </c>
      <c r="C7" s="1">
        <v>27.636389348712481</v>
      </c>
      <c r="D7" s="1">
        <v>2.7295761640160436</v>
      </c>
    </row>
    <row r="8" spans="1:4" x14ac:dyDescent="0.25">
      <c r="A8" s="1" t="s">
        <v>13</v>
      </c>
      <c r="B8" s="1">
        <v>8.9394910222781814</v>
      </c>
      <c r="C8" s="1">
        <v>5.984922793386013</v>
      </c>
      <c r="D8" s="1">
        <v>3.0662431644802579</v>
      </c>
    </row>
    <row r="9" spans="1:4" x14ac:dyDescent="0.25">
      <c r="A9" s="1" t="s">
        <v>14</v>
      </c>
      <c r="B9" s="1">
        <v>11.45993854745139</v>
      </c>
      <c r="C9" s="1">
        <v>7.1103882349374032</v>
      </c>
      <c r="D9" s="1">
        <v>1.7670674128841191</v>
      </c>
    </row>
    <row r="10" spans="1:4" x14ac:dyDescent="0.25">
      <c r="A10" s="1" t="s">
        <v>15</v>
      </c>
      <c r="B10" s="1">
        <v>9.8773790811030793</v>
      </c>
      <c r="C10" s="1">
        <v>5.1261908211343243</v>
      </c>
      <c r="D10" s="1">
        <v>2.7823730697456313</v>
      </c>
    </row>
    <row r="11" spans="1:4" x14ac:dyDescent="0.25">
      <c r="A11" s="1" t="s">
        <v>18</v>
      </c>
      <c r="B11" s="1">
        <v>15.023531499303834</v>
      </c>
      <c r="C11" s="1">
        <v>11.599493369501499</v>
      </c>
      <c r="D11" s="1">
        <v>3.4739403699141036</v>
      </c>
    </row>
    <row r="12" spans="1:4" x14ac:dyDescent="0.25">
      <c r="A12" s="1" t="s">
        <v>20</v>
      </c>
      <c r="B12" s="1">
        <v>15.848714404386422</v>
      </c>
      <c r="C12" s="1">
        <v>6.8438537634649013</v>
      </c>
      <c r="D12" s="1">
        <v>6.218170988530705</v>
      </c>
    </row>
    <row r="13" spans="1:4" x14ac:dyDescent="0.25">
      <c r="A13" s="1" t="s">
        <v>59</v>
      </c>
      <c r="B13" s="1">
        <v>11.744612735373204</v>
      </c>
      <c r="C13" s="1">
        <v>9.1137559809535915</v>
      </c>
      <c r="D13" s="1">
        <v>3.0524789735300204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5" x14ac:dyDescent="0.25"/>
  <sheetData>
    <row r="1" spans="1:43" x14ac:dyDescent="0.25">
      <c r="A1" s="221" t="s">
        <v>493</v>
      </c>
    </row>
    <row r="2" spans="1:43" x14ac:dyDescent="0.25">
      <c r="A2" s="220" t="s">
        <v>492</v>
      </c>
    </row>
    <row r="3" spans="1:43" x14ac:dyDescent="0.25">
      <c r="A3" t="s">
        <v>158</v>
      </c>
      <c r="B3" t="s">
        <v>491</v>
      </c>
      <c r="C3" t="s">
        <v>157</v>
      </c>
      <c r="D3" t="s">
        <v>156</v>
      </c>
      <c r="E3" t="s">
        <v>490</v>
      </c>
      <c r="F3" t="s">
        <v>489</v>
      </c>
      <c r="G3" t="s">
        <v>488</v>
      </c>
      <c r="H3" t="s">
        <v>487</v>
      </c>
      <c r="I3" t="s">
        <v>486</v>
      </c>
      <c r="J3" t="s">
        <v>485</v>
      </c>
      <c r="K3" t="s">
        <v>484</v>
      </c>
      <c r="L3" t="s">
        <v>483</v>
      </c>
      <c r="M3" t="s">
        <v>482</v>
      </c>
      <c r="N3" t="s">
        <v>481</v>
      </c>
      <c r="O3" t="s">
        <v>480</v>
      </c>
      <c r="P3" t="s">
        <v>479</v>
      </c>
      <c r="Q3" t="s">
        <v>478</v>
      </c>
      <c r="R3" t="s">
        <v>477</v>
      </c>
      <c r="S3" t="s">
        <v>476</v>
      </c>
      <c r="T3" t="s">
        <v>475</v>
      </c>
      <c r="U3" t="s">
        <v>474</v>
      </c>
      <c r="V3" t="s">
        <v>473</v>
      </c>
      <c r="W3" t="s">
        <v>472</v>
      </c>
      <c r="X3" t="s">
        <v>471</v>
      </c>
      <c r="Y3" t="s">
        <v>470</v>
      </c>
      <c r="Z3" t="s">
        <v>469</v>
      </c>
      <c r="AA3" t="s">
        <v>468</v>
      </c>
      <c r="AB3" t="s">
        <v>467</v>
      </c>
      <c r="AC3" t="s">
        <v>466</v>
      </c>
      <c r="AD3" t="s">
        <v>465</v>
      </c>
      <c r="AE3" t="s">
        <v>464</v>
      </c>
      <c r="AF3" t="s">
        <v>463</v>
      </c>
      <c r="AG3" t="s">
        <v>462</v>
      </c>
      <c r="AH3" t="s">
        <v>461</v>
      </c>
      <c r="AI3" t="s">
        <v>460</v>
      </c>
      <c r="AJ3" t="s">
        <v>459</v>
      </c>
      <c r="AK3" t="s">
        <v>458</v>
      </c>
      <c r="AL3" t="s">
        <v>457</v>
      </c>
      <c r="AM3" t="s">
        <v>456</v>
      </c>
      <c r="AN3" t="s">
        <v>455</v>
      </c>
      <c r="AO3" t="s">
        <v>454</v>
      </c>
      <c r="AP3" t="s">
        <v>453</v>
      </c>
      <c r="AQ3" t="s">
        <v>452</v>
      </c>
    </row>
    <row r="4" spans="1:43" x14ac:dyDescent="0.25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25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25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25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25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25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25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25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25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25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25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25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25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25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25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25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25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25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25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25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25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25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25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25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25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25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25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25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25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25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25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25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25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25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25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25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25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25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25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25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25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25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25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25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25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25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25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25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25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25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25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25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25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25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25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25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25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25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25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25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25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25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25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25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25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25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25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25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25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25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25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25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25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25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25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25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25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25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25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25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25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25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25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25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25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25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25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25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25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25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25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25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25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25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25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25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25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25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25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25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25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25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25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25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25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25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25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25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25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25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25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25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25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25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25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25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25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25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25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25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25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25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25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25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25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25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25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25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25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25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25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25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25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25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25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25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25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25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25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25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25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25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25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25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25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25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25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25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25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25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25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25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25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25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25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25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25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25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25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25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25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25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25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25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25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25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25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25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25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25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25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25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25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25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25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25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25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25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25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25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25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25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25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25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25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25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25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25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25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25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25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25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25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25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25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25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25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25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25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25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25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25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25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25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25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25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25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25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25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25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25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25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25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25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25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25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25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25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25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25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25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25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25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25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25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25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25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25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25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25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25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25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25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25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25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25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25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25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25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25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25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25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25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25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25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25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25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25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25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25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25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25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25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25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25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25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25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25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25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25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25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25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25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25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25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25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25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25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25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25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25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25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25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25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25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25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25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25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25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25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25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25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25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25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25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25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25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25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25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25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25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25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25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25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25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25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25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25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25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25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25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25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25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25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25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25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25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25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25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25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25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25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25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25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25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25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25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25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25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25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25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25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25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25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25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25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25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25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25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25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25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25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25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25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25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25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25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25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25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25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25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25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25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25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25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25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25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25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25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25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25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25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25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25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25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25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25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25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25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25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25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25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25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25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25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25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25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25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25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25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25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25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25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25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25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25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25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25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25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25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25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25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25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25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25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25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25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25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25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25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25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25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25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25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25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25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25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25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25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25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25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25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25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25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25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25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25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25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25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25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25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25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25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25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25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25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25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25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25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25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25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25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25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25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25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25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25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25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25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25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25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25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25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25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25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25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25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25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25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25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25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25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25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25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25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25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25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25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25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25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25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25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25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25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25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25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25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25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25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25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25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25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25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25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25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25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25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25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25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25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25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25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25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25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25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25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25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25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25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25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25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25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25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25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25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25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25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25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25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25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25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25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25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25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25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25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25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25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25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25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25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25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25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25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25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25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25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25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25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25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25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25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25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25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25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25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25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25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25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25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25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25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25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25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25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25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25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25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25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25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25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25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25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25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25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25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25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25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25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25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25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25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25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25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25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25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25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25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25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25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25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25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25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25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25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25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25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25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25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25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25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25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25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25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25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25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25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25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25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25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25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25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25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25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25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25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25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25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25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25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25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25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25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25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25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25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25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25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25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25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25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25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25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25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25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25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25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25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25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25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25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25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25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25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25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25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25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25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25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25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25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25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25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25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25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25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25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25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25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25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25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25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25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25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25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25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25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25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25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25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25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25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25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25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25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25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25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25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25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25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25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25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25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25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25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25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25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25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25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25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25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25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25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25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25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25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25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25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25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25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25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25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25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25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25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25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25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25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25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25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25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25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25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25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25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25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25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25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25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25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25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25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25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25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25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25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25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25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25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25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25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25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25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25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25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25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25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25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25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25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25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25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25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25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25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25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25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25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25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25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25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25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25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25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25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25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25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25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25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25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25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25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25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25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25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25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25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25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25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25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25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25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25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25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25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25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25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25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25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25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25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25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25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25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25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25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25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25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25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25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25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25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25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25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25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25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25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25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25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25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25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25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25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25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25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25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25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25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25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25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25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25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25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25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25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25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25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25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25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25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25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25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25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25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25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25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25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25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25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25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25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25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25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25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25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25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25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25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25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25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25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25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25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25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25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25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25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25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25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25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25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25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25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25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25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25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25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25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25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25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25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25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25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25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25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25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25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25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25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25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25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25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25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25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25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25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25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25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25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25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25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25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25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25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25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25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25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25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25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25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25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25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25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25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25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25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25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25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25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25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25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25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25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25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25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25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25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25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25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25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25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25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25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25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25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25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25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25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25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25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25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25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25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25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25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25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25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25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25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25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25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25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25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25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25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25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25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25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25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25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25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25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25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25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25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25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25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25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25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25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25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25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25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25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25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25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25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25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25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25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25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25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25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25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25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25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25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25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25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25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25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25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25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25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25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25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25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25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25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25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25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25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25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25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25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25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25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25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25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25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25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25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25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25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25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25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25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25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25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25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25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25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25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25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25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25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25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25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25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25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25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25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25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25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25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25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25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25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25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25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25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25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25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25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25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25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25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25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25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25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25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25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25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25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25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25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25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25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25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25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25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25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25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25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25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25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25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25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25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25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25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25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25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25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25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25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25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25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25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25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25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25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25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25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25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25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25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25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25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25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25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25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25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25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25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25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25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25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25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25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25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25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25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25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25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25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25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25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25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25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25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25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25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25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25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25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25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25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25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25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25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25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25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25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25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25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25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25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25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25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25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25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25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25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25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25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25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25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25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25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25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25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25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25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25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25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25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25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25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25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25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25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25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25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25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25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25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25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25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25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25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25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25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25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25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25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25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25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25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25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25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25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25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25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25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25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25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25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25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25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25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25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25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25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25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25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25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25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25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25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25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25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25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25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25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25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25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25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25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25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25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25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25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25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25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25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25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25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25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25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25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25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25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25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25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25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25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25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25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25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25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25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25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25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25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25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25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25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25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25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25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25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25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25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25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25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25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25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25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25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25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25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25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25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25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25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25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25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25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25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25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25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25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25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25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25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25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25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25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25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25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25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25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25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25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25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25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25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25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25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25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25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25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25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25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25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25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25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25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25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25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25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25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25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25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25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25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25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25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25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25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25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25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25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25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25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25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25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25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25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25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25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25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25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25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25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25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25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25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25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25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25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25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25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25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25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25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25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25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25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25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25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25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25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25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25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25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25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25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25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25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25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25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25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25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25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25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25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25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25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25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25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25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25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25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25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25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25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25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25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25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25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25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25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25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25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25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25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25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25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25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25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25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25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25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25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25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25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25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25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25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25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25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25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25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25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25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25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25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25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25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25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25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25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25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25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25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25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25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25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25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25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25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25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25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25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25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25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25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25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25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25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25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25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25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25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25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25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25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25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25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25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25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25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25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25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25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25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25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25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25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25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25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25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25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25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25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25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25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25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25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25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25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25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25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25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25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25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25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25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25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25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25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25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25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25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25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25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25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25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25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25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25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25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25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25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25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25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25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25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25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25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25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25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25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25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25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25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25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25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25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25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25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25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25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25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25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25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25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25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25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25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25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25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25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25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25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25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25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25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25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25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25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25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25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25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25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25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25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25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25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25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25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25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25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25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25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25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25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25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25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25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5" x14ac:dyDescent="0.25"/>
  <sheetData>
    <row r="1" spans="1:4" x14ac:dyDescent="0.25">
      <c r="A1" s="1"/>
      <c r="B1" s="1"/>
      <c r="C1" s="1"/>
      <c r="D1" s="1"/>
    </row>
    <row r="2" spans="1:4" x14ac:dyDescent="0.25">
      <c r="A2" s="2" t="s">
        <v>421</v>
      </c>
      <c r="B2" s="1"/>
      <c r="C2" s="1"/>
      <c r="D2" s="1"/>
    </row>
    <row r="3" spans="1:4" x14ac:dyDescent="0.25">
      <c r="A3" s="16" t="s">
        <v>422</v>
      </c>
      <c r="B3" s="1"/>
      <c r="C3" s="1"/>
      <c r="D3" s="1"/>
    </row>
    <row r="4" spans="1:4" x14ac:dyDescent="0.25">
      <c r="A4" s="24" t="s">
        <v>494</v>
      </c>
      <c r="B4" s="1"/>
      <c r="C4" s="1"/>
      <c r="D4" s="1"/>
    </row>
    <row r="5" spans="1:4" x14ac:dyDescent="0.25">
      <c r="A5" s="1"/>
      <c r="B5" s="1"/>
      <c r="C5" s="1"/>
      <c r="D5" s="1"/>
    </row>
    <row r="6" spans="1:4" x14ac:dyDescent="0.25">
      <c r="A6" s="1"/>
      <c r="B6" s="1"/>
      <c r="C6" s="1"/>
      <c r="D6" s="1"/>
    </row>
    <row r="7" spans="1:4" x14ac:dyDescent="0.25">
      <c r="A7" s="1"/>
      <c r="B7" s="14" t="s">
        <v>411</v>
      </c>
      <c r="C7" s="14" t="s">
        <v>412</v>
      </c>
      <c r="D7" s="14" t="s">
        <v>413</v>
      </c>
    </row>
    <row r="8" spans="1:4" x14ac:dyDescent="0.25">
      <c r="A8" s="1"/>
      <c r="B8" s="1" t="s">
        <v>414</v>
      </c>
      <c r="C8" s="218">
        <v>2589414.5290000001</v>
      </c>
      <c r="D8" s="218">
        <f t="shared" ref="D8:D14" si="0">C8/$C$15</f>
        <v>0.65713768768047787</v>
      </c>
    </row>
    <row r="9" spans="1:4" x14ac:dyDescent="0.25">
      <c r="A9" s="1"/>
      <c r="B9" s="1" t="s">
        <v>415</v>
      </c>
      <c r="C9" s="218">
        <v>212864.00940000001</v>
      </c>
      <c r="D9" s="218">
        <f t="shared" si="0"/>
        <v>5.4020305115663275E-2</v>
      </c>
    </row>
    <row r="10" spans="1:4" x14ac:dyDescent="0.25">
      <c r="A10" s="1"/>
      <c r="B10" s="1" t="s">
        <v>416</v>
      </c>
      <c r="C10" s="218">
        <v>561030.62199999997</v>
      </c>
      <c r="D10" s="218">
        <f t="shared" si="0"/>
        <v>0.14237749944246961</v>
      </c>
    </row>
    <row r="11" spans="1:4" x14ac:dyDescent="0.25">
      <c r="A11" s="1"/>
      <c r="B11" s="1" t="s">
        <v>417</v>
      </c>
      <c r="C11" s="218">
        <v>177385.8904</v>
      </c>
      <c r="D11" s="218">
        <f t="shared" si="0"/>
        <v>4.5016721942011888E-2</v>
      </c>
    </row>
    <row r="12" spans="1:4" x14ac:dyDescent="0.25">
      <c r="A12" s="1"/>
      <c r="B12" s="1" t="s">
        <v>418</v>
      </c>
      <c r="C12" s="218">
        <v>40416.0265</v>
      </c>
      <c r="D12" s="218">
        <f t="shared" si="0"/>
        <v>1.0256717841812542E-2</v>
      </c>
    </row>
    <row r="13" spans="1:4" x14ac:dyDescent="0.25">
      <c r="A13" s="1"/>
      <c r="B13" s="1" t="s">
        <v>419</v>
      </c>
      <c r="C13" s="218">
        <v>83663.91519</v>
      </c>
      <c r="D13" s="218">
        <f t="shared" si="0"/>
        <v>2.1232101370607631E-2</v>
      </c>
    </row>
    <row r="14" spans="1:4" x14ac:dyDescent="0.25">
      <c r="A14" s="1"/>
      <c r="B14" s="1" t="s">
        <v>420</v>
      </c>
      <c r="C14" s="218">
        <v>275669.41899999999</v>
      </c>
      <c r="D14" s="218">
        <f t="shared" si="0"/>
        <v>6.995896660695719E-2</v>
      </c>
    </row>
    <row r="15" spans="1:4" x14ac:dyDescent="0.25">
      <c r="A15" s="1"/>
      <c r="B15" s="14" t="s">
        <v>450</v>
      </c>
      <c r="C15" s="219">
        <f>SUM(C8:C14)</f>
        <v>3940444.4114899999</v>
      </c>
      <c r="D15" s="215"/>
    </row>
    <row r="17" spans="1:9" x14ac:dyDescent="0.25">
      <c r="A17" s="2" t="s">
        <v>449</v>
      </c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 t="s">
        <v>451</v>
      </c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423</v>
      </c>
      <c r="C21" s="14" t="s">
        <v>424</v>
      </c>
      <c r="D21" s="14" t="s">
        <v>425</v>
      </c>
      <c r="E21" s="14" t="s">
        <v>426</v>
      </c>
      <c r="F21" s="14" t="s">
        <v>427</v>
      </c>
      <c r="G21" s="1"/>
      <c r="H21" s="1"/>
      <c r="I21" s="1"/>
    </row>
    <row r="22" spans="1:9" x14ac:dyDescent="0.25">
      <c r="A22" s="14" t="s">
        <v>428</v>
      </c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 t="s">
        <v>429</v>
      </c>
      <c r="B23" s="1" t="s">
        <v>430</v>
      </c>
      <c r="C23" s="8">
        <v>31334</v>
      </c>
      <c r="D23" s="8">
        <v>3194003</v>
      </c>
      <c r="E23" s="217">
        <v>0.79600000000000004</v>
      </c>
      <c r="F23" s="1" t="s">
        <v>431</v>
      </c>
      <c r="G23" s="1"/>
      <c r="H23" s="1"/>
      <c r="I23" s="1"/>
    </row>
    <row r="24" spans="1:9" x14ac:dyDescent="0.25">
      <c r="A24" s="1" t="s">
        <v>432</v>
      </c>
      <c r="B24" s="1" t="s">
        <v>433</v>
      </c>
      <c r="C24" s="8">
        <v>5821</v>
      </c>
      <c r="D24" s="8">
        <v>552132</v>
      </c>
      <c r="E24" s="217">
        <v>0.13800000000000001</v>
      </c>
      <c r="F24" s="1" t="s">
        <v>431</v>
      </c>
      <c r="G24" s="1"/>
      <c r="H24" s="1"/>
      <c r="I24" s="1"/>
    </row>
    <row r="25" spans="1:9" x14ac:dyDescent="0.25">
      <c r="A25" s="1" t="s">
        <v>434</v>
      </c>
      <c r="B25" s="1" t="s">
        <v>435</v>
      </c>
      <c r="C25" s="8">
        <v>1263</v>
      </c>
      <c r="D25" s="8">
        <v>111927</v>
      </c>
      <c r="E25" s="217">
        <v>2.8000000000000001E-2</v>
      </c>
      <c r="F25" s="1" t="s">
        <v>431</v>
      </c>
      <c r="G25" s="1"/>
      <c r="H25" s="1"/>
      <c r="I25" s="1"/>
    </row>
    <row r="26" spans="1:9" x14ac:dyDescent="0.25">
      <c r="A26" s="1" t="s">
        <v>436</v>
      </c>
      <c r="B26" s="1" t="s">
        <v>437</v>
      </c>
      <c r="C26" s="8">
        <v>1468</v>
      </c>
      <c r="D26" s="8">
        <v>156289</v>
      </c>
      <c r="E26" s="217">
        <v>3.9E-2</v>
      </c>
      <c r="F26" s="1" t="s">
        <v>431</v>
      </c>
      <c r="G26" s="1"/>
      <c r="H26" s="1"/>
      <c r="I26" s="1"/>
    </row>
    <row r="27" spans="1:9" x14ac:dyDescent="0.25">
      <c r="A27" s="1" t="s">
        <v>438</v>
      </c>
      <c r="B27" s="1" t="s">
        <v>439</v>
      </c>
      <c r="C27" s="8">
        <v>2137</v>
      </c>
      <c r="D27" s="8">
        <v>226360</v>
      </c>
      <c r="E27" s="217">
        <v>5.5E-2</v>
      </c>
      <c r="F27" s="1" t="s">
        <v>440</v>
      </c>
      <c r="G27" s="1"/>
      <c r="H27" s="1"/>
      <c r="I27" s="1"/>
    </row>
    <row r="28" spans="1:9" x14ac:dyDescent="0.25">
      <c r="A28" s="1" t="s">
        <v>441</v>
      </c>
      <c r="B28" s="1" t="s">
        <v>442</v>
      </c>
      <c r="C28" s="8">
        <v>2392</v>
      </c>
      <c r="D28" s="8">
        <v>235366</v>
      </c>
      <c r="E28" s="217">
        <v>6.5000000000000002E-2</v>
      </c>
      <c r="F28" s="1" t="s">
        <v>443</v>
      </c>
      <c r="G28" s="1"/>
      <c r="H28" s="1"/>
      <c r="I28" s="1"/>
    </row>
    <row r="29" spans="1:9" x14ac:dyDescent="0.25">
      <c r="A29" s="1" t="s">
        <v>444</v>
      </c>
      <c r="B29" s="1" t="s">
        <v>445</v>
      </c>
      <c r="C29" s="8">
        <v>36273</v>
      </c>
      <c r="D29" s="8">
        <v>3398650</v>
      </c>
      <c r="E29" s="217">
        <v>0.93500000000000005</v>
      </c>
      <c r="F29" s="1" t="s">
        <v>443</v>
      </c>
      <c r="G29" s="1"/>
      <c r="H29" s="1"/>
      <c r="I29" s="1"/>
    </row>
    <row r="30" spans="1:9" x14ac:dyDescent="0.25">
      <c r="A30" s="1" t="s">
        <v>446</v>
      </c>
      <c r="B30" s="1" t="s">
        <v>447</v>
      </c>
      <c r="C30" s="8">
        <v>3342200</v>
      </c>
      <c r="D30" s="8">
        <v>332236263</v>
      </c>
      <c r="E30" s="1" t="s">
        <v>448</v>
      </c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5" x14ac:dyDescent="0.25"/>
  <cols>
    <col min="1" max="1" width="10" customWidth="1"/>
    <col min="2" max="2" width="28.5703125" customWidth="1"/>
    <col min="3" max="3" width="10" customWidth="1"/>
    <col min="39" max="39" width="15.85546875" customWidth="1"/>
    <col min="40" max="40" width="32.85546875" customWidth="1"/>
    <col min="41" max="41" width="11.7109375" customWidth="1"/>
    <col min="52" max="52" width="13.140625" customWidth="1"/>
    <col min="53" max="53" width="9.42578125" bestFit="1" customWidth="1"/>
    <col min="54" max="61" width="9.28515625" bestFit="1" customWidth="1"/>
  </cols>
  <sheetData>
    <row r="1" spans="1:62" x14ac:dyDescent="0.25">
      <c r="A1" s="2" t="s">
        <v>163</v>
      </c>
      <c r="AO1" s="2" t="s">
        <v>167</v>
      </c>
      <c r="AZ1" s="2" t="s">
        <v>168</v>
      </c>
    </row>
    <row r="2" spans="1:62" x14ac:dyDescent="0.25">
      <c r="A2" s="2" t="s">
        <v>162</v>
      </c>
    </row>
    <row r="3" spans="1:62" x14ac:dyDescent="0.25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25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25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5.25" thickBot="1" x14ac:dyDescent="0.3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25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25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25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25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25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25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25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25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25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25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25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25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25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25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25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25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25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25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25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25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25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25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25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25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25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25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25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25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25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25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25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25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25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.75" thickBot="1" x14ac:dyDescent="0.3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25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25">
      <c r="B46" s="1"/>
    </row>
    <row r="47" spans="1:50" x14ac:dyDescent="0.25">
      <c r="C47" s="1"/>
    </row>
    <row r="48" spans="1:50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40625" defaultRowHeight="12.75" x14ac:dyDescent="0.2"/>
  <cols>
    <col min="1" max="3" width="9.140625" style="1"/>
    <col min="4" max="4" width="38" style="1" customWidth="1"/>
    <col min="5" max="5" width="26.85546875" style="1" customWidth="1"/>
    <col min="6" max="7" width="9.140625" style="1"/>
    <col min="8" max="8" width="38" style="1" customWidth="1"/>
    <col min="9" max="9" width="26.85546875" style="1" customWidth="1"/>
    <col min="10" max="16384" width="9.140625" style="1"/>
  </cols>
  <sheetData>
    <row r="1" spans="1:9" x14ac:dyDescent="0.2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2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2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2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2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2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2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2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2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2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2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2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2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2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2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2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2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2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2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2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2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2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2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2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2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2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2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2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2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2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2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2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2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2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2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5" x14ac:dyDescent="0.25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5" x14ac:dyDescent="0.25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5" x14ac:dyDescent="0.25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5" x14ac:dyDescent="0.25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5" x14ac:dyDescent="0.25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5" x14ac:dyDescent="0.25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5" x14ac:dyDescent="0.25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5" x14ac:dyDescent="0.25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5" x14ac:dyDescent="0.25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5" x14ac:dyDescent="0.25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5" x14ac:dyDescent="0.25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5" x14ac:dyDescent="0.25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5" x14ac:dyDescent="0.25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5" x14ac:dyDescent="0.25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5" x14ac:dyDescent="0.25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5" x14ac:dyDescent="0.25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5" x14ac:dyDescent="0.25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5" x14ac:dyDescent="0.25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5" x14ac:dyDescent="0.25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5" x14ac:dyDescent="0.25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5" x14ac:dyDescent="0.25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5" x14ac:dyDescent="0.25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5" x14ac:dyDescent="0.25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5" x14ac:dyDescent="0.25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5" x14ac:dyDescent="0.25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5" x14ac:dyDescent="0.25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5" x14ac:dyDescent="0.25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5" x14ac:dyDescent="0.25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5" x14ac:dyDescent="0.25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5" x14ac:dyDescent="0.25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5" x14ac:dyDescent="0.25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5" x14ac:dyDescent="0.25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5" x14ac:dyDescent="0.25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5" x14ac:dyDescent="0.25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5" x14ac:dyDescent="0.25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5" x14ac:dyDescent="0.25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5" x14ac:dyDescent="0.25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5" x14ac:dyDescent="0.25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5" x14ac:dyDescent="0.25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5" x14ac:dyDescent="0.25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5" x14ac:dyDescent="0.25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5" x14ac:dyDescent="0.25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5" x14ac:dyDescent="0.25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5" x14ac:dyDescent="0.25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5" x14ac:dyDescent="0.25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5" x14ac:dyDescent="0.25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5" x14ac:dyDescent="0.25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5" x14ac:dyDescent="0.25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5" x14ac:dyDescent="0.25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5" x14ac:dyDescent="0.25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5" x14ac:dyDescent="0.25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5" x14ac:dyDescent="0.25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5" x14ac:dyDescent="0.25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5" x14ac:dyDescent="0.25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5" x14ac:dyDescent="0.25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5" x14ac:dyDescent="0.25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5" x14ac:dyDescent="0.25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5" x14ac:dyDescent="0.25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5" x14ac:dyDescent="0.25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5" x14ac:dyDescent="0.25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5" x14ac:dyDescent="0.25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5" x14ac:dyDescent="0.25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5" x14ac:dyDescent="0.25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5" x14ac:dyDescent="0.25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5" x14ac:dyDescent="0.25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5" x14ac:dyDescent="0.25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5" x14ac:dyDescent="0.25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5" x14ac:dyDescent="0.25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5" x14ac:dyDescent="0.25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5" x14ac:dyDescent="0.25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5" x14ac:dyDescent="0.25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5" x14ac:dyDescent="0.25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5" x14ac:dyDescent="0.25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5" x14ac:dyDescent="0.25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5" x14ac:dyDescent="0.25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5" x14ac:dyDescent="0.25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5" x14ac:dyDescent="0.25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5" x14ac:dyDescent="0.25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5" x14ac:dyDescent="0.25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5" x14ac:dyDescent="0.25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5" x14ac:dyDescent="0.25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5" x14ac:dyDescent="0.25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5" x14ac:dyDescent="0.25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5" x14ac:dyDescent="0.25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5" x14ac:dyDescent="0.25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5" x14ac:dyDescent="0.25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5" x14ac:dyDescent="0.25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5" x14ac:dyDescent="0.25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5" x14ac:dyDescent="0.25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5" x14ac:dyDescent="0.25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5" x14ac:dyDescent="0.25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5" x14ac:dyDescent="0.25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5" x14ac:dyDescent="0.25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5" x14ac:dyDescent="0.25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5" x14ac:dyDescent="0.25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5" x14ac:dyDescent="0.25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5" x14ac:dyDescent="0.25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5" x14ac:dyDescent="0.25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5" x14ac:dyDescent="0.25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5" x14ac:dyDescent="0.25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5" x14ac:dyDescent="0.25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5" x14ac:dyDescent="0.25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5" x14ac:dyDescent="0.25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5" x14ac:dyDescent="0.25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5" x14ac:dyDescent="0.25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5" x14ac:dyDescent="0.25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5" x14ac:dyDescent="0.25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5" x14ac:dyDescent="0.25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5" x14ac:dyDescent="0.25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5" x14ac:dyDescent="0.25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5" x14ac:dyDescent="0.25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5" x14ac:dyDescent="0.25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5" x14ac:dyDescent="0.25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5" x14ac:dyDescent="0.25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5" x14ac:dyDescent="0.25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5" x14ac:dyDescent="0.25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5" x14ac:dyDescent="0.25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5" x14ac:dyDescent="0.25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5" x14ac:dyDescent="0.25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5" x14ac:dyDescent="0.25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5" x14ac:dyDescent="0.25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5" x14ac:dyDescent="0.25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5" x14ac:dyDescent="0.25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5" x14ac:dyDescent="0.25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5" x14ac:dyDescent="0.25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5" x14ac:dyDescent="0.25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5" x14ac:dyDescent="0.25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5" x14ac:dyDescent="0.25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5" x14ac:dyDescent="0.25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5" x14ac:dyDescent="0.25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5" x14ac:dyDescent="0.25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5" x14ac:dyDescent="0.25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5" x14ac:dyDescent="0.25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5" x14ac:dyDescent="0.25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5" x14ac:dyDescent="0.25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5" x14ac:dyDescent="0.25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5" x14ac:dyDescent="0.25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5" x14ac:dyDescent="0.25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5" x14ac:dyDescent="0.25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5" x14ac:dyDescent="0.25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5" x14ac:dyDescent="0.25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5" x14ac:dyDescent="0.25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5" x14ac:dyDescent="0.25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5" x14ac:dyDescent="0.25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5" x14ac:dyDescent="0.25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5" x14ac:dyDescent="0.25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5" x14ac:dyDescent="0.25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5" x14ac:dyDescent="0.25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5" x14ac:dyDescent="0.25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5" x14ac:dyDescent="0.25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5" x14ac:dyDescent="0.25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5" x14ac:dyDescent="0.25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5" x14ac:dyDescent="0.25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5" x14ac:dyDescent="0.25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5" x14ac:dyDescent="0.25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5" x14ac:dyDescent="0.25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5" x14ac:dyDescent="0.25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5" x14ac:dyDescent="0.25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5" x14ac:dyDescent="0.25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5" x14ac:dyDescent="0.25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5" x14ac:dyDescent="0.25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5" x14ac:dyDescent="0.25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5" x14ac:dyDescent="0.25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5" x14ac:dyDescent="0.25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5" x14ac:dyDescent="0.25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5" x14ac:dyDescent="0.25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5" x14ac:dyDescent="0.25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5" x14ac:dyDescent="0.25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5" x14ac:dyDescent="0.25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5" x14ac:dyDescent="0.25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5" x14ac:dyDescent="0.25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5" x14ac:dyDescent="0.25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5" x14ac:dyDescent="0.25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5" x14ac:dyDescent="0.25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5" x14ac:dyDescent="0.25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5" x14ac:dyDescent="0.25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5" x14ac:dyDescent="0.25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5" x14ac:dyDescent="0.25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5" x14ac:dyDescent="0.25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5" x14ac:dyDescent="0.25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5" x14ac:dyDescent="0.25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5" x14ac:dyDescent="0.25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5" x14ac:dyDescent="0.25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5" x14ac:dyDescent="0.25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5" x14ac:dyDescent="0.25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5" x14ac:dyDescent="0.25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5" x14ac:dyDescent="0.25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5" x14ac:dyDescent="0.25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5" x14ac:dyDescent="0.25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5" x14ac:dyDescent="0.25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5" x14ac:dyDescent="0.25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5" x14ac:dyDescent="0.25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5" x14ac:dyDescent="0.25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5" x14ac:dyDescent="0.25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5" x14ac:dyDescent="0.25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5" x14ac:dyDescent="0.25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5" x14ac:dyDescent="0.25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5" x14ac:dyDescent="0.25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5" x14ac:dyDescent="0.25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5" x14ac:dyDescent="0.25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5" x14ac:dyDescent="0.25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5" x14ac:dyDescent="0.25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5" x14ac:dyDescent="0.25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5" x14ac:dyDescent="0.25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5" x14ac:dyDescent="0.25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5" x14ac:dyDescent="0.25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5" x14ac:dyDescent="0.25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5" x14ac:dyDescent="0.25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5" x14ac:dyDescent="0.25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5" x14ac:dyDescent="0.25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5" x14ac:dyDescent="0.25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5" x14ac:dyDescent="0.25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5" x14ac:dyDescent="0.25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5" x14ac:dyDescent="0.25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5" x14ac:dyDescent="0.25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5" x14ac:dyDescent="0.25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5" x14ac:dyDescent="0.25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5" x14ac:dyDescent="0.25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5" x14ac:dyDescent="0.25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5" x14ac:dyDescent="0.25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5" x14ac:dyDescent="0.25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5" x14ac:dyDescent="0.25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5" x14ac:dyDescent="0.25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5" x14ac:dyDescent="0.25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5" x14ac:dyDescent="0.25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5" x14ac:dyDescent="0.25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5" x14ac:dyDescent="0.25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5" x14ac:dyDescent="0.25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5" x14ac:dyDescent="0.25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5" x14ac:dyDescent="0.25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5" x14ac:dyDescent="0.25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5" x14ac:dyDescent="0.25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5" x14ac:dyDescent="0.25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5" x14ac:dyDescent="0.25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5" x14ac:dyDescent="0.25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5" x14ac:dyDescent="0.25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5" x14ac:dyDescent="0.25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5" x14ac:dyDescent="0.25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5" x14ac:dyDescent="0.25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5" x14ac:dyDescent="0.25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5" x14ac:dyDescent="0.25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5" x14ac:dyDescent="0.25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5" x14ac:dyDescent="0.25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5" x14ac:dyDescent="0.25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5" x14ac:dyDescent="0.25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5" x14ac:dyDescent="0.25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5" x14ac:dyDescent="0.25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5" x14ac:dyDescent="0.25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5" x14ac:dyDescent="0.25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5" x14ac:dyDescent="0.25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5" x14ac:dyDescent="0.25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5" x14ac:dyDescent="0.25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5" x14ac:dyDescent="0.25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5" x14ac:dyDescent="0.25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5" x14ac:dyDescent="0.25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5" x14ac:dyDescent="0.25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5" x14ac:dyDescent="0.25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5" x14ac:dyDescent="0.25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5" x14ac:dyDescent="0.25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5" x14ac:dyDescent="0.25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5" x14ac:dyDescent="0.25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5" x14ac:dyDescent="0.25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5" x14ac:dyDescent="0.25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5" x14ac:dyDescent="0.25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5" x14ac:dyDescent="0.25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5" x14ac:dyDescent="0.25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5" x14ac:dyDescent="0.25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5" x14ac:dyDescent="0.25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5" x14ac:dyDescent="0.25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5" x14ac:dyDescent="0.25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5" x14ac:dyDescent="0.25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5" x14ac:dyDescent="0.25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5" x14ac:dyDescent="0.25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5" x14ac:dyDescent="0.25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5" x14ac:dyDescent="0.25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5" x14ac:dyDescent="0.25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5" x14ac:dyDescent="0.25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5" x14ac:dyDescent="0.25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5" x14ac:dyDescent="0.25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5" x14ac:dyDescent="0.25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5" x14ac:dyDescent="0.25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5" x14ac:dyDescent="0.25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5" x14ac:dyDescent="0.25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5" x14ac:dyDescent="0.25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5" x14ac:dyDescent="0.25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5" x14ac:dyDescent="0.25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5" x14ac:dyDescent="0.25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5" x14ac:dyDescent="0.25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5" x14ac:dyDescent="0.25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5" x14ac:dyDescent="0.25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5" x14ac:dyDescent="0.25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5" x14ac:dyDescent="0.25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5" x14ac:dyDescent="0.25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5" x14ac:dyDescent="0.25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5" x14ac:dyDescent="0.25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5" x14ac:dyDescent="0.25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5" x14ac:dyDescent="0.25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5" x14ac:dyDescent="0.25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5" x14ac:dyDescent="0.25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5" x14ac:dyDescent="0.25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5" x14ac:dyDescent="0.25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5" x14ac:dyDescent="0.25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5" x14ac:dyDescent="0.25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5" x14ac:dyDescent="0.25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5" x14ac:dyDescent="0.25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5" x14ac:dyDescent="0.25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5" x14ac:dyDescent="0.25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5" x14ac:dyDescent="0.25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5" x14ac:dyDescent="0.25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5" x14ac:dyDescent="0.25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5" x14ac:dyDescent="0.25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5" x14ac:dyDescent="0.25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5" x14ac:dyDescent="0.25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5" x14ac:dyDescent="0.25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5" x14ac:dyDescent="0.25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5" x14ac:dyDescent="0.25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5" x14ac:dyDescent="0.25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5" x14ac:dyDescent="0.25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5" x14ac:dyDescent="0.25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5" x14ac:dyDescent="0.25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5" x14ac:dyDescent="0.25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5" x14ac:dyDescent="0.25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5" x14ac:dyDescent="0.25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5" x14ac:dyDescent="0.25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5" x14ac:dyDescent="0.25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5" x14ac:dyDescent="0.25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5" x14ac:dyDescent="0.25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5" x14ac:dyDescent="0.25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5" x14ac:dyDescent="0.25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5" x14ac:dyDescent="0.25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5" x14ac:dyDescent="0.25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5" x14ac:dyDescent="0.25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5" x14ac:dyDescent="0.25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5" x14ac:dyDescent="0.25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5" x14ac:dyDescent="0.25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5" x14ac:dyDescent="0.25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5" x14ac:dyDescent="0.25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5" x14ac:dyDescent="0.25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5" x14ac:dyDescent="0.25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5" x14ac:dyDescent="0.25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5" x14ac:dyDescent="0.25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5" x14ac:dyDescent="0.25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5" x14ac:dyDescent="0.25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5" x14ac:dyDescent="0.25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5" x14ac:dyDescent="0.25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5" x14ac:dyDescent="0.25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5" x14ac:dyDescent="0.25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5" x14ac:dyDescent="0.25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5" x14ac:dyDescent="0.25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5" x14ac:dyDescent="0.25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5" x14ac:dyDescent="0.25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5" x14ac:dyDescent="0.25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5" x14ac:dyDescent="0.25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5" x14ac:dyDescent="0.25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5" x14ac:dyDescent="0.25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5" x14ac:dyDescent="0.25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5" x14ac:dyDescent="0.25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5" x14ac:dyDescent="0.25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5" x14ac:dyDescent="0.25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5" x14ac:dyDescent="0.25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5" x14ac:dyDescent="0.25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5" x14ac:dyDescent="0.25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5" x14ac:dyDescent="0.25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5" x14ac:dyDescent="0.25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5" x14ac:dyDescent="0.25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5" x14ac:dyDescent="0.25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5" x14ac:dyDescent="0.25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5" x14ac:dyDescent="0.25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5" x14ac:dyDescent="0.25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5" x14ac:dyDescent="0.25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5" x14ac:dyDescent="0.25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5" x14ac:dyDescent="0.25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5" x14ac:dyDescent="0.25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5" x14ac:dyDescent="0.25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5" x14ac:dyDescent="0.25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5" x14ac:dyDescent="0.25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5" x14ac:dyDescent="0.25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5" x14ac:dyDescent="0.25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5" x14ac:dyDescent="0.25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5" x14ac:dyDescent="0.25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5" x14ac:dyDescent="0.25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5" x14ac:dyDescent="0.25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5" x14ac:dyDescent="0.25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5" x14ac:dyDescent="0.25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5" x14ac:dyDescent="0.25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5" x14ac:dyDescent="0.25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5" x14ac:dyDescent="0.25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5" x14ac:dyDescent="0.25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5" x14ac:dyDescent="0.25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5" x14ac:dyDescent="0.25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5" x14ac:dyDescent="0.25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5" x14ac:dyDescent="0.25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5" x14ac:dyDescent="0.25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5" x14ac:dyDescent="0.25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5" x14ac:dyDescent="0.25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5" x14ac:dyDescent="0.25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5" x14ac:dyDescent="0.25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5" x14ac:dyDescent="0.25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5" x14ac:dyDescent="0.25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5" x14ac:dyDescent="0.25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5" x14ac:dyDescent="0.25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5" x14ac:dyDescent="0.25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5" x14ac:dyDescent="0.25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5" x14ac:dyDescent="0.25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5" x14ac:dyDescent="0.25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5" x14ac:dyDescent="0.25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5" x14ac:dyDescent="0.25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5" x14ac:dyDescent="0.25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5" x14ac:dyDescent="0.25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5" x14ac:dyDescent="0.25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5" x14ac:dyDescent="0.25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5" x14ac:dyDescent="0.25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5" x14ac:dyDescent="0.25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5" x14ac:dyDescent="0.25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5" x14ac:dyDescent="0.25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5" x14ac:dyDescent="0.25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5" x14ac:dyDescent="0.25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5" x14ac:dyDescent="0.25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5" x14ac:dyDescent="0.25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5" x14ac:dyDescent="0.25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5" x14ac:dyDescent="0.25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5" x14ac:dyDescent="0.25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5" x14ac:dyDescent="0.25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5" x14ac:dyDescent="0.25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5" x14ac:dyDescent="0.25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5" x14ac:dyDescent="0.25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5" x14ac:dyDescent="0.25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5" x14ac:dyDescent="0.25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5" x14ac:dyDescent="0.25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5" x14ac:dyDescent="0.25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5" x14ac:dyDescent="0.25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5" x14ac:dyDescent="0.25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5" x14ac:dyDescent="0.25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5" x14ac:dyDescent="0.25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5" x14ac:dyDescent="0.25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5" x14ac:dyDescent="0.25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5" x14ac:dyDescent="0.25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5" x14ac:dyDescent="0.25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5" x14ac:dyDescent="0.25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5" x14ac:dyDescent="0.25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5" x14ac:dyDescent="0.25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5" x14ac:dyDescent="0.25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5" x14ac:dyDescent="0.25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5" x14ac:dyDescent="0.25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5" x14ac:dyDescent="0.25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5" x14ac:dyDescent="0.25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5" x14ac:dyDescent="0.25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5" x14ac:dyDescent="0.25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5" x14ac:dyDescent="0.25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5" x14ac:dyDescent="0.25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5" x14ac:dyDescent="0.25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5" x14ac:dyDescent="0.25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5" x14ac:dyDescent="0.25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5" x14ac:dyDescent="0.25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5" x14ac:dyDescent="0.25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5" x14ac:dyDescent="0.25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5" x14ac:dyDescent="0.25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5" x14ac:dyDescent="0.25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5" x14ac:dyDescent="0.25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5" x14ac:dyDescent="0.25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5" x14ac:dyDescent="0.25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5" x14ac:dyDescent="0.25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5" x14ac:dyDescent="0.25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5" x14ac:dyDescent="0.25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5" x14ac:dyDescent="0.25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5" x14ac:dyDescent="0.25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5" x14ac:dyDescent="0.25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5" x14ac:dyDescent="0.25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5" x14ac:dyDescent="0.25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5" x14ac:dyDescent="0.25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5" x14ac:dyDescent="0.25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5" x14ac:dyDescent="0.25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5" x14ac:dyDescent="0.25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5" x14ac:dyDescent="0.25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5" x14ac:dyDescent="0.25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5" x14ac:dyDescent="0.25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5" x14ac:dyDescent="0.25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5" x14ac:dyDescent="0.25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5" x14ac:dyDescent="0.25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5" x14ac:dyDescent="0.25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5" x14ac:dyDescent="0.25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5" x14ac:dyDescent="0.25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5" x14ac:dyDescent="0.25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5" x14ac:dyDescent="0.25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5" x14ac:dyDescent="0.25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5" x14ac:dyDescent="0.25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5" x14ac:dyDescent="0.25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5" x14ac:dyDescent="0.25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5" x14ac:dyDescent="0.25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5" x14ac:dyDescent="0.25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5" x14ac:dyDescent="0.25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5" x14ac:dyDescent="0.25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5" x14ac:dyDescent="0.25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5" x14ac:dyDescent="0.25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5" x14ac:dyDescent="0.25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5" x14ac:dyDescent="0.25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5" x14ac:dyDescent="0.25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5" x14ac:dyDescent="0.25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5" x14ac:dyDescent="0.25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5" x14ac:dyDescent="0.25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5" x14ac:dyDescent="0.25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5" x14ac:dyDescent="0.25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5" x14ac:dyDescent="0.25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5" x14ac:dyDescent="0.25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5" x14ac:dyDescent="0.25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5" x14ac:dyDescent="0.25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5" x14ac:dyDescent="0.25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5" x14ac:dyDescent="0.25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5" x14ac:dyDescent="0.25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5" x14ac:dyDescent="0.25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5" x14ac:dyDescent="0.25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5" x14ac:dyDescent="0.25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5" x14ac:dyDescent="0.25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5" x14ac:dyDescent="0.25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5" x14ac:dyDescent="0.25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5" x14ac:dyDescent="0.25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5" x14ac:dyDescent="0.25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5" x14ac:dyDescent="0.25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5" x14ac:dyDescent="0.25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5" x14ac:dyDescent="0.25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5" x14ac:dyDescent="0.25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5" x14ac:dyDescent="0.25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5" x14ac:dyDescent="0.25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5" x14ac:dyDescent="0.25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5" x14ac:dyDescent="0.25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5" x14ac:dyDescent="0.25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5" x14ac:dyDescent="0.25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5" x14ac:dyDescent="0.25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5" x14ac:dyDescent="0.25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5" x14ac:dyDescent="0.25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5" x14ac:dyDescent="0.25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5" x14ac:dyDescent="0.25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5" x14ac:dyDescent="0.25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5" x14ac:dyDescent="0.25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5" x14ac:dyDescent="0.25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5" x14ac:dyDescent="0.25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5" x14ac:dyDescent="0.25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5" x14ac:dyDescent="0.25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5" x14ac:dyDescent="0.25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5" x14ac:dyDescent="0.25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5" x14ac:dyDescent="0.25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5" x14ac:dyDescent="0.25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5" x14ac:dyDescent="0.25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5" x14ac:dyDescent="0.25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5" x14ac:dyDescent="0.25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5" x14ac:dyDescent="0.25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5" x14ac:dyDescent="0.25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5" x14ac:dyDescent="0.25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5" x14ac:dyDescent="0.25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5" x14ac:dyDescent="0.25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5" x14ac:dyDescent="0.25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5" x14ac:dyDescent="0.25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5" x14ac:dyDescent="0.25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5" x14ac:dyDescent="0.25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5" x14ac:dyDescent="0.25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5" x14ac:dyDescent="0.25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5" x14ac:dyDescent="0.25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5" x14ac:dyDescent="0.25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5" x14ac:dyDescent="0.25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5" x14ac:dyDescent="0.25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5" x14ac:dyDescent="0.25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5" x14ac:dyDescent="0.25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5" x14ac:dyDescent="0.25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5" x14ac:dyDescent="0.25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5" x14ac:dyDescent="0.25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5" x14ac:dyDescent="0.25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5" x14ac:dyDescent="0.25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5" x14ac:dyDescent="0.25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5" x14ac:dyDescent="0.25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5" x14ac:dyDescent="0.25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5" x14ac:dyDescent="0.25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5" x14ac:dyDescent="0.25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5" x14ac:dyDescent="0.25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5" x14ac:dyDescent="0.25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5" x14ac:dyDescent="0.25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5" x14ac:dyDescent="0.25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5" x14ac:dyDescent="0.25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5" x14ac:dyDescent="0.25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5" x14ac:dyDescent="0.25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5" x14ac:dyDescent="0.25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5" x14ac:dyDescent="0.25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5" x14ac:dyDescent="0.25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5" x14ac:dyDescent="0.25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5" x14ac:dyDescent="0.25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5" x14ac:dyDescent="0.25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5" x14ac:dyDescent="0.25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5" x14ac:dyDescent="0.25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5" x14ac:dyDescent="0.25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5" x14ac:dyDescent="0.25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5" x14ac:dyDescent="0.25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5" x14ac:dyDescent="0.25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5" x14ac:dyDescent="0.25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5" x14ac:dyDescent="0.25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5" x14ac:dyDescent="0.25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5" x14ac:dyDescent="0.25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5" x14ac:dyDescent="0.25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5" x14ac:dyDescent="0.25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5" x14ac:dyDescent="0.25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5" x14ac:dyDescent="0.25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5" x14ac:dyDescent="0.25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5" x14ac:dyDescent="0.25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5" x14ac:dyDescent="0.25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5" x14ac:dyDescent="0.25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5" x14ac:dyDescent="0.25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5" x14ac:dyDescent="0.25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5" x14ac:dyDescent="0.25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5" x14ac:dyDescent="0.25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5" x14ac:dyDescent="0.25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5" x14ac:dyDescent="0.25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5" x14ac:dyDescent="0.25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5" x14ac:dyDescent="0.25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5" x14ac:dyDescent="0.25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5" x14ac:dyDescent="0.25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5" x14ac:dyDescent="0.25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5" x14ac:dyDescent="0.25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5" x14ac:dyDescent="0.25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5" x14ac:dyDescent="0.25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5" x14ac:dyDescent="0.25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5" x14ac:dyDescent="0.25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5" x14ac:dyDescent="0.25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5" x14ac:dyDescent="0.25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5" x14ac:dyDescent="0.25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5" x14ac:dyDescent="0.25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5" x14ac:dyDescent="0.25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5" x14ac:dyDescent="0.25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5" x14ac:dyDescent="0.25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5" x14ac:dyDescent="0.25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5" x14ac:dyDescent="0.25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5" x14ac:dyDescent="0.25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5" x14ac:dyDescent="0.25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5" x14ac:dyDescent="0.25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5" x14ac:dyDescent="0.25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5" x14ac:dyDescent="0.25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5" x14ac:dyDescent="0.25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5" x14ac:dyDescent="0.25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5" x14ac:dyDescent="0.25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5" x14ac:dyDescent="0.25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5" x14ac:dyDescent="0.25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5" x14ac:dyDescent="0.25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5" x14ac:dyDescent="0.25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5" x14ac:dyDescent="0.25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5" x14ac:dyDescent="0.25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5" x14ac:dyDescent="0.25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5" x14ac:dyDescent="0.25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5" x14ac:dyDescent="0.25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5" x14ac:dyDescent="0.25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5" x14ac:dyDescent="0.25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5" x14ac:dyDescent="0.25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5" x14ac:dyDescent="0.25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5" x14ac:dyDescent="0.25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5" x14ac:dyDescent="0.25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5" x14ac:dyDescent="0.25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5" x14ac:dyDescent="0.25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5" x14ac:dyDescent="0.25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5" x14ac:dyDescent="0.25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5" x14ac:dyDescent="0.25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5" x14ac:dyDescent="0.25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5" x14ac:dyDescent="0.25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5" x14ac:dyDescent="0.25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5" x14ac:dyDescent="0.25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5" x14ac:dyDescent="0.25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5" x14ac:dyDescent="0.25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5" x14ac:dyDescent="0.25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5" x14ac:dyDescent="0.25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5" x14ac:dyDescent="0.25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5" x14ac:dyDescent="0.25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5" x14ac:dyDescent="0.25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5" x14ac:dyDescent="0.25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5" x14ac:dyDescent="0.25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5" x14ac:dyDescent="0.25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5" x14ac:dyDescent="0.25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5" x14ac:dyDescent="0.25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5" x14ac:dyDescent="0.25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5" x14ac:dyDescent="0.25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5" x14ac:dyDescent="0.25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5" x14ac:dyDescent="0.25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5" x14ac:dyDescent="0.25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5" x14ac:dyDescent="0.25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5" x14ac:dyDescent="0.25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5" x14ac:dyDescent="0.25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5" x14ac:dyDescent="0.25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5" x14ac:dyDescent="0.25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5" x14ac:dyDescent="0.25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5" x14ac:dyDescent="0.25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5" x14ac:dyDescent="0.25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5" x14ac:dyDescent="0.25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5" x14ac:dyDescent="0.25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5" x14ac:dyDescent="0.25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5" x14ac:dyDescent="0.25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5" x14ac:dyDescent="0.25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5" x14ac:dyDescent="0.25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5" x14ac:dyDescent="0.25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5" x14ac:dyDescent="0.25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5" x14ac:dyDescent="0.25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5" x14ac:dyDescent="0.25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5" x14ac:dyDescent="0.25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5" x14ac:dyDescent="0.25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5" x14ac:dyDescent="0.25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5" x14ac:dyDescent="0.25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5" x14ac:dyDescent="0.25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5" x14ac:dyDescent="0.25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5" x14ac:dyDescent="0.25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5" x14ac:dyDescent="0.25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5" x14ac:dyDescent="0.25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5" x14ac:dyDescent="0.25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5" x14ac:dyDescent="0.25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5" x14ac:dyDescent="0.25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5" x14ac:dyDescent="0.25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5" x14ac:dyDescent="0.25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5" x14ac:dyDescent="0.25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5" x14ac:dyDescent="0.25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5" x14ac:dyDescent="0.25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5" x14ac:dyDescent="0.25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5" x14ac:dyDescent="0.25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5" x14ac:dyDescent="0.25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5" x14ac:dyDescent="0.25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5" x14ac:dyDescent="0.25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5" x14ac:dyDescent="0.25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5" x14ac:dyDescent="0.25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5" x14ac:dyDescent="0.25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5" x14ac:dyDescent="0.25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5" x14ac:dyDescent="0.25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5" x14ac:dyDescent="0.25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5" x14ac:dyDescent="0.25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5" x14ac:dyDescent="0.25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5" x14ac:dyDescent="0.25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5" x14ac:dyDescent="0.25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5" x14ac:dyDescent="0.25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5" x14ac:dyDescent="0.25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5" x14ac:dyDescent="0.25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5" x14ac:dyDescent="0.25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5" x14ac:dyDescent="0.25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5" x14ac:dyDescent="0.25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5" x14ac:dyDescent="0.25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5" x14ac:dyDescent="0.25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5" x14ac:dyDescent="0.25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5" x14ac:dyDescent="0.25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5" x14ac:dyDescent="0.25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5" x14ac:dyDescent="0.25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5" x14ac:dyDescent="0.25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5" x14ac:dyDescent="0.25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5" x14ac:dyDescent="0.25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5" x14ac:dyDescent="0.25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5" x14ac:dyDescent="0.25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5" x14ac:dyDescent="0.25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5" x14ac:dyDescent="0.25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5" x14ac:dyDescent="0.25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5" x14ac:dyDescent="0.25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5" x14ac:dyDescent="0.25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5" x14ac:dyDescent="0.25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5" x14ac:dyDescent="0.25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5" x14ac:dyDescent="0.25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5" x14ac:dyDescent="0.25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5" x14ac:dyDescent="0.25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5" x14ac:dyDescent="0.25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5" x14ac:dyDescent="0.25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5" x14ac:dyDescent="0.25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5" x14ac:dyDescent="0.25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5" x14ac:dyDescent="0.25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5" x14ac:dyDescent="0.25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5" x14ac:dyDescent="0.25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5" x14ac:dyDescent="0.25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5" x14ac:dyDescent="0.25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5" x14ac:dyDescent="0.25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5" x14ac:dyDescent="0.25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5" x14ac:dyDescent="0.25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5" x14ac:dyDescent="0.25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5" x14ac:dyDescent="0.25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5" x14ac:dyDescent="0.25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5" x14ac:dyDescent="0.25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5" x14ac:dyDescent="0.25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5" x14ac:dyDescent="0.25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5" x14ac:dyDescent="0.25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5" x14ac:dyDescent="0.25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5" x14ac:dyDescent="0.25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5" x14ac:dyDescent="0.25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5" x14ac:dyDescent="0.25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5" x14ac:dyDescent="0.25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5" x14ac:dyDescent="0.25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5" x14ac:dyDescent="0.25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5" x14ac:dyDescent="0.25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5" x14ac:dyDescent="0.25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5" x14ac:dyDescent="0.25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5" x14ac:dyDescent="0.25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5" x14ac:dyDescent="0.25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5" x14ac:dyDescent="0.25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5" x14ac:dyDescent="0.25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5" x14ac:dyDescent="0.25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5" x14ac:dyDescent="0.25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5" x14ac:dyDescent="0.25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5" x14ac:dyDescent="0.25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5" x14ac:dyDescent="0.25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5" x14ac:dyDescent="0.25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5" x14ac:dyDescent="0.25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5" x14ac:dyDescent="0.25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5" x14ac:dyDescent="0.25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5" x14ac:dyDescent="0.25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5" x14ac:dyDescent="0.25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5" x14ac:dyDescent="0.25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5" x14ac:dyDescent="0.25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5" x14ac:dyDescent="0.25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5" x14ac:dyDescent="0.25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5" x14ac:dyDescent="0.25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5" x14ac:dyDescent="0.25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5" x14ac:dyDescent="0.25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5" x14ac:dyDescent="0.25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5" x14ac:dyDescent="0.25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5" x14ac:dyDescent="0.25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5" x14ac:dyDescent="0.25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5" x14ac:dyDescent="0.25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5" x14ac:dyDescent="0.25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5" x14ac:dyDescent="0.25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5" x14ac:dyDescent="0.25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5" x14ac:dyDescent="0.25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5" x14ac:dyDescent="0.25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5" x14ac:dyDescent="0.25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5" x14ac:dyDescent="0.25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5" x14ac:dyDescent="0.25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5" x14ac:dyDescent="0.25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5" x14ac:dyDescent="0.25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5" x14ac:dyDescent="0.25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5" x14ac:dyDescent="0.25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5" x14ac:dyDescent="0.25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5" x14ac:dyDescent="0.25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5" x14ac:dyDescent="0.25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5" x14ac:dyDescent="0.25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5" x14ac:dyDescent="0.25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5" x14ac:dyDescent="0.25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5" x14ac:dyDescent="0.25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5" x14ac:dyDescent="0.25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5" x14ac:dyDescent="0.25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5" x14ac:dyDescent="0.25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5" x14ac:dyDescent="0.25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5" x14ac:dyDescent="0.25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5" x14ac:dyDescent="0.25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5" x14ac:dyDescent="0.25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5" x14ac:dyDescent="0.25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5" x14ac:dyDescent="0.25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5" x14ac:dyDescent="0.25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5" x14ac:dyDescent="0.25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5" x14ac:dyDescent="0.25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5" x14ac:dyDescent="0.25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5" x14ac:dyDescent="0.25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5" x14ac:dyDescent="0.25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5" x14ac:dyDescent="0.25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5" x14ac:dyDescent="0.25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5" x14ac:dyDescent="0.25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5" x14ac:dyDescent="0.25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5" x14ac:dyDescent="0.25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5" x14ac:dyDescent="0.25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5" x14ac:dyDescent="0.25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5" x14ac:dyDescent="0.25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5" x14ac:dyDescent="0.25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5" x14ac:dyDescent="0.25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5" x14ac:dyDescent="0.25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5" x14ac:dyDescent="0.25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5" x14ac:dyDescent="0.25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5" x14ac:dyDescent="0.25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5" x14ac:dyDescent="0.25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5" x14ac:dyDescent="0.25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5" x14ac:dyDescent="0.25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5" x14ac:dyDescent="0.25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5" x14ac:dyDescent="0.25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5" x14ac:dyDescent="0.25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5" x14ac:dyDescent="0.25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5" x14ac:dyDescent="0.25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5" x14ac:dyDescent="0.25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5" x14ac:dyDescent="0.25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5" x14ac:dyDescent="0.25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5" x14ac:dyDescent="0.25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5" x14ac:dyDescent="0.25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5" x14ac:dyDescent="0.25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5" x14ac:dyDescent="0.25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5" x14ac:dyDescent="0.25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5" x14ac:dyDescent="0.25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5" x14ac:dyDescent="0.25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5" x14ac:dyDescent="0.25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5" x14ac:dyDescent="0.25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5" x14ac:dyDescent="0.25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5" x14ac:dyDescent="0.25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5" x14ac:dyDescent="0.25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5" x14ac:dyDescent="0.25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5" x14ac:dyDescent="0.25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5" x14ac:dyDescent="0.25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5" x14ac:dyDescent="0.25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5" x14ac:dyDescent="0.25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5" x14ac:dyDescent="0.25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5" x14ac:dyDescent="0.25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5" x14ac:dyDescent="0.25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5" x14ac:dyDescent="0.25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5" x14ac:dyDescent="0.25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5" x14ac:dyDescent="0.25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5" x14ac:dyDescent="0.25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5" x14ac:dyDescent="0.25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5" x14ac:dyDescent="0.25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5" x14ac:dyDescent="0.25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5" x14ac:dyDescent="0.25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5" x14ac:dyDescent="0.25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5" x14ac:dyDescent="0.25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5" x14ac:dyDescent="0.25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5" x14ac:dyDescent="0.25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5" x14ac:dyDescent="0.25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5" x14ac:dyDescent="0.25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5" x14ac:dyDescent="0.25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5" x14ac:dyDescent="0.25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5" x14ac:dyDescent="0.25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5" x14ac:dyDescent="0.25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5" x14ac:dyDescent="0.25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5" x14ac:dyDescent="0.25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5" x14ac:dyDescent="0.25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5" x14ac:dyDescent="0.25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5" x14ac:dyDescent="0.25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5" x14ac:dyDescent="0.25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5" x14ac:dyDescent="0.25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5" x14ac:dyDescent="0.25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5" x14ac:dyDescent="0.25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5" x14ac:dyDescent="0.25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5" x14ac:dyDescent="0.25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5" x14ac:dyDescent="0.25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5" x14ac:dyDescent="0.25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5" x14ac:dyDescent="0.25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5" x14ac:dyDescent="0.25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5" x14ac:dyDescent="0.25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5" x14ac:dyDescent="0.25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5" x14ac:dyDescent="0.25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5" x14ac:dyDescent="0.25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5" x14ac:dyDescent="0.25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5" x14ac:dyDescent="0.25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5" x14ac:dyDescent="0.25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5" x14ac:dyDescent="0.25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5" x14ac:dyDescent="0.25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5" x14ac:dyDescent="0.25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5" x14ac:dyDescent="0.25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5" x14ac:dyDescent="0.25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5" x14ac:dyDescent="0.25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5" x14ac:dyDescent="0.25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5" x14ac:dyDescent="0.25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5" x14ac:dyDescent="0.25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5" x14ac:dyDescent="0.25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5" x14ac:dyDescent="0.25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5" x14ac:dyDescent="0.25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5" x14ac:dyDescent="0.25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5" x14ac:dyDescent="0.25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5" x14ac:dyDescent="0.25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5" x14ac:dyDescent="0.25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5" x14ac:dyDescent="0.25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5" x14ac:dyDescent="0.25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5" x14ac:dyDescent="0.25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5" x14ac:dyDescent="0.25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5" x14ac:dyDescent="0.25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5" x14ac:dyDescent="0.25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5" x14ac:dyDescent="0.25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5" x14ac:dyDescent="0.25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5" x14ac:dyDescent="0.25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5" x14ac:dyDescent="0.25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5" x14ac:dyDescent="0.25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5" x14ac:dyDescent="0.25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5" x14ac:dyDescent="0.25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5" x14ac:dyDescent="0.25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5" x14ac:dyDescent="0.25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5" x14ac:dyDescent="0.25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5" x14ac:dyDescent="0.25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5" x14ac:dyDescent="0.25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5" x14ac:dyDescent="0.25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5" x14ac:dyDescent="0.25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5" x14ac:dyDescent="0.25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5" x14ac:dyDescent="0.25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5" x14ac:dyDescent="0.25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5" x14ac:dyDescent="0.25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5" x14ac:dyDescent="0.25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5" x14ac:dyDescent="0.25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5" x14ac:dyDescent="0.25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5" x14ac:dyDescent="0.25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5" x14ac:dyDescent="0.25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5" x14ac:dyDescent="0.25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5" x14ac:dyDescent="0.25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5" x14ac:dyDescent="0.25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5" x14ac:dyDescent="0.25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5" x14ac:dyDescent="0.25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5" x14ac:dyDescent="0.25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5" x14ac:dyDescent="0.25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5" x14ac:dyDescent="0.25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5" x14ac:dyDescent="0.25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5" x14ac:dyDescent="0.25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5" x14ac:dyDescent="0.25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5" x14ac:dyDescent="0.25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5" x14ac:dyDescent="0.25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5" x14ac:dyDescent="0.25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5" x14ac:dyDescent="0.25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5" x14ac:dyDescent="0.25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5" x14ac:dyDescent="0.25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5" x14ac:dyDescent="0.25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5" x14ac:dyDescent="0.25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5" x14ac:dyDescent="0.25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5" x14ac:dyDescent="0.25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5" x14ac:dyDescent="0.25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5" x14ac:dyDescent="0.25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5" x14ac:dyDescent="0.25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5" x14ac:dyDescent="0.25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5" x14ac:dyDescent="0.25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5" x14ac:dyDescent="0.25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5" x14ac:dyDescent="0.25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5" x14ac:dyDescent="0.25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5" x14ac:dyDescent="0.25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5" x14ac:dyDescent="0.25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5" x14ac:dyDescent="0.25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5" x14ac:dyDescent="0.25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5" x14ac:dyDescent="0.25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5" x14ac:dyDescent="0.25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5" x14ac:dyDescent="0.25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5" x14ac:dyDescent="0.25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5" x14ac:dyDescent="0.25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5" x14ac:dyDescent="0.25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5" x14ac:dyDescent="0.25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5" x14ac:dyDescent="0.25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5" x14ac:dyDescent="0.25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5" x14ac:dyDescent="0.25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5" x14ac:dyDescent="0.25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5" x14ac:dyDescent="0.25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5" x14ac:dyDescent="0.25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5" x14ac:dyDescent="0.25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5" x14ac:dyDescent="0.25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5" x14ac:dyDescent="0.25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5" x14ac:dyDescent="0.25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5" x14ac:dyDescent="0.25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5" x14ac:dyDescent="0.25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5" x14ac:dyDescent="0.25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5" x14ac:dyDescent="0.25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5" x14ac:dyDescent="0.25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5" x14ac:dyDescent="0.25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5" x14ac:dyDescent="0.25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5" x14ac:dyDescent="0.25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5" x14ac:dyDescent="0.25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5" x14ac:dyDescent="0.25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5" x14ac:dyDescent="0.25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5" x14ac:dyDescent="0.25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5" x14ac:dyDescent="0.25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5" x14ac:dyDescent="0.25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5" x14ac:dyDescent="0.25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5" x14ac:dyDescent="0.25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5" x14ac:dyDescent="0.25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5" x14ac:dyDescent="0.25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5" x14ac:dyDescent="0.25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5" x14ac:dyDescent="0.25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5" x14ac:dyDescent="0.25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5" x14ac:dyDescent="0.25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5" x14ac:dyDescent="0.25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5" x14ac:dyDescent="0.25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5" x14ac:dyDescent="0.25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5" x14ac:dyDescent="0.25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5" x14ac:dyDescent="0.25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5" x14ac:dyDescent="0.25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5" x14ac:dyDescent="0.25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5" x14ac:dyDescent="0.25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5" x14ac:dyDescent="0.25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5" x14ac:dyDescent="0.25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5" x14ac:dyDescent="0.25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5" x14ac:dyDescent="0.25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5" x14ac:dyDescent="0.25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5" x14ac:dyDescent="0.25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5" x14ac:dyDescent="0.25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5" x14ac:dyDescent="0.25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5" x14ac:dyDescent="0.25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5" x14ac:dyDescent="0.25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5" x14ac:dyDescent="0.25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5" x14ac:dyDescent="0.25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5" x14ac:dyDescent="0.25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5" x14ac:dyDescent="0.25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5" x14ac:dyDescent="0.25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5" x14ac:dyDescent="0.25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5" x14ac:dyDescent="0.25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5" x14ac:dyDescent="0.25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5" x14ac:dyDescent="0.25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5" x14ac:dyDescent="0.25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5" x14ac:dyDescent="0.25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5" x14ac:dyDescent="0.25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5" x14ac:dyDescent="0.25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5" x14ac:dyDescent="0.25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5" x14ac:dyDescent="0.25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5" x14ac:dyDescent="0.25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5" x14ac:dyDescent="0.25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5" x14ac:dyDescent="0.25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5" x14ac:dyDescent="0.25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5" x14ac:dyDescent="0.25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5" x14ac:dyDescent="0.25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5" x14ac:dyDescent="0.25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5" x14ac:dyDescent="0.25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5" x14ac:dyDescent="0.25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5" x14ac:dyDescent="0.25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5" x14ac:dyDescent="0.25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5" x14ac:dyDescent="0.25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5" x14ac:dyDescent="0.25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5" x14ac:dyDescent="0.25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5" x14ac:dyDescent="0.25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5" x14ac:dyDescent="0.25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5" x14ac:dyDescent="0.25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5" x14ac:dyDescent="0.25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5" x14ac:dyDescent="0.25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5" x14ac:dyDescent="0.25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5" x14ac:dyDescent="0.25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5" x14ac:dyDescent="0.25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5" x14ac:dyDescent="0.25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5" x14ac:dyDescent="0.25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5" x14ac:dyDescent="0.25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5" x14ac:dyDescent="0.25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5" x14ac:dyDescent="0.25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5" x14ac:dyDescent="0.25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5" x14ac:dyDescent="0.25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5" x14ac:dyDescent="0.25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5" x14ac:dyDescent="0.25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5" x14ac:dyDescent="0.25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5" x14ac:dyDescent="0.25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5" x14ac:dyDescent="0.25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5" x14ac:dyDescent="0.25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5" x14ac:dyDescent="0.25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5" x14ac:dyDescent="0.25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5" x14ac:dyDescent="0.25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5" x14ac:dyDescent="0.25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5" x14ac:dyDescent="0.25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5" x14ac:dyDescent="0.25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5" x14ac:dyDescent="0.25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5" x14ac:dyDescent="0.25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5" x14ac:dyDescent="0.25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5" x14ac:dyDescent="0.25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5" x14ac:dyDescent="0.25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5" x14ac:dyDescent="0.25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5" x14ac:dyDescent="0.25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5" x14ac:dyDescent="0.25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5" x14ac:dyDescent="0.25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5" x14ac:dyDescent="0.25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5" x14ac:dyDescent="0.25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5" x14ac:dyDescent="0.25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5" x14ac:dyDescent="0.25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5" x14ac:dyDescent="0.25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5" x14ac:dyDescent="0.25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5" x14ac:dyDescent="0.25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5" x14ac:dyDescent="0.25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5" x14ac:dyDescent="0.25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5" x14ac:dyDescent="0.25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5" x14ac:dyDescent="0.25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5" x14ac:dyDescent="0.25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5" x14ac:dyDescent="0.25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5" x14ac:dyDescent="0.25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5" x14ac:dyDescent="0.25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5" x14ac:dyDescent="0.25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5" x14ac:dyDescent="0.25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5" x14ac:dyDescent="0.25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5" x14ac:dyDescent="0.25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5" x14ac:dyDescent="0.25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5" x14ac:dyDescent="0.25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5" x14ac:dyDescent="0.25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5" x14ac:dyDescent="0.25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5" x14ac:dyDescent="0.25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5" x14ac:dyDescent="0.25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5" x14ac:dyDescent="0.25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5" x14ac:dyDescent="0.25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5" x14ac:dyDescent="0.25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5" x14ac:dyDescent="0.25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5" x14ac:dyDescent="0.25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5" x14ac:dyDescent="0.25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5" x14ac:dyDescent="0.25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5" x14ac:dyDescent="0.25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5" x14ac:dyDescent="0.25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5" x14ac:dyDescent="0.25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5" x14ac:dyDescent="0.25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5" x14ac:dyDescent="0.25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5" x14ac:dyDescent="0.25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5" x14ac:dyDescent="0.25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5" x14ac:dyDescent="0.25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5" x14ac:dyDescent="0.25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5" x14ac:dyDescent="0.25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5" x14ac:dyDescent="0.25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5" x14ac:dyDescent="0.25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5" x14ac:dyDescent="0.25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5" x14ac:dyDescent="0.25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5" x14ac:dyDescent="0.25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5" x14ac:dyDescent="0.25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5" x14ac:dyDescent="0.25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5" x14ac:dyDescent="0.25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5" x14ac:dyDescent="0.25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5" x14ac:dyDescent="0.25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5" x14ac:dyDescent="0.25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5" x14ac:dyDescent="0.25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5" x14ac:dyDescent="0.25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5" x14ac:dyDescent="0.25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5" x14ac:dyDescent="0.25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5" x14ac:dyDescent="0.25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5" x14ac:dyDescent="0.25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5" x14ac:dyDescent="0.25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5" x14ac:dyDescent="0.25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5" x14ac:dyDescent="0.25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5" x14ac:dyDescent="0.25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5" x14ac:dyDescent="0.25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5" x14ac:dyDescent="0.25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5" x14ac:dyDescent="0.25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5" x14ac:dyDescent="0.25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5" x14ac:dyDescent="0.25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5" x14ac:dyDescent="0.25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5" x14ac:dyDescent="0.25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5" x14ac:dyDescent="0.25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5" x14ac:dyDescent="0.25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5" x14ac:dyDescent="0.25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5" x14ac:dyDescent="0.25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5" x14ac:dyDescent="0.25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5" x14ac:dyDescent="0.25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5" x14ac:dyDescent="0.25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5" x14ac:dyDescent="0.25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5" x14ac:dyDescent="0.25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5" x14ac:dyDescent="0.25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5" x14ac:dyDescent="0.25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5" x14ac:dyDescent="0.25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5" x14ac:dyDescent="0.25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5" x14ac:dyDescent="0.25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5" x14ac:dyDescent="0.25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5" x14ac:dyDescent="0.25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5" x14ac:dyDescent="0.25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5" x14ac:dyDescent="0.25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5" x14ac:dyDescent="0.25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5" x14ac:dyDescent="0.25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5" x14ac:dyDescent="0.25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5" x14ac:dyDescent="0.25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5" x14ac:dyDescent="0.25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5" x14ac:dyDescent="0.25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5" x14ac:dyDescent="0.25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5" x14ac:dyDescent="0.25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5" x14ac:dyDescent="0.25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5" x14ac:dyDescent="0.25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5" x14ac:dyDescent="0.25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5" x14ac:dyDescent="0.25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5" x14ac:dyDescent="0.25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5" x14ac:dyDescent="0.25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5" x14ac:dyDescent="0.25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5" x14ac:dyDescent="0.25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5" x14ac:dyDescent="0.25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5" x14ac:dyDescent="0.25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5" x14ac:dyDescent="0.25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5" x14ac:dyDescent="0.25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5" x14ac:dyDescent="0.25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5" x14ac:dyDescent="0.25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5" x14ac:dyDescent="0.25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5" x14ac:dyDescent="0.25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5" x14ac:dyDescent="0.25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5" x14ac:dyDescent="0.25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5" x14ac:dyDescent="0.25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5" x14ac:dyDescent="0.25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5" x14ac:dyDescent="0.25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5" x14ac:dyDescent="0.25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5" x14ac:dyDescent="0.25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5" x14ac:dyDescent="0.25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5" x14ac:dyDescent="0.25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5" x14ac:dyDescent="0.25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5" x14ac:dyDescent="0.25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5" x14ac:dyDescent="0.25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5" x14ac:dyDescent="0.25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5" x14ac:dyDescent="0.25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5" x14ac:dyDescent="0.25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5" x14ac:dyDescent="0.25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5" x14ac:dyDescent="0.25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5" x14ac:dyDescent="0.25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5" x14ac:dyDescent="0.25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5" x14ac:dyDescent="0.25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5" x14ac:dyDescent="0.25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5" x14ac:dyDescent="0.25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5" x14ac:dyDescent="0.25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5" x14ac:dyDescent="0.25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5" x14ac:dyDescent="0.25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5" x14ac:dyDescent="0.25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5" x14ac:dyDescent="0.25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5" x14ac:dyDescent="0.25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5" x14ac:dyDescent="0.25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5" x14ac:dyDescent="0.25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5" x14ac:dyDescent="0.25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5" x14ac:dyDescent="0.25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5" x14ac:dyDescent="0.25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5" x14ac:dyDescent="0.25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5" x14ac:dyDescent="0.25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5" x14ac:dyDescent="0.25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5" x14ac:dyDescent="0.25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5" x14ac:dyDescent="0.25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5" x14ac:dyDescent="0.25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5" x14ac:dyDescent="0.25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5" x14ac:dyDescent="0.25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5" x14ac:dyDescent="0.25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5" x14ac:dyDescent="0.25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5" x14ac:dyDescent="0.25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5" x14ac:dyDescent="0.25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5" x14ac:dyDescent="0.25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5" x14ac:dyDescent="0.25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5" x14ac:dyDescent="0.25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5" x14ac:dyDescent="0.25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5" x14ac:dyDescent="0.25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5" x14ac:dyDescent="0.25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5" x14ac:dyDescent="0.25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5" x14ac:dyDescent="0.25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5" x14ac:dyDescent="0.25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5" x14ac:dyDescent="0.25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5" x14ac:dyDescent="0.25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5" x14ac:dyDescent="0.25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5" x14ac:dyDescent="0.25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5" x14ac:dyDescent="0.25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5" x14ac:dyDescent="0.25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5" x14ac:dyDescent="0.25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5" x14ac:dyDescent="0.25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5" x14ac:dyDescent="0.25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5" x14ac:dyDescent="0.25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5" x14ac:dyDescent="0.25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5" x14ac:dyDescent="0.25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5" x14ac:dyDescent="0.25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5" x14ac:dyDescent="0.25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5" x14ac:dyDescent="0.25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5" x14ac:dyDescent="0.25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5" x14ac:dyDescent="0.25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5" x14ac:dyDescent="0.25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5" x14ac:dyDescent="0.25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5" x14ac:dyDescent="0.25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5" x14ac:dyDescent="0.25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5" x14ac:dyDescent="0.25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5" x14ac:dyDescent="0.25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5" x14ac:dyDescent="0.25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5" x14ac:dyDescent="0.25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5" x14ac:dyDescent="0.25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5" x14ac:dyDescent="0.25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5" x14ac:dyDescent="0.25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5" x14ac:dyDescent="0.25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5" x14ac:dyDescent="0.25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5" x14ac:dyDescent="0.25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5" x14ac:dyDescent="0.25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5" x14ac:dyDescent="0.25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5" x14ac:dyDescent="0.25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5" x14ac:dyDescent="0.25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5" x14ac:dyDescent="0.25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5" x14ac:dyDescent="0.25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5" x14ac:dyDescent="0.25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5" x14ac:dyDescent="0.25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5" x14ac:dyDescent="0.25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5" x14ac:dyDescent="0.25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5" x14ac:dyDescent="0.25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5" x14ac:dyDescent="0.25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5" x14ac:dyDescent="0.25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5" x14ac:dyDescent="0.25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5" x14ac:dyDescent="0.25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5" x14ac:dyDescent="0.25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5" x14ac:dyDescent="0.25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5" x14ac:dyDescent="0.25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5" x14ac:dyDescent="0.25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5" x14ac:dyDescent="0.25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5" x14ac:dyDescent="0.25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5" x14ac:dyDescent="0.25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5" x14ac:dyDescent="0.25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5" x14ac:dyDescent="0.25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5" x14ac:dyDescent="0.25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5" x14ac:dyDescent="0.25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5" x14ac:dyDescent="0.25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5" x14ac:dyDescent="0.25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5" x14ac:dyDescent="0.25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5" x14ac:dyDescent="0.25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5" x14ac:dyDescent="0.25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5" x14ac:dyDescent="0.25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5" x14ac:dyDescent="0.25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5" x14ac:dyDescent="0.25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5" x14ac:dyDescent="0.25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5" x14ac:dyDescent="0.25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5" x14ac:dyDescent="0.25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5" x14ac:dyDescent="0.25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5" x14ac:dyDescent="0.25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5" x14ac:dyDescent="0.25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5" x14ac:dyDescent="0.25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5" x14ac:dyDescent="0.25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5" x14ac:dyDescent="0.25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5" x14ac:dyDescent="0.25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5" x14ac:dyDescent="0.25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5" x14ac:dyDescent="0.25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5" x14ac:dyDescent="0.25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5" x14ac:dyDescent="0.25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5" x14ac:dyDescent="0.25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5" x14ac:dyDescent="0.25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5" x14ac:dyDescent="0.25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5" x14ac:dyDescent="0.25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5" x14ac:dyDescent="0.25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5" x14ac:dyDescent="0.25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5" x14ac:dyDescent="0.25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5" x14ac:dyDescent="0.25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5" x14ac:dyDescent="0.25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5" x14ac:dyDescent="0.25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5" x14ac:dyDescent="0.25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5" x14ac:dyDescent="0.25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5" x14ac:dyDescent="0.25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5" x14ac:dyDescent="0.25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5" x14ac:dyDescent="0.25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5" x14ac:dyDescent="0.25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5" x14ac:dyDescent="0.25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5" x14ac:dyDescent="0.25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5" x14ac:dyDescent="0.25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5" x14ac:dyDescent="0.25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5" x14ac:dyDescent="0.25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5" x14ac:dyDescent="0.25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5" x14ac:dyDescent="0.25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5" x14ac:dyDescent="0.25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5" x14ac:dyDescent="0.25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5" x14ac:dyDescent="0.25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5" x14ac:dyDescent="0.25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5" x14ac:dyDescent="0.25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5" x14ac:dyDescent="0.25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5" x14ac:dyDescent="0.25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5" x14ac:dyDescent="0.25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5" x14ac:dyDescent="0.25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5" x14ac:dyDescent="0.25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5" x14ac:dyDescent="0.25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5" x14ac:dyDescent="0.25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5" x14ac:dyDescent="0.25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5" x14ac:dyDescent="0.25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5" x14ac:dyDescent="0.25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5" x14ac:dyDescent="0.25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5" x14ac:dyDescent="0.25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5" x14ac:dyDescent="0.25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5" x14ac:dyDescent="0.25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5" x14ac:dyDescent="0.25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5" x14ac:dyDescent="0.25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5" x14ac:dyDescent="0.25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5" x14ac:dyDescent="0.25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AvgTourLen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2018-12-14T23:36:13Z</cp:lastPrinted>
  <dcterms:created xsi:type="dcterms:W3CDTF">2018-11-21T22:32:56Z</dcterms:created>
  <dcterms:modified xsi:type="dcterms:W3CDTF">2026-08-14T00:57:10Z</dcterms:modified>
</cp:coreProperties>
</file>