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X:\travel-model-one-master\utilities\telecommute\"/>
    </mc:Choice>
  </mc:AlternateContent>
  <xr:revisionPtr revIDLastSave="0" documentId="13_ncr:1_{157BA571-32AB-4576-8B88-9AE3D43B2957}" xr6:coauthVersionLast="47" xr6:coauthVersionMax="47" xr10:uidLastSave="{00000000-0000-0000-0000-000000000000}"/>
  <bookViews>
    <workbookView xWindow="420" yWindow="468" windowWidth="24000" windowHeight="15204" tabRatio="918" firstSheet="2" activeTab="4" xr2:uid="{8BB9AC9A-51FE-4DDF-B3EF-E09414CC7E72}"/>
  </bookViews>
  <sheets>
    <sheet name="ATUS-2023" sheetId="17" r:id="rId1"/>
    <sheet name="ATUS-2022" sheetId="10" r:id="rId2"/>
    <sheet name="ACS Summary" sheetId="1" r:id="rId3"/>
    <sheet name="Info-ACSDT1Y2024" sheetId="18" r:id="rId4"/>
    <sheet name="Data-ACSDT1Y2024" sheetId="19" r:id="rId5"/>
    <sheet name="Info-ACSDT1Y2023" sheetId="15" r:id="rId6"/>
    <sheet name="Data-ACSDT1Y2023" sheetId="16" r:id="rId7"/>
    <sheet name="Info-ACSDT1Y2022" sheetId="11" r:id="rId8"/>
    <sheet name="Data-ACSDT1Y2022" sheetId="12" r:id="rId9"/>
    <sheet name="Info-ACSDT1Y2021" sheetId="8" r:id="rId10"/>
    <sheet name="Data-ACSDT1Y2021" sheetId="9" r:id="rId11"/>
    <sheet name="Info-ACSDT5Y2020" sheetId="6" r:id="rId12"/>
    <sheet name="Data-ACSDT5Y2020" sheetId="7" r:id="rId13"/>
    <sheet name="Info-ACSDT1Y2019" sheetId="4" r:id="rId14"/>
    <sheet name="Data-ACSDT1Y2019" sheetId="5" r:id="rId15"/>
    <sheet name="info-ACSDT1Y2018" sheetId="2" r:id="rId16"/>
    <sheet name="Data-ACSDT1Y2018" sheetId="3" r:id="rId17"/>
  </sheets>
  <definedNames>
    <definedName name="_xlnm.Print_Titles" localSheetId="16">'Data-ACSDT1Y2018'!$A:$A,'Data-ACSDT1Y2018'!$1:$2</definedName>
    <definedName name="_xlnm.Print_Titles" localSheetId="14">'Data-ACSDT1Y2019'!$A:$A,'Data-ACSDT1Y2019'!$1:$2</definedName>
    <definedName name="_xlnm.Print_Titles" localSheetId="10">'Data-ACSDT1Y2021'!$A:$A,'Data-ACSDT1Y2021'!$1:$2</definedName>
    <definedName name="_xlnm.Print_Titles" localSheetId="8">'Data-ACSDT1Y2022'!$A:$A,'Data-ACSDT1Y2022'!$1:$2</definedName>
    <definedName name="_xlnm.Print_Titles" localSheetId="6">'Data-ACSDT1Y2023'!$A:$A,'Data-ACSDT1Y2023'!$1:$2</definedName>
    <definedName name="_xlnm.Print_Titles" localSheetId="4">'Data-ACSDT1Y2024'!$A:$A,'Data-ACSDT1Y2024'!$1:$2</definedName>
    <definedName name="_xlnm.Print_Titles" localSheetId="12">'Data-ACSDT5Y2020'!$A:$A,'Data-ACSDT5Y2020'!$1:$2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5" i="1" l="1"/>
  <c r="B26" i="19"/>
  <c r="B25" i="19"/>
  <c r="K52" i="17"/>
  <c r="H52" i="17"/>
  <c r="E52" i="17"/>
  <c r="K51" i="17"/>
  <c r="H51" i="17"/>
  <c r="E51" i="17"/>
  <c r="K50" i="17"/>
  <c r="H50" i="17"/>
  <c r="E50" i="17"/>
  <c r="E24" i="1"/>
  <c r="B26" i="16"/>
  <c r="B25" i="16"/>
  <c r="B27" i="16" s="1"/>
  <c r="E23" i="1"/>
  <c r="B26" i="12"/>
  <c r="B25" i="12"/>
  <c r="B27" i="12" s="1"/>
  <c r="K51" i="10"/>
  <c r="K52" i="10"/>
  <c r="K50" i="10"/>
  <c r="H51" i="10"/>
  <c r="H52" i="10"/>
  <c r="H50" i="10"/>
  <c r="E51" i="10"/>
  <c r="E52" i="10"/>
  <c r="E50" i="10"/>
  <c r="B27" i="19" l="1"/>
  <c r="E22" i="1"/>
  <c r="E21" i="1"/>
  <c r="E20" i="1"/>
  <c r="B26" i="9"/>
  <c r="B25" i="9"/>
  <c r="B27" i="9" s="1"/>
  <c r="B26" i="7"/>
  <c r="B25" i="7"/>
  <c r="B27" i="7" s="1"/>
  <c r="B26" i="5"/>
  <c r="B25" i="5"/>
  <c r="B27" i="5" s="1"/>
  <c r="B27" i="3"/>
  <c r="B26" i="3"/>
  <c r="B25" i="3"/>
  <c r="H26" i="1" l="1" a="1"/>
  <c r="H26" i="1" s="1"/>
  <c r="G29" i="1" a="1"/>
  <c r="G29" i="1" s="1"/>
  <c r="G31" i="1" a="1"/>
  <c r="G31" i="1" s="1"/>
  <c r="G28" i="1" a="1"/>
  <c r="G28" i="1" s="1"/>
  <c r="G30" i="1" a="1"/>
  <c r="G30" i="1" s="1"/>
  <c r="H27" i="1" a="1"/>
  <c r="H27" i="1" s="1"/>
  <c r="H28" i="1" a="1"/>
  <c r="H28" i="1" s="1"/>
  <c r="H29" i="1" a="1"/>
  <c r="H29" i="1" s="1"/>
  <c r="G27" i="1" a="1"/>
  <c r="G27" i="1" s="1"/>
  <c r="H30" i="1" a="1"/>
  <c r="H30" i="1" s="1"/>
  <c r="G26" i="1" a="1"/>
  <c r="G26" i="1" s="1"/>
  <c r="H31" i="1" a="1"/>
  <c r="H3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<sst xmlns="http://schemas.openxmlformats.org/spreadsheetml/2006/main" count="2287" uniqueCount="1302">
  <si>
    <t>Region</t>
  </si>
  <si>
    <t>Year</t>
  </si>
  <si>
    <t>Data_Type</t>
  </si>
  <si>
    <t>Mode</t>
  </si>
  <si>
    <t>Share</t>
  </si>
  <si>
    <t>Source</t>
  </si>
  <si>
    <t>Bay Area</t>
  </si>
  <si>
    <t>Residence</t>
  </si>
  <si>
    <t>Work From Home</t>
  </si>
  <si>
    <t>BayAreaCensus</t>
  </si>
  <si>
    <t>B08301_ACS06_1YR</t>
  </si>
  <si>
    <t>B08301_ACS07_1YR</t>
  </si>
  <si>
    <t>B08301_ACS08_1YR</t>
  </si>
  <si>
    <t>B08301_ACS09_1YR</t>
  </si>
  <si>
    <t>B08301_ACS10_1YR</t>
  </si>
  <si>
    <t>B08301_ACS11_1YR</t>
  </si>
  <si>
    <t>B08301_ACS12_1YR</t>
  </si>
  <si>
    <t>B08301_ACS13_1YR</t>
  </si>
  <si>
    <t>B08301_ACS14_1YR</t>
  </si>
  <si>
    <t>B08301_ACS16_1YR</t>
  </si>
  <si>
    <t>B08301 _ACS17_1YR</t>
  </si>
  <si>
    <t>B08301 _ACS18_1YR</t>
  </si>
  <si>
    <t>B08301_ACS15_1YR</t>
  </si>
  <si>
    <t>Projection</t>
  </si>
  <si>
    <t>Linear Projection</t>
  </si>
  <si>
    <t>Exponential Extrapolation</t>
  </si>
  <si>
    <t>None</t>
  </si>
  <si>
    <t>COLUMN NOTES</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</si>
  <si>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</si>
  <si>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
  </si>
  <si>
    <t>Estimates of urban and rural populations, housing units, and characteristics reflect boundaries of urban areas defined based on Census 2010 data. As a result, data for urban and rural areas from the ACS do not necessarily reflect the results of ongoing urbanization.</t>
  </si>
  <si>
    <t>While the 2018 American Community Survey (ACS) data generally reflect the July 2015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</si>
  <si>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Workers include members of the Armed Forces and civilians who were at work last week.</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</si>
  <si>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  The effect of nonsampling error is not represented in these tables.</t>
  </si>
  <si>
    <t>Source:  U.S. Census Bureau, 2018 American Community Survey 1-Year Estimates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</si>
  <si>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</si>
  <si>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</si>
  <si>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TABLE NOTES</t>
  </si>
  <si>
    <t>https://data.census.gov/table?q=B08301:+MEANS+OF+TRANSPORTATION+TO+WORK&amp;g=0500000US06001,06013,06041,06055,06075,06081,06085,06095,06097&amp;tid=ACSDT1Y2018.B08301</t>
  </si>
  <si>
    <t>WEB ADDRESS</t>
  </si>
  <si>
    <t>VALUE COLUMNS</t>
  </si>
  <si>
    <t>ROW GROUPS</t>
  </si>
  <si>
    <t>Off</t>
  </si>
  <si>
    <t>PIVOT MODE</t>
  </si>
  <si>
    <t>PIVOT COLUMNS</t>
  </si>
  <si>
    <t>PIVOT &amp; GROUPING</t>
  </si>
  <si>
    <t>APPLIED SORTS</t>
  </si>
  <si>
    <t>APPLIED FILTERS</t>
  </si>
  <si>
    <t>EXCLUDED COLUMNS</t>
  </si>
  <si>
    <t>Alameda County, California; Contra Costa County, California; Marin County, California; San Francisco County, California; San Mateo County, California; Solano County, California; Sonoma County, California; Santa Clara County, California; Napa County, California</t>
  </si>
  <si>
    <t>GEOS</t>
  </si>
  <si>
    <t>B08301</t>
  </si>
  <si>
    <t>TABLES</t>
  </si>
  <si>
    <t>USER SELECTIONS</t>
  </si>
  <si>
    <t>https://api.census.gov/data/2018/acs/acs1</t>
  </si>
  <si>
    <t>API URL:</t>
  </si>
  <si>
    <t>FTP URL:</t>
  </si>
  <si>
    <t>Workers 16 years and over</t>
  </si>
  <si>
    <t>UNIVERSE:</t>
  </si>
  <si>
    <t>ACS 1-Year Estimates Detailed Tables</t>
  </si>
  <si>
    <t>PRODUCT:</t>
  </si>
  <si>
    <t>ACSDT1Y2018</t>
  </si>
  <si>
    <t>DATASET:</t>
  </si>
  <si>
    <t>2018</t>
  </si>
  <si>
    <t>VINTAGE:</t>
  </si>
  <si>
    <t>American Community Survey</t>
  </si>
  <si>
    <t>SURVEY/PROGRAM:</t>
  </si>
  <si>
    <t>TABLE ID:</t>
  </si>
  <si>
    <t>DATA NOTES</t>
  </si>
  <si>
    <t>Note: The table shown may have been modified by user selections. Some information may be missing.</t>
  </si>
  <si>
    <t>MEANS OF TRANSPORTATION TO WORK</t>
  </si>
  <si>
    <t>±3,255</t>
  </si>
  <si>
    <t>±1,991</t>
  </si>
  <si>
    <t>±4,291</t>
  </si>
  <si>
    <t>±2,371</t>
  </si>
  <si>
    <t>±3,097</t>
  </si>
  <si>
    <t>±750</t>
  </si>
  <si>
    <t>±2,759</t>
  </si>
  <si>
    <t>±3,778</t>
  </si>
  <si>
    <t>±3,996</t>
  </si>
  <si>
    <t>Worked at home</t>
  </si>
  <si>
    <t>±530</t>
  </si>
  <si>
    <t>±615</t>
  </si>
  <si>
    <t>±1,631</t>
  </si>
  <si>
    <t>±1,955</t>
  </si>
  <si>
    <t>±1,626</t>
  </si>
  <si>
    <t>±708</t>
  </si>
  <si>
    <t>±675</t>
  </si>
  <si>
    <t>±1,666</t>
  </si>
  <si>
    <t>±1,595</t>
  </si>
  <si>
    <t>Other means</t>
  </si>
  <si>
    <t>±1,337</t>
  </si>
  <si>
    <t>±876</t>
  </si>
  <si>
    <t>±2,521</t>
  </si>
  <si>
    <t>±1,761</t>
  </si>
  <si>
    <t>±5,736</t>
  </si>
  <si>
    <t>±686</t>
  </si>
  <si>
    <t>±792</t>
  </si>
  <si>
    <t>±1,405</t>
  </si>
  <si>
    <t>±2,739</t>
  </si>
  <si>
    <t>Walked</t>
  </si>
  <si>
    <t>±866</t>
  </si>
  <si>
    <t>±474</t>
  </si>
  <si>
    <t>±2,597</t>
  </si>
  <si>
    <t>±1,650</t>
  </si>
  <si>
    <t>±2,776</t>
  </si>
  <si>
    <t>±375</t>
  </si>
  <si>
    <t>±721</t>
  </si>
  <si>
    <t>±772</t>
  </si>
  <si>
    <t>±2,318</t>
  </si>
  <si>
    <t>Bicycle</t>
  </si>
  <si>
    <t>±345</t>
  </si>
  <si>
    <t>±265</t>
  </si>
  <si>
    <t>±986</t>
  </si>
  <si>
    <t>±514</t>
  </si>
  <si>
    <t>±1,157</t>
  </si>
  <si>
    <t>±131</t>
  </si>
  <si>
    <t>±188</t>
  </si>
  <si>
    <t>±816</t>
  </si>
  <si>
    <t>±965</t>
  </si>
  <si>
    <t>Motorcycle</t>
  </si>
  <si>
    <t>±484</t>
  </si>
  <si>
    <t>±236</t>
  </si>
  <si>
    <t>±1,029</t>
  </si>
  <si>
    <t>±1,013</t>
  </si>
  <si>
    <t>±2,659</t>
  </si>
  <si>
    <t>±110</t>
  </si>
  <si>
    <t>±211</t>
  </si>
  <si>
    <t>±625</t>
  </si>
  <si>
    <t>±1,083</t>
  </si>
  <si>
    <t>Taxicab</t>
  </si>
  <si>
    <t>±66</t>
  </si>
  <si>
    <t>±811</t>
  </si>
  <si>
    <t>±467</t>
  </si>
  <si>
    <t>±441</t>
  </si>
  <si>
    <t>±1,061</t>
  </si>
  <si>
    <t>±203</t>
  </si>
  <si>
    <t>±960</t>
  </si>
  <si>
    <t>Ferryboat</t>
  </si>
  <si>
    <t>±259</t>
  </si>
  <si>
    <t>±1,531</t>
  </si>
  <si>
    <t>±1,816</t>
  </si>
  <si>
    <t>±1,452</t>
  </si>
  <si>
    <t>±144</t>
  </si>
  <si>
    <t>±1,102</t>
  </si>
  <si>
    <t>±1,523</t>
  </si>
  <si>
    <t>Railroad</t>
  </si>
  <si>
    <t>±111</t>
  </si>
  <si>
    <t>±635</t>
  </si>
  <si>
    <t>±670</t>
  </si>
  <si>
    <t>±2,367</t>
  </si>
  <si>
    <t>±4,112</t>
  </si>
  <si>
    <t>±3,983</t>
  </si>
  <si>
    <t>±4,705</t>
  </si>
  <si>
    <t>Subway or elevated</t>
  </si>
  <si>
    <t>±94</t>
  </si>
  <si>
    <t>±552</t>
  </si>
  <si>
    <t>±459</t>
  </si>
  <si>
    <t>±2,692</t>
  </si>
  <si>
    <t>±549</t>
  </si>
  <si>
    <t>±1,137</t>
  </si>
  <si>
    <t>Streetcar or trolley car (carro publico in Puerto Rico)</t>
  </si>
  <si>
    <t>±1,237</t>
  </si>
  <si>
    <t>±1,138</t>
  </si>
  <si>
    <t>±3,152</t>
  </si>
  <si>
    <t>±2,587</t>
  </si>
  <si>
    <t>±7,149</t>
  </si>
  <si>
    <t>±426</t>
  </si>
  <si>
    <t>±1,514</t>
  </si>
  <si>
    <t>±1,967</t>
  </si>
  <si>
    <t>±3,547</t>
  </si>
  <si>
    <t>Bus or trolley bus</t>
  </si>
  <si>
    <t>±1,260</t>
  </si>
  <si>
    <t>±1,682</t>
  </si>
  <si>
    <t>±3,741</t>
  </si>
  <si>
    <t>±4,264</t>
  </si>
  <si>
    <t>±7,921</t>
  </si>
  <si>
    <t>±616</t>
  </si>
  <si>
    <t>±1,593</t>
  </si>
  <si>
    <t>±4,813</t>
  </si>
  <si>
    <t>±5,761</t>
  </si>
  <si>
    <t>Public transportation (excluding taxicab):</t>
  </si>
  <si>
    <t>±190</t>
  </si>
  <si>
    <t>±506</t>
  </si>
  <si>
    <t>±692</t>
  </si>
  <si>
    <t>±184</t>
  </si>
  <si>
    <t>±588</t>
  </si>
  <si>
    <t>±158</t>
  </si>
  <si>
    <t>±114</t>
  </si>
  <si>
    <t>±432</t>
  </si>
  <si>
    <t>±726</t>
  </si>
  <si>
    <t>In 7-or-more-person carpool</t>
  </si>
  <si>
    <t>±940</t>
  </si>
  <si>
    <t>±697</t>
  </si>
  <si>
    <t>±1,203</t>
  </si>
  <si>
    <t>±475</t>
  </si>
  <si>
    <t>±754</t>
  </si>
  <si>
    <t>±92</t>
  </si>
  <si>
    <t>±192</t>
  </si>
  <si>
    <t>±346</t>
  </si>
  <si>
    <t>±1,107</t>
  </si>
  <si>
    <t>In 5- or 6-person carpool</t>
  </si>
  <si>
    <t>±648</t>
  </si>
  <si>
    <t>±922</t>
  </si>
  <si>
    <t>±1,056</t>
  </si>
  <si>
    <t>±1,315</t>
  </si>
  <si>
    <t>±923</t>
  </si>
  <si>
    <t>±436</t>
  </si>
  <si>
    <t>±226</t>
  </si>
  <si>
    <t>±1,445</t>
  </si>
  <si>
    <t>In 4-person carpool</t>
  </si>
  <si>
    <t>±1,062</t>
  </si>
  <si>
    <t>±1,644</t>
  </si>
  <si>
    <t>±2,513</t>
  </si>
  <si>
    <t>±1,434</t>
  </si>
  <si>
    <t>±2,313</t>
  </si>
  <si>
    <t>±335</t>
  </si>
  <si>
    <t>±612</t>
  </si>
  <si>
    <t>±2,336</t>
  </si>
  <si>
    <t>±1,690</t>
  </si>
  <si>
    <t>In 3-person carpool</t>
  </si>
  <si>
    <t>±3,092</t>
  </si>
  <si>
    <t>±2,433</t>
  </si>
  <si>
    <t>±5,444</t>
  </si>
  <si>
    <t>±3,094</t>
  </si>
  <si>
    <t>±3,586</t>
  </si>
  <si>
    <t>±827</t>
  </si>
  <si>
    <t>±1,774</t>
  </si>
  <si>
    <t>±3,853</t>
  </si>
  <si>
    <t>±4,914</t>
  </si>
  <si>
    <t>In 2-person carpool</t>
  </si>
  <si>
    <t>±3,658</t>
  </si>
  <si>
    <t>±3,026</t>
  </si>
  <si>
    <t>±5,934</t>
  </si>
  <si>
    <t>±4,224</t>
  </si>
  <si>
    <t>±1,026</t>
  </si>
  <si>
    <t>±1,886</t>
  </si>
  <si>
    <t>±4,910</t>
  </si>
  <si>
    <t>±5,613</t>
  </si>
  <si>
    <t>Carpooled:</t>
  </si>
  <si>
    <t>±5,339</t>
  </si>
  <si>
    <t>±5,503</t>
  </si>
  <si>
    <t>±10,833</t>
  </si>
  <si>
    <t>±7,654</t>
  </si>
  <si>
    <t>±7,105</t>
  </si>
  <si>
    <t>±2,311</t>
  </si>
  <si>
    <t>±4,240</t>
  </si>
  <si>
    <t>±7,141</t>
  </si>
  <si>
    <t>±9,160</t>
  </si>
  <si>
    <t>Drove alone</t>
  </si>
  <si>
    <t>±6,271</t>
  </si>
  <si>
    <t>±4,923</t>
  </si>
  <si>
    <t>±10,623</t>
  </si>
  <si>
    <t>±6,718</t>
  </si>
  <si>
    <t>±7,262</t>
  </si>
  <si>
    <t>±2,295</t>
  </si>
  <si>
    <t>±3,967</t>
  </si>
  <si>
    <t>±7,564</t>
  </si>
  <si>
    <t>±9,727</t>
  </si>
  <si>
    <t>Car, truck, or van:</t>
  </si>
  <si>
    <t>±5,160</t>
  </si>
  <si>
    <t>±4,554</t>
  </si>
  <si>
    <t>±9,900</t>
  </si>
  <si>
    <t>±5,782</t>
  </si>
  <si>
    <t>±7,197</t>
  </si>
  <si>
    <t>±3,196</t>
  </si>
  <si>
    <t>±6,802</t>
  </si>
  <si>
    <t>±9,339</t>
  </si>
  <si>
    <t>Total:</t>
  </si>
  <si>
    <t>Margin of Error</t>
  </si>
  <si>
    <t>Estimate</t>
  </si>
  <si>
    <t>Label</t>
  </si>
  <si>
    <t>Sonoma County, California</t>
  </si>
  <si>
    <t>Solano County, California</t>
  </si>
  <si>
    <t>Santa Clara County, California</t>
  </si>
  <si>
    <t>San Mateo County, California</t>
  </si>
  <si>
    <t>San Francisco County, California</t>
  </si>
  <si>
    <t>Napa County, California</t>
  </si>
  <si>
    <t>Marin County, California</t>
  </si>
  <si>
    <t>Contra Costa County, California</t>
  </si>
  <si>
    <t>Alameda County, California</t>
  </si>
  <si>
    <t>Worked at home Bay Area</t>
  </si>
  <si>
    <t>Total</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</si>
  <si>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</si>
  <si>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The 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</si>
  <si>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2019 ACS data products include updates to several categories of the existing means of transportation question. For more information, see: Change to Means of Transportation.</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</si>
  <si>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</si>
  <si>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Source: U.S. Census Bureau, 2019 American Community Survey 1-Year Estimates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</si>
  <si>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</si>
  <si>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https://data.census.gov/table?q=B08301:+MEANS+OF+TRANSPORTATION+TO+WORK&amp;g=0500000US06001,06013,06041,06055,06075,06081,06085,06095,06097&amp;tid=ACSDT1Y2019.B08301</t>
  </si>
  <si>
    <t>https://api.census.gov/data/2019/acs/acs1</t>
  </si>
  <si>
    <t>ACSDT1Y2019</t>
  </si>
  <si>
    <t>2019</t>
  </si>
  <si>
    <t>±2,399</t>
  </si>
  <si>
    <t>±1,814</t>
  </si>
  <si>
    <t>±3,964</t>
  </si>
  <si>
    <t>±2,891</t>
  </si>
  <si>
    <t>±3,677</t>
  </si>
  <si>
    <t>±925</t>
  </si>
  <si>
    <t>±2,531</t>
  </si>
  <si>
    <t>±3,917</t>
  </si>
  <si>
    <t>±3,256</t>
  </si>
  <si>
    <t>Worked from home</t>
  </si>
  <si>
    <t>±1,934</t>
  </si>
  <si>
    <t>±843</t>
  </si>
  <si>
    <t>±1,447</t>
  </si>
  <si>
    <t>±1,161</t>
  </si>
  <si>
    <t>±1,780</t>
  </si>
  <si>
    <t>±404</t>
  </si>
  <si>
    <t>±805</t>
  </si>
  <si>
    <t>±1,847</t>
  </si>
  <si>
    <t>±1,226</t>
  </si>
  <si>
    <t>±1,065</t>
  </si>
  <si>
    <t>±2,953</t>
  </si>
  <si>
    <t>±2,300</t>
  </si>
  <si>
    <t>±5,846</t>
  </si>
  <si>
    <t>±732</t>
  </si>
  <si>
    <t>±1,544</t>
  </si>
  <si>
    <t>±3,317</t>
  </si>
  <si>
    <t>±2,615</t>
  </si>
  <si>
    <t>±1,058</t>
  </si>
  <si>
    <t>±454</t>
  </si>
  <si>
    <t>±2,347</t>
  </si>
  <si>
    <t>±1,353</t>
  </si>
  <si>
    <t>±2,439</t>
  </si>
  <si>
    <t>±594</t>
  </si>
  <si>
    <t>±362</t>
  </si>
  <si>
    <t>±734</t>
  </si>
  <si>
    <t>±1,972</t>
  </si>
  <si>
    <t>±194</t>
  </si>
  <si>
    <t>±307</t>
  </si>
  <si>
    <t>±564</t>
  </si>
  <si>
    <t>±619</t>
  </si>
  <si>
    <t>±1,164</t>
  </si>
  <si>
    <t>±167</t>
  </si>
  <si>
    <t>±97</t>
  </si>
  <si>
    <t>±599</t>
  </si>
  <si>
    <t>±682</t>
  </si>
  <si>
    <t>±463</t>
  </si>
  <si>
    <t>±318</t>
  </si>
  <si>
    <t>±1,169</t>
  </si>
  <si>
    <t>±1,129</t>
  </si>
  <si>
    <t>±2,904</t>
  </si>
  <si>
    <t>±249</t>
  </si>
  <si>
    <t>±216</t>
  </si>
  <si>
    <t>±1,068</t>
  </si>
  <si>
    <t>±1,870</t>
  </si>
  <si>
    <t>±84</t>
  </si>
  <si>
    <t>±840</t>
  </si>
  <si>
    <t>±168</t>
  </si>
  <si>
    <t>±115</t>
  </si>
  <si>
    <t>±321</t>
  </si>
  <si>
    <t>±1,524</t>
  </si>
  <si>
    <t>±286</t>
  </si>
  <si>
    <t>±1,167</t>
  </si>
  <si>
    <t>±129</t>
  </si>
  <si>
    <t>±1,159</t>
  </si>
  <si>
    <t>±542</t>
  </si>
  <si>
    <t>±1,731</t>
  </si>
  <si>
    <t>±51</t>
  </si>
  <si>
    <t>±133</t>
  </si>
  <si>
    <t>±807</t>
  </si>
  <si>
    <t>±906</t>
  </si>
  <si>
    <t>Light rail, streetcar or trolley (carro público in Puerto Rico)</t>
  </si>
  <si>
    <t>±410</t>
  </si>
  <si>
    <t>±520</t>
  </si>
  <si>
    <t>±1,987</t>
  </si>
  <si>
    <t>±2,402</t>
  </si>
  <si>
    <t>±2,170</t>
  </si>
  <si>
    <t>±343</t>
  </si>
  <si>
    <t>±1,701</t>
  </si>
  <si>
    <t>±1,665</t>
  </si>
  <si>
    <t>Long-distance train or commuter rail</t>
  </si>
  <si>
    <t>±173</t>
  </si>
  <si>
    <t>±196</t>
  </si>
  <si>
    <t>±1,003</t>
  </si>
  <si>
    <t>±2,589</t>
  </si>
  <si>
    <t>±3,581</t>
  </si>
  <si>
    <t>±105</t>
  </si>
  <si>
    <t>±3,884</t>
  </si>
  <si>
    <t>±5,676</t>
  </si>
  <si>
    <t>Subway or elevated rail</t>
  </si>
  <si>
    <t>±1,132</t>
  </si>
  <si>
    <t>±1,060</t>
  </si>
  <si>
    <t>±2,937</t>
  </si>
  <si>
    <t>±2,496</t>
  </si>
  <si>
    <t>±6,770</t>
  </si>
  <si>
    <t>±1,489</t>
  </si>
  <si>
    <t>±2,127</t>
  </si>
  <si>
    <t>±3,752</t>
  </si>
  <si>
    <t>Bus</t>
  </si>
  <si>
    <t>±1,095</t>
  </si>
  <si>
    <t>±1,536</t>
  </si>
  <si>
    <t>±3,906</t>
  </si>
  <si>
    <t>±3,784</t>
  </si>
  <si>
    <t>±7,277</t>
  </si>
  <si>
    <t>±472</t>
  </si>
  <si>
    <t>±2,155</t>
  </si>
  <si>
    <t>±4,543</t>
  </si>
  <si>
    <t>±5,926</t>
  </si>
  <si>
    <t>±499</t>
  </si>
  <si>
    <t>±481</t>
  </si>
  <si>
    <t>±424</t>
  </si>
  <si>
    <t>±652</t>
  </si>
  <si>
    <t>±225</t>
  </si>
  <si>
    <t>±149</t>
  </si>
  <si>
    <t>±600</t>
  </si>
  <si>
    <t>±166</t>
  </si>
  <si>
    <t>±782</t>
  </si>
  <si>
    <t>±1,048</t>
  </si>
  <si>
    <t>±577</t>
  </si>
  <si>
    <t>±538</t>
  </si>
  <si>
    <t>±409</t>
  </si>
  <si>
    <t>±1,093</t>
  </si>
  <si>
    <t>±478</t>
  </si>
  <si>
    <t>±611</t>
  </si>
  <si>
    <t>±660</t>
  </si>
  <si>
    <t>±1,550</t>
  </si>
  <si>
    <t>±735</t>
  </si>
  <si>
    <t>±773</t>
  </si>
  <si>
    <t>±62</t>
  </si>
  <si>
    <t>±1,176</t>
  </si>
  <si>
    <t>±1,483</t>
  </si>
  <si>
    <t>±921</t>
  </si>
  <si>
    <t>±1,837</t>
  </si>
  <si>
    <t>±1,293</t>
  </si>
  <si>
    <t>±613</t>
  </si>
  <si>
    <t>±2,099</t>
  </si>
  <si>
    <t>±2,239</t>
  </si>
  <si>
    <t>±3,074</t>
  </si>
  <si>
    <t>±2,978</t>
  </si>
  <si>
    <t>±5,169</t>
  </si>
  <si>
    <t>±2,994</t>
  </si>
  <si>
    <t>±2,869</t>
  </si>
  <si>
    <t>±1,090</t>
  </si>
  <si>
    <t>±2,426</t>
  </si>
  <si>
    <t>±4,001</t>
  </si>
  <si>
    <t>±4,490</t>
  </si>
  <si>
    <t>±3,272</t>
  </si>
  <si>
    <t>±3,656</t>
  </si>
  <si>
    <t>±6,494</t>
  </si>
  <si>
    <t>±3,090</t>
  </si>
  <si>
    <t>±3,408</t>
  </si>
  <si>
    <t>±1,462</t>
  </si>
  <si>
    <t>±2,532</t>
  </si>
  <si>
    <t>±4,997</t>
  </si>
  <si>
    <t>±4,867</t>
  </si>
  <si>
    <t>±5,717</t>
  </si>
  <si>
    <t>±5,399</t>
  </si>
  <si>
    <t>±12,719</t>
  </si>
  <si>
    <t>±6,667</t>
  </si>
  <si>
    <t>±6,727</t>
  </si>
  <si>
    <t>±2,349</t>
  </si>
  <si>
    <t>±7,760</t>
  </si>
  <si>
    <t>±10,376</t>
  </si>
  <si>
    <t>±5,428</t>
  </si>
  <si>
    <t>±4,875</t>
  </si>
  <si>
    <t>±11,353</t>
  </si>
  <si>
    <t>±6,410</t>
  </si>
  <si>
    <t>±7,628</t>
  </si>
  <si>
    <t>±2,396</t>
  </si>
  <si>
    <t>±4,183</t>
  </si>
  <si>
    <t>±7,998</t>
  </si>
  <si>
    <t>±10,743</t>
  </si>
  <si>
    <t>±4,676</t>
  </si>
  <si>
    <t>±4,464</t>
  </si>
  <si>
    <t>±10,071</t>
  </si>
  <si>
    <t>±5,957</t>
  </si>
  <si>
    <t>±5,686</t>
  </si>
  <si>
    <t>±2,630</t>
  </si>
  <si>
    <t>±3,688</t>
  </si>
  <si>
    <t>±7,121</t>
  </si>
  <si>
    <t>±10,648</t>
  </si>
  <si>
    <t>Explanation of Symbols:- The estimate could not be computed because there were an insufficient number of sample observations. For a ratio of medians estimate, one or both of the median estimates falls in the lowest interval or highest interval of an open-ended distribution.N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</si>
  <si>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The 2016-2020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</si>
  <si>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Source: U.S. Census Bureau, 2016-2020 American Community Survey 5-Year Estimates</t>
  </si>
  <si>
    <t>Although the American Community Survey (ACS) produces population, demographic and housing unit estimates, for 2020, the 2020 Census provides the official counts of the population and housing units for the nation, states, counties, cities, and towns. For 2016 to 2019, the Population Estimates Program provides estimates of the population for the nation, states, counties, cities, and towns and intercensal housing unit estimates for the nation, states, and counties.</t>
  </si>
  <si>
    <t>https://data.census.gov/table?q=B08301:+MEANS+OF+TRANSPORTATION+TO+WORK&amp;g=0500000US06001,06013,06041,06055,06075,06081,06085,06095,06097&amp;tid=ACSDT5Y2020.B08301</t>
  </si>
  <si>
    <t>https://api.census.gov/data/2020/acs/acs5</t>
  </si>
  <si>
    <t>ACS 5-Year Estimates Detailed Tables</t>
  </si>
  <si>
    <t>ACSDT5Y2020</t>
  </si>
  <si>
    <t>2020</t>
  </si>
  <si>
    <t>±1,225</t>
  </si>
  <si>
    <t>±1,053</t>
  </si>
  <si>
    <t>±3,024</t>
  </si>
  <si>
    <t>±1,889</t>
  </si>
  <si>
    <t>±2,551</t>
  </si>
  <si>
    <t>±464</t>
  </si>
  <si>
    <t>±1,025</t>
  </si>
  <si>
    <t>±2,264</t>
  </si>
  <si>
    <t>±2,733</t>
  </si>
  <si>
    <t>±547</t>
  </si>
  <si>
    <t>±254</t>
  </si>
  <si>
    <t>±777</t>
  </si>
  <si>
    <t>±888</t>
  </si>
  <si>
    <t>±234</t>
  </si>
  <si>
    <t>±237</t>
  </si>
  <si>
    <t>±645</t>
  </si>
  <si>
    <t>±646</t>
  </si>
  <si>
    <t>±357</t>
  </si>
  <si>
    <t>±1,256</t>
  </si>
  <si>
    <t>±967</t>
  </si>
  <si>
    <t>±2,207</t>
  </si>
  <si>
    <t>±398</t>
  </si>
  <si>
    <t>±920</t>
  </si>
  <si>
    <t>±1,428</t>
  </si>
  <si>
    <t>±302</t>
  </si>
  <si>
    <t>±177</t>
  </si>
  <si>
    <t>±995</t>
  </si>
  <si>
    <t>±663</t>
  </si>
  <si>
    <t>±1,209</t>
  </si>
  <si>
    <t>±295</t>
  </si>
  <si>
    <t>±395</t>
  </si>
  <si>
    <t>±949</t>
  </si>
  <si>
    <t>±150</t>
  </si>
  <si>
    <t>±392</t>
  </si>
  <si>
    <t>±277</t>
  </si>
  <si>
    <t>±634</t>
  </si>
  <si>
    <t>±127</t>
  </si>
  <si>
    <t>±74</t>
  </si>
  <si>
    <t>±262</t>
  </si>
  <si>
    <t>±350</t>
  </si>
  <si>
    <t>±153</t>
  </si>
  <si>
    <t>±89</t>
  </si>
  <si>
    <t>±252</t>
  </si>
  <si>
    <t>±794</t>
  </si>
  <si>
    <t>±79</t>
  </si>
  <si>
    <t>±11</t>
  </si>
  <si>
    <t>±488</t>
  </si>
  <si>
    <t>±328</t>
  </si>
  <si>
    <t>±17</t>
  </si>
  <si>
    <t>±146</t>
  </si>
  <si>
    <t>±104</t>
  </si>
  <si>
    <t>±411</t>
  </si>
  <si>
    <t>±29</t>
  </si>
  <si>
    <t>±20</t>
  </si>
  <si>
    <t>±562</t>
  </si>
  <si>
    <t>±329</t>
  </si>
  <si>
    <t>±918</t>
  </si>
  <si>
    <t>±7</t>
  </si>
  <si>
    <t>±49</t>
  </si>
  <si>
    <t>±340</t>
  </si>
  <si>
    <t>±443</t>
  </si>
  <si>
    <t>±976</t>
  </si>
  <si>
    <t>±718</t>
  </si>
  <si>
    <t>±753</t>
  </si>
  <si>
    <t>±71</t>
  </si>
  <si>
    <t>±99</t>
  </si>
  <si>
    <t>±247</t>
  </si>
  <si>
    <t>±437</t>
  </si>
  <si>
    <t>±1,114</t>
  </si>
  <si>
    <t>±1,858</t>
  </si>
  <si>
    <t>±24</t>
  </si>
  <si>
    <t>±1,444</t>
  </si>
  <si>
    <t>±1,833</t>
  </si>
  <si>
    <t>±469</t>
  </si>
  <si>
    <t>±359</t>
  </si>
  <si>
    <t>±1,239</t>
  </si>
  <si>
    <t>±1,069</t>
  </si>
  <si>
    <t>±2,536</t>
  </si>
  <si>
    <t>±580</t>
  </si>
  <si>
    <t>±862</t>
  </si>
  <si>
    <t>±1,450</t>
  </si>
  <si>
    <t>±482</t>
  </si>
  <si>
    <t>±587</t>
  </si>
  <si>
    <t>±1,638</t>
  </si>
  <si>
    <t>±1,579</t>
  </si>
  <si>
    <t>±3,133</t>
  </si>
  <si>
    <t>±183</t>
  </si>
  <si>
    <t>±765</t>
  </si>
  <si>
    <t>±1,841</t>
  </si>
  <si>
    <t>±2,530</t>
  </si>
  <si>
    <t>±200</t>
  </si>
  <si>
    <t>±214</t>
  </si>
  <si>
    <t>±303</t>
  </si>
  <si>
    <t>±161</t>
  </si>
  <si>
    <t>±213</t>
  </si>
  <si>
    <t>±58</t>
  </si>
  <si>
    <t>±41</t>
  </si>
  <si>
    <t>±355</t>
  </si>
  <si>
    <t>±218</t>
  </si>
  <si>
    <t>±449</t>
  </si>
  <si>
    <t>±576</t>
  </si>
  <si>
    <t>±212</t>
  </si>
  <si>
    <t>±271</t>
  </si>
  <si>
    <t>±124</t>
  </si>
  <si>
    <t>±445</t>
  </si>
  <si>
    <t>±496</t>
  </si>
  <si>
    <t>±394</t>
  </si>
  <si>
    <t>±699</t>
  </si>
  <si>
    <t>±526</t>
  </si>
  <si>
    <t>±505</t>
  </si>
  <si>
    <t>±494</t>
  </si>
  <si>
    <t>±632</t>
  </si>
  <si>
    <t>±1,318</t>
  </si>
  <si>
    <t>±715</t>
  </si>
  <si>
    <t>±873</t>
  </si>
  <si>
    <t>±999</t>
  </si>
  <si>
    <t>±1,189</t>
  </si>
  <si>
    <t>±1,127</t>
  </si>
  <si>
    <t>±2,457</t>
  </si>
  <si>
    <t>±1,282</t>
  </si>
  <si>
    <t>±1,264</t>
  </si>
  <si>
    <t>±1,750</t>
  </si>
  <si>
    <t>±2,220</t>
  </si>
  <si>
    <t>±1,515</t>
  </si>
  <si>
    <t>±1,324</t>
  </si>
  <si>
    <t>±2,731</t>
  </si>
  <si>
    <t>±1,668</t>
  </si>
  <si>
    <t>±1,721</t>
  </si>
  <si>
    <t>±641</t>
  </si>
  <si>
    <t>±984</t>
  </si>
  <si>
    <t>±2,249</t>
  </si>
  <si>
    <t>±2,590</t>
  </si>
  <si>
    <t>±2,837</t>
  </si>
  <si>
    <t>±2,278</t>
  </si>
  <si>
    <t>±3,176</t>
  </si>
  <si>
    <t>±3,059</t>
  </si>
  <si>
    <t>±1,046</t>
  </si>
  <si>
    <t>±1,960</t>
  </si>
  <si>
    <t>±3,697</t>
  </si>
  <si>
    <t>±4,861</t>
  </si>
  <si>
    <t>±2,876</t>
  </si>
  <si>
    <t>±2,228</t>
  </si>
  <si>
    <t>±4,678</t>
  </si>
  <si>
    <t>±3,011</t>
  </si>
  <si>
    <t>±3,372</t>
  </si>
  <si>
    <t>±1,099</t>
  </si>
  <si>
    <t>±1,819</t>
  </si>
  <si>
    <t>±3,997</t>
  </si>
  <si>
    <t>±5,530</t>
  </si>
  <si>
    <t>±2,585</t>
  </si>
  <si>
    <t>±2,031</t>
  </si>
  <si>
    <t>±4,104</t>
  </si>
  <si>
    <t>±3,382</t>
  </si>
  <si>
    <t>±1,790</t>
  </si>
  <si>
    <t>±3,489</t>
  </si>
  <si>
    <t>±4,695</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</si>
  <si>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</si>
  <si>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The 2021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</si>
  <si>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Source: U.S. Census Bureau, 2021 American Community Survey 1-Year Estimates</t>
  </si>
  <si>
    <t>https://data.census.gov/table?q=B08301:+MEANS+OF+TRANSPORTATION+TO+WORK&amp;g=0500000US06001,06013,06041,06055,06075,06081,06085,06095,06097&amp;tid=ACSDT1Y2021.B08301</t>
  </si>
  <si>
    <t>https://api.census.gov/data/2021/acs/acs1</t>
  </si>
  <si>
    <t>ACSDT1Y2021</t>
  </si>
  <si>
    <t>2021</t>
  </si>
  <si>
    <t>±3,954</t>
  </si>
  <si>
    <t>±2,901</t>
  </si>
  <si>
    <t>±8,434</t>
  </si>
  <si>
    <t>±5,756</t>
  </si>
  <si>
    <t>±7,499</t>
  </si>
  <si>
    <t>±2,958</t>
  </si>
  <si>
    <t>±5,647</t>
  </si>
  <si>
    <t>±7,194</t>
  </si>
  <si>
    <t>±882</t>
  </si>
  <si>
    <t>±1,146</t>
  </si>
  <si>
    <t>±1,736</t>
  </si>
  <si>
    <t>±1,473</t>
  </si>
  <si>
    <t>±1,526</t>
  </si>
  <si>
    <t>±966</t>
  </si>
  <si>
    <t>±1,387</t>
  </si>
  <si>
    <t>±2,033</t>
  </si>
  <si>
    <t>±1,247</t>
  </si>
  <si>
    <t>±936</t>
  </si>
  <si>
    <t>±2,687</t>
  </si>
  <si>
    <t>±3,212</t>
  </si>
  <si>
    <t>±1,152</t>
  </si>
  <si>
    <t>±1,730</t>
  </si>
  <si>
    <t>±2,854</t>
  </si>
  <si>
    <t>±842</t>
  </si>
  <si>
    <t>±1,200</t>
  </si>
  <si>
    <t>±1,822</t>
  </si>
  <si>
    <t>±919</t>
  </si>
  <si>
    <t>±572</t>
  </si>
  <si>
    <t>±1,457</t>
  </si>
  <si>
    <t>±240</t>
  </si>
  <si>
    <t>±516</t>
  </si>
  <si>
    <t>±582</t>
  </si>
  <si>
    <t>±364</t>
  </si>
  <si>
    <t>±480</t>
  </si>
  <si>
    <t>±749</t>
  </si>
  <si>
    <t>±543</t>
  </si>
  <si>
    <t>±664</t>
  </si>
  <si>
    <t>±568</t>
  </si>
  <si>
    <t>±1,178</t>
  </si>
  <si>
    <t>±269</t>
  </si>
  <si>
    <t>±383</t>
  </si>
  <si>
    <t>±258</t>
  </si>
  <si>
    <t>±108</t>
  </si>
  <si>
    <t>±545</t>
  </si>
  <si>
    <t>±187</t>
  </si>
  <si>
    <t>±130</t>
  </si>
  <si>
    <t>±679</t>
  </si>
  <si>
    <t>±861</t>
  </si>
  <si>
    <t>±856</t>
  </si>
  <si>
    <t>±729</t>
  </si>
  <si>
    <t>±787</t>
  </si>
  <si>
    <t>±665</t>
  </si>
  <si>
    <t>±992</t>
  </si>
  <si>
    <t>±1,904</t>
  </si>
  <si>
    <t>±76</t>
  </si>
  <si>
    <t>±1,787</t>
  </si>
  <si>
    <t>±2,245</t>
  </si>
  <si>
    <t>±446</t>
  </si>
  <si>
    <t>±981</t>
  </si>
  <si>
    <t>±1,615</t>
  </si>
  <si>
    <t>±1,742</t>
  </si>
  <si>
    <t>±3,643</t>
  </si>
  <si>
    <t>±897</t>
  </si>
  <si>
    <t>±1,335</t>
  </si>
  <si>
    <t>±2,082</t>
  </si>
  <si>
    <t>±497</t>
  </si>
  <si>
    <t>±1,220</t>
  </si>
  <si>
    <t>±1,954</t>
  </si>
  <si>
    <t>±2,157</t>
  </si>
  <si>
    <t>±4,467</t>
  </si>
  <si>
    <t>±2,327</t>
  </si>
  <si>
    <t>±3,098</t>
  </si>
  <si>
    <t>±373</t>
  </si>
  <si>
    <t>±334</t>
  </si>
  <si>
    <t>±544</t>
  </si>
  <si>
    <t>±565</t>
  </si>
  <si>
    <t>±253</t>
  </si>
  <si>
    <t>±319</t>
  </si>
  <si>
    <t>±119</t>
  </si>
  <si>
    <t>±606</t>
  </si>
  <si>
    <t>±429</t>
  </si>
  <si>
    <t>±1,252</t>
  </si>
  <si>
    <t>±1,227</t>
  </si>
  <si>
    <t>±186</t>
  </si>
  <si>
    <t>±300</t>
  </si>
  <si>
    <t>±1,192</t>
  </si>
  <si>
    <t>±710</t>
  </si>
  <si>
    <t>±163</t>
  </si>
  <si>
    <t>±649</t>
  </si>
  <si>
    <t>±741</t>
  </si>
  <si>
    <t>±304</t>
  </si>
  <si>
    <t>±1,685</t>
  </si>
  <si>
    <t>±855</t>
  </si>
  <si>
    <t>±1,832</t>
  </si>
  <si>
    <t>±817</t>
  </si>
  <si>
    <t>±2,126</t>
  </si>
  <si>
    <t>±1,290</t>
  </si>
  <si>
    <t>±1,906</t>
  </si>
  <si>
    <t>±1,235</t>
  </si>
  <si>
    <t>±1,464</t>
  </si>
  <si>
    <t>±1,573</t>
  </si>
  <si>
    <t>±2,132</t>
  </si>
  <si>
    <t>±3,767</t>
  </si>
  <si>
    <t>±3,685</t>
  </si>
  <si>
    <t>±2,182</t>
  </si>
  <si>
    <t>±1,303</t>
  </si>
  <si>
    <t>±4,577</t>
  </si>
  <si>
    <t>±3,446</t>
  </si>
  <si>
    <t>±2,959</t>
  </si>
  <si>
    <t>±2,851</t>
  </si>
  <si>
    <t>±4,485</t>
  </si>
  <si>
    <t>±3,965</t>
  </si>
  <si>
    <t>±3,138</t>
  </si>
  <si>
    <t>±2,048</t>
  </si>
  <si>
    <t>±5,195</t>
  </si>
  <si>
    <t>±3,449</t>
  </si>
  <si>
    <t>±5,622</t>
  </si>
  <si>
    <t>±4,740</t>
  </si>
  <si>
    <t>±11,315</t>
  </si>
  <si>
    <t>±6,860</t>
  </si>
  <si>
    <t>±6,140</t>
  </si>
  <si>
    <t>±3,814</t>
  </si>
  <si>
    <t>±8,270</t>
  </si>
  <si>
    <t>±9,311</t>
  </si>
  <si>
    <t>±5,132</t>
  </si>
  <si>
    <t>±5,102</t>
  </si>
  <si>
    <t>±11,789</t>
  </si>
  <si>
    <t>±6,427</t>
  </si>
  <si>
    <t>±6,677</t>
  </si>
  <si>
    <t>±3,825</t>
  </si>
  <si>
    <t>±7,554</t>
  </si>
  <si>
    <t>±9,650</t>
  </si>
  <si>
    <t>±4,669</t>
  </si>
  <si>
    <t>±4,847</t>
  </si>
  <si>
    <t>±8,505</t>
  </si>
  <si>
    <t>±5,318</t>
  </si>
  <si>
    <t>±7,596</t>
  </si>
  <si>
    <t>±3,740</t>
  </si>
  <si>
    <t>±7,771</t>
  </si>
  <si>
    <t>±8,105</t>
  </si>
  <si>
    <t>B08301 _ACS19_1YR</t>
  </si>
  <si>
    <t>B08301 _ACS21_1YR</t>
  </si>
  <si>
    <t>B08301 _ACS20_5YR</t>
  </si>
  <si>
    <t>Observed Share</t>
  </si>
  <si>
    <t>Source: Bureau of Labor Statistics News Release for American Time Use Survey - 2022 Results</t>
  </si>
  <si>
    <t>https://www.bls.gov/news.release/pdf/atus.pdf</t>
  </si>
  <si>
    <t>Characteristic</t>
  </si>
  <si>
    <t>Total Employed</t>
  </si>
  <si>
    <t>Employed persons who worked on an average day</t>
  </si>
  <si>
    <t>Number</t>
  </si>
  <si>
    <t>Percent of employed</t>
  </si>
  <si>
    <t>Average hours of work</t>
  </si>
  <si>
    <t>Employed persons who worked at their workplace on an average day</t>
  </si>
  <si>
    <t>Percent of those who worked</t>
  </si>
  <si>
    <t>Average hours of work at workplace</t>
  </si>
  <si>
    <t>Full- and part-time status</t>
  </si>
  <si>
    <t>Total, 15 years and over</t>
  </si>
  <si>
    <t>Full-time workers</t>
  </si>
  <si>
    <t>Part-time workers</t>
  </si>
  <si>
    <t>Table 6. Employed persons working at home, workplace, and time spent working at each location by full- and part-time status and sex, jobholding status, and educational attainment, 2022 annual averages</t>
  </si>
  <si>
    <t>[Numbers in thousands]</t>
  </si>
  <si>
    <t>Employed persons who worked at home on an average day</t>
  </si>
  <si>
    <t>Means of Transportation to Work</t>
  </si>
  <si>
    <t>2022</t>
  </si>
  <si>
    <t>ACSDT1Y2022</t>
  </si>
  <si>
    <t>https://api.census.gov/data/2022/acs/acs1</t>
  </si>
  <si>
    <t>DATASETS</t>
  </si>
  <si>
    <t>San Francisco County, California; Alameda County, California; Contra Costa County, California; Marin County, California; Napa County, California; San Mateo County, California; Santa Clara County, California; Solano County, California; Sonoma County, California</t>
  </si>
  <si>
    <t>VINTAGES</t>
  </si>
  <si>
    <t>https://data.census.gov/table?q=B08301&amp;g=050XX00US06001,06013,06041,06055,06075,06081,06085,06095,06097&amp;y=2022&amp;d=ACS+1-Year+Estimates+Detailed+Tables&amp;tid=ACSDT1Y2022.B08301</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</si>
  <si>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</si>
  <si>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</si>
  <si>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2022 American Community Survey 1-Year Estimates</t>
  </si>
  <si>
    <t>The 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</si>
  <si>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</si>
  <si>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±9,162</t>
  </si>
  <si>
    <t>±7,182</t>
  </si>
  <si>
    <t>±4,141</t>
  </si>
  <si>
    <t>±6,310</t>
  </si>
  <si>
    <t>±5,938</t>
  </si>
  <si>
    <t>±8,362</t>
  </si>
  <si>
    <t>±5,510</t>
  </si>
  <si>
    <t>±5,612</t>
  </si>
  <si>
    <t>±8,776</t>
  </si>
  <si>
    <t>±9,121</t>
  </si>
  <si>
    <t>±4,837</t>
  </si>
  <si>
    <t>±6,047</t>
  </si>
  <si>
    <t>±6,362</t>
  </si>
  <si>
    <t>±11,219</t>
  </si>
  <si>
    <t>±4,969</t>
  </si>
  <si>
    <t>±4,989</t>
  </si>
  <si>
    <t>±8,297</t>
  </si>
  <si>
    <t>±8,407</t>
  </si>
  <si>
    <t>±4,538</t>
  </si>
  <si>
    <t>±6,054</t>
  </si>
  <si>
    <t>±6,270</t>
  </si>
  <si>
    <t>±10,349</t>
  </si>
  <si>
    <t>±4,845</t>
  </si>
  <si>
    <t>±5,877</t>
  </si>
  <si>
    <t>±5,298</t>
  </si>
  <si>
    <t>±1,879</t>
  </si>
  <si>
    <t>±3,660</t>
  </si>
  <si>
    <t>±4,154</t>
  </si>
  <si>
    <t>±6,170</t>
  </si>
  <si>
    <t>±3,618</t>
  </si>
  <si>
    <t>±3,251</t>
  </si>
  <si>
    <t>±5,436</t>
  </si>
  <si>
    <t>±3,872</t>
  </si>
  <si>
    <t>±1,754</t>
  </si>
  <si>
    <t>±3,042</t>
  </si>
  <si>
    <t>±3,370</t>
  </si>
  <si>
    <t>±5,354</t>
  </si>
  <si>
    <t>±2,969</t>
  </si>
  <si>
    <t>±2,509</t>
  </si>
  <si>
    <t>±2,452</t>
  </si>
  <si>
    <t>±2,610</t>
  </si>
  <si>
    <t>±1,383</t>
  </si>
  <si>
    <t>±2,084</t>
  </si>
  <si>
    <t>±2,021</t>
  </si>
  <si>
    <t>±1,049</t>
  </si>
  <si>
    <t>±720</t>
  </si>
  <si>
    <t>±473</t>
  </si>
  <si>
    <t>±1,231</t>
  </si>
  <si>
    <t>±1,783</t>
  </si>
  <si>
    <t>±1,605</t>
  </si>
  <si>
    <t>±657</t>
  </si>
  <si>
    <t>±2,161</t>
  </si>
  <si>
    <t>±706</t>
  </si>
  <si>
    <t>±590</t>
  </si>
  <si>
    <t>±680</t>
  </si>
  <si>
    <t>±853</t>
  </si>
  <si>
    <t>±490</t>
  </si>
  <si>
    <t>±401</t>
  </si>
  <si>
    <t>±239</t>
  </si>
  <si>
    <t>±356</t>
  </si>
  <si>
    <t>±492</t>
  </si>
  <si>
    <t>±1,041</t>
  </si>
  <si>
    <t>±4,263</t>
  </si>
  <si>
    <t>±3,279</t>
  </si>
  <si>
    <t>±2,338</t>
  </si>
  <si>
    <t>±4,666</t>
  </si>
  <si>
    <t>±2,141</t>
  </si>
  <si>
    <t>±2,657</t>
  </si>
  <si>
    <t>±819</t>
  </si>
  <si>
    <t>±830</t>
  </si>
  <si>
    <t>±1,948</t>
  </si>
  <si>
    <t>±2,166</t>
  </si>
  <si>
    <t>±3,971</t>
  </si>
  <si>
    <t>±1,468</t>
  </si>
  <si>
    <t>±2,378</t>
  </si>
  <si>
    <t>±327</t>
  </si>
  <si>
    <t>±3,543</t>
  </si>
  <si>
    <t>±2,358</t>
  </si>
  <si>
    <t>±2,284</t>
  </si>
  <si>
    <t>±954</t>
  </si>
  <si>
    <t>±693</t>
  </si>
  <si>
    <t>±279</t>
  </si>
  <si>
    <t>±250</t>
  </si>
  <si>
    <t>±1,779</t>
  </si>
  <si>
    <t>±1,170</t>
  </si>
  <si>
    <t>±1,319</t>
  </si>
  <si>
    <t>±863</t>
  </si>
  <si>
    <t>±201</t>
  </si>
  <si>
    <t>±491</t>
  </si>
  <si>
    <t>±1,144</t>
  </si>
  <si>
    <t>±148</t>
  </si>
  <si>
    <t>±73</t>
  </si>
  <si>
    <t>±980</t>
  </si>
  <si>
    <t>±296</t>
  </si>
  <si>
    <t>±659</t>
  </si>
  <si>
    <t>±316</t>
  </si>
  <si>
    <t>±666</t>
  </si>
  <si>
    <t>±1,824</t>
  </si>
  <si>
    <t>±895</t>
  </si>
  <si>
    <t>±524</t>
  </si>
  <si>
    <t>±1,323</t>
  </si>
  <si>
    <t>±80</t>
  </si>
  <si>
    <t>±702</t>
  </si>
  <si>
    <t>±851</t>
  </si>
  <si>
    <t>±210</t>
  </si>
  <si>
    <t>±283</t>
  </si>
  <si>
    <t>±554</t>
  </si>
  <si>
    <t>±281</t>
  </si>
  <si>
    <t>±2,198</t>
  </si>
  <si>
    <t>±757</t>
  </si>
  <si>
    <t>±838</t>
  </si>
  <si>
    <t>±2,468</t>
  </si>
  <si>
    <t>±1,171</t>
  </si>
  <si>
    <t>±2,443</t>
  </si>
  <si>
    <t>±284</t>
  </si>
  <si>
    <t>±687</t>
  </si>
  <si>
    <t>±2,675</t>
  </si>
  <si>
    <t>±2,131</t>
  </si>
  <si>
    <t>±1,190</t>
  </si>
  <si>
    <t>±3,858</t>
  </si>
  <si>
    <t>±3,057</t>
  </si>
  <si>
    <t>±989</t>
  </si>
  <si>
    <t>±1,295</t>
  </si>
  <si>
    <t>±2,219</t>
  </si>
  <si>
    <t>±1,659</t>
  </si>
  <si>
    <t>±2,178</t>
  </si>
  <si>
    <t>±1,451</t>
  </si>
  <si>
    <t>±2,343</t>
  </si>
  <si>
    <t>±769</t>
  </si>
  <si>
    <t>±1,092</t>
  </si>
  <si>
    <t>±8,204</t>
  </si>
  <si>
    <t>±5,481</t>
  </si>
  <si>
    <t>±3,062</t>
  </si>
  <si>
    <t>±6,574</t>
  </si>
  <si>
    <t>±4,807</t>
  </si>
  <si>
    <t>±7,528</t>
  </si>
  <si>
    <t>±2,840</t>
  </si>
  <si>
    <t>±2,995</t>
  </si>
  <si>
    <t>B08301 _ACS22_1YR</t>
  </si>
  <si>
    <t>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</si>
  <si>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ACS data generally reflect the geographic boundaries of legal and statistical areas as of January 1 of the estimate year. For more information, see  Geography Boundaries by Year.</t>
  </si>
  <si>
    <t>Source: U.S. Census Bureau, 2023 American Community Survey 1-Year Estimates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</si>
  <si>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</si>
  <si>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2023</t>
  </si>
  <si>
    <t>https://api.census.gov/data/2023/acs/acs1</t>
  </si>
  <si>
    <t>MLA:</t>
  </si>
  <si>
    <t>ACSDT1Y2023</t>
  </si>
  <si>
    <t>±3,605</t>
  </si>
  <si>
    <t>±2,741</t>
  </si>
  <si>
    <t>±7,281</t>
  </si>
  <si>
    <t>±5,579</t>
  </si>
  <si>
    <t>±1,640</t>
  </si>
  <si>
    <t>±2,945</t>
  </si>
  <si>
    <t>±5,645</t>
  </si>
  <si>
    <t>±8,059</t>
  </si>
  <si>
    <t>±796</t>
  </si>
  <si>
    <t>±661</t>
  </si>
  <si>
    <t>±1,843</t>
  </si>
  <si>
    <t>±1,708</t>
  </si>
  <si>
    <t>±571</t>
  </si>
  <si>
    <t>±832</t>
  </si>
  <si>
    <t>±2,064</t>
  </si>
  <si>
    <t>±2,129</t>
  </si>
  <si>
    <t>±1,493</t>
  </si>
  <si>
    <t>±2,914</t>
  </si>
  <si>
    <t>±4,015</t>
  </si>
  <si>
    <t>±1,273</t>
  </si>
  <si>
    <t>±1,245</t>
  </si>
  <si>
    <t>±1,860</t>
  </si>
  <si>
    <t>±2,737</t>
  </si>
  <si>
    <t>±559</t>
  </si>
  <si>
    <t>±223</t>
  </si>
  <si>
    <t>±2,567</t>
  </si>
  <si>
    <t>±2,480</t>
  </si>
  <si>
    <t>±928</t>
  </si>
  <si>
    <t>±858</t>
  </si>
  <si>
    <t>±2,404</t>
  </si>
  <si>
    <t>±584</t>
  </si>
  <si>
    <t>±487</t>
  </si>
  <si>
    <t>±662</t>
  </si>
  <si>
    <t>±221</t>
  </si>
  <si>
    <t>±199</t>
  </si>
  <si>
    <t>±522</t>
  </si>
  <si>
    <t>±431</t>
  </si>
  <si>
    <t>±573</t>
  </si>
  <si>
    <t>±1,133</t>
  </si>
  <si>
    <t>±363</t>
  </si>
  <si>
    <t>±884</t>
  </si>
  <si>
    <t>±35</t>
  </si>
  <si>
    <t>±117</t>
  </si>
  <si>
    <t>±261</t>
  </si>
  <si>
    <t>±763</t>
  </si>
  <si>
    <t>±453</t>
  </si>
  <si>
    <t>±983</t>
  </si>
  <si>
    <t>±243</t>
  </si>
  <si>
    <t>±1,829</t>
  </si>
  <si>
    <t>±776</t>
  </si>
  <si>
    <t>±489</t>
  </si>
  <si>
    <t>±333</t>
  </si>
  <si>
    <t>±1,151</t>
  </si>
  <si>
    <t>±1,393</t>
  </si>
  <si>
    <t>±1,344</t>
  </si>
  <si>
    <t>±179</t>
  </si>
  <si>
    <t>±2,119</t>
  </si>
  <si>
    <t>±198</t>
  </si>
  <si>
    <t>±850</t>
  </si>
  <si>
    <t>±2,990</t>
  </si>
  <si>
    <t>±2,889</t>
  </si>
  <si>
    <t>±3,776</t>
  </si>
  <si>
    <t>±483</t>
  </si>
  <si>
    <t>±4,087</t>
  </si>
  <si>
    <t>±1,045</t>
  </si>
  <si>
    <t>±1,422</t>
  </si>
  <si>
    <t>±3,326</t>
  </si>
  <si>
    <t>±651</t>
  </si>
  <si>
    <t>±1,465</t>
  </si>
  <si>
    <t>±3,358</t>
  </si>
  <si>
    <t>±5,874</t>
  </si>
  <si>
    <t>±1,168</t>
  </si>
  <si>
    <t>±3,662</t>
  </si>
  <si>
    <t>±4,758</t>
  </si>
  <si>
    <t>±342</t>
  </si>
  <si>
    <t>±420</t>
  </si>
  <si>
    <t>±1,357</t>
  </si>
  <si>
    <t>±1,850</t>
  </si>
  <si>
    <t>±550</t>
  </si>
  <si>
    <t>±705</t>
  </si>
  <si>
    <t>±978</t>
  </si>
  <si>
    <t>±310</t>
  </si>
  <si>
    <t>±2,360</t>
  </si>
  <si>
    <t>±829</t>
  </si>
  <si>
    <t>±476</t>
  </si>
  <si>
    <t>±1,455</t>
  </si>
  <si>
    <t>±2,478</t>
  </si>
  <si>
    <t>±2,794</t>
  </si>
  <si>
    <t>±1,939</t>
  </si>
  <si>
    <t>±2,646</t>
  </si>
  <si>
    <t>±3,425</t>
  </si>
  <si>
    <t>±2,855</t>
  </si>
  <si>
    <t>±2,758</t>
  </si>
  <si>
    <t>±5,414</t>
  </si>
  <si>
    <t>±3,114</t>
  </si>
  <si>
    <t>±1,008</t>
  </si>
  <si>
    <t>±1,976</t>
  </si>
  <si>
    <t>±4,418</t>
  </si>
  <si>
    <t>±3,918</t>
  </si>
  <si>
    <t>±3,801</t>
  </si>
  <si>
    <t>±2,979</t>
  </si>
  <si>
    <t>±6,422</t>
  </si>
  <si>
    <t>±2,095</t>
  </si>
  <si>
    <t>±2,006</t>
  </si>
  <si>
    <t>±5,743</t>
  </si>
  <si>
    <t>±5,542</t>
  </si>
  <si>
    <t>±5,513</t>
  </si>
  <si>
    <t>±5,212</t>
  </si>
  <si>
    <t>±12,951</t>
  </si>
  <si>
    <t>±5,269</t>
  </si>
  <si>
    <t>±3,552</t>
  </si>
  <si>
    <t>±4,109</t>
  </si>
  <si>
    <t>±8,182</t>
  </si>
  <si>
    <t>±10,742</t>
  </si>
  <si>
    <t>±5,868</t>
  </si>
  <si>
    <t>±5,015</t>
  </si>
  <si>
    <t>±10,992</t>
  </si>
  <si>
    <t>±6,455</t>
  </si>
  <si>
    <t>±3,060</t>
  </si>
  <si>
    <t>±4,238</t>
  </si>
  <si>
    <t>±8,436</t>
  </si>
  <si>
    <t>±10,851</t>
  </si>
  <si>
    <t>±5,361</t>
  </si>
  <si>
    <t>±5,118</t>
  </si>
  <si>
    <t>±10,355</t>
  </si>
  <si>
    <t>±6,195</t>
  </si>
  <si>
    <t>±2,420</t>
  </si>
  <si>
    <t>±3,704</t>
  </si>
  <si>
    <t>±7,855</t>
  </si>
  <si>
    <t>±10,757</t>
  </si>
  <si>
    <t>https://data.census.gov/table/ACSDT1Y2023.B08301?q=B08301:%20Means%20of%20Transportation%20to%20Work&amp;g=050XX00US06001,06013,06041,06055,06075,06081,06085,06095,06097&amp;y=2023</t>
  </si>
  <si>
    <t>Alameda County, California; Contra Costa County, California; Marin County, California; Napa County, California; San Francisco County, California; Santa Clara County, California; Sonoma County, California; Solano County, California; San Mateo County, California</t>
  </si>
  <si>
    <t>U.S. Census Bureau, U.S. Department of Commerce and U.S. Census Bureau. "Means of Transportation to Work." American Community Survey, ACS 1-Year Estimates Detailed Tables, Table B08301, 2023, https://data.census.gov/table/ACSDT1Y2023.B08301?q=B08301: Means of Transportation to Work&amp;g=050XX00US06001,06013,06041,06055,06075,06081,06085,06095,06097&amp;y=2023. Accessed on September 17, 2024.</t>
  </si>
  <si>
    <t>±4,207</t>
  </si>
  <si>
    <t>±1,620</t>
  </si>
  <si>
    <t>±1,863</t>
  </si>
  <si>
    <t>±534</t>
  </si>
  <si>
    <t>±1,064</t>
  </si>
  <si>
    <t>±1,424</t>
  </si>
  <si>
    <t>±2,263</t>
  </si>
  <si>
    <t>±2,998</t>
  </si>
  <si>
    <t>±229</t>
  </si>
  <si>
    <t>±857</t>
  </si>
  <si>
    <t>±3,402</t>
  </si>
  <si>
    <t>±6,837</t>
  </si>
  <si>
    <t>±6,392</t>
  </si>
  <si>
    <t>±5,759</t>
  </si>
  <si>
    <t>B08301 _ACS23_1YR</t>
  </si>
  <si>
    <t>Source: Bureau of Labor Statistics News Release for American Time Use Survey - 2023 Results</t>
  </si>
  <si>
    <t>Table 6. Employed persons working at home, workplace, and time spent working at each location by full- and part-time status and sex, jobholding status, and educational attainment, 2023 annual averages</t>
  </si>
  <si>
    <t>2024</t>
  </si>
  <si>
    <t>ACSDT1Y2024</t>
  </si>
  <si>
    <t>U.S. Census Bureau. "Means of Transportation to Work." American Community Survey, ACS 1-Year Estimates Detailed Tables, Table B08301, https://data.census.gov/table/ACSDT1Y2024.B08301?q=B08301:+MEANS+OF+TRANSPORTATION+TO+WORK&amp;g=050XX00US06001,06013,06041,06055,06075,06081,06085,06095,06097&amp;y=2024. Accessed on 19 Feb 2026.</t>
  </si>
  <si>
    <t>https://api.census.gov/data/2024/acs/acs1</t>
  </si>
  <si>
    <t>Alameda County, California; Contra Costa County, California; Marin County, California; Napa County, California; San Francisco County, California; San Mateo County, California; Santa Clara County, California; Solano County, California; Sonoma County, California</t>
  </si>
  <si>
    <t>https://data.census.gov/table/ACSDT1Y2024.B08301?q=B08301:+MEANS+OF+TRANSPORTATION+TO+WORK&amp;g=050XX00US06001,06013,06041,06055,06075,06081,06085,06095,06097&amp;y=2024</t>
  </si>
  <si>
    <t>Key Table Information</t>
  </si>
  <si>
    <t>Table Title</t>
  </si>
  <si>
    <t>Table ID</t>
  </si>
  <si>
    <t>ACSDT1Y2024.B08301</t>
  </si>
  <si>
    <t>Survey/Program</t>
  </si>
  <si>
    <t>Dataset</t>
  </si>
  <si>
    <t>U.S. Census Bureau, 2024 American Community Survey, 1-Year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</si>
  <si>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</si>
  <si>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</si>
  <si>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</si>
  <si>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</si>
  <si>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</si>
  <si>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</si>
  <si>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</si>
  <si>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</si>
  <si>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</si>
  <si>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</si>
  <si>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</si>
  <si>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</si>
  <si>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</si>
  <si>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</si>
  <si>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</si>
  <si>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</si>
  <si>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</si>
  <si>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</si>
  <si>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</si>
  <si>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Data-Specific Notes</t>
  </si>
  <si>
    <t>Additional Information</t>
  </si>
  <si>
    <t>Contact Information</t>
  </si>
  <si>
    <t>Contact the Census Bureau Customer Help Center at 1-800-923-8282 or submit a question at ask.census.gov.</t>
  </si>
  <si>
    <t>Suggested Citation</t>
  </si>
  <si>
    <t>U.S. Census Bureau. "Means of Transportation to Work" American Community Survey, ACS 1-Year Estimates Detailed Tables, Table B08301, 2024, https://data.census.gov/table/ACSDT1Y2024.B08301?q=B08301: Accessed on February 19, 2026.</t>
  </si>
  <si>
    <t>±9,430</t>
  </si>
  <si>
    <t>±8,444</t>
  </si>
  <si>
    <t>±3,755</t>
  </si>
  <si>
    <t>±2,091</t>
  </si>
  <si>
    <t>±7,060</t>
  </si>
  <si>
    <t>±6,057</t>
  </si>
  <si>
    <t>±11,058</t>
  </si>
  <si>
    <t>±4,929</t>
  </si>
  <si>
    <t>±12,400</t>
  </si>
  <si>
    <t>±9,519</t>
  </si>
  <si>
    <t>±4,551</t>
  </si>
  <si>
    <t>±2,401</t>
  </si>
  <si>
    <t>±6,572</t>
  </si>
  <si>
    <t>±7,178</t>
  </si>
  <si>
    <t>±10,961</t>
  </si>
  <si>
    <t>±5,429</t>
  </si>
  <si>
    <t>±5,371</t>
  </si>
  <si>
    <t>±13,188</t>
  </si>
  <si>
    <t>±4,466</t>
  </si>
  <si>
    <t>±2,926</t>
  </si>
  <si>
    <t>±5,890</t>
  </si>
  <si>
    <t>±7,822</t>
  </si>
  <si>
    <t>±11,268</t>
  </si>
  <si>
    <t>±5,463</t>
  </si>
  <si>
    <t>±6,126</t>
  </si>
  <si>
    <t>±7,092</t>
  </si>
  <si>
    <t>±5,779</t>
  </si>
  <si>
    <t>±2,292</t>
  </si>
  <si>
    <t>±1,606</t>
  </si>
  <si>
    <t>±3,644</t>
  </si>
  <si>
    <t>±3,898</t>
  </si>
  <si>
    <t>±6,673</t>
  </si>
  <si>
    <t>±2,672</t>
  </si>
  <si>
    <t>±3,822</t>
  </si>
  <si>
    <t>±4,419</t>
  </si>
  <si>
    <t>±2,115</t>
  </si>
  <si>
    <t>±2,878</t>
  </si>
  <si>
    <t>±3,287</t>
  </si>
  <si>
    <t>±5,780</t>
  </si>
  <si>
    <t>±2,622</t>
  </si>
  <si>
    <t>±3,484</t>
  </si>
  <si>
    <t>±3,203</t>
  </si>
  <si>
    <t>±2,626</t>
  </si>
  <si>
    <t>±979</t>
  </si>
  <si>
    <t>±1,487</t>
  </si>
  <si>
    <t>±2,535</t>
  </si>
  <si>
    <t>±988</t>
  </si>
  <si>
    <t>±1,623</t>
  </si>
  <si>
    <t>±2,383</t>
  </si>
  <si>
    <t>±308</t>
  </si>
  <si>
    <t>±1,027</t>
  </si>
  <si>
    <t>±1,080</t>
  </si>
  <si>
    <t>±3,006</t>
  </si>
  <si>
    <t>±525</t>
  </si>
  <si>
    <t>±1,506</t>
  </si>
  <si>
    <t>±2,377</t>
  </si>
  <si>
    <t>±795</t>
  </si>
  <si>
    <t>±1,663</t>
  </si>
  <si>
    <t>±854</t>
  </si>
  <si>
    <t>±756</t>
  </si>
  <si>
    <t>±1,365</t>
  </si>
  <si>
    <t>±91</t>
  </si>
  <si>
    <t>±290</t>
  </si>
  <si>
    <t>±232</t>
  </si>
  <si>
    <t>±95</t>
  </si>
  <si>
    <t>±468</t>
  </si>
  <si>
    <t>Public transportation:</t>
  </si>
  <si>
    <t>±5,470</t>
  </si>
  <si>
    <t>±3,669</t>
  </si>
  <si>
    <t>±2,035</t>
  </si>
  <si>
    <t>±6,864</t>
  </si>
  <si>
    <t>±2,465</t>
  </si>
  <si>
    <t>±1,222</t>
  </si>
  <si>
    <t>±3,723</t>
  </si>
  <si>
    <t>±1,420</t>
  </si>
  <si>
    <t>±1,777</t>
  </si>
  <si>
    <t>±500</t>
  </si>
  <si>
    <t>±5,744</t>
  </si>
  <si>
    <t>±1,825</t>
  </si>
  <si>
    <t>±2,814</t>
  </si>
  <si>
    <t>±1,087</t>
  </si>
  <si>
    <t>±2,957</t>
  </si>
  <si>
    <t>±231</t>
  </si>
  <si>
    <t>±3,093</t>
  </si>
  <si>
    <t>±1,286</t>
  </si>
  <si>
    <t>±548</t>
  </si>
  <si>
    <t>±396</t>
  </si>
  <si>
    <t>±510</t>
  </si>
  <si>
    <t>±1,969</t>
  </si>
  <si>
    <t>±1,440</t>
  </si>
  <si>
    <t>±1,276</t>
  </si>
  <si>
    <t>±1,415</t>
  </si>
  <si>
    <t>±1,584</t>
  </si>
  <si>
    <t>±137</t>
  </si>
  <si>
    <t>±428</t>
  </si>
  <si>
    <t>±640</t>
  </si>
  <si>
    <t>±147</t>
  </si>
  <si>
    <t>±1,581</t>
  </si>
  <si>
    <t>±450</t>
  </si>
  <si>
    <t>±1,425</t>
  </si>
  <si>
    <t>±423</t>
  </si>
  <si>
    <t>±1,627</t>
  </si>
  <si>
    <t>±98</t>
  </si>
  <si>
    <t>±406</t>
  </si>
  <si>
    <t>±596</t>
  </si>
  <si>
    <t>Taxi or ride-hailing services</t>
  </si>
  <si>
    <t>±1,553</t>
  </si>
  <si>
    <t>±958</t>
  </si>
  <si>
    <t>±633</t>
  </si>
  <si>
    <t>±122</t>
  </si>
  <si>
    <t>±1,359</t>
  </si>
  <si>
    <t>±929</t>
  </si>
  <si>
    <t>±2,106</t>
  </si>
  <si>
    <t>±393</t>
  </si>
  <si>
    <t>±676</t>
  </si>
  <si>
    <t>±275</t>
  </si>
  <si>
    <t>±220</t>
  </si>
  <si>
    <t>±637</t>
  </si>
  <si>
    <t>±833</t>
  </si>
  <si>
    <t>±126</t>
  </si>
  <si>
    <t>±156</t>
  </si>
  <si>
    <t>±1,705</t>
  </si>
  <si>
    <t>±896</t>
  </si>
  <si>
    <t>±2,681</t>
  </si>
  <si>
    <t>±2,940</t>
  </si>
  <si>
    <t>±678</t>
  </si>
  <si>
    <t>±4,021</t>
  </si>
  <si>
    <t>±2,159</t>
  </si>
  <si>
    <t>±4,689</t>
  </si>
  <si>
    <t>±3,514</t>
  </si>
  <si>
    <t>±1,475</t>
  </si>
  <si>
    <t>±1,716</t>
  </si>
  <si>
    <t>±934</t>
  </si>
  <si>
    <t>±2,043</t>
  </si>
  <si>
    <t>±1,289</t>
  </si>
  <si>
    <t>±2,319</t>
  </si>
  <si>
    <t>±529</t>
  </si>
  <si>
    <t>±7,295</t>
  </si>
  <si>
    <t>±2,997</t>
  </si>
  <si>
    <t>±1,732</t>
  </si>
  <si>
    <t>±5,261</t>
  </si>
  <si>
    <t>±4,833</t>
  </si>
  <si>
    <t>±7,773</t>
  </si>
  <si>
    <t>±2,557</t>
  </si>
  <si>
    <t>±2,881</t>
  </si>
  <si>
    <t>B08301 _ACS24_1YR</t>
  </si>
  <si>
    <t>(note: 2024 data added in February 2026, for plan document, not used in modeling)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</si>
</sst>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_(* #,##0_);_(* \(#,##0\);_(* &quot;-&quot;??_);_(@_)"/>
  </numFmts>
  <fonts count="17" x14ac:knownFonts="1">
    <font>
      <sz val="11"/>
      <color theme="1"/>
      <name val="Calibri"/>
      <family val="2"/>
      <scheme val="minor"/>
    </font>
    <font>
      <sz val="11"/>
      <color theme="1"/>
      <name val="Calibri"/>
      <family val="2"/>
      <scheme val="minor"/>
    </font>
    <font>
      <b/>
      <sz val="11"/>
      <name val="Calibri"/>
      <family val="2"/>
    </font>
    <font>
      <b/>
      <sz val="16"/>
      <name val="Calibri"/>
      <family val="2"/>
    </font>
    <font>
      <sz val="11"/>
      <color rgb="FFFF0000"/>
      <name val="Calibri"/>
      <family val="2"/>
      <scheme val="minor"/>
    </font>
    <font>
      <b/>
      <sz val="11"/>
      <name val="Calibri"/>
      <family val="2"/>
    </font>
    <font>
      <b/>
      <sz val="16"/>
      <name val="Calibri"/>
      <family val="2"/>
    </font>
    <font>
      <b/>
      <sz val="10"/>
      <color indexed="8"/>
      <name val="Calibri"/>
      <family val="2"/>
    </font>
    <font>
      <b/>
      <sz val="10"/>
      <color indexed="8"/>
      <name val="Calibri"/>
      <family val="2"/>
      <scheme val="minor"/>
    </font>
    <font>
      <sz val="10"/>
      <color theme="1"/>
      <name val="Calibri"/>
      <family val="2"/>
      <scheme val="minor"/>
    </font>
    <font>
      <sz val="10"/>
      <color rgb="FF000000"/>
      <name val="Calibri"/>
      <family val="2"/>
      <scheme val="minor"/>
    </font>
    <font>
      <u/>
      <sz val="11"/>
      <color theme="10"/>
      <name val="Calibri"/>
      <family val="2"/>
      <scheme val="minor"/>
    </font>
    <font>
      <sz val="10"/>
      <color rgb="FFFF0000"/>
      <name val="Calibri"/>
      <family val="2"/>
      <scheme val="minor"/>
    </font>
    <font>
      <u/>
      <sz val="10"/>
      <color theme="10"/>
      <name val="Calibri"/>
      <family val="2"/>
      <scheme val="minor"/>
    </font>
    <font>
      <b/>
      <sz val="10"/>
      <color theme="1"/>
      <name val="Calibri"/>
      <family val="2"/>
      <scheme val="minor"/>
    </font>
    <font>
      <b/>
      <sz val="16"/>
      <name val="Calibri"/>
    </font>
    <font>
      <b/>
      <sz val="11"/>
      <name val="Calibri"/>
    </font>
  </fonts>
  <fills count="3">
    <fill>
      <patternFill patternType="none"/>
    </fill>
    <fill>
      <patternFill patternType="gray125"/>
    </fill>
    <fill>
      <patternFill patternType="solid">
        <fgColor rgb="FFFFFF00"/>
        <bgColor indexed="64"/>
      </patternFill>
    </fill>
  </fills>
  <borders count="11">
    <border>
      <left/>
      <right/>
      <top/>
      <bottom/>
      <diagonal/>
    </border>
    <border>
      <left/>
      <right/>
      <top style="medium">
        <color auto="1"/>
      </top>
      <bottom style="medium">
        <color auto="1"/>
      </bottom>
      <diagonal/>
    </border>
    <border>
      <left style="thin">
        <color auto="1"/>
      </left>
      <right style="thin">
        <color auto="1"/>
      </right>
      <top style="thin">
        <color auto="1"/>
      </top>
      <bottom style="thin">
        <color auto="1"/>
      </bottom>
      <diagonal/>
    </border>
    <border>
      <left/>
      <right/>
      <top style="thin">
        <color indexed="64"/>
      </top>
      <bottom/>
      <diagonal/>
    </border>
    <border>
      <left/>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bottom/>
      <diagonal/>
    </border>
    <border>
      <left/>
      <right style="hair">
        <color indexed="64"/>
      </right>
      <top/>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1" fillId="0" borderId="0" applyNumberFormat="0" applyFill="0" applyBorder="0" applyAlignment="0" applyProtection="0"/>
  </cellStyleXfs>
  <cellXfs count="65">
    <xf numFmtId="0" fontId="0" fillId="0" borderId="0" xfId="0"/>
    <xf numFmtId="0" fontId="0" fillId="0" borderId="0" xfId="0" applyAlignment="1">
      <alignment vertical="top" wrapText="1"/>
    </xf>
    <xf numFmtId="0" fontId="2" fillId="0" borderId="0" xfId="0" applyFont="1" applyAlignment="1">
      <alignment vertical="top" wrapText="1"/>
    </xf>
    <xf numFmtId="0" fontId="0" fillId="0" borderId="1" xfId="0" applyBorder="1"/>
    <xf numFmtId="0" fontId="0" fillId="0" borderId="0" xfId="0" applyAlignment="1">
      <alignment wrapTex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2" fillId="0" borderId="2" xfId="0" applyFont="1" applyBorder="1" applyAlignment="1">
      <alignment horizontal="left" vertical="center" wrapText="1" indent="1"/>
    </xf>
    <xf numFmtId="3" fontId="0" fillId="0" borderId="0" xfId="0" applyNumberFormat="1" applyAlignment="1">
      <alignment wrapText="1"/>
    </xf>
    <xf numFmtId="0" fontId="4" fillId="0" borderId="0" xfId="0" applyFont="1" applyAlignment="1">
      <alignment wrapText="1"/>
    </xf>
    <xf numFmtId="166" fontId="4" fillId="0" borderId="0" xfId="2" applyNumberFormat="1" applyFont="1" applyAlignment="1">
      <alignment wrapText="1"/>
    </xf>
    <xf numFmtId="164" fontId="4" fillId="0" borderId="0" xfId="0" applyNumberFormat="1" applyFont="1" applyAlignment="1">
      <alignment wrapText="1"/>
    </xf>
    <xf numFmtId="0" fontId="5" fillId="0" borderId="0" xfId="0" applyFont="1" applyAlignment="1">
      <alignment vertical="top" wrapText="1"/>
    </xf>
    <xf numFmtId="0" fontId="5" fillId="0" borderId="2" xfId="0" applyFont="1" applyBorder="1" applyAlignment="1">
      <alignment horizontal="left" vertical="center" wrapText="1" indent="1"/>
    </xf>
    <xf numFmtId="0" fontId="7" fillId="0" borderId="0" xfId="0" applyFont="1"/>
    <xf numFmtId="0" fontId="9" fillId="0" borderId="0" xfId="0" applyFont="1"/>
    <xf numFmtId="164" fontId="9" fillId="0" borderId="0" xfId="1" applyNumberFormat="1" applyFont="1"/>
    <xf numFmtId="165" fontId="9" fillId="0" borderId="0" xfId="0" applyNumberFormat="1" applyFont="1"/>
    <xf numFmtId="164" fontId="9" fillId="0" borderId="0" xfId="1" applyNumberFormat="1" applyFont="1" applyBorder="1"/>
    <xf numFmtId="164" fontId="9" fillId="0" borderId="0" xfId="1" applyNumberFormat="1" applyFont="1" applyFill="1" applyBorder="1"/>
    <xf numFmtId="164" fontId="10" fillId="0" borderId="0" xfId="1" applyNumberFormat="1" applyFont="1" applyFill="1" applyBorder="1" applyAlignment="1">
      <alignment vertical="center"/>
    </xf>
    <xf numFmtId="0" fontId="7" fillId="0" borderId="0" xfId="0" applyFont="1" applyAlignment="1">
      <alignment wrapText="1"/>
    </xf>
    <xf numFmtId="164" fontId="8" fillId="0" borderId="0" xfId="1" applyNumberFormat="1" applyFont="1" applyAlignment="1">
      <alignment wrapText="1"/>
    </xf>
    <xf numFmtId="164" fontId="10" fillId="2" borderId="0" xfId="1" applyNumberFormat="1" applyFont="1" applyFill="1" applyBorder="1" applyAlignment="1">
      <alignment vertical="center"/>
    </xf>
    <xf numFmtId="0" fontId="9" fillId="2" borderId="0" xfId="0" applyFont="1" applyFill="1"/>
    <xf numFmtId="0" fontId="12" fillId="0" borderId="0" xfId="0" applyFont="1"/>
    <xf numFmtId="0" fontId="13" fillId="0" borderId="0" xfId="3" applyFont="1"/>
    <xf numFmtId="0" fontId="14" fillId="0" borderId="0" xfId="0" applyFont="1"/>
    <xf numFmtId="0" fontId="9" fillId="0" borderId="3" xfId="0" applyFont="1" applyBorder="1"/>
    <xf numFmtId="0" fontId="9" fillId="0" borderId="4" xfId="0" applyFont="1" applyBorder="1"/>
    <xf numFmtId="0" fontId="9" fillId="0" borderId="4" xfId="0" applyFont="1" applyBorder="1" applyAlignment="1">
      <alignment horizontal="center" wrapText="1"/>
    </xf>
    <xf numFmtId="0" fontId="9" fillId="0" borderId="7" xfId="0" applyFont="1" applyBorder="1" applyAlignment="1">
      <alignment horizontal="center" wrapText="1"/>
    </xf>
    <xf numFmtId="0" fontId="9" fillId="0" borderId="8" xfId="0" applyFont="1" applyBorder="1" applyAlignment="1">
      <alignment horizontal="center" wrapText="1"/>
    </xf>
    <xf numFmtId="0" fontId="9" fillId="0" borderId="9" xfId="0" applyFont="1" applyBorder="1"/>
    <xf numFmtId="0" fontId="9" fillId="0" borderId="10" xfId="0" applyFont="1" applyBorder="1"/>
    <xf numFmtId="3" fontId="9" fillId="0" borderId="9" xfId="0" applyNumberFormat="1" applyFont="1" applyBorder="1"/>
    <xf numFmtId="0" fontId="14" fillId="0" borderId="0" xfId="0" applyFont="1" applyAlignment="1">
      <alignment horizontal="center"/>
    </xf>
    <xf numFmtId="3" fontId="9" fillId="0" borderId="0" xfId="0" applyNumberFormat="1" applyFont="1"/>
    <xf numFmtId="0" fontId="9" fillId="0" borderId="0" xfId="0" applyFont="1" applyAlignment="1">
      <alignment horizontal="left" indent="1"/>
    </xf>
    <xf numFmtId="0" fontId="9" fillId="0" borderId="4" xfId="0" applyFont="1" applyBorder="1" applyAlignment="1">
      <alignment horizontal="left" indent="1"/>
    </xf>
    <xf numFmtId="3" fontId="9" fillId="0" borderId="4" xfId="0" applyNumberFormat="1" applyFont="1" applyBorder="1"/>
    <xf numFmtId="3" fontId="9" fillId="0" borderId="7" xfId="0" applyNumberFormat="1" applyFont="1" applyBorder="1"/>
    <xf numFmtId="164" fontId="9" fillId="0" borderId="4" xfId="1" applyNumberFormat="1" applyFont="1" applyBorder="1"/>
    <xf numFmtId="0" fontId="9" fillId="0" borderId="8" xfId="0" applyFont="1" applyBorder="1"/>
    <xf numFmtId="164" fontId="9" fillId="2" borderId="0" xfId="1" applyNumberFormat="1" applyFont="1" applyFill="1" applyBorder="1"/>
    <xf numFmtId="164" fontId="9" fillId="2" borderId="4" xfId="1" applyNumberFormat="1" applyFont="1" applyFill="1" applyBorder="1"/>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wrapText="1"/>
    </xf>
    <xf numFmtId="0" fontId="9" fillId="0" borderId="3" xfId="0" applyFont="1" applyBorder="1" applyAlignment="1">
      <alignment horizontal="center" wrapText="1"/>
    </xf>
    <xf numFmtId="0" fontId="9" fillId="0" borderId="6" xfId="0" applyFont="1" applyBorder="1" applyAlignment="1">
      <alignment horizontal="center" wrapText="1"/>
    </xf>
    <xf numFmtId="0" fontId="0" fillId="0" borderId="0" xfId="0" applyAlignment="1">
      <alignment vertical="top" wrapText="1"/>
    </xf>
    <xf numFmtId="0" fontId="3" fillId="0" borderId="1" xfId="0" applyFont="1" applyBorder="1" applyAlignment="1">
      <alignment horizontal="center" vertical="center" wrapText="1" shrinkToFit="1"/>
    </xf>
    <xf numFmtId="0" fontId="2" fillId="0" borderId="0" xfId="0" applyFont="1"/>
    <xf numFmtId="0" fontId="2" fillId="0" borderId="2" xfId="0" applyFont="1" applyBorder="1" applyAlignment="1">
      <alignment horizontal="left" vertical="center" wrapText="1" indent="1"/>
    </xf>
    <xf numFmtId="0" fontId="6" fillId="0" borderId="1" xfId="0" applyFont="1" applyBorder="1" applyAlignment="1">
      <alignment horizontal="center" vertical="center" wrapText="1" shrinkToFit="1"/>
    </xf>
    <xf numFmtId="0" fontId="5" fillId="0" borderId="0" xfId="0" applyFont="1"/>
    <xf numFmtId="0" fontId="5" fillId="0" borderId="2" xfId="0" applyFont="1" applyBorder="1" applyAlignment="1">
      <alignment horizontal="left" vertical="center" wrapText="1" indent="1"/>
    </xf>
    <xf numFmtId="0" fontId="15" fillId="0" borderId="1" xfId="0" applyFont="1" applyBorder="1" applyAlignment="1">
      <alignment horizontal="center" vertical="center" wrapText="1" shrinkToFit="1"/>
    </xf>
    <xf numFmtId="0" fontId="16" fillId="0" borderId="0" xfId="0" applyFont="1"/>
    <xf numFmtId="0" fontId="16" fillId="0" borderId="0" xfId="0" applyFont="1" applyAlignment="1">
      <alignment vertical="top" wrapText="1"/>
    </xf>
    <xf numFmtId="0" fontId="16" fillId="0" borderId="2" xfId="0" applyFont="1" applyBorder="1" applyAlignment="1">
      <alignment horizontal="left" vertical="center" wrapText="1" indent="1"/>
    </xf>
    <xf numFmtId="0" fontId="16" fillId="0" borderId="2" xfId="0" applyFont="1" applyBorder="1" applyAlignment="1">
      <alignment horizontal="left" vertical="center" wrapText="1" indent="1"/>
    </xf>
    <xf numFmtId="0" fontId="0" fillId="0" borderId="0" xfId="0" applyNumberFormat="1" applyAlignment="1">
      <alignment wrapText="1"/>
    </xf>
  </cellXfs>
  <cellStyles count="4">
    <cellStyle name="Comma" xfId="2" builtinId="3"/>
    <cellStyle name="Hyperlink" xfId="3"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'ACS Summary'!$E$2</c:f>
              <c:strCache>
                <c:ptCount val="1"/>
                <c:pt idx="0">
                  <c:v>Observed Share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17963397811248566"/>
                  <c:y val="-1.3679162383255039E-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'ACS Summary'!$B$3:$B$24</c:f>
              <c:numCache>
                <c:formatCode>General</c:formatCode>
                <c:ptCount val="22"/>
                <c:pt idx="0">
                  <c:v>1970</c:v>
                </c:pt>
                <c:pt idx="1">
                  <c:v>1980</c:v>
                </c:pt>
                <c:pt idx="2">
                  <c:v>1990</c:v>
                </c:pt>
                <c:pt idx="3">
                  <c:v>2000</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numCache>
            </c:numRef>
          </c:xVal>
          <c:yVal>
            <c:numRef>
              <c:f>'ACS Summary'!$E$3:$E$24</c:f>
              <c:numCache>
                <c:formatCode>0.0%</c:formatCode>
                <c:ptCount val="22"/>
                <c:pt idx="0">
                  <c:v>2.3734633799999998E-2</c:v>
                </c:pt>
                <c:pt idx="1">
                  <c:v>1.91892886E-2</c:v>
                </c:pt>
                <c:pt idx="2">
                  <c:v>3.4339612319999997E-2</c:v>
                </c:pt>
                <c:pt idx="3">
                  <c:v>3.9973017899999998E-2</c:v>
                </c:pt>
                <c:pt idx="4">
                  <c:v>5.4620526240000002E-2</c:v>
                </c:pt>
                <c:pt idx="5">
                  <c:v>5.2047679469999997E-2</c:v>
                </c:pt>
                <c:pt idx="6">
                  <c:v>5.1475163689999999E-2</c:v>
                </c:pt>
                <c:pt idx="7">
                  <c:v>5.5304059150000001E-2</c:v>
                </c:pt>
                <c:pt idx="8">
                  <c:v>5.8507433570000003E-2</c:v>
                </c:pt>
                <c:pt idx="9">
                  <c:v>5.8832855519999998E-2</c:v>
                </c:pt>
                <c:pt idx="10">
                  <c:v>5.601627822E-2</c:v>
                </c:pt>
                <c:pt idx="11">
                  <c:v>5.3802471730000002E-2</c:v>
                </c:pt>
                <c:pt idx="12">
                  <c:v>5.828535294E-2</c:v>
                </c:pt>
                <c:pt idx="13">
                  <c:v>5.601627822E-2</c:v>
                </c:pt>
                <c:pt idx="14">
                  <c:v>6.2655363244532303E-2</c:v>
                </c:pt>
                <c:pt idx="15">
                  <c:v>6.3007293000000006E-2</c:v>
                </c:pt>
                <c:pt idx="16">
                  <c:v>6.3859089999999993E-2</c:v>
                </c:pt>
                <c:pt idx="17">
                  <c:v>6.506275380880161E-2</c:v>
                </c:pt>
                <c:pt idx="18">
                  <c:v>0.10230162902846843</c:v>
                </c:pt>
                <c:pt idx="19">
                  <c:v>0.3303626945265028</c:v>
                </c:pt>
                <c:pt idx="20">
                  <c:v>0.24913762310896528</c:v>
                </c:pt>
                <c:pt idx="21">
                  <c:v>0.18480350134746165</c:v>
                </c:pt>
              </c:numCache>
            </c:numRef>
          </c:yVal>
          <c:smooth val="0"/>
          <c:extLst>
            <c:ext xmlns:c16="http://schemas.microsoft.com/office/drawing/2014/chart" uri="{C3380CC4-5D6E-409C-BE32-E72D297353CC}">
              <c16:uniqueId val="{00000000-F292-422F-B685-8D6066E28697}"/>
            </c:ext>
          </c:extLst>
        </c:ser>
        <c:ser>
          <c:idx val="1"/>
          <c:order val="1"/>
          <c:tx>
            <c:strRef>
              <c:f>'ACS Summary'!$G$2</c:f>
              <c:strCache>
                <c:ptCount val="1"/>
                <c:pt idx="0">
                  <c:v>Linear Projection</c:v>
                </c:pt>
              </c:strCache>
            </c:strRef>
          </c:tx>
          <c:spPr>
            <a:ln w="25400" cap="rnd">
              <a:noFill/>
              <a:round/>
            </a:ln>
            <a:effectLst/>
          </c:spPr>
          <c:marker>
            <c:symbol val="circle"/>
            <c:size val="5"/>
            <c:spPr>
              <a:solidFill>
                <a:schemeClr val="accent2"/>
              </a:solidFill>
              <a:ln w="9525">
                <a:solidFill>
                  <a:schemeClr val="accent2"/>
                </a:solidFill>
              </a:ln>
              <a:effectLst/>
            </c:spPr>
          </c:marker>
          <c:xVal>
            <c:numRef>
              <c:f>'ACS Summary'!$B$26:$B$31</c:f>
              <c:numCache>
                <c:formatCode>General</c:formatCode>
                <c:ptCount val="6"/>
                <c:pt idx="0">
                  <c:v>2025</c:v>
                </c:pt>
                <c:pt idx="1">
                  <c:v>2030</c:v>
                </c:pt>
                <c:pt idx="2">
                  <c:v>2035</c:v>
                </c:pt>
                <c:pt idx="3">
                  <c:v>2040</c:v>
                </c:pt>
                <c:pt idx="4">
                  <c:v>2045</c:v>
                </c:pt>
                <c:pt idx="5">
                  <c:v>2050</c:v>
                </c:pt>
              </c:numCache>
            </c:numRef>
          </c:xVal>
          <c:yVal>
            <c:numRef>
              <c:f>'ACS Summary'!$G$26:$G$31</c:f>
              <c:numCache>
                <c:formatCode>0.0%</c:formatCode>
                <c:ptCount val="6"/>
                <c:pt idx="0">
                  <c:v>0.12792468119434819</c:v>
                </c:pt>
                <c:pt idx="1">
                  <c:v>0.14255230851298606</c:v>
                </c:pt>
                <c:pt idx="2">
                  <c:v>0.15717993583162393</c:v>
                </c:pt>
                <c:pt idx="3">
                  <c:v>0.1718075631502618</c:v>
                </c:pt>
                <c:pt idx="4">
                  <c:v>0.18643519046889967</c:v>
                </c:pt>
                <c:pt idx="5">
                  <c:v>0.20106281778753754</c:v>
                </c:pt>
              </c:numCache>
            </c:numRef>
          </c:yVal>
          <c:smooth val="0"/>
          <c:extLst>
            <c:ext xmlns:c16="http://schemas.microsoft.com/office/drawing/2014/chart" uri="{C3380CC4-5D6E-409C-BE32-E72D297353CC}">
              <c16:uniqueId val="{00000001-FCF7-4232-88DF-894F6BDCDE59}"/>
            </c:ext>
          </c:extLst>
        </c:ser>
        <c:dLbls>
          <c:showLegendKey val="0"/>
          <c:showVal val="0"/>
          <c:showCatName val="0"/>
          <c:showSerName val="0"/>
          <c:showPercent val="0"/>
          <c:showBubbleSize val="0"/>
        </c:dLbls>
        <c:axId val="1703708735"/>
        <c:axId val="1908592735"/>
      </c:scatterChart>
      <c:valAx>
        <c:axId val="1703708735"/>
        <c:scaling>
          <c:orientation val="minMax"/>
          <c:min val="197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layout>
            <c:manualLayout>
              <c:xMode val="edge"/>
              <c:yMode val="edge"/>
              <c:x val="0.51942728276708572"/>
              <c:y val="0.9136900839540710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92735"/>
        <c:crosses val="autoZero"/>
        <c:crossBetween val="midCat"/>
      </c:valAx>
      <c:valAx>
        <c:axId val="1908592735"/>
        <c:scaling>
          <c:orientation val="minMax"/>
          <c:max val="0.5"/>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Work from Home</a:t>
                </a:r>
                <a:r>
                  <a:rPr lang="en-US" baseline="0"/>
                  <a:t> Share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708735"/>
        <c:crosses val="autoZero"/>
        <c:crossBetween val="midCat"/>
      </c:valAx>
      <c:spPr>
        <a:noFill/>
        <a:ln>
          <a:noFill/>
        </a:ln>
        <a:effectLst/>
      </c:spPr>
    </c:plotArea>
    <c:legend>
      <c:legendPos val="t"/>
      <c:layout>
        <c:manualLayout>
          <c:xMode val="edge"/>
          <c:yMode val="edge"/>
          <c:x val="0.18664079694638078"/>
          <c:y val="0.18597235425771258"/>
          <c:w val="0.38190324004349374"/>
          <c:h val="0.15947173308076237"/>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35805160300887"/>
          <c:y val="7.6088009777474902E-2"/>
          <c:w val="0.77636663873029765"/>
          <c:h val="0.72805616421656727"/>
        </c:manualLayout>
      </c:layout>
      <c:scatterChart>
        <c:scatterStyle val="lineMarker"/>
        <c:varyColors val="0"/>
        <c:ser>
          <c:idx val="0"/>
          <c:order val="0"/>
          <c:tx>
            <c:strRef>
              <c:f>'ACS Summary'!$E$2</c:f>
              <c:strCache>
                <c:ptCount val="1"/>
                <c:pt idx="0">
                  <c:v>Observed Share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0.18199038896257144"/>
                  <c:y val="-4.408199158745390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'ACS Summary'!$B$3:$B$24</c:f>
              <c:numCache>
                <c:formatCode>General</c:formatCode>
                <c:ptCount val="22"/>
                <c:pt idx="0">
                  <c:v>1970</c:v>
                </c:pt>
                <c:pt idx="1">
                  <c:v>1980</c:v>
                </c:pt>
                <c:pt idx="2">
                  <c:v>1990</c:v>
                </c:pt>
                <c:pt idx="3">
                  <c:v>2000</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numCache>
            </c:numRef>
          </c:xVal>
          <c:yVal>
            <c:numRef>
              <c:f>'ACS Summary'!$E$3:$E$24</c:f>
              <c:numCache>
                <c:formatCode>0.0%</c:formatCode>
                <c:ptCount val="22"/>
                <c:pt idx="0">
                  <c:v>2.3734633799999998E-2</c:v>
                </c:pt>
                <c:pt idx="1">
                  <c:v>1.91892886E-2</c:v>
                </c:pt>
                <c:pt idx="2">
                  <c:v>3.4339612319999997E-2</c:v>
                </c:pt>
                <c:pt idx="3">
                  <c:v>3.9973017899999998E-2</c:v>
                </c:pt>
                <c:pt idx="4">
                  <c:v>5.4620526240000002E-2</c:v>
                </c:pt>
                <c:pt idx="5">
                  <c:v>5.2047679469999997E-2</c:v>
                </c:pt>
                <c:pt idx="6">
                  <c:v>5.1475163689999999E-2</c:v>
                </c:pt>
                <c:pt idx="7">
                  <c:v>5.5304059150000001E-2</c:v>
                </c:pt>
                <c:pt idx="8">
                  <c:v>5.8507433570000003E-2</c:v>
                </c:pt>
                <c:pt idx="9">
                  <c:v>5.8832855519999998E-2</c:v>
                </c:pt>
                <c:pt idx="10">
                  <c:v>5.601627822E-2</c:v>
                </c:pt>
                <c:pt idx="11">
                  <c:v>5.3802471730000002E-2</c:v>
                </c:pt>
                <c:pt idx="12">
                  <c:v>5.828535294E-2</c:v>
                </c:pt>
                <c:pt idx="13">
                  <c:v>5.601627822E-2</c:v>
                </c:pt>
                <c:pt idx="14">
                  <c:v>6.2655363244532303E-2</c:v>
                </c:pt>
                <c:pt idx="15">
                  <c:v>6.3007293000000006E-2</c:v>
                </c:pt>
                <c:pt idx="16">
                  <c:v>6.3859089999999993E-2</c:v>
                </c:pt>
                <c:pt idx="17">
                  <c:v>6.506275380880161E-2</c:v>
                </c:pt>
                <c:pt idx="18">
                  <c:v>0.10230162902846843</c:v>
                </c:pt>
                <c:pt idx="19">
                  <c:v>0.3303626945265028</c:v>
                </c:pt>
                <c:pt idx="20">
                  <c:v>0.24913762310896528</c:v>
                </c:pt>
                <c:pt idx="21">
                  <c:v>0.18480350134746165</c:v>
                </c:pt>
              </c:numCache>
            </c:numRef>
          </c:yVal>
          <c:smooth val="0"/>
          <c:extLst>
            <c:ext xmlns:c16="http://schemas.microsoft.com/office/drawing/2014/chart" uri="{C3380CC4-5D6E-409C-BE32-E72D297353CC}">
              <c16:uniqueId val="{00000001-26C6-4B27-AF89-13BE9B7B13CD}"/>
            </c:ext>
          </c:extLst>
        </c:ser>
        <c:ser>
          <c:idx val="1"/>
          <c:order val="1"/>
          <c:tx>
            <c:strRef>
              <c:f>'ACS Summary'!$H$2</c:f>
              <c:strCache>
                <c:ptCount val="1"/>
                <c:pt idx="0">
                  <c:v>Exponential Extrapolation</c:v>
                </c:pt>
              </c:strCache>
            </c:strRef>
          </c:tx>
          <c:spPr>
            <a:ln w="25400" cap="rnd">
              <a:noFill/>
              <a:round/>
            </a:ln>
            <a:effectLst/>
          </c:spPr>
          <c:marker>
            <c:symbol val="circle"/>
            <c:size val="5"/>
            <c:spPr>
              <a:solidFill>
                <a:schemeClr val="accent2"/>
              </a:solidFill>
              <a:ln w="9525">
                <a:solidFill>
                  <a:schemeClr val="accent2"/>
                </a:solidFill>
              </a:ln>
              <a:effectLst/>
            </c:spPr>
          </c:marker>
          <c:xVal>
            <c:numRef>
              <c:f>'ACS Summary'!$B$26:$B$31</c:f>
              <c:numCache>
                <c:formatCode>General</c:formatCode>
                <c:ptCount val="6"/>
                <c:pt idx="0">
                  <c:v>2025</c:v>
                </c:pt>
                <c:pt idx="1">
                  <c:v>2030</c:v>
                </c:pt>
                <c:pt idx="2">
                  <c:v>2035</c:v>
                </c:pt>
                <c:pt idx="3">
                  <c:v>2040</c:v>
                </c:pt>
                <c:pt idx="4">
                  <c:v>2045</c:v>
                </c:pt>
                <c:pt idx="5">
                  <c:v>2050</c:v>
                </c:pt>
              </c:numCache>
            </c:numRef>
          </c:xVal>
          <c:yVal>
            <c:numRef>
              <c:f>'ACS Summary'!$H$26:$H$31</c:f>
              <c:numCache>
                <c:formatCode>0.0%</c:formatCode>
                <c:ptCount val="6"/>
                <c:pt idx="0">
                  <c:v>0.11569172237467334</c:v>
                </c:pt>
                <c:pt idx="1">
                  <c:v>0.13986404993688487</c:v>
                </c:pt>
                <c:pt idx="2">
                  <c:v>0.16908688074843492</c:v>
                </c:pt>
                <c:pt idx="3">
                  <c:v>0.20441545382202747</c:v>
                </c:pt>
                <c:pt idx="4">
                  <c:v>0.24712548706504436</c:v>
                </c:pt>
                <c:pt idx="5">
                  <c:v>0.29875924356632222</c:v>
                </c:pt>
              </c:numCache>
            </c:numRef>
          </c:yVal>
          <c:smooth val="0"/>
          <c:extLst>
            <c:ext xmlns:c16="http://schemas.microsoft.com/office/drawing/2014/chart" uri="{C3380CC4-5D6E-409C-BE32-E72D297353CC}">
              <c16:uniqueId val="{00000001-EE03-4818-B83E-DAD0D8171982}"/>
            </c:ext>
          </c:extLst>
        </c:ser>
        <c:dLbls>
          <c:showLegendKey val="0"/>
          <c:showVal val="0"/>
          <c:showCatName val="0"/>
          <c:showSerName val="0"/>
          <c:showPercent val="0"/>
          <c:showBubbleSize val="0"/>
        </c:dLbls>
        <c:axId val="1703708735"/>
        <c:axId val="1908592735"/>
      </c:scatterChart>
      <c:valAx>
        <c:axId val="1703708735"/>
        <c:scaling>
          <c:orientation val="minMax"/>
          <c:min val="197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8592735"/>
        <c:crosses val="autoZero"/>
        <c:crossBetween val="midCat"/>
      </c:valAx>
      <c:valAx>
        <c:axId val="1908592735"/>
        <c:scaling>
          <c:orientation val="minMax"/>
          <c:max val="0.5"/>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Work From Home Share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708735"/>
        <c:crosses val="autoZero"/>
        <c:crossBetween val="midCat"/>
      </c:valAx>
      <c:spPr>
        <a:noFill/>
        <a:ln>
          <a:noFill/>
        </a:ln>
        <a:effectLst/>
      </c:spPr>
    </c:plotArea>
    <c:legend>
      <c:legendPos val="t"/>
      <c:layout>
        <c:manualLayout>
          <c:xMode val="edge"/>
          <c:yMode val="edge"/>
          <c:x val="0.18724734266403575"/>
          <c:y val="0.21172025835706329"/>
          <c:w val="0.38353683397929184"/>
          <c:h val="0.20841317125063949"/>
        </c:manualLayout>
      </c:layout>
      <c:overlay val="0"/>
      <c:spPr>
        <a:solidFill>
          <a:schemeClr val="bg1"/>
        </a:solidFill>
        <a:ln>
          <a:solidFill>
            <a:schemeClr val="bg1">
              <a:lumMod val="5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https://data.census.gov"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data.census.gov" TargetMode="External"/></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data.census.gov" TargetMode="External"/></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data.census.gov" TargetMode="External"/></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data.census.gov"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data.census.gov" TargetMode="External"/></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15</xdr:col>
      <xdr:colOff>84503</xdr:colOff>
      <xdr:row>42</xdr:row>
      <xdr:rowOff>113381</xdr:rowOff>
    </xdr:to>
    <xdr:pic>
      <xdr:nvPicPr>
        <xdr:cNvPr id="2" name="Picture 1">
          <a:extLst>
            <a:ext uri="{FF2B5EF4-FFF2-40B4-BE49-F238E27FC236}">
              <a16:creationId xmlns:a16="http://schemas.microsoft.com/office/drawing/2014/main" id="{60783CFF-B5C8-7BF5-96CA-175F4806A506}"/>
            </a:ext>
          </a:extLst>
        </xdr:cNvPr>
        <xdr:cNvPicPr>
          <a:picLocks noChangeAspect="1"/>
        </xdr:cNvPicPr>
      </xdr:nvPicPr>
      <xdr:blipFill>
        <a:blip xmlns:r="http://schemas.openxmlformats.org/officeDocument/2006/relationships" r:embed="rId1"/>
        <a:stretch>
          <a:fillRect/>
        </a:stretch>
      </xdr:blipFill>
      <xdr:spPr>
        <a:xfrm>
          <a:off x="609600" y="762000"/>
          <a:ext cx="9771428" cy="7352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4</xdr:row>
      <xdr:rowOff>0</xdr:rowOff>
    </xdr:from>
    <xdr:to>
      <xdr:col>11</xdr:col>
      <xdr:colOff>419101</xdr:colOff>
      <xdr:row>42</xdr:row>
      <xdr:rowOff>105279</xdr:rowOff>
    </xdr:to>
    <xdr:pic>
      <xdr:nvPicPr>
        <xdr:cNvPr id="3" name="Picture 2">
          <a:extLst>
            <a:ext uri="{FF2B5EF4-FFF2-40B4-BE49-F238E27FC236}">
              <a16:creationId xmlns:a16="http://schemas.microsoft.com/office/drawing/2014/main" id="{8C014903-5FE5-172C-2E56-FA4E4187EF6A}"/>
            </a:ext>
          </a:extLst>
        </xdr:cNvPr>
        <xdr:cNvPicPr>
          <a:picLocks noChangeAspect="1"/>
        </xdr:cNvPicPr>
      </xdr:nvPicPr>
      <xdr:blipFill>
        <a:blip xmlns:r="http://schemas.openxmlformats.org/officeDocument/2006/relationships" r:embed="rId1"/>
        <a:stretch>
          <a:fillRect/>
        </a:stretch>
      </xdr:blipFill>
      <xdr:spPr>
        <a:xfrm>
          <a:off x="314326" y="647700"/>
          <a:ext cx="7924800" cy="6258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210456</xdr:colOff>
      <xdr:row>2</xdr:row>
      <xdr:rowOff>75746</xdr:rowOff>
    </xdr:from>
    <xdr:to>
      <xdr:col>14</xdr:col>
      <xdr:colOff>133350</xdr:colOff>
      <xdr:row>20</xdr:row>
      <xdr:rowOff>9525</xdr:rowOff>
    </xdr:to>
    <xdr:graphicFrame macro="">
      <xdr:nvGraphicFramePr>
        <xdr:cNvPr id="2" name="Chart 1">
          <a:extLst>
            <a:ext uri="{FF2B5EF4-FFF2-40B4-BE49-F238E27FC236}">
              <a16:creationId xmlns:a16="http://schemas.microsoft.com/office/drawing/2014/main" id="{919AF936-A6F8-4CAF-97EC-26C42B07A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219982</xdr:colOff>
      <xdr:row>20</xdr:row>
      <xdr:rowOff>100693</xdr:rowOff>
    </xdr:from>
    <xdr:to>
      <xdr:col>14</xdr:col>
      <xdr:colOff>152399</xdr:colOff>
      <xdr:row>38</xdr:row>
      <xdr:rowOff>122464</xdr:rowOff>
    </xdr:to>
    <xdr:graphicFrame macro="">
      <xdr:nvGraphicFramePr>
        <xdr:cNvPr id="4" name="Chart 3">
          <a:extLst>
            <a:ext uri="{FF2B5EF4-FFF2-40B4-BE49-F238E27FC236}">
              <a16:creationId xmlns:a16="http://schemas.microsoft.com/office/drawing/2014/main" id="{08683439-694B-4858-8FE2-6323A4F81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8635C008-1B8F-4F88-B5E6-978E6C65F16B}"/>
            </a:ext>
          </a:extLst>
        </xdr:cNvPr>
        <xdr:cNvPicPr>
          <a:picLocks noChangeAspect="1"/>
        </xdr:cNvPicPr>
      </xdr:nvPicPr>
      <xdr:blipFill>
        <a:blip xmlns:r="http://schemas.openxmlformats.org/officeDocument/2006/relationships" r:embed="rId2" cstate="print"/>
        <a:stretch>
          <a:fillRect/>
        </a:stretch>
      </xdr:blipFill>
      <xdr:spPr>
        <a:xfrm>
          <a:off x="7296899" y="125999"/>
          <a:ext cx="1228725" cy="47625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11E24585-1EA6-4512-A3F5-AFB86CD06211}"/>
            </a:ext>
          </a:extLst>
        </xdr:cNvPr>
        <xdr:cNvPicPr>
          <a:picLocks noChangeAspect="1"/>
        </xdr:cNvPicPr>
      </xdr:nvPicPr>
      <xdr:blipFill>
        <a:blip xmlns:r="http://schemas.openxmlformats.org/officeDocument/2006/relationships" r:embed="rId2" cstate="print"/>
        <a:stretch>
          <a:fillRect/>
        </a:stretch>
      </xdr:blipFill>
      <xdr:spPr>
        <a:xfrm>
          <a:off x="1315199" y="125999"/>
          <a:ext cx="1228725" cy="47625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5DA85ADA-C23D-42F0-893A-62FDE9EDB133}"/>
            </a:ext>
          </a:extLst>
        </xdr:cNvPr>
        <xdr:cNvPicPr>
          <a:picLocks noChangeAspect="1"/>
        </xdr:cNvPicPr>
      </xdr:nvPicPr>
      <xdr:blipFill>
        <a:blip xmlns:r="http://schemas.openxmlformats.org/officeDocument/2006/relationships" r:embed="rId2" cstate="print"/>
        <a:stretch>
          <a:fillRect/>
        </a:stretch>
      </xdr:blipFill>
      <xdr:spPr>
        <a:xfrm>
          <a:off x="7296899" y="125999"/>
          <a:ext cx="1228725" cy="4762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5AE6B864-6ADF-4205-A5E9-38D7D036AF92}"/>
            </a:ext>
          </a:extLst>
        </xdr:cNvPr>
        <xdr:cNvPicPr>
          <a:picLocks noChangeAspect="1"/>
        </xdr:cNvPicPr>
      </xdr:nvPicPr>
      <xdr:blipFill>
        <a:blip xmlns:r="http://schemas.openxmlformats.org/officeDocument/2006/relationships" r:embed="rId2" cstate="print"/>
        <a:stretch>
          <a:fillRect/>
        </a:stretch>
      </xdr:blipFill>
      <xdr:spPr>
        <a:xfrm>
          <a:off x="1315199" y="125999"/>
          <a:ext cx="1228725" cy="47625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A39DC490-6C27-4D30-8D95-DED9707E13E9}"/>
            </a:ext>
          </a:extLst>
        </xdr:cNvPr>
        <xdr:cNvPicPr>
          <a:picLocks noChangeAspect="1"/>
        </xdr:cNvPicPr>
      </xdr:nvPicPr>
      <xdr:blipFill>
        <a:blip xmlns:r="http://schemas.openxmlformats.org/officeDocument/2006/relationships" r:embed="rId2" cstate="print"/>
        <a:stretch>
          <a:fillRect/>
        </a:stretch>
      </xdr:blipFill>
      <xdr:spPr>
        <a:xfrm>
          <a:off x="1315199" y="125999"/>
          <a:ext cx="1228725" cy="47625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E47236D6-E80A-483E-985E-15FC2D5D90E5}"/>
            </a:ext>
          </a:extLst>
        </xdr:cNvPr>
        <xdr:cNvPicPr>
          <a:picLocks noChangeAspect="1"/>
        </xdr:cNvPicPr>
      </xdr:nvPicPr>
      <xdr:blipFill>
        <a:blip xmlns:r="http://schemas.openxmlformats.org/officeDocument/2006/relationships" r:embed="rId2" cstate="print"/>
        <a:stretch>
          <a:fillRect/>
        </a:stretch>
      </xdr:blipFill>
      <xdr:spPr>
        <a:xfrm>
          <a:off x="1315199" y="125999"/>
          <a:ext cx="1228725" cy="47625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
          <a:extLst>
            <a:ext uri="{FF2B5EF4-FFF2-40B4-BE49-F238E27FC236}">
              <a16:creationId xmlns:a16="http://schemas.microsoft.com/office/drawing/2014/main" id="{1E0415B3-6166-4699-8743-C4EB1323544C}"/>
            </a:ext>
          </a:extLst>
        </xdr:cNvPr>
        <xdr:cNvPicPr>
          <a:picLocks noChangeAspect="1"/>
        </xdr:cNvPicPr>
      </xdr:nvPicPr>
      <xdr:blipFill>
        <a:blip xmlns:r="http://schemas.openxmlformats.org/officeDocument/2006/relationships" r:embed="rId2" cstate="print"/>
        <a:stretch>
          <a:fillRect/>
        </a:stretch>
      </xdr:blipFill>
      <xdr:spPr>
        <a:xfrm>
          <a:off x="1315199" y="125999"/>
          <a:ext cx="1228725" cy="476250"/>
        </a:xfrm>
        <a:prstGeom prst="rect">
          <a:avLst/>
        </a:prstGeom>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ls.gov/news.release/pdf/atus.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bls.gov/news.release/pdf/atus.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A6DFE-17F6-4CA6-8484-CEF8A69BDEB7}">
  <dimension ref="B2:L52"/>
  <sheetViews>
    <sheetView topLeftCell="A22" workbookViewId="0">
      <selection activeCell="B46" sqref="B46"/>
    </sheetView>
  </sheetViews>
  <sheetFormatPr defaultRowHeight="14.4" x14ac:dyDescent="0.3"/>
  <cols>
    <col min="1" max="1" width="5.88671875" customWidth="1"/>
    <col min="2" max="2" width="26.44140625" customWidth="1"/>
  </cols>
  <sheetData>
    <row r="2" spans="2:2" x14ac:dyDescent="0.3">
      <c r="B2" s="26" t="s">
        <v>1115</v>
      </c>
    </row>
    <row r="3" spans="2:2" x14ac:dyDescent="0.3">
      <c r="B3" s="27" t="s">
        <v>790</v>
      </c>
    </row>
    <row r="45" spans="2:12" x14ac:dyDescent="0.3">
      <c r="B45" s="28" t="s">
        <v>1116</v>
      </c>
      <c r="C45" s="16"/>
      <c r="D45" s="16"/>
      <c r="E45" s="16"/>
      <c r="F45" s="16"/>
      <c r="G45" s="16"/>
      <c r="H45" s="16"/>
      <c r="I45" s="16"/>
      <c r="J45" s="16"/>
      <c r="K45" s="16"/>
      <c r="L45" s="16"/>
    </row>
    <row r="46" spans="2:12" x14ac:dyDescent="0.3">
      <c r="B46" s="16" t="s">
        <v>805</v>
      </c>
      <c r="C46" s="16"/>
      <c r="D46" s="16"/>
      <c r="E46" s="16"/>
      <c r="F46" s="16"/>
      <c r="G46" s="16"/>
      <c r="H46" s="16"/>
      <c r="I46" s="16"/>
      <c r="J46" s="16"/>
      <c r="K46" s="16"/>
      <c r="L46" s="16"/>
    </row>
    <row r="47" spans="2:12" ht="25.5" customHeight="1" x14ac:dyDescent="0.3">
      <c r="B47" s="29"/>
      <c r="C47" s="47" t="s">
        <v>792</v>
      </c>
      <c r="D47" s="49" t="s">
        <v>793</v>
      </c>
      <c r="E47" s="50"/>
      <c r="F47" s="51"/>
      <c r="G47" s="50" t="s">
        <v>797</v>
      </c>
      <c r="H47" s="50"/>
      <c r="I47" s="50"/>
      <c r="J47" s="49" t="s">
        <v>806</v>
      </c>
      <c r="K47" s="50"/>
      <c r="L47" s="50"/>
    </row>
    <row r="48" spans="2:12" ht="55.2" x14ac:dyDescent="0.3">
      <c r="B48" s="30" t="s">
        <v>791</v>
      </c>
      <c r="C48" s="48"/>
      <c r="D48" s="32" t="s">
        <v>794</v>
      </c>
      <c r="E48" s="31" t="s">
        <v>795</v>
      </c>
      <c r="F48" s="33" t="s">
        <v>796</v>
      </c>
      <c r="G48" s="31" t="s">
        <v>794</v>
      </c>
      <c r="H48" s="31" t="s">
        <v>798</v>
      </c>
      <c r="I48" s="31" t="s">
        <v>799</v>
      </c>
      <c r="J48" s="32" t="s">
        <v>794</v>
      </c>
      <c r="K48" s="31" t="s">
        <v>798</v>
      </c>
      <c r="L48" s="31" t="s">
        <v>799</v>
      </c>
    </row>
    <row r="49" spans="2:12" x14ac:dyDescent="0.3">
      <c r="B49" s="37" t="s">
        <v>800</v>
      </c>
      <c r="C49" s="16"/>
      <c r="D49" s="34"/>
      <c r="E49" s="16"/>
      <c r="F49" s="35"/>
      <c r="G49" s="16"/>
      <c r="H49" s="16"/>
      <c r="I49" s="16"/>
      <c r="J49" s="34"/>
      <c r="K49" s="16"/>
      <c r="L49" s="16"/>
    </row>
    <row r="50" spans="2:12" x14ac:dyDescent="0.3">
      <c r="B50" s="16" t="s">
        <v>801</v>
      </c>
      <c r="C50" s="38">
        <v>175956</v>
      </c>
      <c r="D50" s="36">
        <v>113901</v>
      </c>
      <c r="E50" s="19">
        <f>D50/C50</f>
        <v>0.64732660437836731</v>
      </c>
      <c r="F50" s="35">
        <v>7.75</v>
      </c>
      <c r="G50" s="36">
        <v>82644</v>
      </c>
      <c r="H50" s="19">
        <f>G50/D50</f>
        <v>0.72557747517581062</v>
      </c>
      <c r="I50" s="16">
        <v>7.86</v>
      </c>
      <c r="J50" s="36">
        <v>39403</v>
      </c>
      <c r="K50" s="45">
        <f>J50/D50</f>
        <v>0.34594077312754057</v>
      </c>
      <c r="L50" s="16">
        <v>5.12</v>
      </c>
    </row>
    <row r="51" spans="2:12" x14ac:dyDescent="0.3">
      <c r="B51" s="39" t="s">
        <v>802</v>
      </c>
      <c r="C51" s="38">
        <v>141092</v>
      </c>
      <c r="D51" s="36">
        <v>98308</v>
      </c>
      <c r="E51" s="19">
        <f t="shared" ref="E51:E52" si="0">D51/C51</f>
        <v>0.696765231196666</v>
      </c>
      <c r="F51" s="35">
        <v>8.15</v>
      </c>
      <c r="G51" s="36">
        <v>71800</v>
      </c>
      <c r="H51" s="19">
        <f t="shared" ref="H51:H52" si="1">G51/D51</f>
        <v>0.73035765146274978</v>
      </c>
      <c r="I51" s="16">
        <v>8.19</v>
      </c>
      <c r="J51" s="36">
        <v>34366</v>
      </c>
      <c r="K51" s="45">
        <f t="shared" ref="K51:K52" si="2">J51/D51</f>
        <v>0.3495748057126582</v>
      </c>
      <c r="L51" s="16">
        <v>5.37</v>
      </c>
    </row>
    <row r="52" spans="2:12" x14ac:dyDescent="0.3">
      <c r="B52" s="40" t="s">
        <v>803</v>
      </c>
      <c r="C52" s="41">
        <v>34864</v>
      </c>
      <c r="D52" s="42">
        <v>15592</v>
      </c>
      <c r="E52" s="43">
        <f t="shared" si="0"/>
        <v>0.44722349701698028</v>
      </c>
      <c r="F52" s="44">
        <v>5.28</v>
      </c>
      <c r="G52" s="42">
        <v>10844</v>
      </c>
      <c r="H52" s="43">
        <f t="shared" si="1"/>
        <v>0.69548486403283738</v>
      </c>
      <c r="I52" s="30">
        <v>5.66</v>
      </c>
      <c r="J52" s="42">
        <v>5037</v>
      </c>
      <c r="K52" s="46">
        <f t="shared" si="2"/>
        <v>0.32305028219599796</v>
      </c>
      <c r="L52" s="30">
        <v>3.45</v>
      </c>
    </row>
  </sheetData>
  <mergeCells count="4">
    <mergeCell ref="C47:C48"/>
    <mergeCell ref="D47:F47"/>
    <mergeCell ref="G47:I47"/>
    <mergeCell ref="J47:L47"/>
  </mergeCells>
  <hyperlinks>
    <hyperlink ref="B3" r:id="rId1" xr:uid="{E217EA02-4EBB-4919-B80D-C3D75497FAD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8957-70C3-45D6-A73A-B6B1A96D6D4C}">
  <dimension ref="B2:L52"/>
  <sheetViews>
    <sheetView topLeftCell="A22" workbookViewId="0">
      <selection activeCell="B45" sqref="B45"/>
    </sheetView>
  </sheetViews>
  <sheetFormatPr defaultColWidth="9.109375" defaultRowHeight="13.8" x14ac:dyDescent="0.3"/>
  <cols>
    <col min="1" max="1" width="4.6640625" style="16" customWidth="1"/>
    <col min="2" max="2" width="28" style="16" customWidth="1"/>
    <col min="3" max="3" width="9.109375" style="16"/>
    <col min="4" max="12" width="9.44140625" style="16" customWidth="1"/>
    <col min="13" max="16384" width="9.109375" style="16"/>
  </cols>
  <sheetData>
    <row r="2" spans="2:2" x14ac:dyDescent="0.3">
      <c r="B2" s="26" t="s">
        <v>789</v>
      </c>
    </row>
    <row r="3" spans="2:2" x14ac:dyDescent="0.3">
      <c r="B3" s="27" t="s">
        <v>790</v>
      </c>
    </row>
    <row r="45" spans="2:12" x14ac:dyDescent="0.3">
      <c r="B45" s="28" t="s">
        <v>804</v>
      </c>
    </row>
    <row r="46" spans="2:12" x14ac:dyDescent="0.3">
      <c r="B46" s="16" t="s">
        <v>805</v>
      </c>
    </row>
    <row r="47" spans="2:12" ht="25.5" customHeight="1" x14ac:dyDescent="0.3">
      <c r="B47" s="29"/>
      <c r="C47" s="47" t="s">
        <v>792</v>
      </c>
      <c r="D47" s="49" t="s">
        <v>793</v>
      </c>
      <c r="E47" s="50"/>
      <c r="F47" s="51"/>
      <c r="G47" s="50" t="s">
        <v>797</v>
      </c>
      <c r="H47" s="50"/>
      <c r="I47" s="50"/>
      <c r="J47" s="49" t="s">
        <v>806</v>
      </c>
      <c r="K47" s="50"/>
      <c r="L47" s="50"/>
    </row>
    <row r="48" spans="2:12" ht="55.2" x14ac:dyDescent="0.3">
      <c r="B48" s="30" t="s">
        <v>791</v>
      </c>
      <c r="C48" s="48"/>
      <c r="D48" s="32" t="s">
        <v>794</v>
      </c>
      <c r="E48" s="31" t="s">
        <v>795</v>
      </c>
      <c r="F48" s="33" t="s">
        <v>796</v>
      </c>
      <c r="G48" s="31" t="s">
        <v>794</v>
      </c>
      <c r="H48" s="31" t="s">
        <v>798</v>
      </c>
      <c r="I48" s="31" t="s">
        <v>799</v>
      </c>
      <c r="J48" s="32" t="s">
        <v>794</v>
      </c>
      <c r="K48" s="31" t="s">
        <v>798</v>
      </c>
      <c r="L48" s="31" t="s">
        <v>799</v>
      </c>
    </row>
    <row r="49" spans="2:12" x14ac:dyDescent="0.3">
      <c r="B49" s="37" t="s">
        <v>800</v>
      </c>
      <c r="D49" s="34"/>
      <c r="F49" s="35"/>
      <c r="J49" s="34"/>
    </row>
    <row r="50" spans="2:12" x14ac:dyDescent="0.3">
      <c r="B50" s="16" t="s">
        <v>801</v>
      </c>
      <c r="C50" s="38">
        <v>170196</v>
      </c>
      <c r="D50" s="36">
        <v>112477</v>
      </c>
      <c r="E50" s="19">
        <f>D50/C50</f>
        <v>0.66086747044583893</v>
      </c>
      <c r="F50" s="35">
        <v>7.69</v>
      </c>
      <c r="G50" s="36">
        <v>77303</v>
      </c>
      <c r="H50" s="19">
        <f>G50/D50</f>
        <v>0.6872782880055478</v>
      </c>
      <c r="I50" s="16">
        <v>7.88</v>
      </c>
      <c r="J50" s="36">
        <v>38028</v>
      </c>
      <c r="K50" s="45">
        <f>J50/D50</f>
        <v>0.33809578847230992</v>
      </c>
      <c r="L50" s="16">
        <v>5.41</v>
      </c>
    </row>
    <row r="51" spans="2:12" x14ac:dyDescent="0.3">
      <c r="B51" s="39" t="s">
        <v>802</v>
      </c>
      <c r="C51" s="38">
        <v>135315</v>
      </c>
      <c r="D51" s="36">
        <v>95152</v>
      </c>
      <c r="E51" s="19">
        <f t="shared" ref="E51:E52" si="0">D51/C51</f>
        <v>0.70318885563315225</v>
      </c>
      <c r="F51" s="35">
        <v>8.08</v>
      </c>
      <c r="G51" s="36">
        <v>65495</v>
      </c>
      <c r="H51" s="19">
        <f t="shared" ref="H51:H52" si="1">G51/D51</f>
        <v>0.68831974104590554</v>
      </c>
      <c r="I51" s="16">
        <v>8.2200000000000006</v>
      </c>
      <c r="J51" s="36">
        <v>33156</v>
      </c>
      <c r="K51" s="45">
        <f t="shared" ref="K51:K52" si="2">J51/D51</f>
        <v>0.34845300151336811</v>
      </c>
      <c r="L51" s="16">
        <v>5.71</v>
      </c>
    </row>
    <row r="52" spans="2:12" x14ac:dyDescent="0.3">
      <c r="B52" s="40" t="s">
        <v>803</v>
      </c>
      <c r="C52" s="41">
        <v>34881</v>
      </c>
      <c r="D52" s="42">
        <v>17326</v>
      </c>
      <c r="E52" s="43">
        <f t="shared" si="0"/>
        <v>0.49671741062469538</v>
      </c>
      <c r="F52" s="44">
        <v>5.52</v>
      </c>
      <c r="G52" s="42">
        <v>11808</v>
      </c>
      <c r="H52" s="43">
        <f t="shared" si="1"/>
        <v>0.68151910423640771</v>
      </c>
      <c r="I52" s="30">
        <v>6.02</v>
      </c>
      <c r="J52" s="42">
        <v>4873</v>
      </c>
      <c r="K52" s="46">
        <f t="shared" si="2"/>
        <v>0.28125360729539423</v>
      </c>
      <c r="L52" s="30">
        <v>3.33</v>
      </c>
    </row>
  </sheetData>
  <mergeCells count="4">
    <mergeCell ref="D47:F47"/>
    <mergeCell ref="C47:C48"/>
    <mergeCell ref="G47:I47"/>
    <mergeCell ref="J47:L47"/>
  </mergeCells>
  <hyperlinks>
    <hyperlink ref="B3" r:id="rId1" xr:uid="{F08D385C-06AE-4999-9F27-65DEE04047D0}"/>
  </hyperlinks>
  <pageMargins left="0.7" right="0.7" top="0.75" bottom="0.75" header="0.3" footer="0.3"/>
  <pageSetup orientation="portrait"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9A4CF-7F45-4934-93F0-98F449DE71B1}">
  <sheetPr>
    <tabColor theme="1"/>
  </sheetPr>
  <dimension ref="A2:H31"/>
  <sheetViews>
    <sheetView zoomScaleNormal="100" workbookViewId="0">
      <pane ySplit="2" topLeftCell="A3" activePane="bottomLeft" state="frozen"/>
      <selection pane="bottomLeft" activeCell="E25" sqref="E25"/>
    </sheetView>
  </sheetViews>
  <sheetFormatPr defaultRowHeight="14.4" x14ac:dyDescent="0.3"/>
  <cols>
    <col min="1" max="1" width="10.6640625" customWidth="1"/>
    <col min="3" max="3" width="12.109375" customWidth="1"/>
    <col min="4" max="4" width="17.6640625" customWidth="1"/>
    <col min="5" max="5" width="9.109375" customWidth="1"/>
    <col min="6" max="6" width="17.88671875" bestFit="1" customWidth="1"/>
    <col min="7" max="7" width="11" customWidth="1"/>
    <col min="8" max="8" width="11.88671875" customWidth="1"/>
    <col min="9" max="9" width="36.5546875" bestFit="1" customWidth="1"/>
  </cols>
  <sheetData>
    <row r="2" spans="1:8" ht="27.6" x14ac:dyDescent="0.3">
      <c r="A2" s="15" t="s">
        <v>0</v>
      </c>
      <c r="B2" s="15" t="s">
        <v>1</v>
      </c>
      <c r="C2" s="15" t="s">
        <v>2</v>
      </c>
      <c r="D2" s="15" t="s">
        <v>3</v>
      </c>
      <c r="E2" s="23" t="s">
        <v>788</v>
      </c>
      <c r="F2" s="15" t="s">
        <v>5</v>
      </c>
      <c r="G2" s="22" t="s">
        <v>24</v>
      </c>
      <c r="H2" s="22" t="s">
        <v>25</v>
      </c>
    </row>
    <row r="3" spans="1:8" x14ac:dyDescent="0.3">
      <c r="A3" s="16" t="s">
        <v>6</v>
      </c>
      <c r="B3" s="16">
        <v>1970</v>
      </c>
      <c r="C3" s="16" t="s">
        <v>7</v>
      </c>
      <c r="D3" s="16" t="s">
        <v>8</v>
      </c>
      <c r="E3" s="17">
        <v>2.3734633799999998E-2</v>
      </c>
      <c r="F3" s="18" t="s">
        <v>9</v>
      </c>
      <c r="G3" s="16"/>
      <c r="H3" s="16"/>
    </row>
    <row r="4" spans="1:8" x14ac:dyDescent="0.3">
      <c r="A4" s="16" t="s">
        <v>6</v>
      </c>
      <c r="B4" s="16">
        <v>1980</v>
      </c>
      <c r="C4" s="16" t="s">
        <v>7</v>
      </c>
      <c r="D4" s="16" t="s">
        <v>8</v>
      </c>
      <c r="E4" s="17">
        <v>1.91892886E-2</v>
      </c>
      <c r="F4" s="18" t="s">
        <v>9</v>
      </c>
      <c r="G4" s="16"/>
      <c r="H4" s="16"/>
    </row>
    <row r="5" spans="1:8" x14ac:dyDescent="0.3">
      <c r="A5" s="16" t="s">
        <v>6</v>
      </c>
      <c r="B5" s="16">
        <v>1990</v>
      </c>
      <c r="C5" s="16" t="s">
        <v>7</v>
      </c>
      <c r="D5" s="16" t="s">
        <v>8</v>
      </c>
      <c r="E5" s="17">
        <v>3.4339612319999997E-2</v>
      </c>
      <c r="F5" s="18" t="s">
        <v>9</v>
      </c>
      <c r="G5" s="16"/>
      <c r="H5" s="16"/>
    </row>
    <row r="6" spans="1:8" x14ac:dyDescent="0.3">
      <c r="A6" s="16" t="s">
        <v>6</v>
      </c>
      <c r="B6" s="16">
        <v>2000</v>
      </c>
      <c r="C6" s="16" t="s">
        <v>7</v>
      </c>
      <c r="D6" s="16" t="s">
        <v>8</v>
      </c>
      <c r="E6" s="17">
        <v>3.9973017899999998E-2</v>
      </c>
      <c r="F6" s="18" t="s">
        <v>9</v>
      </c>
      <c r="G6" s="16"/>
      <c r="H6" s="16"/>
    </row>
    <row r="7" spans="1:8" x14ac:dyDescent="0.3">
      <c r="A7" s="16" t="s">
        <v>6</v>
      </c>
      <c r="B7" s="16">
        <v>2006</v>
      </c>
      <c r="C7" s="16" t="s">
        <v>7</v>
      </c>
      <c r="D7" s="16" t="s">
        <v>8</v>
      </c>
      <c r="E7" s="19">
        <v>5.4620526240000002E-2</v>
      </c>
      <c r="F7" s="16" t="s">
        <v>10</v>
      </c>
      <c r="G7" s="16"/>
      <c r="H7" s="16"/>
    </row>
    <row r="8" spans="1:8" x14ac:dyDescent="0.3">
      <c r="A8" s="16" t="s">
        <v>6</v>
      </c>
      <c r="B8" s="16">
        <v>2007</v>
      </c>
      <c r="C8" s="16" t="s">
        <v>7</v>
      </c>
      <c r="D8" s="16" t="s">
        <v>8</v>
      </c>
      <c r="E8" s="19">
        <v>5.2047679469999997E-2</v>
      </c>
      <c r="F8" s="16" t="s">
        <v>11</v>
      </c>
      <c r="G8" s="16"/>
      <c r="H8" s="16"/>
    </row>
    <row r="9" spans="1:8" x14ac:dyDescent="0.3">
      <c r="A9" s="16" t="s">
        <v>6</v>
      </c>
      <c r="B9" s="16">
        <v>2008</v>
      </c>
      <c r="C9" s="16" t="s">
        <v>7</v>
      </c>
      <c r="D9" s="16" t="s">
        <v>8</v>
      </c>
      <c r="E9" s="19">
        <v>5.1475163689999999E-2</v>
      </c>
      <c r="F9" s="16" t="s">
        <v>12</v>
      </c>
      <c r="G9" s="16"/>
      <c r="H9" s="16"/>
    </row>
    <row r="10" spans="1:8" x14ac:dyDescent="0.3">
      <c r="A10" s="16" t="s">
        <v>6</v>
      </c>
      <c r="B10" s="16">
        <v>2009</v>
      </c>
      <c r="C10" s="16" t="s">
        <v>7</v>
      </c>
      <c r="D10" s="16" t="s">
        <v>8</v>
      </c>
      <c r="E10" s="19">
        <v>5.5304059150000001E-2</v>
      </c>
      <c r="F10" s="16" t="s">
        <v>13</v>
      </c>
      <c r="G10" s="16"/>
      <c r="H10" s="16"/>
    </row>
    <row r="11" spans="1:8" x14ac:dyDescent="0.3">
      <c r="A11" s="16" t="s">
        <v>6</v>
      </c>
      <c r="B11" s="16">
        <v>2010</v>
      </c>
      <c r="C11" s="16" t="s">
        <v>7</v>
      </c>
      <c r="D11" s="16" t="s">
        <v>8</v>
      </c>
      <c r="E11" s="19">
        <v>5.8507433570000003E-2</v>
      </c>
      <c r="F11" s="16" t="s">
        <v>14</v>
      </c>
      <c r="G11" s="16"/>
      <c r="H11" s="16"/>
    </row>
    <row r="12" spans="1:8" x14ac:dyDescent="0.3">
      <c r="A12" s="16" t="s">
        <v>6</v>
      </c>
      <c r="B12" s="16">
        <v>2011</v>
      </c>
      <c r="C12" s="16" t="s">
        <v>7</v>
      </c>
      <c r="D12" s="16" t="s">
        <v>8</v>
      </c>
      <c r="E12" s="19">
        <v>5.8832855519999998E-2</v>
      </c>
      <c r="F12" s="16" t="s">
        <v>15</v>
      </c>
      <c r="G12" s="16"/>
      <c r="H12" s="16"/>
    </row>
    <row r="13" spans="1:8" x14ac:dyDescent="0.3">
      <c r="A13" s="16" t="s">
        <v>6</v>
      </c>
      <c r="B13" s="16">
        <v>2012</v>
      </c>
      <c r="C13" s="16" t="s">
        <v>7</v>
      </c>
      <c r="D13" s="16" t="s">
        <v>8</v>
      </c>
      <c r="E13" s="19">
        <v>5.601627822E-2</v>
      </c>
      <c r="F13" s="16" t="s">
        <v>16</v>
      </c>
      <c r="G13" s="16"/>
      <c r="H13" s="16"/>
    </row>
    <row r="14" spans="1:8" x14ac:dyDescent="0.3">
      <c r="A14" s="16" t="s">
        <v>6</v>
      </c>
      <c r="B14" s="16">
        <v>2013</v>
      </c>
      <c r="C14" s="16" t="s">
        <v>7</v>
      </c>
      <c r="D14" s="16" t="s">
        <v>8</v>
      </c>
      <c r="E14" s="19">
        <v>5.3802471730000002E-2</v>
      </c>
      <c r="F14" s="16" t="s">
        <v>17</v>
      </c>
      <c r="G14" s="16"/>
      <c r="H14" s="16"/>
    </row>
    <row r="15" spans="1:8" x14ac:dyDescent="0.3">
      <c r="A15" s="16" t="s">
        <v>6</v>
      </c>
      <c r="B15" s="16">
        <v>2014</v>
      </c>
      <c r="C15" s="16" t="s">
        <v>7</v>
      </c>
      <c r="D15" s="16" t="s">
        <v>8</v>
      </c>
      <c r="E15" s="19">
        <v>5.828535294E-2</v>
      </c>
      <c r="F15" s="16" t="s">
        <v>18</v>
      </c>
      <c r="G15" s="16"/>
      <c r="H15" s="16"/>
    </row>
    <row r="16" spans="1:8" x14ac:dyDescent="0.3">
      <c r="A16" s="16" t="s">
        <v>6</v>
      </c>
      <c r="B16" s="16">
        <v>2015</v>
      </c>
      <c r="C16" s="16" t="s">
        <v>7</v>
      </c>
      <c r="D16" s="16" t="s">
        <v>8</v>
      </c>
      <c r="E16" s="19">
        <v>5.601627822E-2</v>
      </c>
      <c r="F16" s="16" t="s">
        <v>22</v>
      </c>
      <c r="G16" s="16"/>
      <c r="H16" s="16"/>
    </row>
    <row r="17" spans="1:8" x14ac:dyDescent="0.3">
      <c r="A17" s="16" t="s">
        <v>6</v>
      </c>
      <c r="B17" s="16">
        <v>2016</v>
      </c>
      <c r="C17" s="16" t="s">
        <v>7</v>
      </c>
      <c r="D17" s="16" t="s">
        <v>8</v>
      </c>
      <c r="E17" s="20">
        <v>6.2655363244532303E-2</v>
      </c>
      <c r="F17" s="16" t="s">
        <v>19</v>
      </c>
      <c r="G17" s="16"/>
      <c r="H17" s="16"/>
    </row>
    <row r="18" spans="1:8" x14ac:dyDescent="0.3">
      <c r="A18" s="16" t="s">
        <v>6</v>
      </c>
      <c r="B18" s="16">
        <v>2017</v>
      </c>
      <c r="C18" s="16" t="s">
        <v>7</v>
      </c>
      <c r="D18" s="16" t="s">
        <v>8</v>
      </c>
      <c r="E18" s="20">
        <v>6.3007293000000006E-2</v>
      </c>
      <c r="F18" s="16" t="s">
        <v>20</v>
      </c>
      <c r="G18" s="16"/>
      <c r="H18" s="16"/>
    </row>
    <row r="19" spans="1:8" x14ac:dyDescent="0.3">
      <c r="A19" s="16" t="s">
        <v>6</v>
      </c>
      <c r="B19" s="16">
        <v>2018</v>
      </c>
      <c r="C19" s="16" t="s">
        <v>7</v>
      </c>
      <c r="D19" s="16" t="s">
        <v>8</v>
      </c>
      <c r="E19" s="21">
        <v>6.3859089999999993E-2</v>
      </c>
      <c r="F19" s="16" t="s">
        <v>21</v>
      </c>
      <c r="G19" s="16"/>
      <c r="H19" s="16"/>
    </row>
    <row r="20" spans="1:8" x14ac:dyDescent="0.3">
      <c r="A20" s="16" t="s">
        <v>6</v>
      </c>
      <c r="B20" s="16">
        <v>2019</v>
      </c>
      <c r="C20" s="16" t="s">
        <v>7</v>
      </c>
      <c r="D20" s="16" t="s">
        <v>8</v>
      </c>
      <c r="E20" s="21">
        <f>'Data-ACSDT1Y2019'!B27</f>
        <v>6.506275380880161E-2</v>
      </c>
      <c r="F20" s="16" t="s">
        <v>785</v>
      </c>
      <c r="G20" s="16"/>
      <c r="H20" s="16"/>
    </row>
    <row r="21" spans="1:8" x14ac:dyDescent="0.3">
      <c r="A21" s="16" t="s">
        <v>6</v>
      </c>
      <c r="B21" s="16">
        <v>2020</v>
      </c>
      <c r="C21" s="16" t="s">
        <v>7</v>
      </c>
      <c r="D21" s="16" t="s">
        <v>8</v>
      </c>
      <c r="E21" s="24">
        <f>'Data-ACSDT5Y2020'!B27</f>
        <v>0.10230162902846843</v>
      </c>
      <c r="F21" s="25" t="s">
        <v>787</v>
      </c>
      <c r="G21" s="16"/>
      <c r="H21" s="16"/>
    </row>
    <row r="22" spans="1:8" x14ac:dyDescent="0.3">
      <c r="A22" s="16" t="s">
        <v>6</v>
      </c>
      <c r="B22" s="16">
        <v>2021</v>
      </c>
      <c r="C22" s="16" t="s">
        <v>7</v>
      </c>
      <c r="D22" s="16" t="s">
        <v>8</v>
      </c>
      <c r="E22" s="24">
        <f>'Data-ACSDT1Y2021'!B27</f>
        <v>0.3303626945265028</v>
      </c>
      <c r="F22" s="25" t="s">
        <v>786</v>
      </c>
      <c r="G22" s="16"/>
      <c r="H22" s="16"/>
    </row>
    <row r="23" spans="1:8" x14ac:dyDescent="0.3">
      <c r="A23" s="16" t="s">
        <v>6</v>
      </c>
      <c r="B23" s="16">
        <v>2022</v>
      </c>
      <c r="C23" s="16" t="s">
        <v>7</v>
      </c>
      <c r="D23" s="16" t="s">
        <v>8</v>
      </c>
      <c r="E23" s="24">
        <f>'Data-ACSDT1Y2022'!B27</f>
        <v>0.24913762310896528</v>
      </c>
      <c r="F23" s="25" t="s">
        <v>958</v>
      </c>
      <c r="G23" s="16"/>
      <c r="H23" s="16"/>
    </row>
    <row r="24" spans="1:8" x14ac:dyDescent="0.3">
      <c r="A24" s="16" t="s">
        <v>6</v>
      </c>
      <c r="B24" s="16">
        <v>2023</v>
      </c>
      <c r="C24" s="16" t="s">
        <v>7</v>
      </c>
      <c r="D24" s="16" t="s">
        <v>8</v>
      </c>
      <c r="E24" s="24">
        <f>'Data-ACSDT1Y2023'!B27</f>
        <v>0.18480350134746165</v>
      </c>
      <c r="F24" s="25" t="s">
        <v>1114</v>
      </c>
      <c r="G24" s="16"/>
      <c r="H24" s="16"/>
    </row>
    <row r="25" spans="1:8" x14ac:dyDescent="0.3">
      <c r="A25" s="16" t="s">
        <v>6</v>
      </c>
      <c r="B25" s="16">
        <v>2024</v>
      </c>
      <c r="C25" s="16" t="s">
        <v>7</v>
      </c>
      <c r="D25" s="16" t="s">
        <v>8</v>
      </c>
      <c r="E25" s="24">
        <f>'Data-ACSDT1Y2024'!B27</f>
        <v>0.17031241061366453</v>
      </c>
      <c r="F25" s="25" t="s">
        <v>1300</v>
      </c>
      <c r="G25" s="16" t="s">
        <v>1301</v>
      </c>
      <c r="H25" s="16"/>
    </row>
    <row r="26" spans="1:8" x14ac:dyDescent="0.3">
      <c r="A26" s="16" t="s">
        <v>6</v>
      </c>
      <c r="B26" s="16">
        <v>2025</v>
      </c>
      <c r="C26" s="16"/>
      <c r="D26" s="16"/>
      <c r="E26" s="17"/>
      <c r="F26" s="16" t="s">
        <v>23</v>
      </c>
      <c r="G26" s="17" cm="1">
        <f t="array" ref="G26">SUM(LINEST($E$3:$E$24,$B$3:$B$24,TRUE,FALSE)*{2025,1})</f>
        <v>0.12792468119434819</v>
      </c>
      <c r="H26" s="17" cm="1">
        <f t="array" ref="H26">GROWTH($E$3:$E$24,$B$3:$B$24,B26,TRUE)</f>
        <v>0.11569172237467334</v>
      </c>
    </row>
    <row r="27" spans="1:8" x14ac:dyDescent="0.3">
      <c r="A27" s="16" t="s">
        <v>6</v>
      </c>
      <c r="B27" s="16">
        <v>2030</v>
      </c>
      <c r="C27" s="16"/>
      <c r="D27" s="16"/>
      <c r="E27" s="17"/>
      <c r="F27" s="16" t="s">
        <v>23</v>
      </c>
      <c r="G27" s="17" cm="1">
        <f t="array" ref="G27">SUM(LINEST($E$3:$E$24,$B$3:$B$24,TRUE,FALSE)*{2030,1})</f>
        <v>0.14255230851298606</v>
      </c>
      <c r="H27" s="17" cm="1">
        <f t="array" ref="H27">GROWTH($E$3:$E$24,$B$3:$B$24,B27,TRUE)</f>
        <v>0.13986404993688487</v>
      </c>
    </row>
    <row r="28" spans="1:8" x14ac:dyDescent="0.3">
      <c r="A28" s="16" t="s">
        <v>6</v>
      </c>
      <c r="B28" s="16">
        <v>2035</v>
      </c>
      <c r="C28" s="16"/>
      <c r="D28" s="16"/>
      <c r="E28" s="17"/>
      <c r="F28" s="16" t="s">
        <v>23</v>
      </c>
      <c r="G28" s="17" cm="1">
        <f t="array" ref="G28">SUM(LINEST($E$3:$E$24,$B$3:$B$24,TRUE,FALSE)*{2035,1})</f>
        <v>0.15717993583162393</v>
      </c>
      <c r="H28" s="17" cm="1">
        <f t="array" ref="H28">GROWTH($E$3:$E$24,$B$3:$B$24,B28,TRUE)</f>
        <v>0.16908688074843492</v>
      </c>
    </row>
    <row r="29" spans="1:8" x14ac:dyDescent="0.3">
      <c r="A29" s="16" t="s">
        <v>6</v>
      </c>
      <c r="B29" s="16">
        <v>2040</v>
      </c>
      <c r="C29" s="16"/>
      <c r="D29" s="16"/>
      <c r="E29" s="17"/>
      <c r="F29" s="16" t="s">
        <v>23</v>
      </c>
      <c r="G29" s="17" cm="1">
        <f t="array" ref="G29">SUM(LINEST($E$3:$E$24,$B$3:$B$24,TRUE,FALSE)*{2040,1})</f>
        <v>0.1718075631502618</v>
      </c>
      <c r="H29" s="17" cm="1">
        <f t="array" ref="H29">GROWTH($E$3:$E$24,$B$3:$B$24,B29,TRUE)</f>
        <v>0.20441545382202747</v>
      </c>
    </row>
    <row r="30" spans="1:8" x14ac:dyDescent="0.3">
      <c r="A30" s="16" t="s">
        <v>6</v>
      </c>
      <c r="B30" s="16">
        <v>2045</v>
      </c>
      <c r="C30" s="16"/>
      <c r="D30" s="16"/>
      <c r="E30" s="17"/>
      <c r="F30" s="16" t="s">
        <v>23</v>
      </c>
      <c r="G30" s="17" cm="1">
        <f t="array" ref="G30">SUM(LINEST($E$3:$E$24,$B$3:$B$24,TRUE,FALSE)*{2045,1})</f>
        <v>0.18643519046889967</v>
      </c>
      <c r="H30" s="17" cm="1">
        <f t="array" ref="H30">GROWTH($E$3:$E$24,$B$3:$B$24,B30,TRUE)</f>
        <v>0.24712548706504436</v>
      </c>
    </row>
    <row r="31" spans="1:8" x14ac:dyDescent="0.3">
      <c r="A31" s="16" t="s">
        <v>6</v>
      </c>
      <c r="B31" s="16">
        <v>2050</v>
      </c>
      <c r="C31" s="16"/>
      <c r="D31" s="16"/>
      <c r="E31" s="17"/>
      <c r="F31" s="16" t="s">
        <v>23</v>
      </c>
      <c r="G31" s="17" cm="1">
        <f t="array" ref="G31">SUM(LINEST($E$3:$E$24,$B$3:$B$24,TRUE,FALSE)*{2050,1})</f>
        <v>0.20106281778753754</v>
      </c>
      <c r="H31" s="17" cm="1">
        <f t="array" ref="H31">GROWTH($E$3:$E$24,$B$3:$B$24,B31,TRUE)</f>
        <v>0.29875924356632222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36EF9-79BA-4026-8509-45FD804B5991}">
  <sheetPr>
    <pageSetUpPr fitToPage="1"/>
  </sheetPr>
  <dimension ref="A1:C60"/>
  <sheetViews>
    <sheetView workbookViewId="0">
      <selection activeCell="B9" sqref="B9:C9"/>
    </sheetView>
  </sheetViews>
  <sheetFormatPr defaultRowHeight="14.4" x14ac:dyDescent="0.3"/>
  <cols>
    <col min="1" max="1" width="25" style="1" customWidth="1"/>
    <col min="2" max="2" width="80" style="1" customWidth="1"/>
    <col min="3" max="3" width="20" customWidth="1"/>
  </cols>
  <sheetData>
    <row r="1" spans="1:3" ht="48" customHeight="1" thickBot="1" x14ac:dyDescent="0.35">
      <c r="A1" s="59" t="s">
        <v>807</v>
      </c>
      <c r="B1" s="59"/>
      <c r="C1" s="3"/>
    </row>
    <row r="2" spans="1:3" x14ac:dyDescent="0.3">
      <c r="A2" s="52"/>
      <c r="B2" s="52"/>
      <c r="C2" s="52"/>
    </row>
    <row r="3" spans="1:3" x14ac:dyDescent="0.3">
      <c r="A3" s="60" t="s">
        <v>69</v>
      </c>
      <c r="B3" s="60"/>
      <c r="C3" s="60"/>
    </row>
    <row r="4" spans="1:3" x14ac:dyDescent="0.3">
      <c r="A4" s="52"/>
      <c r="B4" s="52"/>
      <c r="C4" s="52"/>
    </row>
    <row r="5" spans="1:3" ht="12.75" customHeight="1" x14ac:dyDescent="0.3">
      <c r="A5" s="61" t="s">
        <v>68</v>
      </c>
      <c r="B5" s="52" t="s">
        <v>29</v>
      </c>
      <c r="C5" s="52"/>
    </row>
    <row r="6" spans="1:3" ht="12.75" customHeight="1" x14ac:dyDescent="0.3">
      <c r="A6" s="1" t="s">
        <v>67</v>
      </c>
      <c r="B6" s="52" t="s">
        <v>51</v>
      </c>
      <c r="C6" s="52"/>
    </row>
    <row r="7" spans="1:3" ht="12.75" customHeight="1" x14ac:dyDescent="0.3">
      <c r="A7" s="1" t="s">
        <v>66</v>
      </c>
      <c r="B7" s="52" t="s">
        <v>65</v>
      </c>
      <c r="C7" s="52"/>
    </row>
    <row r="8" spans="1:3" ht="12.75" customHeight="1" x14ac:dyDescent="0.3">
      <c r="A8" s="1" t="s">
        <v>64</v>
      </c>
      <c r="B8" s="52" t="s">
        <v>1117</v>
      </c>
      <c r="C8" s="52"/>
    </row>
    <row r="9" spans="1:3" ht="12.75" customHeight="1" x14ac:dyDescent="0.3">
      <c r="A9" s="1" t="s">
        <v>62</v>
      </c>
      <c r="B9" s="52" t="s">
        <v>1118</v>
      </c>
      <c r="C9" s="52"/>
    </row>
    <row r="10" spans="1:3" ht="12.75" customHeight="1" x14ac:dyDescent="0.3">
      <c r="A10" s="1" t="s">
        <v>60</v>
      </c>
      <c r="B10" s="52" t="s">
        <v>59</v>
      </c>
      <c r="C10" s="52"/>
    </row>
    <row r="11" spans="1:3" ht="12.75" customHeight="1" x14ac:dyDescent="0.3">
      <c r="A11" s="1" t="s">
        <v>58</v>
      </c>
      <c r="B11" s="52" t="s">
        <v>57</v>
      </c>
      <c r="C11" s="52"/>
    </row>
    <row r="12" spans="1:3" ht="51.15" customHeight="1" x14ac:dyDescent="0.3">
      <c r="A12" s="1" t="s">
        <v>965</v>
      </c>
      <c r="B12" s="52" t="s">
        <v>1119</v>
      </c>
      <c r="C12" s="52"/>
    </row>
    <row r="13" spans="1:3" ht="12.75" customHeight="1" x14ac:dyDescent="0.3">
      <c r="A13" s="1" t="s">
        <v>56</v>
      </c>
      <c r="B13" s="52" t="s">
        <v>26</v>
      </c>
      <c r="C13" s="52"/>
    </row>
    <row r="14" spans="1:3" ht="12.75" customHeight="1" x14ac:dyDescent="0.3">
      <c r="A14" s="1" t="s">
        <v>55</v>
      </c>
      <c r="B14" s="52" t="s">
        <v>1120</v>
      </c>
      <c r="C14" s="52"/>
    </row>
    <row r="15" spans="1:3" x14ac:dyDescent="0.3">
      <c r="A15" s="52"/>
      <c r="B15" s="52"/>
      <c r="C15" s="52"/>
    </row>
    <row r="16" spans="1:3" ht="12.75" customHeight="1" x14ac:dyDescent="0.3">
      <c r="A16" s="61" t="s">
        <v>53</v>
      </c>
      <c r="B16" s="52" t="s">
        <v>29</v>
      </c>
      <c r="C16" s="52"/>
    </row>
    <row r="17" spans="1:3" ht="12.75" customHeight="1" x14ac:dyDescent="0.3">
      <c r="A17" s="1" t="s">
        <v>52</v>
      </c>
      <c r="B17" s="52" t="s">
        <v>51</v>
      </c>
      <c r="C17" s="52"/>
    </row>
    <row r="18" spans="1:3" ht="38.4" customHeight="1" x14ac:dyDescent="0.3">
      <c r="A18" s="1" t="s">
        <v>50</v>
      </c>
      <c r="B18" s="52" t="s">
        <v>1121</v>
      </c>
      <c r="C18" s="52"/>
    </row>
    <row r="19" spans="1:3" ht="12.75" customHeight="1" x14ac:dyDescent="0.3">
      <c r="A19" s="1" t="s">
        <v>813</v>
      </c>
      <c r="B19" s="52" t="s">
        <v>1117</v>
      </c>
      <c r="C19" s="52"/>
    </row>
    <row r="20" spans="1:3" x14ac:dyDescent="0.3">
      <c r="A20" s="52"/>
      <c r="B20" s="52"/>
      <c r="C20" s="52"/>
    </row>
    <row r="21" spans="1:3" ht="12.75" customHeight="1" x14ac:dyDescent="0.3">
      <c r="A21" s="61" t="s">
        <v>48</v>
      </c>
      <c r="B21" s="52" t="s">
        <v>26</v>
      </c>
      <c r="C21" s="52"/>
    </row>
    <row r="22" spans="1:3" x14ac:dyDescent="0.3">
      <c r="A22" s="52"/>
      <c r="B22" s="52"/>
      <c r="C22" s="52"/>
    </row>
    <row r="23" spans="1:3" ht="12.75" customHeight="1" x14ac:dyDescent="0.3">
      <c r="A23" s="61" t="s">
        <v>47</v>
      </c>
      <c r="B23" s="52" t="s">
        <v>26</v>
      </c>
      <c r="C23" s="52"/>
    </row>
    <row r="24" spans="1:3" x14ac:dyDescent="0.3">
      <c r="A24" s="52"/>
      <c r="B24" s="52"/>
      <c r="C24" s="52"/>
    </row>
    <row r="25" spans="1:3" ht="12.75" customHeight="1" x14ac:dyDescent="0.3">
      <c r="A25" s="61" t="s">
        <v>46</v>
      </c>
      <c r="B25" s="52" t="s">
        <v>26</v>
      </c>
      <c r="C25" s="52"/>
    </row>
    <row r="26" spans="1:3" x14ac:dyDescent="0.3">
      <c r="A26" s="52"/>
      <c r="B26" s="52"/>
      <c r="C26" s="52"/>
    </row>
    <row r="27" spans="1:3" ht="12.75" customHeight="1" x14ac:dyDescent="0.3">
      <c r="A27" s="61" t="s">
        <v>45</v>
      </c>
      <c r="B27" s="52" t="s">
        <v>29</v>
      </c>
      <c r="C27" s="52"/>
    </row>
    <row r="28" spans="1:3" ht="12.75" customHeight="1" x14ac:dyDescent="0.3">
      <c r="A28" s="1" t="s">
        <v>44</v>
      </c>
      <c r="B28" s="52" t="s">
        <v>26</v>
      </c>
      <c r="C28" s="52"/>
    </row>
    <row r="29" spans="1:3" ht="12.75" customHeight="1" x14ac:dyDescent="0.3">
      <c r="A29" s="1" t="s">
        <v>43</v>
      </c>
      <c r="B29" s="52" t="s">
        <v>42</v>
      </c>
      <c r="C29" s="52"/>
    </row>
    <row r="30" spans="1:3" ht="12.75" customHeight="1" x14ac:dyDescent="0.3">
      <c r="A30" s="1" t="s">
        <v>41</v>
      </c>
      <c r="B30" s="52" t="s">
        <v>26</v>
      </c>
      <c r="C30" s="52"/>
    </row>
    <row r="31" spans="1:3" ht="12.75" customHeight="1" x14ac:dyDescent="0.3">
      <c r="A31" s="1" t="s">
        <v>40</v>
      </c>
      <c r="B31" s="52" t="s">
        <v>26</v>
      </c>
      <c r="C31" s="52"/>
    </row>
    <row r="32" spans="1:3" x14ac:dyDescent="0.3">
      <c r="A32" s="52"/>
      <c r="B32" s="52"/>
      <c r="C32" s="52"/>
    </row>
    <row r="33" spans="1:3" ht="25.65" customHeight="1" x14ac:dyDescent="0.3">
      <c r="A33" s="61" t="s">
        <v>39</v>
      </c>
      <c r="B33" s="52" t="s">
        <v>1122</v>
      </c>
      <c r="C33" s="52"/>
    </row>
    <row r="34" spans="1:3" x14ac:dyDescent="0.3">
      <c r="A34" s="52"/>
      <c r="B34" s="52"/>
      <c r="C34" s="52"/>
    </row>
    <row r="35" spans="1:3" ht="12.75" customHeight="1" x14ac:dyDescent="0.3">
      <c r="A35" s="61" t="s">
        <v>37</v>
      </c>
      <c r="B35" s="52" t="s">
        <v>29</v>
      </c>
      <c r="C35" s="52"/>
    </row>
    <row r="36" spans="1:3" ht="12.75" customHeight="1" x14ac:dyDescent="0.3">
      <c r="A36" s="1" t="s">
        <v>1123</v>
      </c>
      <c r="B36" s="52" t="s">
        <v>29</v>
      </c>
      <c r="C36" s="52"/>
    </row>
    <row r="37" spans="1:3" ht="12.75" customHeight="1" x14ac:dyDescent="0.3">
      <c r="A37" s="1" t="s">
        <v>1124</v>
      </c>
      <c r="B37" s="52" t="s">
        <v>807</v>
      </c>
      <c r="C37" s="52"/>
    </row>
    <row r="38" spans="1:3" ht="12.75" customHeight="1" x14ac:dyDescent="0.3">
      <c r="A38" s="1" t="s">
        <v>1125</v>
      </c>
      <c r="B38" s="52" t="s">
        <v>1126</v>
      </c>
      <c r="C38" s="52"/>
    </row>
    <row r="39" spans="1:3" ht="12.75" customHeight="1" x14ac:dyDescent="0.3">
      <c r="A39" s="1" t="s">
        <v>1127</v>
      </c>
      <c r="B39" s="52" t="s">
        <v>65</v>
      </c>
      <c r="C39" s="52"/>
    </row>
    <row r="40" spans="1:3" ht="12.75" customHeight="1" x14ac:dyDescent="0.3">
      <c r="A40" s="1" t="s">
        <v>1</v>
      </c>
      <c r="B40" s="52" t="s">
        <v>1117</v>
      </c>
      <c r="C40" s="52"/>
    </row>
    <row r="41" spans="1:3" ht="12.75" customHeight="1" x14ac:dyDescent="0.3">
      <c r="A41" s="1" t="s">
        <v>1128</v>
      </c>
      <c r="B41" s="52" t="s">
        <v>59</v>
      </c>
      <c r="C41" s="52"/>
    </row>
    <row r="42" spans="1:3" ht="25.65" customHeight="1" x14ac:dyDescent="0.3">
      <c r="A42" s="1" t="s">
        <v>5</v>
      </c>
      <c r="B42" s="52" t="s">
        <v>1129</v>
      </c>
      <c r="C42" s="52"/>
    </row>
    <row r="43" spans="1:3" ht="38.4" customHeight="1" x14ac:dyDescent="0.3">
      <c r="A43" s="1" t="s">
        <v>1130</v>
      </c>
      <c r="B43" s="52" t="s">
        <v>1131</v>
      </c>
      <c r="C43" s="52"/>
    </row>
    <row r="44" spans="1:3" ht="12.75" customHeight="1" x14ac:dyDescent="0.3">
      <c r="A44" s="1" t="s">
        <v>1132</v>
      </c>
      <c r="B44" s="52" t="s">
        <v>29</v>
      </c>
      <c r="C44" s="52"/>
    </row>
    <row r="45" spans="1:3" ht="38.4" customHeight="1" x14ac:dyDescent="0.3">
      <c r="A45" s="1" t="s">
        <v>1133</v>
      </c>
      <c r="B45" s="52" t="s">
        <v>1134</v>
      </c>
      <c r="C45" s="52"/>
    </row>
    <row r="46" spans="1:3" ht="76.8" customHeight="1" x14ac:dyDescent="0.3">
      <c r="A46" s="1" t="s">
        <v>1135</v>
      </c>
      <c r="B46" s="52" t="s">
        <v>1136</v>
      </c>
      <c r="C46" s="52"/>
    </row>
    <row r="47" spans="1:3" ht="51.15" customHeight="1" x14ac:dyDescent="0.3">
      <c r="A47" s="1" t="s">
        <v>1137</v>
      </c>
      <c r="B47" s="52" t="s">
        <v>1138</v>
      </c>
      <c r="C47" s="52"/>
    </row>
    <row r="48" spans="1:3" ht="51.15" customHeight="1" x14ac:dyDescent="0.3">
      <c r="A48" s="1" t="s">
        <v>1139</v>
      </c>
      <c r="B48" s="52" t="s">
        <v>1140</v>
      </c>
      <c r="C48" s="52"/>
    </row>
    <row r="49" spans="1:3" ht="281.55" customHeight="1" x14ac:dyDescent="0.3">
      <c r="A49" s="1" t="s">
        <v>1141</v>
      </c>
      <c r="B49" s="52" t="s">
        <v>1142</v>
      </c>
      <c r="C49" s="52"/>
    </row>
    <row r="50" spans="1:3" ht="166.35" customHeight="1" x14ac:dyDescent="0.3">
      <c r="A50" s="1" t="s">
        <v>1143</v>
      </c>
      <c r="B50" s="52" t="s">
        <v>1144</v>
      </c>
      <c r="C50" s="52"/>
    </row>
    <row r="51" spans="1:3" ht="12.75" customHeight="1" x14ac:dyDescent="0.3">
      <c r="A51" s="1" t="s">
        <v>1145</v>
      </c>
      <c r="B51" s="52" t="s">
        <v>29</v>
      </c>
      <c r="C51" s="52"/>
    </row>
    <row r="52" spans="1:3" ht="25.65" customHeight="1" x14ac:dyDescent="0.3">
      <c r="A52" s="1" t="s">
        <v>1146</v>
      </c>
      <c r="B52" s="52" t="s">
        <v>1147</v>
      </c>
      <c r="C52" s="52"/>
    </row>
    <row r="53" spans="1:3" ht="153.6" customHeight="1" x14ac:dyDescent="0.3">
      <c r="A53" s="1" t="s">
        <v>1148</v>
      </c>
      <c r="B53" s="52" t="s">
        <v>638</v>
      </c>
      <c r="C53" s="52"/>
    </row>
    <row r="54" spans="1:3" ht="25.65" customHeight="1" x14ac:dyDescent="0.3">
      <c r="A54" s="1" t="s">
        <v>1149</v>
      </c>
      <c r="B54" s="52" t="s">
        <v>32</v>
      </c>
      <c r="C54" s="52"/>
    </row>
    <row r="55" spans="1:3" ht="12.75" customHeight="1" x14ac:dyDescent="0.3">
      <c r="A55" s="1" t="s">
        <v>1150</v>
      </c>
      <c r="B55" s="52" t="s">
        <v>29</v>
      </c>
      <c r="C55" s="52"/>
    </row>
    <row r="56" spans="1:3" ht="25.65" customHeight="1" x14ac:dyDescent="0.3">
      <c r="A56" s="1" t="s">
        <v>1151</v>
      </c>
      <c r="B56" s="52" t="s">
        <v>1152</v>
      </c>
      <c r="C56" s="52"/>
    </row>
    <row r="57" spans="1:3" ht="38.4" customHeight="1" x14ac:dyDescent="0.3">
      <c r="A57" s="1" t="s">
        <v>1153</v>
      </c>
      <c r="B57" s="52" t="s">
        <v>1154</v>
      </c>
      <c r="C57" s="52"/>
    </row>
    <row r="58" spans="1:3" x14ac:dyDescent="0.3">
      <c r="A58" s="52"/>
      <c r="B58" s="52"/>
      <c r="C58" s="52"/>
    </row>
    <row r="59" spans="1:3" ht="12.75" customHeight="1" x14ac:dyDescent="0.3">
      <c r="A59" s="61" t="s">
        <v>27</v>
      </c>
      <c r="B59" s="52" t="s">
        <v>26</v>
      </c>
      <c r="C59" s="52"/>
    </row>
    <row r="60" spans="1:3" x14ac:dyDescent="0.3">
      <c r="A60" s="52"/>
      <c r="B60" s="52"/>
      <c r="C60" s="52"/>
    </row>
  </sheetData>
  <mergeCells count="60">
    <mergeCell ref="B55:C55"/>
    <mergeCell ref="B56:C56"/>
    <mergeCell ref="B57:C57"/>
    <mergeCell ref="A58:C58"/>
    <mergeCell ref="B59:C59"/>
    <mergeCell ref="A60:C60"/>
    <mergeCell ref="B49:C49"/>
    <mergeCell ref="B50:C50"/>
    <mergeCell ref="B51:C51"/>
    <mergeCell ref="B52:C52"/>
    <mergeCell ref="B53:C53"/>
    <mergeCell ref="B54:C54"/>
    <mergeCell ref="B43:C43"/>
    <mergeCell ref="B44:C44"/>
    <mergeCell ref="B45:C45"/>
    <mergeCell ref="B46:C46"/>
    <mergeCell ref="B47:C47"/>
    <mergeCell ref="B48:C48"/>
    <mergeCell ref="B37:C37"/>
    <mergeCell ref="B38:C38"/>
    <mergeCell ref="B39:C39"/>
    <mergeCell ref="B40:C40"/>
    <mergeCell ref="B41:C41"/>
    <mergeCell ref="B42:C42"/>
    <mergeCell ref="B31:C31"/>
    <mergeCell ref="A32:C32"/>
    <mergeCell ref="B33:C33"/>
    <mergeCell ref="A34:C34"/>
    <mergeCell ref="B35:C35"/>
    <mergeCell ref="B36:C36"/>
    <mergeCell ref="B25:C25"/>
    <mergeCell ref="A26:C26"/>
    <mergeCell ref="B27:C27"/>
    <mergeCell ref="B28:C28"/>
    <mergeCell ref="B29:C29"/>
    <mergeCell ref="B30:C30"/>
    <mergeCell ref="B19:C19"/>
    <mergeCell ref="A20:C20"/>
    <mergeCell ref="B21:C21"/>
    <mergeCell ref="A22:C22"/>
    <mergeCell ref="B23:C23"/>
    <mergeCell ref="A24:C24"/>
    <mergeCell ref="B13:C13"/>
    <mergeCell ref="B14:C14"/>
    <mergeCell ref="A15:C15"/>
    <mergeCell ref="B16:C16"/>
    <mergeCell ref="B17:C17"/>
    <mergeCell ref="B18:C18"/>
    <mergeCell ref="B7:C7"/>
    <mergeCell ref="B8:C8"/>
    <mergeCell ref="B9:C9"/>
    <mergeCell ref="B10:C10"/>
    <mergeCell ref="B11:C11"/>
    <mergeCell ref="B12:C12"/>
    <mergeCell ref="A1:B1"/>
    <mergeCell ref="A2:C2"/>
    <mergeCell ref="A3:C3"/>
    <mergeCell ref="A4:C4"/>
    <mergeCell ref="B5:C5"/>
    <mergeCell ref="B6:C6"/>
  </mergeCells>
  <printOptions gridLines="1"/>
  <pageMargins left="0.7" right="0.7" top="0.75" bottom="0.75" header="0.3" footer="0.3"/>
  <pageSetup fitToHeight="0" orientation="landscape"/>
  <headerFooter>
    <oddHeader>&amp;LTable: ACSDT1Y2024.B08301</oddHeader>
    <oddFooter>&amp;L&amp;Bdata.census.gov&amp;B | Measuring America's People, Places, and Economy &amp;R&amp;P</oddFooter>
    <evenHeader>&amp;LTable: ACSDT1Y2024.B08301</evenHeader>
    <evenFooter>&amp;L&amp;Bdata.census.gov&amp;B | Measuring America's People, Places, and Economy &amp;R&amp;P</even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9A3F0-4BEA-4D9A-85EF-874AEE228214}">
  <dimension ref="A1:S27"/>
  <sheetViews>
    <sheetView tabSelected="1" workbookViewId="0">
      <pane xSplit="1" ySplit="2" topLeftCell="B3" activePane="bottomRight" state="frozen"/>
      <selection sqref="A1:B1"/>
      <selection pane="topRight" sqref="A1:B1"/>
      <selection pane="bottomLeft" sqref="A1:B1"/>
      <selection pane="bottomRight" activeCell="B27" sqref="B27"/>
    </sheetView>
  </sheetViews>
  <sheetFormatPr defaultRowHeight="14.4" x14ac:dyDescent="0.3"/>
  <cols>
    <col min="1" max="1" width="30" style="4" customWidth="1"/>
    <col min="2" max="19" width="20" style="4" customWidth="1"/>
  </cols>
  <sheetData>
    <row r="1" spans="1:19" ht="30" customHeight="1" x14ac:dyDescent="0.3">
      <c r="A1" s="62" t="s">
        <v>29</v>
      </c>
      <c r="B1" s="63" t="s">
        <v>280</v>
      </c>
      <c r="C1" s="63"/>
      <c r="D1" s="63" t="s">
        <v>279</v>
      </c>
      <c r="E1" s="63"/>
      <c r="F1" s="63" t="s">
        <v>278</v>
      </c>
      <c r="G1" s="63"/>
      <c r="H1" s="63" t="s">
        <v>277</v>
      </c>
      <c r="I1" s="63"/>
      <c r="J1" s="63" t="s">
        <v>276</v>
      </c>
      <c r="K1" s="63"/>
      <c r="L1" s="63" t="s">
        <v>275</v>
      </c>
      <c r="M1" s="63"/>
      <c r="N1" s="63" t="s">
        <v>274</v>
      </c>
      <c r="O1" s="63"/>
      <c r="P1" s="63" t="s">
        <v>273</v>
      </c>
      <c r="Q1" s="63"/>
      <c r="R1" s="63" t="s">
        <v>272</v>
      </c>
      <c r="S1" s="63"/>
    </row>
    <row r="2" spans="1:19" ht="30" customHeight="1" x14ac:dyDescent="0.3">
      <c r="A2" s="62" t="s">
        <v>271</v>
      </c>
      <c r="B2" s="62" t="s">
        <v>270</v>
      </c>
      <c r="C2" s="62" t="s">
        <v>269</v>
      </c>
      <c r="D2" s="62" t="s">
        <v>270</v>
      </c>
      <c r="E2" s="62" t="s">
        <v>269</v>
      </c>
      <c r="F2" s="62" t="s">
        <v>270</v>
      </c>
      <c r="G2" s="62" t="s">
        <v>269</v>
      </c>
      <c r="H2" s="62" t="s">
        <v>270</v>
      </c>
      <c r="I2" s="62" t="s">
        <v>269</v>
      </c>
      <c r="J2" s="62" t="s">
        <v>270</v>
      </c>
      <c r="K2" s="62" t="s">
        <v>269</v>
      </c>
      <c r="L2" s="62" t="s">
        <v>270</v>
      </c>
      <c r="M2" s="62" t="s">
        <v>269</v>
      </c>
      <c r="N2" s="62" t="s">
        <v>270</v>
      </c>
      <c r="O2" s="62" t="s">
        <v>269</v>
      </c>
      <c r="P2" s="62" t="s">
        <v>270</v>
      </c>
      <c r="Q2" s="62" t="s">
        <v>269</v>
      </c>
      <c r="R2" s="62" t="s">
        <v>270</v>
      </c>
      <c r="S2" s="62" t="s">
        <v>269</v>
      </c>
    </row>
    <row r="3" spans="1:19" x14ac:dyDescent="0.3">
      <c r="A3" s="4" t="s">
        <v>268</v>
      </c>
      <c r="B3" s="9">
        <v>858737</v>
      </c>
      <c r="C3" s="4" t="s">
        <v>1155</v>
      </c>
      <c r="D3" s="9">
        <v>546458</v>
      </c>
      <c r="E3" s="4" t="s">
        <v>1156</v>
      </c>
      <c r="F3" s="9">
        <v>123945</v>
      </c>
      <c r="G3" s="4" t="s">
        <v>1157</v>
      </c>
      <c r="H3" s="9">
        <v>65567</v>
      </c>
      <c r="I3" s="4" t="s">
        <v>1158</v>
      </c>
      <c r="J3" s="9">
        <v>468430</v>
      </c>
      <c r="K3" s="4" t="s">
        <v>1159</v>
      </c>
      <c r="L3" s="9">
        <v>394856</v>
      </c>
      <c r="M3" s="4" t="s">
        <v>1160</v>
      </c>
      <c r="N3" s="9">
        <v>996180</v>
      </c>
      <c r="O3" s="4" t="s">
        <v>1161</v>
      </c>
      <c r="P3" s="9">
        <v>204889</v>
      </c>
      <c r="Q3" s="4" t="s">
        <v>624</v>
      </c>
      <c r="R3" s="9">
        <v>239045</v>
      </c>
      <c r="S3" s="4" t="s">
        <v>1162</v>
      </c>
    </row>
    <row r="4" spans="1:19" x14ac:dyDescent="0.3">
      <c r="A4" s="5" t="s">
        <v>259</v>
      </c>
      <c r="B4" s="9">
        <v>567504</v>
      </c>
      <c r="C4" s="4" t="s">
        <v>1163</v>
      </c>
      <c r="D4" s="9">
        <v>405929</v>
      </c>
      <c r="E4" s="4" t="s">
        <v>1164</v>
      </c>
      <c r="F4" s="9">
        <v>76197</v>
      </c>
      <c r="G4" s="4" t="s">
        <v>1165</v>
      </c>
      <c r="H4" s="9">
        <v>51409</v>
      </c>
      <c r="I4" s="4" t="s">
        <v>1166</v>
      </c>
      <c r="J4" s="9">
        <v>170125</v>
      </c>
      <c r="K4" s="4" t="s">
        <v>1167</v>
      </c>
      <c r="L4" s="9">
        <v>281882</v>
      </c>
      <c r="M4" s="4" t="s">
        <v>1168</v>
      </c>
      <c r="N4" s="9">
        <v>758009</v>
      </c>
      <c r="O4" s="4" t="s">
        <v>1169</v>
      </c>
      <c r="P4" s="9">
        <v>171397</v>
      </c>
      <c r="Q4" s="4" t="s">
        <v>1170</v>
      </c>
      <c r="R4" s="9">
        <v>190783</v>
      </c>
      <c r="S4" s="4" t="s">
        <v>1171</v>
      </c>
    </row>
    <row r="5" spans="1:19" x14ac:dyDescent="0.3">
      <c r="A5" s="6" t="s">
        <v>249</v>
      </c>
      <c r="B5" s="9">
        <v>477739</v>
      </c>
      <c r="C5" s="4" t="s">
        <v>1172</v>
      </c>
      <c r="D5" s="9">
        <v>346838</v>
      </c>
      <c r="E5" s="4" t="s">
        <v>837</v>
      </c>
      <c r="F5" s="9">
        <v>66533</v>
      </c>
      <c r="G5" s="4" t="s">
        <v>1173</v>
      </c>
      <c r="H5" s="9">
        <v>45238</v>
      </c>
      <c r="I5" s="4" t="s">
        <v>1174</v>
      </c>
      <c r="J5" s="9">
        <v>142260</v>
      </c>
      <c r="K5" s="4" t="s">
        <v>1175</v>
      </c>
      <c r="L5" s="9">
        <v>243914</v>
      </c>
      <c r="M5" s="4" t="s">
        <v>1176</v>
      </c>
      <c r="N5" s="9">
        <v>649283</v>
      </c>
      <c r="O5" s="4" t="s">
        <v>1177</v>
      </c>
      <c r="P5" s="9">
        <v>154229</v>
      </c>
      <c r="Q5" s="4" t="s">
        <v>1178</v>
      </c>
      <c r="R5" s="9">
        <v>163478</v>
      </c>
      <c r="S5" s="4" t="s">
        <v>1179</v>
      </c>
    </row>
    <row r="6" spans="1:19" x14ac:dyDescent="0.3">
      <c r="A6" s="6" t="s">
        <v>239</v>
      </c>
      <c r="B6" s="9">
        <v>89765</v>
      </c>
      <c r="C6" s="4" t="s">
        <v>1180</v>
      </c>
      <c r="D6" s="9">
        <v>59091</v>
      </c>
      <c r="E6" s="4" t="s">
        <v>1181</v>
      </c>
      <c r="F6" s="9">
        <v>9664</v>
      </c>
      <c r="G6" s="4" t="s">
        <v>1182</v>
      </c>
      <c r="H6" s="9">
        <v>6171</v>
      </c>
      <c r="I6" s="4" t="s">
        <v>1183</v>
      </c>
      <c r="J6" s="9">
        <v>27865</v>
      </c>
      <c r="K6" s="4" t="s">
        <v>1184</v>
      </c>
      <c r="L6" s="9">
        <v>37968</v>
      </c>
      <c r="M6" s="4" t="s">
        <v>1185</v>
      </c>
      <c r="N6" s="9">
        <v>108726</v>
      </c>
      <c r="O6" s="4" t="s">
        <v>1186</v>
      </c>
      <c r="P6" s="9">
        <v>17168</v>
      </c>
      <c r="Q6" s="4" t="s">
        <v>1187</v>
      </c>
      <c r="R6" s="9">
        <v>27305</v>
      </c>
      <c r="S6" s="4" t="s">
        <v>1188</v>
      </c>
    </row>
    <row r="7" spans="1:19" x14ac:dyDescent="0.3">
      <c r="A7" s="7" t="s">
        <v>230</v>
      </c>
      <c r="B7" s="9">
        <v>63540</v>
      </c>
      <c r="C7" s="4" t="s">
        <v>839</v>
      </c>
      <c r="D7" s="9">
        <v>38348</v>
      </c>
      <c r="E7" s="4" t="s">
        <v>1189</v>
      </c>
      <c r="F7" s="9">
        <v>6952</v>
      </c>
      <c r="G7" s="4" t="s">
        <v>1190</v>
      </c>
      <c r="H7" s="9">
        <v>3921</v>
      </c>
      <c r="I7" s="4" t="s">
        <v>594</v>
      </c>
      <c r="J7" s="9">
        <v>20959</v>
      </c>
      <c r="K7" s="4" t="s">
        <v>1191</v>
      </c>
      <c r="L7" s="9">
        <v>24967</v>
      </c>
      <c r="M7" s="4" t="s">
        <v>1192</v>
      </c>
      <c r="N7" s="9">
        <v>76775</v>
      </c>
      <c r="O7" s="4" t="s">
        <v>1193</v>
      </c>
      <c r="P7" s="9">
        <v>12472</v>
      </c>
      <c r="Q7" s="4" t="s">
        <v>1194</v>
      </c>
      <c r="R7" s="9">
        <v>18898</v>
      </c>
      <c r="S7" s="4" t="s">
        <v>1195</v>
      </c>
    </row>
    <row r="8" spans="1:19" x14ac:dyDescent="0.3">
      <c r="A8" s="7" t="s">
        <v>220</v>
      </c>
      <c r="B8" s="9">
        <v>13816</v>
      </c>
      <c r="C8" s="4" t="s">
        <v>1196</v>
      </c>
      <c r="D8" s="9">
        <v>12719</v>
      </c>
      <c r="E8" s="4" t="s">
        <v>1197</v>
      </c>
      <c r="F8" s="9">
        <v>1071</v>
      </c>
      <c r="G8" s="4" t="s">
        <v>899</v>
      </c>
      <c r="H8" s="9">
        <v>1521</v>
      </c>
      <c r="I8" s="4" t="s">
        <v>1198</v>
      </c>
      <c r="J8" s="9">
        <v>3965</v>
      </c>
      <c r="K8" s="4" t="s">
        <v>1199</v>
      </c>
      <c r="L8" s="9">
        <v>8756</v>
      </c>
      <c r="M8" s="4" t="s">
        <v>1200</v>
      </c>
      <c r="N8" s="9">
        <v>16695</v>
      </c>
      <c r="O8" s="4" t="s">
        <v>322</v>
      </c>
      <c r="P8" s="9">
        <v>2852</v>
      </c>
      <c r="Q8" s="4" t="s">
        <v>1201</v>
      </c>
      <c r="R8" s="9">
        <v>4852</v>
      </c>
      <c r="S8" s="4" t="s">
        <v>1202</v>
      </c>
    </row>
    <row r="9" spans="1:19" x14ac:dyDescent="0.3">
      <c r="A9" s="7" t="s">
        <v>210</v>
      </c>
      <c r="B9" s="9">
        <v>6536</v>
      </c>
      <c r="C9" s="4" t="s">
        <v>1203</v>
      </c>
      <c r="D9" s="9">
        <v>3535</v>
      </c>
      <c r="E9" s="4" t="s">
        <v>205</v>
      </c>
      <c r="F9" s="9">
        <v>1381</v>
      </c>
      <c r="G9" s="4" t="s">
        <v>656</v>
      </c>
      <c r="H9" s="64">
        <v>324</v>
      </c>
      <c r="I9" s="4" t="s">
        <v>1204</v>
      </c>
      <c r="J9" s="9">
        <v>1950</v>
      </c>
      <c r="K9" s="4" t="s">
        <v>1205</v>
      </c>
      <c r="L9" s="9">
        <v>2213</v>
      </c>
      <c r="M9" s="4" t="s">
        <v>1206</v>
      </c>
      <c r="N9" s="9">
        <v>9723</v>
      </c>
      <c r="O9" s="4" t="s">
        <v>1207</v>
      </c>
      <c r="P9" s="64">
        <v>944</v>
      </c>
      <c r="Q9" s="4" t="s">
        <v>1208</v>
      </c>
      <c r="R9" s="9">
        <v>1881</v>
      </c>
      <c r="S9" s="4" t="s">
        <v>1209</v>
      </c>
    </row>
    <row r="10" spans="1:19" x14ac:dyDescent="0.3">
      <c r="A10" s="7" t="s">
        <v>201</v>
      </c>
      <c r="B10" s="9">
        <v>4572</v>
      </c>
      <c r="C10" s="4" t="s">
        <v>1210</v>
      </c>
      <c r="D10" s="9">
        <v>3163</v>
      </c>
      <c r="E10" s="4" t="s">
        <v>744</v>
      </c>
      <c r="F10" s="64">
        <v>207</v>
      </c>
      <c r="G10" s="4" t="s">
        <v>677</v>
      </c>
      <c r="H10" s="64">
        <v>182</v>
      </c>
      <c r="I10" s="4" t="s">
        <v>374</v>
      </c>
      <c r="J10" s="64">
        <v>615</v>
      </c>
      <c r="K10" s="4" t="s">
        <v>207</v>
      </c>
      <c r="L10" s="9">
        <v>1587</v>
      </c>
      <c r="M10" s="4" t="s">
        <v>1211</v>
      </c>
      <c r="N10" s="9">
        <v>4578</v>
      </c>
      <c r="O10" s="4" t="s">
        <v>1212</v>
      </c>
      <c r="P10" s="64">
        <v>841</v>
      </c>
      <c r="Q10" s="4" t="s">
        <v>1213</v>
      </c>
      <c r="R10" s="9">
        <v>1135</v>
      </c>
      <c r="S10" s="4" t="s">
        <v>1214</v>
      </c>
    </row>
    <row r="11" spans="1:19" x14ac:dyDescent="0.3">
      <c r="A11" s="7" t="s">
        <v>191</v>
      </c>
      <c r="B11" s="9">
        <v>1301</v>
      </c>
      <c r="C11" s="4" t="s">
        <v>916</v>
      </c>
      <c r="D11" s="9">
        <v>1326</v>
      </c>
      <c r="E11" s="4" t="s">
        <v>1215</v>
      </c>
      <c r="F11" s="64">
        <v>53</v>
      </c>
      <c r="G11" s="4" t="s">
        <v>1216</v>
      </c>
      <c r="H11" s="64">
        <v>223</v>
      </c>
      <c r="I11" s="4" t="s">
        <v>1217</v>
      </c>
      <c r="J11" s="64">
        <v>376</v>
      </c>
      <c r="K11" s="4" t="s">
        <v>927</v>
      </c>
      <c r="L11" s="64">
        <v>445</v>
      </c>
      <c r="M11" s="4" t="s">
        <v>1218</v>
      </c>
      <c r="N11" s="64">
        <v>955</v>
      </c>
      <c r="O11" s="4" t="s">
        <v>678</v>
      </c>
      <c r="P11" s="64">
        <v>59</v>
      </c>
      <c r="Q11" s="4" t="s">
        <v>1219</v>
      </c>
      <c r="R11" s="64">
        <v>539</v>
      </c>
      <c r="S11" s="4" t="s">
        <v>1220</v>
      </c>
    </row>
    <row r="12" spans="1:19" x14ac:dyDescent="0.3">
      <c r="A12" s="5" t="s">
        <v>1221</v>
      </c>
      <c r="B12" s="9">
        <v>83077</v>
      </c>
      <c r="C12" s="4" t="s">
        <v>1222</v>
      </c>
      <c r="D12" s="9">
        <v>30304</v>
      </c>
      <c r="E12" s="4" t="s">
        <v>1223</v>
      </c>
      <c r="F12" s="9">
        <v>7357</v>
      </c>
      <c r="G12" s="4" t="s">
        <v>1224</v>
      </c>
      <c r="H12" s="9">
        <v>1118</v>
      </c>
      <c r="I12" s="4" t="s">
        <v>332</v>
      </c>
      <c r="J12" s="9">
        <v>117279</v>
      </c>
      <c r="K12" s="4" t="s">
        <v>1225</v>
      </c>
      <c r="L12" s="9">
        <v>23263</v>
      </c>
      <c r="M12" s="4" t="s">
        <v>1226</v>
      </c>
      <c r="N12" s="9">
        <v>28793</v>
      </c>
      <c r="O12" s="4" t="s">
        <v>852</v>
      </c>
      <c r="P12" s="9">
        <v>4128</v>
      </c>
      <c r="Q12" s="4" t="s">
        <v>1227</v>
      </c>
      <c r="R12" s="9">
        <v>4615</v>
      </c>
      <c r="S12" s="4" t="s">
        <v>505</v>
      </c>
    </row>
    <row r="13" spans="1:19" x14ac:dyDescent="0.3">
      <c r="A13" s="6" t="s">
        <v>390</v>
      </c>
      <c r="B13" s="9">
        <v>30318</v>
      </c>
      <c r="C13" s="4" t="s">
        <v>1228</v>
      </c>
      <c r="D13" s="9">
        <v>4091</v>
      </c>
      <c r="E13" s="4" t="s">
        <v>1229</v>
      </c>
      <c r="F13" s="9">
        <v>4868</v>
      </c>
      <c r="G13" s="4" t="s">
        <v>1230</v>
      </c>
      <c r="H13" s="64">
        <v>708</v>
      </c>
      <c r="I13" s="4" t="s">
        <v>1231</v>
      </c>
      <c r="J13" s="9">
        <v>77526</v>
      </c>
      <c r="K13" s="4" t="s">
        <v>1232</v>
      </c>
      <c r="L13" s="9">
        <v>10102</v>
      </c>
      <c r="M13" s="4" t="s">
        <v>1233</v>
      </c>
      <c r="N13" s="9">
        <v>15838</v>
      </c>
      <c r="O13" s="4" t="s">
        <v>1234</v>
      </c>
      <c r="P13" s="9">
        <v>2533</v>
      </c>
      <c r="Q13" s="4" t="s">
        <v>543</v>
      </c>
      <c r="R13" s="9">
        <v>3145</v>
      </c>
      <c r="S13" s="4" t="s">
        <v>1235</v>
      </c>
    </row>
    <row r="14" spans="1:19" x14ac:dyDescent="0.3">
      <c r="A14" s="6" t="s">
        <v>381</v>
      </c>
      <c r="B14" s="9">
        <v>38113</v>
      </c>
      <c r="C14" s="4" t="s">
        <v>846</v>
      </c>
      <c r="D14" s="9">
        <v>17389</v>
      </c>
      <c r="E14" s="4" t="s">
        <v>1236</v>
      </c>
      <c r="F14" s="64">
        <v>0</v>
      </c>
      <c r="G14" s="4" t="s">
        <v>404</v>
      </c>
      <c r="H14" s="64">
        <v>186</v>
      </c>
      <c r="I14" s="4" t="s">
        <v>1237</v>
      </c>
      <c r="J14" s="9">
        <v>26029</v>
      </c>
      <c r="K14" s="4" t="s">
        <v>1238</v>
      </c>
      <c r="L14" s="9">
        <v>6337</v>
      </c>
      <c r="M14" s="4" t="s">
        <v>1239</v>
      </c>
      <c r="N14" s="9">
        <v>1256</v>
      </c>
      <c r="O14" s="4" t="s">
        <v>1240</v>
      </c>
      <c r="P14" s="64">
        <v>448</v>
      </c>
      <c r="Q14" s="4" t="s">
        <v>1241</v>
      </c>
      <c r="R14" s="64">
        <v>544</v>
      </c>
      <c r="S14" s="4" t="s">
        <v>1242</v>
      </c>
    </row>
    <row r="15" spans="1:19" ht="28.8" x14ac:dyDescent="0.3">
      <c r="A15" s="6" t="s">
        <v>372</v>
      </c>
      <c r="B15" s="9">
        <v>9947</v>
      </c>
      <c r="C15" s="4" t="s">
        <v>1243</v>
      </c>
      <c r="D15" s="9">
        <v>6212</v>
      </c>
      <c r="E15" s="4" t="s">
        <v>1244</v>
      </c>
      <c r="F15" s="64">
        <v>62</v>
      </c>
      <c r="G15" s="4" t="s">
        <v>532</v>
      </c>
      <c r="H15" s="64">
        <v>0</v>
      </c>
      <c r="I15" s="4" t="s">
        <v>404</v>
      </c>
      <c r="J15" s="9">
        <v>5707</v>
      </c>
      <c r="K15" s="4" t="s">
        <v>1245</v>
      </c>
      <c r="L15" s="9">
        <v>6045</v>
      </c>
      <c r="M15" s="4" t="s">
        <v>1246</v>
      </c>
      <c r="N15" s="9">
        <v>7740</v>
      </c>
      <c r="O15" s="4" t="s">
        <v>1247</v>
      </c>
      <c r="P15" s="64">
        <v>139</v>
      </c>
      <c r="Q15" s="4" t="s">
        <v>1248</v>
      </c>
      <c r="R15" s="64">
        <v>495</v>
      </c>
      <c r="S15" s="4" t="s">
        <v>1249</v>
      </c>
    </row>
    <row r="16" spans="1:19" ht="28.8" x14ac:dyDescent="0.3">
      <c r="A16" s="6" t="s">
        <v>363</v>
      </c>
      <c r="B16" s="64">
        <v>615</v>
      </c>
      <c r="C16" s="4" t="s">
        <v>106</v>
      </c>
      <c r="D16" s="64">
        <v>963</v>
      </c>
      <c r="E16" s="4" t="s">
        <v>1250</v>
      </c>
      <c r="F16" s="64">
        <v>0</v>
      </c>
      <c r="G16" s="4" t="s">
        <v>404</v>
      </c>
      <c r="H16" s="64">
        <v>150</v>
      </c>
      <c r="I16" s="4" t="s">
        <v>1251</v>
      </c>
      <c r="J16" s="9">
        <v>7555</v>
      </c>
      <c r="K16" s="4" t="s">
        <v>1252</v>
      </c>
      <c r="L16" s="64">
        <v>779</v>
      </c>
      <c r="M16" s="4" t="s">
        <v>1253</v>
      </c>
      <c r="N16" s="9">
        <v>3881</v>
      </c>
      <c r="O16" s="4" t="s">
        <v>1254</v>
      </c>
      <c r="P16" s="64">
        <v>0</v>
      </c>
      <c r="Q16" s="4" t="s">
        <v>404</v>
      </c>
      <c r="R16" s="64">
        <v>264</v>
      </c>
      <c r="S16" s="4" t="s">
        <v>1255</v>
      </c>
    </row>
    <row r="17" spans="1:19" x14ac:dyDescent="0.3">
      <c r="A17" s="6" t="s">
        <v>138</v>
      </c>
      <c r="B17" s="9">
        <v>4084</v>
      </c>
      <c r="C17" s="4" t="s">
        <v>1256</v>
      </c>
      <c r="D17" s="9">
        <v>1649</v>
      </c>
      <c r="E17" s="4" t="s">
        <v>316</v>
      </c>
      <c r="F17" s="9">
        <v>2427</v>
      </c>
      <c r="G17" s="4" t="s">
        <v>930</v>
      </c>
      <c r="H17" s="64">
        <v>74</v>
      </c>
      <c r="I17" s="4" t="s">
        <v>1257</v>
      </c>
      <c r="J17" s="64">
        <v>462</v>
      </c>
      <c r="K17" s="4" t="s">
        <v>1258</v>
      </c>
      <c r="L17" s="64">
        <v>0</v>
      </c>
      <c r="M17" s="4" t="s">
        <v>404</v>
      </c>
      <c r="N17" s="64">
        <v>78</v>
      </c>
      <c r="O17" s="4" t="s">
        <v>355</v>
      </c>
      <c r="P17" s="9">
        <v>1008</v>
      </c>
      <c r="Q17" s="4" t="s">
        <v>1259</v>
      </c>
      <c r="R17" s="64">
        <v>167</v>
      </c>
      <c r="S17" s="4" t="s">
        <v>112</v>
      </c>
    </row>
    <row r="18" spans="1:19" x14ac:dyDescent="0.3">
      <c r="A18" s="5" t="s">
        <v>1260</v>
      </c>
      <c r="B18" s="9">
        <v>3318</v>
      </c>
      <c r="C18" s="4" t="s">
        <v>1261</v>
      </c>
      <c r="D18" s="9">
        <v>1771</v>
      </c>
      <c r="E18" s="4" t="s">
        <v>1262</v>
      </c>
      <c r="F18" s="64">
        <v>471</v>
      </c>
      <c r="G18" s="4" t="s">
        <v>1263</v>
      </c>
      <c r="H18" s="64">
        <v>66</v>
      </c>
      <c r="I18" s="4" t="s">
        <v>1264</v>
      </c>
      <c r="J18" s="9">
        <v>5330</v>
      </c>
      <c r="K18" s="4" t="s">
        <v>1265</v>
      </c>
      <c r="L18" s="9">
        <v>2263</v>
      </c>
      <c r="M18" s="4" t="s">
        <v>1266</v>
      </c>
      <c r="N18" s="9">
        <v>7258</v>
      </c>
      <c r="O18" s="4" t="s">
        <v>1267</v>
      </c>
      <c r="P18" s="64">
        <v>386</v>
      </c>
      <c r="Q18" s="4" t="s">
        <v>492</v>
      </c>
      <c r="R18" s="64">
        <v>542</v>
      </c>
      <c r="S18" s="4" t="s">
        <v>1268</v>
      </c>
    </row>
    <row r="19" spans="1:19" x14ac:dyDescent="0.3">
      <c r="A19" s="5" t="s">
        <v>120</v>
      </c>
      <c r="B19" s="9">
        <v>2175</v>
      </c>
      <c r="C19" s="4" t="s">
        <v>1269</v>
      </c>
      <c r="D19" s="9">
        <v>1275</v>
      </c>
      <c r="E19" s="4" t="s">
        <v>916</v>
      </c>
      <c r="F19" s="64">
        <v>187</v>
      </c>
      <c r="G19" s="4" t="s">
        <v>1270</v>
      </c>
      <c r="H19" s="64">
        <v>136</v>
      </c>
      <c r="I19" s="4" t="s">
        <v>1271</v>
      </c>
      <c r="J19" s="9">
        <v>2138</v>
      </c>
      <c r="K19" s="4" t="s">
        <v>306</v>
      </c>
      <c r="L19" s="64">
        <v>796</v>
      </c>
      <c r="M19" s="4" t="s">
        <v>1272</v>
      </c>
      <c r="N19" s="9">
        <v>1958</v>
      </c>
      <c r="O19" s="4" t="s">
        <v>1273</v>
      </c>
      <c r="P19" s="64">
        <v>107</v>
      </c>
      <c r="Q19" s="4" t="s">
        <v>1274</v>
      </c>
      <c r="R19" s="64">
        <v>187</v>
      </c>
      <c r="S19" s="4" t="s">
        <v>1275</v>
      </c>
    </row>
    <row r="20" spans="1:19" x14ac:dyDescent="0.3">
      <c r="A20" s="5" t="s">
        <v>110</v>
      </c>
      <c r="B20" s="9">
        <v>10245</v>
      </c>
      <c r="C20" s="4" t="s">
        <v>1276</v>
      </c>
      <c r="D20" s="9">
        <v>1876</v>
      </c>
      <c r="E20" s="4" t="s">
        <v>1277</v>
      </c>
      <c r="F20" s="9">
        <v>2228</v>
      </c>
      <c r="G20" s="4" t="s">
        <v>867</v>
      </c>
      <c r="H20" s="64">
        <v>915</v>
      </c>
      <c r="I20" s="4" t="s">
        <v>1272</v>
      </c>
      <c r="J20" s="9">
        <v>17838</v>
      </c>
      <c r="K20" s="4" t="s">
        <v>1278</v>
      </c>
      <c r="L20" s="9">
        <v>5979</v>
      </c>
      <c r="M20" s="4" t="s">
        <v>305</v>
      </c>
      <c r="N20" s="9">
        <v>17961</v>
      </c>
      <c r="O20" s="4" t="s">
        <v>1279</v>
      </c>
      <c r="P20" s="9">
        <v>1287</v>
      </c>
      <c r="Q20" s="4" t="s">
        <v>1280</v>
      </c>
      <c r="R20" s="9">
        <v>1678</v>
      </c>
      <c r="S20" s="4" t="s">
        <v>888</v>
      </c>
    </row>
    <row r="21" spans="1:19" x14ac:dyDescent="0.3">
      <c r="A21" s="5" t="s">
        <v>100</v>
      </c>
      <c r="B21" s="9">
        <v>29408</v>
      </c>
      <c r="C21" s="4" t="s">
        <v>1281</v>
      </c>
      <c r="D21" s="9">
        <v>7790</v>
      </c>
      <c r="E21" s="4" t="s">
        <v>1282</v>
      </c>
      <c r="F21" s="9">
        <v>3508</v>
      </c>
      <c r="G21" s="4" t="s">
        <v>1043</v>
      </c>
      <c r="H21" s="9">
        <v>1232</v>
      </c>
      <c r="I21" s="4" t="s">
        <v>365</v>
      </c>
      <c r="J21" s="9">
        <v>46917</v>
      </c>
      <c r="K21" s="4" t="s">
        <v>1283</v>
      </c>
      <c r="L21" s="9">
        <v>7666</v>
      </c>
      <c r="M21" s="4" t="s">
        <v>608</v>
      </c>
      <c r="N21" s="9">
        <v>24321</v>
      </c>
      <c r="O21" s="4" t="s">
        <v>1284</v>
      </c>
      <c r="P21" s="9">
        <v>3208</v>
      </c>
      <c r="Q21" s="4" t="s">
        <v>611</v>
      </c>
      <c r="R21" s="9">
        <v>6073</v>
      </c>
      <c r="S21" s="4" t="s">
        <v>1285</v>
      </c>
    </row>
    <row r="22" spans="1:19" x14ac:dyDescent="0.3">
      <c r="A22" s="5" t="s">
        <v>90</v>
      </c>
      <c r="B22" s="9">
        <v>8039</v>
      </c>
      <c r="C22" s="4" t="s">
        <v>1286</v>
      </c>
      <c r="D22" s="9">
        <v>2666</v>
      </c>
      <c r="E22" s="4" t="s">
        <v>875</v>
      </c>
      <c r="F22" s="9">
        <v>1831</v>
      </c>
      <c r="G22" s="4" t="s">
        <v>1287</v>
      </c>
      <c r="H22" s="64">
        <v>858</v>
      </c>
      <c r="I22" s="4" t="s">
        <v>676</v>
      </c>
      <c r="J22" s="9">
        <v>8456</v>
      </c>
      <c r="K22" s="4" t="s">
        <v>1288</v>
      </c>
      <c r="L22" s="9">
        <v>4317</v>
      </c>
      <c r="M22" s="4" t="s">
        <v>1289</v>
      </c>
      <c r="N22" s="9">
        <v>11324</v>
      </c>
      <c r="O22" s="4" t="s">
        <v>1290</v>
      </c>
      <c r="P22" s="9">
        <v>1942</v>
      </c>
      <c r="Q22" s="4" t="s">
        <v>544</v>
      </c>
      <c r="R22" s="9">
        <v>1115</v>
      </c>
      <c r="S22" s="4" t="s">
        <v>1291</v>
      </c>
    </row>
    <row r="23" spans="1:19" x14ac:dyDescent="0.3">
      <c r="A23" s="5" t="s">
        <v>302</v>
      </c>
      <c r="B23" s="9">
        <v>154971</v>
      </c>
      <c r="C23" s="4" t="s">
        <v>1292</v>
      </c>
      <c r="D23" s="9">
        <v>94847</v>
      </c>
      <c r="E23" s="4" t="s">
        <v>780</v>
      </c>
      <c r="F23" s="9">
        <v>32166</v>
      </c>
      <c r="G23" s="4" t="s">
        <v>1293</v>
      </c>
      <c r="H23" s="9">
        <v>9833</v>
      </c>
      <c r="I23" s="4" t="s">
        <v>1294</v>
      </c>
      <c r="J23" s="9">
        <v>100347</v>
      </c>
      <c r="K23" s="4" t="s">
        <v>1295</v>
      </c>
      <c r="L23" s="9">
        <v>68690</v>
      </c>
      <c r="M23" s="4" t="s">
        <v>1296</v>
      </c>
      <c r="N23" s="9">
        <v>146556</v>
      </c>
      <c r="O23" s="4" t="s">
        <v>1297</v>
      </c>
      <c r="P23" s="9">
        <v>22434</v>
      </c>
      <c r="Q23" s="4" t="s">
        <v>1298</v>
      </c>
      <c r="R23" s="9">
        <v>34052</v>
      </c>
      <c r="S23" s="4" t="s">
        <v>1299</v>
      </c>
    </row>
    <row r="25" spans="1:19" x14ac:dyDescent="0.3">
      <c r="A25" s="10" t="s">
        <v>281</v>
      </c>
      <c r="B25" s="11">
        <f>SUMIF($B$2:$S$2,"=Estimate",$B$23:$S$23)</f>
        <v>663896</v>
      </c>
    </row>
    <row r="26" spans="1:19" x14ac:dyDescent="0.3">
      <c r="A26" s="10" t="s">
        <v>282</v>
      </c>
      <c r="B26" s="11">
        <f>SUMIF($B$2:$S$2,"=Estimate",$B$3:$S$3)</f>
        <v>3898107</v>
      </c>
    </row>
    <row r="27" spans="1:19" x14ac:dyDescent="0.3">
      <c r="A27" s="10" t="s">
        <v>4</v>
      </c>
      <c r="B27" s="12">
        <f>B25/B26</f>
        <v>0.17031241061366453</v>
      </c>
    </row>
  </sheetData>
  <mergeCells count="9">
    <mergeCell ref="N1:O1"/>
    <mergeCell ref="P1:Q1"/>
    <mergeCell ref="R1:S1"/>
    <mergeCell ref="B1:C1"/>
    <mergeCell ref="D1:E1"/>
    <mergeCell ref="F1:G1"/>
    <mergeCell ref="H1:I1"/>
    <mergeCell ref="J1:K1"/>
    <mergeCell ref="L1:M1"/>
  </mergeCells>
  <printOptions gridLines="1"/>
  <pageMargins left="0.7" right="0.7" top="0.75" bottom="0.75" header="0.3" footer="0.3"/>
  <pageSetup pageOrder="overThenDown" orientation="landscape"/>
  <headerFooter>
    <oddHeader>&amp;LTable: ACSDT1Y2024.B08301</oddHeader>
    <oddFooter>&amp;L&amp;Bdata.census.gov&amp;B | Measuring America's People, Places, and Economy &amp;R&amp;P</oddFooter>
    <evenHeader>&amp;LTable: ACSDT1Y2024.B08301</evenHeader>
    <evenFooter>&amp;L&amp;Bdata.census.gov&amp;B | Measuring America's People, Places, and Economy &amp;R&amp;P</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844E1-763B-4329-9651-BE780D285D14}">
  <sheetPr>
    <tabColor theme="3" tint="0.79998168889431442"/>
    <pageSetUpPr fitToPage="1"/>
  </sheetPr>
  <dimension ref="A1:C47"/>
  <sheetViews>
    <sheetView workbookViewId="0">
      <selection activeCell="B18" sqref="B18:C18"/>
    </sheetView>
  </sheetViews>
  <sheetFormatPr defaultRowHeight="14.4" x14ac:dyDescent="0.3"/>
  <cols>
    <col min="1" max="1" width="25" style="1" customWidth="1"/>
    <col min="2" max="2" width="80" style="1" customWidth="1"/>
    <col min="3" max="3" width="20" customWidth="1"/>
  </cols>
  <sheetData>
    <row r="1" spans="1:3" ht="60" customHeight="1" thickBot="1" x14ac:dyDescent="0.35">
      <c r="A1" s="53" t="s">
        <v>807</v>
      </c>
      <c r="B1" s="53"/>
      <c r="C1" s="3"/>
    </row>
    <row r="2" spans="1:3" x14ac:dyDescent="0.3">
      <c r="A2" s="52"/>
      <c r="B2" s="52"/>
      <c r="C2" s="52"/>
    </row>
    <row r="3" spans="1:3" x14ac:dyDescent="0.3">
      <c r="A3" s="54" t="s">
        <v>69</v>
      </c>
      <c r="B3" s="54"/>
      <c r="C3" s="54"/>
    </row>
    <row r="4" spans="1:3" x14ac:dyDescent="0.3">
      <c r="A4" s="52"/>
      <c r="B4" s="52"/>
      <c r="C4" s="52"/>
    </row>
    <row r="5" spans="1:3" ht="15.9" customHeight="1" x14ac:dyDescent="0.3">
      <c r="A5" s="2" t="s">
        <v>68</v>
      </c>
      <c r="B5" s="52" t="s">
        <v>29</v>
      </c>
      <c r="C5" s="52"/>
    </row>
    <row r="6" spans="1:3" ht="15.9" customHeight="1" x14ac:dyDescent="0.3">
      <c r="A6" s="1" t="s">
        <v>67</v>
      </c>
      <c r="B6" s="52" t="s">
        <v>51</v>
      </c>
      <c r="C6" s="52"/>
    </row>
    <row r="7" spans="1:3" ht="15.9" customHeight="1" x14ac:dyDescent="0.3">
      <c r="A7" s="1" t="s">
        <v>66</v>
      </c>
      <c r="B7" s="52" t="s">
        <v>65</v>
      </c>
      <c r="C7" s="52"/>
    </row>
    <row r="8" spans="1:3" ht="15.9" customHeight="1" x14ac:dyDescent="0.3">
      <c r="A8" s="1" t="s">
        <v>64</v>
      </c>
      <c r="B8" s="52" t="s">
        <v>963</v>
      </c>
      <c r="C8" s="52"/>
    </row>
    <row r="9" spans="1:3" ht="15.9" customHeight="1" x14ac:dyDescent="0.3">
      <c r="A9" s="1" t="s">
        <v>62</v>
      </c>
      <c r="B9" s="52" t="s">
        <v>966</v>
      </c>
      <c r="C9" s="52"/>
    </row>
    <row r="10" spans="1:3" ht="15.9" customHeight="1" x14ac:dyDescent="0.3">
      <c r="A10" s="1" t="s">
        <v>60</v>
      </c>
      <c r="B10" s="52" t="s">
        <v>59</v>
      </c>
      <c r="C10" s="52"/>
    </row>
    <row r="11" spans="1:3" ht="15.9" customHeight="1" x14ac:dyDescent="0.3">
      <c r="A11" s="1" t="s">
        <v>58</v>
      </c>
      <c r="B11" s="52" t="s">
        <v>57</v>
      </c>
      <c r="C11" s="52"/>
    </row>
    <row r="12" spans="1:3" ht="63.9" customHeight="1" x14ac:dyDescent="0.3">
      <c r="A12" s="1" t="s">
        <v>965</v>
      </c>
      <c r="B12" s="52" t="s">
        <v>1099</v>
      </c>
      <c r="C12" s="52"/>
    </row>
    <row r="13" spans="1:3" ht="15.9" customHeight="1" x14ac:dyDescent="0.3">
      <c r="A13" s="1" t="s">
        <v>56</v>
      </c>
      <c r="B13" s="52" t="s">
        <v>26</v>
      </c>
      <c r="C13" s="52"/>
    </row>
    <row r="14" spans="1:3" ht="15.9" customHeight="1" x14ac:dyDescent="0.3">
      <c r="A14" s="1" t="s">
        <v>55</v>
      </c>
      <c r="B14" s="52" t="s">
        <v>964</v>
      </c>
      <c r="C14" s="52"/>
    </row>
    <row r="15" spans="1:3" x14ac:dyDescent="0.3">
      <c r="A15" s="52"/>
      <c r="B15" s="52"/>
      <c r="C15" s="52"/>
    </row>
    <row r="16" spans="1:3" ht="15.9" customHeight="1" x14ac:dyDescent="0.3">
      <c r="A16" s="2" t="s">
        <v>53</v>
      </c>
      <c r="B16" s="52" t="s">
        <v>29</v>
      </c>
      <c r="C16" s="52"/>
    </row>
    <row r="17" spans="1:3" ht="15.9" customHeight="1" x14ac:dyDescent="0.3">
      <c r="A17" s="1" t="s">
        <v>52</v>
      </c>
      <c r="B17" s="52" t="s">
        <v>51</v>
      </c>
      <c r="C17" s="52"/>
    </row>
    <row r="18" spans="1:3" ht="48" customHeight="1" x14ac:dyDescent="0.3">
      <c r="A18" s="1" t="s">
        <v>50</v>
      </c>
      <c r="B18" s="52" t="s">
        <v>1098</v>
      </c>
      <c r="C18" s="52"/>
    </row>
    <row r="19" spans="1:3" ht="15.9" customHeight="1" x14ac:dyDescent="0.3">
      <c r="A19" s="1" t="s">
        <v>813</v>
      </c>
      <c r="B19" s="52" t="s">
        <v>963</v>
      </c>
      <c r="C19" s="52"/>
    </row>
    <row r="20" spans="1:3" x14ac:dyDescent="0.3">
      <c r="A20" s="52"/>
      <c r="B20" s="52"/>
      <c r="C20" s="52"/>
    </row>
    <row r="21" spans="1:3" ht="15.9" customHeight="1" x14ac:dyDescent="0.3">
      <c r="A21" s="2" t="s">
        <v>48</v>
      </c>
      <c r="B21" s="52" t="s">
        <v>26</v>
      </c>
      <c r="C21" s="52"/>
    </row>
    <row r="22" spans="1:3" x14ac:dyDescent="0.3">
      <c r="A22" s="52"/>
      <c r="B22" s="52"/>
      <c r="C22" s="52"/>
    </row>
    <row r="23" spans="1:3" ht="15.9" customHeight="1" x14ac:dyDescent="0.3">
      <c r="A23" s="2" t="s">
        <v>47</v>
      </c>
      <c r="B23" s="52" t="s">
        <v>26</v>
      </c>
      <c r="C23" s="52"/>
    </row>
    <row r="24" spans="1:3" x14ac:dyDescent="0.3">
      <c r="A24" s="52"/>
      <c r="B24" s="52"/>
      <c r="C24" s="52"/>
    </row>
    <row r="25" spans="1:3" ht="15.9" customHeight="1" x14ac:dyDescent="0.3">
      <c r="A25" s="2" t="s">
        <v>46</v>
      </c>
      <c r="B25" s="52" t="s">
        <v>26</v>
      </c>
      <c r="C25" s="52"/>
    </row>
    <row r="26" spans="1:3" x14ac:dyDescent="0.3">
      <c r="A26" s="52"/>
      <c r="B26" s="52"/>
      <c r="C26" s="52"/>
    </row>
    <row r="27" spans="1:3" ht="15.9" customHeight="1" x14ac:dyDescent="0.3">
      <c r="A27" s="2" t="s">
        <v>45</v>
      </c>
      <c r="B27" s="52" t="s">
        <v>29</v>
      </c>
      <c r="C27" s="52"/>
    </row>
    <row r="28" spans="1:3" ht="15.9" customHeight="1" x14ac:dyDescent="0.3">
      <c r="A28" s="1" t="s">
        <v>44</v>
      </c>
      <c r="B28" s="52" t="s">
        <v>26</v>
      </c>
      <c r="C28" s="52"/>
    </row>
    <row r="29" spans="1:3" ht="15.9" customHeight="1" x14ac:dyDescent="0.3">
      <c r="A29" s="1" t="s">
        <v>43</v>
      </c>
      <c r="B29" s="52" t="s">
        <v>42</v>
      </c>
      <c r="C29" s="52"/>
    </row>
    <row r="30" spans="1:3" ht="15.9" customHeight="1" x14ac:dyDescent="0.3">
      <c r="A30" s="1" t="s">
        <v>41</v>
      </c>
      <c r="B30" s="52" t="s">
        <v>26</v>
      </c>
      <c r="C30" s="52"/>
    </row>
    <row r="31" spans="1:3" ht="15.9" customHeight="1" x14ac:dyDescent="0.3">
      <c r="A31" s="1" t="s">
        <v>40</v>
      </c>
      <c r="B31" s="52" t="s">
        <v>26</v>
      </c>
      <c r="C31" s="52"/>
    </row>
    <row r="32" spans="1:3" x14ac:dyDescent="0.3">
      <c r="A32" s="52"/>
      <c r="B32" s="52"/>
      <c r="C32" s="52"/>
    </row>
    <row r="33" spans="1:3" ht="32.1" customHeight="1" x14ac:dyDescent="0.3">
      <c r="A33" s="2" t="s">
        <v>39</v>
      </c>
      <c r="B33" s="52" t="s">
        <v>1097</v>
      </c>
      <c r="C33" s="52"/>
    </row>
    <row r="34" spans="1:3" x14ac:dyDescent="0.3">
      <c r="A34" s="52"/>
      <c r="B34" s="52"/>
      <c r="C34" s="52"/>
    </row>
    <row r="35" spans="1:3" ht="15.9" customHeight="1" x14ac:dyDescent="0.3">
      <c r="A35" s="2" t="s">
        <v>37</v>
      </c>
      <c r="B35" s="52" t="s">
        <v>29</v>
      </c>
      <c r="C35" s="52"/>
    </row>
    <row r="36" spans="1:3" ht="80.099999999999994" customHeight="1" x14ac:dyDescent="0.3">
      <c r="A36" s="1" t="s">
        <v>29</v>
      </c>
      <c r="B36" s="52" t="s">
        <v>962</v>
      </c>
      <c r="C36" s="52"/>
    </row>
    <row r="37" spans="1:3" ht="128.1" customHeight="1" x14ac:dyDescent="0.3">
      <c r="A37" s="1" t="s">
        <v>29</v>
      </c>
      <c r="B37" s="52" t="s">
        <v>816</v>
      </c>
      <c r="C37" s="52"/>
    </row>
    <row r="38" spans="1:3" ht="32.1" customHeight="1" x14ac:dyDescent="0.3">
      <c r="A38" s="1" t="s">
        <v>29</v>
      </c>
      <c r="B38" s="52" t="s">
        <v>961</v>
      </c>
      <c r="C38" s="52"/>
    </row>
    <row r="39" spans="1:3" ht="32.1" customHeight="1" x14ac:dyDescent="0.3">
      <c r="A39" s="1" t="s">
        <v>29</v>
      </c>
      <c r="B39" s="52" t="s">
        <v>960</v>
      </c>
      <c r="C39" s="52"/>
    </row>
    <row r="40" spans="1:3" ht="111.9" customHeight="1" x14ac:dyDescent="0.3">
      <c r="A40" s="1" t="s">
        <v>29</v>
      </c>
      <c r="B40" s="52" t="s">
        <v>286</v>
      </c>
      <c r="C40" s="52"/>
    </row>
    <row r="41" spans="1:3" ht="80.099999999999994" customHeight="1" x14ac:dyDescent="0.3">
      <c r="A41" s="1" t="s">
        <v>29</v>
      </c>
      <c r="B41" s="52" t="s">
        <v>959</v>
      </c>
      <c r="C41" s="52"/>
    </row>
    <row r="42" spans="1:3" ht="32.1" customHeight="1" x14ac:dyDescent="0.3">
      <c r="A42" s="1" t="s">
        <v>29</v>
      </c>
      <c r="B42" s="52" t="s">
        <v>32</v>
      </c>
      <c r="C42" s="52"/>
    </row>
    <row r="43" spans="1:3" ht="48" customHeight="1" x14ac:dyDescent="0.3">
      <c r="A43" s="1" t="s">
        <v>29</v>
      </c>
      <c r="B43" s="52" t="s">
        <v>819</v>
      </c>
      <c r="C43" s="52"/>
    </row>
    <row r="44" spans="1:3" ht="192" customHeight="1" x14ac:dyDescent="0.3">
      <c r="A44" s="1" t="s">
        <v>29</v>
      </c>
      <c r="B44" s="52" t="s">
        <v>638</v>
      </c>
      <c r="C44" s="52"/>
    </row>
    <row r="45" spans="1:3" x14ac:dyDescent="0.3">
      <c r="A45" s="52"/>
      <c r="B45" s="52"/>
      <c r="C45" s="52"/>
    </row>
    <row r="46" spans="1:3" ht="15.9" customHeight="1" x14ac:dyDescent="0.3">
      <c r="A46" s="2" t="s">
        <v>27</v>
      </c>
      <c r="B46" s="52" t="s">
        <v>26</v>
      </c>
      <c r="C46" s="52"/>
    </row>
    <row r="47" spans="1:3" x14ac:dyDescent="0.3">
      <c r="A47" s="52"/>
      <c r="B47" s="52"/>
      <c r="C47" s="52"/>
    </row>
  </sheetData>
  <mergeCells count="47">
    <mergeCell ref="B46:C46"/>
    <mergeCell ref="A47:C47"/>
    <mergeCell ref="B41:C41"/>
    <mergeCell ref="B42:C42"/>
    <mergeCell ref="B43:C43"/>
    <mergeCell ref="B44:C44"/>
    <mergeCell ref="A45:C45"/>
    <mergeCell ref="B31:C31"/>
    <mergeCell ref="A32:C32"/>
    <mergeCell ref="B33:C33"/>
    <mergeCell ref="A34:C34"/>
    <mergeCell ref="B35:C35"/>
    <mergeCell ref="B36:C36"/>
    <mergeCell ref="B37:C37"/>
    <mergeCell ref="B38:C38"/>
    <mergeCell ref="B39:C39"/>
    <mergeCell ref="B40:C40"/>
    <mergeCell ref="B21:C21"/>
    <mergeCell ref="A22:C22"/>
    <mergeCell ref="B23:C23"/>
    <mergeCell ref="A24:C24"/>
    <mergeCell ref="B25:C25"/>
    <mergeCell ref="A26:C26"/>
    <mergeCell ref="B27:C27"/>
    <mergeCell ref="B28:C28"/>
    <mergeCell ref="B29:C29"/>
    <mergeCell ref="B30:C30"/>
    <mergeCell ref="B11:C11"/>
    <mergeCell ref="B12:C12"/>
    <mergeCell ref="B13:C13"/>
    <mergeCell ref="B14:C14"/>
    <mergeCell ref="A15:C15"/>
    <mergeCell ref="B16:C16"/>
    <mergeCell ref="B17:C17"/>
    <mergeCell ref="B18:C18"/>
    <mergeCell ref="B19:C19"/>
    <mergeCell ref="A20:C20"/>
    <mergeCell ref="A1:B1"/>
    <mergeCell ref="A2:C2"/>
    <mergeCell ref="A3:C3"/>
    <mergeCell ref="A4:C4"/>
    <mergeCell ref="B5:C5"/>
    <mergeCell ref="B6:C6"/>
    <mergeCell ref="B7:C7"/>
    <mergeCell ref="B8:C8"/>
    <mergeCell ref="B9:C9"/>
    <mergeCell ref="B10:C10"/>
  </mergeCells>
  <printOptions gridLines="1"/>
  <pageMargins left="0.7" right="0.7" top="0.75" bottom="0.75" header="0.3" footer="0.3"/>
  <pageSetup fitToHeight="0" orientation="landscape"/>
  <headerFooter>
    <oddHeader>&amp;LTable: ACSDT1Y2023.B08301</oddHeader>
    <oddFooter>&amp;L&amp;Bdata.census.gov&amp;B | Measuring America's People, Places, and Economy &amp;R&amp;P</oddFooter>
    <evenHeader>&amp;LTable: ACSDT1Y2023.B08301</evenHeader>
    <evenFooter>&amp;L&amp;Bdata.census.gov&amp;B | Measuring America's People, Places, and Economy &amp;R&amp;P</even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9005-9087-434A-8F5A-3F8095E4998C}">
  <sheetPr>
    <tabColor theme="3" tint="0.79998168889431442"/>
  </sheetPr>
  <dimension ref="A1:S27"/>
  <sheetViews>
    <sheetView zoomScale="85" zoomScaleNormal="85" workbookViewId="0">
      <pane xSplit="1" ySplit="2" topLeftCell="B3" activePane="bottomRight" state="frozen"/>
      <selection pane="topRight"/>
      <selection pane="bottomLeft"/>
      <selection pane="bottomRight" activeCell="A25" sqref="A25:B27"/>
    </sheetView>
  </sheetViews>
  <sheetFormatPr defaultRowHeight="14.4" x14ac:dyDescent="0.3"/>
  <cols>
    <col min="1" max="1" width="30" style="4" customWidth="1"/>
    <col min="2" max="19" width="20" style="4" customWidth="1"/>
  </cols>
  <sheetData>
    <row r="1" spans="1:19" ht="30" customHeight="1" x14ac:dyDescent="0.3">
      <c r="A1" s="8" t="s">
        <v>29</v>
      </c>
      <c r="B1" s="55" t="s">
        <v>280</v>
      </c>
      <c r="C1" s="55"/>
      <c r="D1" s="55" t="s">
        <v>279</v>
      </c>
      <c r="E1" s="55"/>
      <c r="F1" s="55" t="s">
        <v>278</v>
      </c>
      <c r="G1" s="55"/>
      <c r="H1" s="55" t="s">
        <v>277</v>
      </c>
      <c r="I1" s="55"/>
      <c r="J1" s="55" t="s">
        <v>276</v>
      </c>
      <c r="K1" s="55"/>
      <c r="L1" s="55" t="s">
        <v>275</v>
      </c>
      <c r="M1" s="55"/>
      <c r="N1" s="55" t="s">
        <v>274</v>
      </c>
      <c r="O1" s="55"/>
      <c r="P1" s="55" t="s">
        <v>273</v>
      </c>
      <c r="Q1" s="55"/>
      <c r="R1" s="55" t="s">
        <v>272</v>
      </c>
      <c r="S1" s="55"/>
    </row>
    <row r="2" spans="1:19" ht="30" customHeight="1" x14ac:dyDescent="0.3">
      <c r="A2" s="8" t="s">
        <v>271</v>
      </c>
      <c r="B2" s="8" t="s">
        <v>270</v>
      </c>
      <c r="C2" s="8" t="s">
        <v>269</v>
      </c>
      <c r="D2" s="8" t="s">
        <v>270</v>
      </c>
      <c r="E2" s="8" t="s">
        <v>269</v>
      </c>
      <c r="F2" s="8" t="s">
        <v>270</v>
      </c>
      <c r="G2" s="8" t="s">
        <v>269</v>
      </c>
      <c r="H2" s="8" t="s">
        <v>270</v>
      </c>
      <c r="I2" s="8" t="s">
        <v>269</v>
      </c>
      <c r="J2" s="8" t="s">
        <v>270</v>
      </c>
      <c r="K2" s="8" t="s">
        <v>269</v>
      </c>
      <c r="L2" s="8" t="s">
        <v>270</v>
      </c>
      <c r="M2" s="8" t="s">
        <v>269</v>
      </c>
      <c r="N2" s="8" t="s">
        <v>270</v>
      </c>
      <c r="O2" s="8" t="s">
        <v>269</v>
      </c>
      <c r="P2" s="8" t="s">
        <v>270</v>
      </c>
      <c r="Q2" s="8" t="s">
        <v>269</v>
      </c>
      <c r="R2" s="8" t="s">
        <v>270</v>
      </c>
      <c r="S2" s="8" t="s">
        <v>269</v>
      </c>
    </row>
    <row r="3" spans="1:19" x14ac:dyDescent="0.3">
      <c r="A3" s="4" t="s">
        <v>268</v>
      </c>
      <c r="B3" s="9">
        <v>826474</v>
      </c>
      <c r="C3" s="4" t="s">
        <v>1096</v>
      </c>
      <c r="D3" s="9">
        <v>560086</v>
      </c>
      <c r="E3" s="4" t="s">
        <v>1095</v>
      </c>
      <c r="F3" s="9">
        <v>121331</v>
      </c>
      <c r="G3" s="4" t="s">
        <v>1094</v>
      </c>
      <c r="H3" s="9">
        <v>67918</v>
      </c>
      <c r="I3" s="4" t="s">
        <v>1093</v>
      </c>
      <c r="J3" s="9">
        <v>460397</v>
      </c>
      <c r="K3" s="4" t="s">
        <v>1092</v>
      </c>
      <c r="L3" s="9">
        <v>377939</v>
      </c>
      <c r="M3" s="4" t="s">
        <v>1113</v>
      </c>
      <c r="N3" s="9">
        <v>981958</v>
      </c>
      <c r="O3" s="4" t="s">
        <v>1091</v>
      </c>
      <c r="P3" s="9">
        <v>207335</v>
      </c>
      <c r="Q3" s="4" t="s">
        <v>1090</v>
      </c>
      <c r="R3" s="9">
        <v>244909</v>
      </c>
      <c r="S3" s="4" t="s">
        <v>1089</v>
      </c>
    </row>
    <row r="4" spans="1:19" x14ac:dyDescent="0.3">
      <c r="A4" s="5" t="s">
        <v>259</v>
      </c>
      <c r="B4" s="9">
        <v>527734</v>
      </c>
      <c r="C4" s="4" t="s">
        <v>1088</v>
      </c>
      <c r="D4" s="9">
        <v>401743</v>
      </c>
      <c r="E4" s="4" t="s">
        <v>1087</v>
      </c>
      <c r="F4" s="9">
        <v>75757</v>
      </c>
      <c r="G4" s="4" t="s">
        <v>1086</v>
      </c>
      <c r="H4" s="9">
        <v>53504</v>
      </c>
      <c r="I4" s="4" t="s">
        <v>1085</v>
      </c>
      <c r="J4" s="9">
        <v>169270</v>
      </c>
      <c r="K4" s="4" t="s">
        <v>1084</v>
      </c>
      <c r="L4" s="9">
        <v>266924</v>
      </c>
      <c r="M4" s="4" t="s">
        <v>1112</v>
      </c>
      <c r="N4" s="9">
        <v>746589</v>
      </c>
      <c r="O4" s="4" t="s">
        <v>1083</v>
      </c>
      <c r="P4" s="9">
        <v>174760</v>
      </c>
      <c r="Q4" s="4" t="s">
        <v>1082</v>
      </c>
      <c r="R4" s="9">
        <v>195481</v>
      </c>
      <c r="S4" s="4" t="s">
        <v>1081</v>
      </c>
    </row>
    <row r="5" spans="1:19" x14ac:dyDescent="0.3">
      <c r="A5" s="6" t="s">
        <v>249</v>
      </c>
      <c r="B5" s="9">
        <v>452339</v>
      </c>
      <c r="C5" s="4" t="s">
        <v>1080</v>
      </c>
      <c r="D5" s="9">
        <v>341396</v>
      </c>
      <c r="E5" s="4" t="s">
        <v>1079</v>
      </c>
      <c r="F5" s="9">
        <v>67085</v>
      </c>
      <c r="G5" s="4" t="s">
        <v>1078</v>
      </c>
      <c r="H5" s="9">
        <v>47032</v>
      </c>
      <c r="I5" s="4" t="s">
        <v>1077</v>
      </c>
      <c r="J5" s="9">
        <v>136951</v>
      </c>
      <c r="K5" s="4" t="s">
        <v>1076</v>
      </c>
      <c r="L5" s="9">
        <v>228231</v>
      </c>
      <c r="M5" s="4" t="s">
        <v>1111</v>
      </c>
      <c r="N5" s="9">
        <v>644885</v>
      </c>
      <c r="O5" s="4" t="s">
        <v>1075</v>
      </c>
      <c r="P5" s="9">
        <v>154819</v>
      </c>
      <c r="Q5" s="4" t="s">
        <v>1074</v>
      </c>
      <c r="R5" s="9">
        <v>170305</v>
      </c>
      <c r="S5" s="4" t="s">
        <v>1073</v>
      </c>
    </row>
    <row r="6" spans="1:19" x14ac:dyDescent="0.3">
      <c r="A6" s="6" t="s">
        <v>239</v>
      </c>
      <c r="B6" s="9">
        <v>75395</v>
      </c>
      <c r="C6" s="4" t="s">
        <v>1072</v>
      </c>
      <c r="D6" s="9">
        <v>60347</v>
      </c>
      <c r="E6" s="4" t="s">
        <v>1071</v>
      </c>
      <c r="F6" s="9">
        <v>8672</v>
      </c>
      <c r="G6" s="4" t="s">
        <v>1070</v>
      </c>
      <c r="H6" s="9">
        <v>6472</v>
      </c>
      <c r="I6" s="4" t="s">
        <v>1069</v>
      </c>
      <c r="J6" s="9">
        <v>32319</v>
      </c>
      <c r="K6" s="4" t="s">
        <v>782</v>
      </c>
      <c r="L6" s="9">
        <v>38693</v>
      </c>
      <c r="M6" s="4" t="s">
        <v>256</v>
      </c>
      <c r="N6" s="9">
        <v>101704</v>
      </c>
      <c r="O6" s="4" t="s">
        <v>1068</v>
      </c>
      <c r="P6" s="9">
        <v>19941</v>
      </c>
      <c r="Q6" s="4" t="s">
        <v>1067</v>
      </c>
      <c r="R6" s="9">
        <v>25176</v>
      </c>
      <c r="S6" s="4" t="s">
        <v>1066</v>
      </c>
    </row>
    <row r="7" spans="1:19" x14ac:dyDescent="0.3">
      <c r="A7" s="7" t="s">
        <v>230</v>
      </c>
      <c r="B7" s="9">
        <v>56385</v>
      </c>
      <c r="C7" s="4" t="s">
        <v>1065</v>
      </c>
      <c r="D7" s="9">
        <v>43121</v>
      </c>
      <c r="E7" s="4" t="s">
        <v>1064</v>
      </c>
      <c r="F7" s="9">
        <v>7098</v>
      </c>
      <c r="G7" s="4" t="s">
        <v>1063</v>
      </c>
      <c r="H7" s="9">
        <v>2615</v>
      </c>
      <c r="I7" s="4" t="s">
        <v>1062</v>
      </c>
      <c r="J7" s="9">
        <v>25356</v>
      </c>
      <c r="K7" s="4" t="s">
        <v>1061</v>
      </c>
      <c r="L7" s="9">
        <v>27279</v>
      </c>
      <c r="M7" s="4" t="s">
        <v>1110</v>
      </c>
      <c r="N7" s="9">
        <v>73452</v>
      </c>
      <c r="O7" s="4" t="s">
        <v>1060</v>
      </c>
      <c r="P7" s="9">
        <v>15972</v>
      </c>
      <c r="Q7" s="4" t="s">
        <v>1059</v>
      </c>
      <c r="R7" s="9">
        <v>15555</v>
      </c>
      <c r="S7" s="4" t="s">
        <v>1058</v>
      </c>
    </row>
    <row r="8" spans="1:19" x14ac:dyDescent="0.3">
      <c r="A8" s="7" t="s">
        <v>220</v>
      </c>
      <c r="B8" s="9">
        <v>13838</v>
      </c>
      <c r="C8" s="4" t="s">
        <v>1057</v>
      </c>
      <c r="D8" s="9">
        <v>11522</v>
      </c>
      <c r="E8" s="4" t="s">
        <v>1056</v>
      </c>
      <c r="F8" s="9">
        <v>1431</v>
      </c>
      <c r="G8" s="4" t="s">
        <v>870</v>
      </c>
      <c r="H8" s="4">
        <v>982</v>
      </c>
      <c r="I8" s="4" t="s">
        <v>1002</v>
      </c>
      <c r="J8" s="9">
        <v>4018</v>
      </c>
      <c r="K8" s="4" t="s">
        <v>1055</v>
      </c>
      <c r="L8" s="9">
        <v>5910</v>
      </c>
      <c r="M8" s="4" t="s">
        <v>666</v>
      </c>
      <c r="N8" s="9">
        <v>15815</v>
      </c>
      <c r="O8" s="4" t="s">
        <v>1054</v>
      </c>
      <c r="P8" s="9">
        <v>2394</v>
      </c>
      <c r="Q8" s="4" t="s">
        <v>362</v>
      </c>
      <c r="R8" s="9">
        <v>7315</v>
      </c>
      <c r="S8" s="4" t="s">
        <v>1053</v>
      </c>
    </row>
    <row r="9" spans="1:19" x14ac:dyDescent="0.3">
      <c r="A9" s="7" t="s">
        <v>210</v>
      </c>
      <c r="B9" s="9">
        <v>3065</v>
      </c>
      <c r="C9" s="4" t="s">
        <v>1021</v>
      </c>
      <c r="D9" s="9">
        <v>3690</v>
      </c>
      <c r="E9" s="4" t="s">
        <v>1052</v>
      </c>
      <c r="F9" s="4">
        <v>79</v>
      </c>
      <c r="G9" s="4" t="s">
        <v>526</v>
      </c>
      <c r="H9" s="4">
        <v>471</v>
      </c>
      <c r="I9" s="4" t="s">
        <v>1051</v>
      </c>
      <c r="J9" s="9">
        <v>1430</v>
      </c>
      <c r="K9" s="4" t="s">
        <v>1050</v>
      </c>
      <c r="L9" s="9">
        <v>3587</v>
      </c>
      <c r="M9" s="4" t="s">
        <v>1101</v>
      </c>
      <c r="N9" s="9">
        <v>8457</v>
      </c>
      <c r="O9" s="4" t="s">
        <v>1049</v>
      </c>
      <c r="P9" s="4">
        <v>455</v>
      </c>
      <c r="Q9" s="4" t="s">
        <v>1048</v>
      </c>
      <c r="R9" s="9">
        <v>1349</v>
      </c>
      <c r="S9" s="4" t="s">
        <v>1047</v>
      </c>
    </row>
    <row r="10" spans="1:19" x14ac:dyDescent="0.3">
      <c r="A10" s="7" t="s">
        <v>201</v>
      </c>
      <c r="B10" s="9">
        <v>1821</v>
      </c>
      <c r="C10" s="4" t="s">
        <v>1046</v>
      </c>
      <c r="D10" s="9">
        <v>1247</v>
      </c>
      <c r="E10" s="4" t="s">
        <v>1045</v>
      </c>
      <c r="F10" s="4">
        <v>64</v>
      </c>
      <c r="G10" s="4" t="s">
        <v>687</v>
      </c>
      <c r="H10" s="9">
        <v>1995</v>
      </c>
      <c r="I10" s="4" t="s">
        <v>1044</v>
      </c>
      <c r="J10" s="9">
        <v>1045</v>
      </c>
      <c r="K10" s="4" t="s">
        <v>731</v>
      </c>
      <c r="L10" s="9">
        <v>1649</v>
      </c>
      <c r="M10" s="4" t="s">
        <v>1109</v>
      </c>
      <c r="N10" s="9">
        <v>2697</v>
      </c>
      <c r="O10" s="4" t="s">
        <v>1043</v>
      </c>
      <c r="P10" s="4">
        <v>843</v>
      </c>
      <c r="Q10" s="4" t="s">
        <v>325</v>
      </c>
      <c r="R10" s="4">
        <v>512</v>
      </c>
      <c r="S10" s="4" t="s">
        <v>1042</v>
      </c>
    </row>
    <row r="11" spans="1:19" x14ac:dyDescent="0.3">
      <c r="A11" s="7" t="s">
        <v>191</v>
      </c>
      <c r="B11" s="4">
        <v>286</v>
      </c>
      <c r="C11" s="4" t="s">
        <v>925</v>
      </c>
      <c r="D11" s="4">
        <v>767</v>
      </c>
      <c r="E11" s="4" t="s">
        <v>396</v>
      </c>
      <c r="F11" s="4">
        <v>0</v>
      </c>
      <c r="G11" s="4" t="s">
        <v>1000</v>
      </c>
      <c r="H11" s="4">
        <v>409</v>
      </c>
      <c r="I11" s="4" t="s">
        <v>1041</v>
      </c>
      <c r="J11" s="4">
        <v>470</v>
      </c>
      <c r="K11" s="4" t="s">
        <v>499</v>
      </c>
      <c r="L11" s="4">
        <v>268</v>
      </c>
      <c r="M11" s="4" t="s">
        <v>1108</v>
      </c>
      <c r="N11" s="9">
        <v>1283</v>
      </c>
      <c r="O11" s="4" t="s">
        <v>82</v>
      </c>
      <c r="P11" s="4">
        <v>277</v>
      </c>
      <c r="Q11" s="4" t="s">
        <v>495</v>
      </c>
      <c r="R11" s="4">
        <v>445</v>
      </c>
      <c r="S11" s="4" t="s">
        <v>866</v>
      </c>
    </row>
    <row r="12" spans="1:19" ht="28.8" x14ac:dyDescent="0.3">
      <c r="A12" s="5" t="s">
        <v>181</v>
      </c>
      <c r="B12" s="9">
        <v>74554</v>
      </c>
      <c r="C12" s="4" t="s">
        <v>1040</v>
      </c>
      <c r="D12" s="9">
        <v>35857</v>
      </c>
      <c r="E12" s="4" t="s">
        <v>1039</v>
      </c>
      <c r="F12" s="9">
        <v>4750</v>
      </c>
      <c r="G12" s="4" t="s">
        <v>1038</v>
      </c>
      <c r="H12" s="4">
        <v>576</v>
      </c>
      <c r="I12" s="4" t="s">
        <v>339</v>
      </c>
      <c r="J12" s="9">
        <v>101330</v>
      </c>
      <c r="K12" s="4" t="s">
        <v>1037</v>
      </c>
      <c r="L12" s="9">
        <v>20563</v>
      </c>
      <c r="M12" s="4" t="s">
        <v>1107</v>
      </c>
      <c r="N12" s="9">
        <v>28329</v>
      </c>
      <c r="O12" s="4" t="s">
        <v>1036</v>
      </c>
      <c r="P12" s="9">
        <v>3991</v>
      </c>
      <c r="Q12" s="4" t="s">
        <v>1035</v>
      </c>
      <c r="R12" s="9">
        <v>1842</v>
      </c>
      <c r="S12" s="4" t="s">
        <v>1034</v>
      </c>
    </row>
    <row r="13" spans="1:19" x14ac:dyDescent="0.3">
      <c r="A13" s="6" t="s">
        <v>390</v>
      </c>
      <c r="B13" s="9">
        <v>25253</v>
      </c>
      <c r="C13" s="4" t="s">
        <v>1033</v>
      </c>
      <c r="D13" s="9">
        <v>7968</v>
      </c>
      <c r="E13" s="4" t="s">
        <v>1032</v>
      </c>
      <c r="F13" s="9">
        <v>2332</v>
      </c>
      <c r="G13" s="4" t="s">
        <v>1031</v>
      </c>
      <c r="H13" s="4">
        <v>236</v>
      </c>
      <c r="I13" s="4" t="s">
        <v>182</v>
      </c>
      <c r="J13" s="9">
        <v>64337</v>
      </c>
      <c r="K13" s="4" t="s">
        <v>1030</v>
      </c>
      <c r="L13" s="9">
        <v>10333</v>
      </c>
      <c r="M13" s="4" t="s">
        <v>1106</v>
      </c>
      <c r="N13" s="9">
        <v>16852</v>
      </c>
      <c r="O13" s="4" t="s">
        <v>125</v>
      </c>
      <c r="P13" s="9">
        <v>1144</v>
      </c>
      <c r="Q13" s="4" t="s">
        <v>691</v>
      </c>
      <c r="R13" s="9">
        <v>1041</v>
      </c>
      <c r="S13" s="4" t="s">
        <v>1029</v>
      </c>
    </row>
    <row r="14" spans="1:19" x14ac:dyDescent="0.3">
      <c r="A14" s="6" t="s">
        <v>381</v>
      </c>
      <c r="B14" s="9">
        <v>35648</v>
      </c>
      <c r="C14" s="4" t="s">
        <v>1028</v>
      </c>
      <c r="D14" s="9">
        <v>19058</v>
      </c>
      <c r="E14" s="4" t="s">
        <v>1027</v>
      </c>
      <c r="F14" s="4">
        <v>49</v>
      </c>
      <c r="G14" s="4" t="s">
        <v>921</v>
      </c>
      <c r="H14" s="4">
        <v>0</v>
      </c>
      <c r="I14" s="4" t="s">
        <v>1000</v>
      </c>
      <c r="J14" s="9">
        <v>24141</v>
      </c>
      <c r="K14" s="4" t="s">
        <v>1026</v>
      </c>
      <c r="L14" s="9">
        <v>5553</v>
      </c>
      <c r="M14" s="4" t="s">
        <v>1105</v>
      </c>
      <c r="N14" s="9">
        <v>2364</v>
      </c>
      <c r="O14" s="4" t="s">
        <v>1025</v>
      </c>
      <c r="P14" s="4">
        <v>244</v>
      </c>
      <c r="Q14" s="4" t="s">
        <v>1024</v>
      </c>
      <c r="R14" s="4">
        <v>0</v>
      </c>
      <c r="S14" s="4" t="s">
        <v>1000</v>
      </c>
    </row>
    <row r="15" spans="1:19" ht="28.8" x14ac:dyDescent="0.3">
      <c r="A15" s="6" t="s">
        <v>372</v>
      </c>
      <c r="B15" s="9">
        <v>8638</v>
      </c>
      <c r="C15" s="4" t="s">
        <v>1023</v>
      </c>
      <c r="D15" s="9">
        <v>7052</v>
      </c>
      <c r="E15" s="4" t="s">
        <v>219</v>
      </c>
      <c r="F15" s="4">
        <v>105</v>
      </c>
      <c r="G15" s="4" t="s">
        <v>1022</v>
      </c>
      <c r="H15" s="4">
        <v>0</v>
      </c>
      <c r="I15" s="4" t="s">
        <v>1000</v>
      </c>
      <c r="J15" s="9">
        <v>5353</v>
      </c>
      <c r="K15" s="4" t="s">
        <v>1021</v>
      </c>
      <c r="L15" s="9">
        <v>4131</v>
      </c>
      <c r="M15" s="4" t="s">
        <v>1104</v>
      </c>
      <c r="N15" s="9">
        <v>5682</v>
      </c>
      <c r="O15" s="4" t="s">
        <v>1020</v>
      </c>
      <c r="P15" s="9">
        <v>1055</v>
      </c>
      <c r="Q15" s="4" t="s">
        <v>1019</v>
      </c>
      <c r="R15" s="4">
        <v>539</v>
      </c>
      <c r="S15" s="4" t="s">
        <v>1018</v>
      </c>
    </row>
    <row r="16" spans="1:19" ht="28.8" x14ac:dyDescent="0.3">
      <c r="A16" s="6" t="s">
        <v>363</v>
      </c>
      <c r="B16" s="9">
        <v>1288</v>
      </c>
      <c r="C16" s="4" t="s">
        <v>1017</v>
      </c>
      <c r="D16" s="4">
        <v>929</v>
      </c>
      <c r="E16" s="4" t="s">
        <v>1016</v>
      </c>
      <c r="F16" s="4">
        <v>0</v>
      </c>
      <c r="G16" s="4" t="s">
        <v>1000</v>
      </c>
      <c r="H16" s="4">
        <v>0</v>
      </c>
      <c r="I16" s="4" t="s">
        <v>1000</v>
      </c>
      <c r="J16" s="9">
        <v>7398</v>
      </c>
      <c r="K16" s="4" t="s">
        <v>1015</v>
      </c>
      <c r="L16" s="4">
        <v>502</v>
      </c>
      <c r="M16" s="4" t="s">
        <v>521</v>
      </c>
      <c r="N16" s="9">
        <v>3262</v>
      </c>
      <c r="O16" s="4" t="s">
        <v>904</v>
      </c>
      <c r="P16" s="4">
        <v>0</v>
      </c>
      <c r="Q16" s="4" t="s">
        <v>1000</v>
      </c>
      <c r="R16" s="4">
        <v>242</v>
      </c>
      <c r="S16" s="4" t="s">
        <v>1014</v>
      </c>
    </row>
    <row r="17" spans="1:19" x14ac:dyDescent="0.3">
      <c r="A17" s="6" t="s">
        <v>138</v>
      </c>
      <c r="B17" s="9">
        <v>3727</v>
      </c>
      <c r="C17" s="4" t="s">
        <v>1013</v>
      </c>
      <c r="D17" s="4">
        <v>850</v>
      </c>
      <c r="E17" s="4" t="s">
        <v>1012</v>
      </c>
      <c r="F17" s="9">
        <v>2264</v>
      </c>
      <c r="G17" s="4" t="s">
        <v>1011</v>
      </c>
      <c r="H17" s="4">
        <v>340</v>
      </c>
      <c r="I17" s="4" t="s">
        <v>1010</v>
      </c>
      <c r="J17" s="4">
        <v>101</v>
      </c>
      <c r="K17" s="4" t="s">
        <v>1009</v>
      </c>
      <c r="L17" s="4">
        <v>44</v>
      </c>
      <c r="M17" s="4" t="s">
        <v>911</v>
      </c>
      <c r="N17" s="4">
        <v>169</v>
      </c>
      <c r="O17" s="4" t="s">
        <v>684</v>
      </c>
      <c r="P17" s="9">
        <v>1548</v>
      </c>
      <c r="Q17" s="4" t="s">
        <v>975</v>
      </c>
      <c r="R17" s="4">
        <v>20</v>
      </c>
      <c r="S17" s="4" t="s">
        <v>1008</v>
      </c>
    </row>
    <row r="18" spans="1:19" x14ac:dyDescent="0.3">
      <c r="A18" s="5" t="s">
        <v>130</v>
      </c>
      <c r="B18" s="9">
        <v>1906</v>
      </c>
      <c r="C18" s="4" t="s">
        <v>875</v>
      </c>
      <c r="D18" s="9">
        <v>1242</v>
      </c>
      <c r="E18" s="4" t="s">
        <v>1007</v>
      </c>
      <c r="F18" s="4">
        <v>245</v>
      </c>
      <c r="G18" s="4" t="s">
        <v>1006</v>
      </c>
      <c r="H18" s="4">
        <v>0</v>
      </c>
      <c r="I18" s="4" t="s">
        <v>1000</v>
      </c>
      <c r="J18" s="9">
        <v>3235</v>
      </c>
      <c r="K18" s="4" t="s">
        <v>1005</v>
      </c>
      <c r="L18" s="4">
        <v>506</v>
      </c>
      <c r="M18" s="4" t="s">
        <v>591</v>
      </c>
      <c r="N18" s="9">
        <v>1617</v>
      </c>
      <c r="O18" s="4" t="s">
        <v>1004</v>
      </c>
      <c r="P18" s="4">
        <v>216</v>
      </c>
      <c r="Q18" s="4" t="s">
        <v>404</v>
      </c>
      <c r="R18" s="4">
        <v>0</v>
      </c>
      <c r="S18" s="4" t="s">
        <v>1000</v>
      </c>
    </row>
    <row r="19" spans="1:19" x14ac:dyDescent="0.3">
      <c r="A19" s="5" t="s">
        <v>120</v>
      </c>
      <c r="B19" s="9">
        <v>1080</v>
      </c>
      <c r="C19" s="4" t="s">
        <v>1003</v>
      </c>
      <c r="D19" s="9">
        <v>1201</v>
      </c>
      <c r="E19" s="4" t="s">
        <v>1002</v>
      </c>
      <c r="F19" s="4">
        <v>125</v>
      </c>
      <c r="G19" s="4" t="s">
        <v>1001</v>
      </c>
      <c r="H19" s="4">
        <v>0</v>
      </c>
      <c r="I19" s="4" t="s">
        <v>1000</v>
      </c>
      <c r="J19" s="9">
        <v>1299</v>
      </c>
      <c r="K19" s="4" t="s">
        <v>990</v>
      </c>
      <c r="L19" s="4">
        <v>685</v>
      </c>
      <c r="M19" s="4" t="s">
        <v>1103</v>
      </c>
      <c r="N19" s="9">
        <v>1661</v>
      </c>
      <c r="O19" s="4" t="s">
        <v>999</v>
      </c>
      <c r="P19" s="4">
        <v>676</v>
      </c>
      <c r="Q19" s="4" t="s">
        <v>998</v>
      </c>
      <c r="R19" s="4">
        <v>606</v>
      </c>
      <c r="S19" s="4" t="s">
        <v>997</v>
      </c>
    </row>
    <row r="20" spans="1:19" x14ac:dyDescent="0.3">
      <c r="A20" s="5" t="s">
        <v>110</v>
      </c>
      <c r="B20" s="9">
        <v>14465</v>
      </c>
      <c r="C20" s="4" t="s">
        <v>996</v>
      </c>
      <c r="D20" s="9">
        <v>2297</v>
      </c>
      <c r="E20" s="4" t="s">
        <v>995</v>
      </c>
      <c r="F20" s="9">
        <v>1831</v>
      </c>
      <c r="G20" s="4" t="s">
        <v>994</v>
      </c>
      <c r="H20" s="4">
        <v>462</v>
      </c>
      <c r="I20" s="4" t="s">
        <v>563</v>
      </c>
      <c r="J20" s="9">
        <v>16235</v>
      </c>
      <c r="K20" s="4" t="s">
        <v>993</v>
      </c>
      <c r="L20" s="9">
        <v>4372</v>
      </c>
      <c r="M20" s="4" t="s">
        <v>566</v>
      </c>
      <c r="N20" s="9">
        <v>15477</v>
      </c>
      <c r="O20" s="4" t="s">
        <v>992</v>
      </c>
      <c r="P20" s="4">
        <v>267</v>
      </c>
      <c r="Q20" s="4" t="s">
        <v>991</v>
      </c>
      <c r="R20" s="9">
        <v>1638</v>
      </c>
      <c r="S20" s="4" t="s">
        <v>990</v>
      </c>
    </row>
    <row r="21" spans="1:19" x14ac:dyDescent="0.3">
      <c r="A21" s="5" t="s">
        <v>100</v>
      </c>
      <c r="B21" s="9">
        <v>26933</v>
      </c>
      <c r="C21" s="4" t="s">
        <v>989</v>
      </c>
      <c r="D21" s="9">
        <v>10578</v>
      </c>
      <c r="E21" s="4" t="s">
        <v>988</v>
      </c>
      <c r="F21" s="9">
        <v>5084</v>
      </c>
      <c r="G21" s="4" t="s">
        <v>987</v>
      </c>
      <c r="H21" s="9">
        <v>3707</v>
      </c>
      <c r="I21" s="4" t="s">
        <v>986</v>
      </c>
      <c r="J21" s="9">
        <v>47388</v>
      </c>
      <c r="K21" s="4" t="s">
        <v>985</v>
      </c>
      <c r="L21" s="9">
        <v>9126</v>
      </c>
      <c r="M21" s="4" t="s">
        <v>1102</v>
      </c>
      <c r="N21" s="9">
        <v>20095</v>
      </c>
      <c r="O21" s="4" t="s">
        <v>984</v>
      </c>
      <c r="P21" s="9">
        <v>2780</v>
      </c>
      <c r="Q21" s="4" t="s">
        <v>923</v>
      </c>
      <c r="R21" s="9">
        <v>6378</v>
      </c>
      <c r="S21" s="4" t="s">
        <v>983</v>
      </c>
    </row>
    <row r="22" spans="1:19" x14ac:dyDescent="0.3">
      <c r="A22" s="5" t="s">
        <v>90</v>
      </c>
      <c r="B22" s="9">
        <v>11520</v>
      </c>
      <c r="C22" s="4" t="s">
        <v>982</v>
      </c>
      <c r="D22" s="9">
        <v>7797</v>
      </c>
      <c r="E22" s="4" t="s">
        <v>981</v>
      </c>
      <c r="F22" s="9">
        <v>1664</v>
      </c>
      <c r="G22" s="4" t="s">
        <v>980</v>
      </c>
      <c r="H22" s="4">
        <v>909</v>
      </c>
      <c r="I22" s="4" t="s">
        <v>979</v>
      </c>
      <c r="J22" s="9">
        <v>9298</v>
      </c>
      <c r="K22" s="4" t="s">
        <v>978</v>
      </c>
      <c r="L22" s="9">
        <v>5835</v>
      </c>
      <c r="M22" s="4" t="s">
        <v>1101</v>
      </c>
      <c r="N22" s="9">
        <v>7504</v>
      </c>
      <c r="O22" s="4" t="s">
        <v>977</v>
      </c>
      <c r="P22" s="9">
        <v>1598</v>
      </c>
      <c r="Q22" s="4" t="s">
        <v>976</v>
      </c>
      <c r="R22" s="9">
        <v>2067</v>
      </c>
      <c r="S22" s="4" t="s">
        <v>975</v>
      </c>
    </row>
    <row r="23" spans="1:19" x14ac:dyDescent="0.3">
      <c r="A23" s="5" t="s">
        <v>302</v>
      </c>
      <c r="B23" s="9">
        <v>168282</v>
      </c>
      <c r="C23" s="4" t="s">
        <v>974</v>
      </c>
      <c r="D23" s="9">
        <v>99371</v>
      </c>
      <c r="E23" s="4" t="s">
        <v>973</v>
      </c>
      <c r="F23" s="9">
        <v>31875</v>
      </c>
      <c r="G23" s="4" t="s">
        <v>972</v>
      </c>
      <c r="H23" s="9">
        <v>8760</v>
      </c>
      <c r="I23" s="4" t="s">
        <v>971</v>
      </c>
      <c r="J23" s="9">
        <v>112342</v>
      </c>
      <c r="K23" s="4" t="s">
        <v>970</v>
      </c>
      <c r="L23" s="9">
        <v>69928</v>
      </c>
      <c r="M23" s="4" t="s">
        <v>1100</v>
      </c>
      <c r="N23" s="9">
        <v>160686</v>
      </c>
      <c r="O23" s="4" t="s">
        <v>969</v>
      </c>
      <c r="P23" s="9">
        <v>23047</v>
      </c>
      <c r="Q23" s="4" t="s">
        <v>968</v>
      </c>
      <c r="R23" s="9">
        <v>36897</v>
      </c>
      <c r="S23" s="4" t="s">
        <v>967</v>
      </c>
    </row>
    <row r="25" spans="1:19" x14ac:dyDescent="0.3">
      <c r="A25" s="10" t="s">
        <v>281</v>
      </c>
      <c r="B25" s="11">
        <f>SUMIF($B$2:$S$2,"=Estimate",$B$23:$S$23)</f>
        <v>711188</v>
      </c>
    </row>
    <row r="26" spans="1:19" x14ac:dyDescent="0.3">
      <c r="A26" s="10" t="s">
        <v>282</v>
      </c>
      <c r="B26" s="11">
        <f>SUMIF($B$2:$S$2,"=Estimate",$B$3:$S$3)</f>
        <v>3848347</v>
      </c>
    </row>
    <row r="27" spans="1:19" x14ac:dyDescent="0.3">
      <c r="A27" s="10" t="s">
        <v>4</v>
      </c>
      <c r="B27" s="12">
        <f>B25/B26</f>
        <v>0.18480350134746165</v>
      </c>
    </row>
  </sheetData>
  <mergeCells count="9">
    <mergeCell ref="L1:M1"/>
    <mergeCell ref="N1:O1"/>
    <mergeCell ref="P1:Q1"/>
    <mergeCell ref="R1:S1"/>
    <mergeCell ref="B1:C1"/>
    <mergeCell ref="D1:E1"/>
    <mergeCell ref="F1:G1"/>
    <mergeCell ref="H1:I1"/>
    <mergeCell ref="J1:K1"/>
  </mergeCells>
  <printOptions gridLines="1"/>
  <pageMargins left="0.7" right="0.7" top="0.75" bottom="0.75" header="0.3" footer="0.3"/>
  <pageSetup pageOrder="overThenDown" orientation="landscape"/>
  <headerFooter>
    <oddHeader>&amp;LTable: ACSDT1Y2023.B08301</oddHeader>
    <oddFooter>&amp;L&amp;Bdata.census.gov&amp;B | Measuring America's People, Places, and Economy &amp;R&amp;P</oddFooter>
    <evenHeader>&amp;LTable: ACSDT1Y2023.B08301</evenHeader>
    <evenFooter>&amp;L&amp;Bdata.census.gov&amp;B | Measuring America's People, Places, and Economy &amp;R&amp;P</even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24F2B-0F25-4C91-93A0-5C838926E142}">
  <sheetPr>
    <tabColor theme="5" tint="0.59999389629810485"/>
    <pageSetUpPr fitToPage="1"/>
  </sheetPr>
  <dimension ref="A1:C45"/>
  <sheetViews>
    <sheetView workbookViewId="0">
      <selection activeCell="B18" sqref="B18:C18"/>
    </sheetView>
  </sheetViews>
  <sheetFormatPr defaultRowHeight="14.4" x14ac:dyDescent="0.3"/>
  <cols>
    <col min="1" max="1" width="25" style="1" customWidth="1"/>
    <col min="2" max="2" width="80" style="1" customWidth="1"/>
    <col min="3" max="3" width="20" customWidth="1"/>
  </cols>
  <sheetData>
    <row r="1" spans="1:3" ht="48" customHeight="1" thickBot="1" x14ac:dyDescent="0.35">
      <c r="A1" s="53" t="s">
        <v>807</v>
      </c>
      <c r="B1" s="53"/>
      <c r="C1" s="3"/>
    </row>
    <row r="2" spans="1:3" x14ac:dyDescent="0.3">
      <c r="A2" s="52"/>
      <c r="B2" s="52"/>
      <c r="C2" s="52"/>
    </row>
    <row r="3" spans="1:3" x14ac:dyDescent="0.3">
      <c r="A3" s="54" t="s">
        <v>69</v>
      </c>
      <c r="B3" s="54"/>
      <c r="C3" s="54"/>
    </row>
    <row r="4" spans="1:3" x14ac:dyDescent="0.3">
      <c r="A4" s="52"/>
      <c r="B4" s="52"/>
      <c r="C4" s="52"/>
    </row>
    <row r="5" spans="1:3" ht="12.75" customHeight="1" x14ac:dyDescent="0.3">
      <c r="A5" s="2" t="s">
        <v>68</v>
      </c>
      <c r="B5" s="52" t="s">
        <v>29</v>
      </c>
      <c r="C5" s="52"/>
    </row>
    <row r="6" spans="1:3" ht="12.75" customHeight="1" x14ac:dyDescent="0.3">
      <c r="A6" s="1" t="s">
        <v>67</v>
      </c>
      <c r="B6" s="52" t="s">
        <v>51</v>
      </c>
      <c r="C6" s="52"/>
    </row>
    <row r="7" spans="1:3" ht="12.75" customHeight="1" x14ac:dyDescent="0.3">
      <c r="A7" s="1" t="s">
        <v>66</v>
      </c>
      <c r="B7" s="52" t="s">
        <v>65</v>
      </c>
      <c r="C7" s="52"/>
    </row>
    <row r="8" spans="1:3" ht="12.75" customHeight="1" x14ac:dyDescent="0.3">
      <c r="A8" s="1" t="s">
        <v>64</v>
      </c>
      <c r="B8" s="52" t="s">
        <v>808</v>
      </c>
      <c r="C8" s="52"/>
    </row>
    <row r="9" spans="1:3" ht="12.75" customHeight="1" x14ac:dyDescent="0.3">
      <c r="A9" s="1" t="s">
        <v>62</v>
      </c>
      <c r="B9" s="52" t="s">
        <v>809</v>
      </c>
      <c r="C9" s="52"/>
    </row>
    <row r="10" spans="1:3" ht="12.75" customHeight="1" x14ac:dyDescent="0.3">
      <c r="A10" s="1" t="s">
        <v>60</v>
      </c>
      <c r="B10" s="52" t="s">
        <v>59</v>
      </c>
      <c r="C10" s="52"/>
    </row>
    <row r="11" spans="1:3" ht="12.75" customHeight="1" x14ac:dyDescent="0.3">
      <c r="A11" s="1" t="s">
        <v>58</v>
      </c>
      <c r="B11" s="52" t="s">
        <v>57</v>
      </c>
      <c r="C11" s="52"/>
    </row>
    <row r="12" spans="1:3" ht="12.75" customHeight="1" x14ac:dyDescent="0.3">
      <c r="A12" s="1" t="s">
        <v>56</v>
      </c>
      <c r="B12" s="52" t="s">
        <v>26</v>
      </c>
      <c r="C12" s="52"/>
    </row>
    <row r="13" spans="1:3" ht="12.75" customHeight="1" x14ac:dyDescent="0.3">
      <c r="A13" s="1" t="s">
        <v>55</v>
      </c>
      <c r="B13" s="52" t="s">
        <v>810</v>
      </c>
      <c r="C13" s="52"/>
    </row>
    <row r="14" spans="1:3" x14ac:dyDescent="0.3">
      <c r="A14" s="52"/>
      <c r="B14" s="52"/>
      <c r="C14" s="52"/>
    </row>
    <row r="15" spans="1:3" ht="12.75" customHeight="1" x14ac:dyDescent="0.3">
      <c r="A15" s="2" t="s">
        <v>53</v>
      </c>
      <c r="B15" s="52" t="s">
        <v>29</v>
      </c>
      <c r="C15" s="52"/>
    </row>
    <row r="16" spans="1:3" ht="12.75" customHeight="1" x14ac:dyDescent="0.3">
      <c r="A16" s="1" t="s">
        <v>52</v>
      </c>
      <c r="B16" s="52" t="s">
        <v>51</v>
      </c>
      <c r="C16" s="52"/>
    </row>
    <row r="17" spans="1:3" ht="12.75" customHeight="1" x14ac:dyDescent="0.3">
      <c r="A17" s="1" t="s">
        <v>811</v>
      </c>
      <c r="B17" s="52" t="s">
        <v>59</v>
      </c>
      <c r="C17" s="52"/>
    </row>
    <row r="18" spans="1:3" ht="47.25" customHeight="1" x14ac:dyDescent="0.3">
      <c r="A18" s="1" t="s">
        <v>50</v>
      </c>
      <c r="B18" s="52" t="s">
        <v>812</v>
      </c>
      <c r="C18" s="52"/>
    </row>
    <row r="19" spans="1:3" ht="12.75" customHeight="1" x14ac:dyDescent="0.3">
      <c r="A19" s="1" t="s">
        <v>813</v>
      </c>
      <c r="B19" s="52" t="s">
        <v>808</v>
      </c>
      <c r="C19" s="52"/>
    </row>
    <row r="20" spans="1:3" x14ac:dyDescent="0.3">
      <c r="A20" s="52"/>
      <c r="B20" s="52"/>
      <c r="C20" s="52"/>
    </row>
    <row r="21" spans="1:3" ht="12.75" customHeight="1" x14ac:dyDescent="0.3">
      <c r="A21" s="2" t="s">
        <v>48</v>
      </c>
      <c r="B21" s="52" t="s">
        <v>26</v>
      </c>
      <c r="C21" s="52"/>
    </row>
    <row r="22" spans="1:3" x14ac:dyDescent="0.3">
      <c r="A22" s="52"/>
      <c r="B22" s="52"/>
      <c r="C22" s="52"/>
    </row>
    <row r="23" spans="1:3" ht="12.75" customHeight="1" x14ac:dyDescent="0.3">
      <c r="A23" s="2" t="s">
        <v>47</v>
      </c>
      <c r="B23" s="52" t="s">
        <v>26</v>
      </c>
      <c r="C23" s="52"/>
    </row>
    <row r="24" spans="1:3" x14ac:dyDescent="0.3">
      <c r="A24" s="52"/>
      <c r="B24" s="52"/>
      <c r="C24" s="52"/>
    </row>
    <row r="25" spans="1:3" ht="12.75" customHeight="1" x14ac:dyDescent="0.3">
      <c r="A25" s="2" t="s">
        <v>46</v>
      </c>
      <c r="B25" s="52" t="s">
        <v>26</v>
      </c>
      <c r="C25" s="52"/>
    </row>
    <row r="26" spans="1:3" x14ac:dyDescent="0.3">
      <c r="A26" s="52"/>
      <c r="B26" s="52"/>
      <c r="C26" s="52"/>
    </row>
    <row r="27" spans="1:3" ht="12.75" customHeight="1" x14ac:dyDescent="0.3">
      <c r="A27" s="2" t="s">
        <v>45</v>
      </c>
      <c r="B27" s="52" t="s">
        <v>29</v>
      </c>
      <c r="C27" s="52"/>
    </row>
    <row r="28" spans="1:3" ht="12.75" customHeight="1" x14ac:dyDescent="0.3">
      <c r="A28" s="1" t="s">
        <v>44</v>
      </c>
      <c r="B28" s="52" t="s">
        <v>26</v>
      </c>
      <c r="C28" s="52"/>
    </row>
    <row r="29" spans="1:3" ht="12.75" customHeight="1" x14ac:dyDescent="0.3">
      <c r="A29" s="1" t="s">
        <v>43</v>
      </c>
      <c r="B29" s="52" t="s">
        <v>42</v>
      </c>
      <c r="C29" s="52"/>
    </row>
    <row r="30" spans="1:3" ht="12.75" customHeight="1" x14ac:dyDescent="0.3">
      <c r="A30" s="1" t="s">
        <v>41</v>
      </c>
      <c r="B30" s="52" t="s">
        <v>26</v>
      </c>
      <c r="C30" s="52"/>
    </row>
    <row r="31" spans="1:3" ht="12.75" customHeight="1" x14ac:dyDescent="0.3">
      <c r="A31" s="1" t="s">
        <v>40</v>
      </c>
      <c r="B31" s="52" t="s">
        <v>26</v>
      </c>
      <c r="C31" s="52"/>
    </row>
    <row r="32" spans="1:3" x14ac:dyDescent="0.3">
      <c r="A32" s="52"/>
      <c r="B32" s="52"/>
      <c r="C32" s="52"/>
    </row>
    <row r="33" spans="1:3" ht="25.65" customHeight="1" x14ac:dyDescent="0.3">
      <c r="A33" s="2" t="s">
        <v>39</v>
      </c>
      <c r="B33" s="52" t="s">
        <v>814</v>
      </c>
      <c r="C33" s="52"/>
    </row>
    <row r="34" spans="1:3" x14ac:dyDescent="0.3">
      <c r="A34" s="52"/>
      <c r="B34" s="52"/>
      <c r="C34" s="52"/>
    </row>
    <row r="35" spans="1:3" ht="64.2" customHeight="1" x14ac:dyDescent="0.3">
      <c r="A35" s="2" t="s">
        <v>37</v>
      </c>
      <c r="B35" s="52" t="s">
        <v>815</v>
      </c>
      <c r="C35" s="52"/>
    </row>
    <row r="36" spans="1:3" ht="102.45" customHeight="1" x14ac:dyDescent="0.3">
      <c r="A36" s="1" t="s">
        <v>29</v>
      </c>
      <c r="B36" s="52" t="s">
        <v>816</v>
      </c>
      <c r="C36" s="52"/>
    </row>
    <row r="37" spans="1:3" ht="25.65" customHeight="1" x14ac:dyDescent="0.3">
      <c r="A37" s="1" t="s">
        <v>29</v>
      </c>
      <c r="B37" s="52" t="s">
        <v>817</v>
      </c>
      <c r="C37" s="52"/>
    </row>
    <row r="38" spans="1:3" ht="89.7" customHeight="1" x14ac:dyDescent="0.3">
      <c r="A38" s="1" t="s">
        <v>29</v>
      </c>
      <c r="B38" s="52" t="s">
        <v>286</v>
      </c>
      <c r="C38" s="52"/>
    </row>
    <row r="39" spans="1:3" ht="25.65" customHeight="1" x14ac:dyDescent="0.3">
      <c r="A39" s="1" t="s">
        <v>29</v>
      </c>
      <c r="B39" s="52" t="s">
        <v>32</v>
      </c>
      <c r="C39" s="52"/>
    </row>
    <row r="40" spans="1:3" ht="51.15" customHeight="1" x14ac:dyDescent="0.3">
      <c r="A40" s="1" t="s">
        <v>29</v>
      </c>
      <c r="B40" s="52" t="s">
        <v>818</v>
      </c>
      <c r="C40" s="52"/>
    </row>
    <row r="41" spans="1:3" ht="38.4" customHeight="1" x14ac:dyDescent="0.3">
      <c r="A41" s="1" t="s">
        <v>29</v>
      </c>
      <c r="B41" s="52" t="s">
        <v>819</v>
      </c>
      <c r="C41" s="52"/>
    </row>
    <row r="42" spans="1:3" ht="153.6" customHeight="1" x14ac:dyDescent="0.3">
      <c r="A42" s="1" t="s">
        <v>29</v>
      </c>
      <c r="B42" s="52" t="s">
        <v>638</v>
      </c>
      <c r="C42" s="52"/>
    </row>
    <row r="43" spans="1:3" x14ac:dyDescent="0.3">
      <c r="A43" s="52"/>
      <c r="B43" s="52"/>
      <c r="C43" s="52"/>
    </row>
    <row r="44" spans="1:3" ht="12.75" customHeight="1" x14ac:dyDescent="0.3">
      <c r="A44" s="2" t="s">
        <v>27</v>
      </c>
      <c r="B44" s="52" t="s">
        <v>26</v>
      </c>
      <c r="C44" s="52"/>
    </row>
    <row r="45" spans="1:3" x14ac:dyDescent="0.3">
      <c r="A45" s="52"/>
      <c r="B45" s="52"/>
      <c r="C45" s="52"/>
    </row>
  </sheetData>
  <mergeCells count="45">
    <mergeCell ref="B12:C12"/>
    <mergeCell ref="A1:B1"/>
    <mergeCell ref="A2:C2"/>
    <mergeCell ref="A3:C3"/>
    <mergeCell ref="A4:C4"/>
    <mergeCell ref="B5:C5"/>
    <mergeCell ref="B6:C6"/>
    <mergeCell ref="B7:C7"/>
    <mergeCell ref="B8:C8"/>
    <mergeCell ref="B9:C9"/>
    <mergeCell ref="B10:C10"/>
    <mergeCell ref="B11:C11"/>
    <mergeCell ref="A24:C24"/>
    <mergeCell ref="B13:C13"/>
    <mergeCell ref="A14:C14"/>
    <mergeCell ref="B15:C15"/>
    <mergeCell ref="B16:C16"/>
    <mergeCell ref="B17:C17"/>
    <mergeCell ref="B18:C18"/>
    <mergeCell ref="B19:C19"/>
    <mergeCell ref="A20:C20"/>
    <mergeCell ref="B21:C21"/>
    <mergeCell ref="A22:C22"/>
    <mergeCell ref="B23:C23"/>
    <mergeCell ref="B36:C36"/>
    <mergeCell ref="B25:C25"/>
    <mergeCell ref="A26:C26"/>
    <mergeCell ref="B27:C27"/>
    <mergeCell ref="B28:C28"/>
    <mergeCell ref="B29:C29"/>
    <mergeCell ref="B30:C30"/>
    <mergeCell ref="B31:C31"/>
    <mergeCell ref="A32:C32"/>
    <mergeCell ref="B33:C33"/>
    <mergeCell ref="A34:C34"/>
    <mergeCell ref="B35:C35"/>
    <mergeCell ref="A43:C43"/>
    <mergeCell ref="B44:C44"/>
    <mergeCell ref="A45:C45"/>
    <mergeCell ref="B37:C37"/>
    <mergeCell ref="B38:C38"/>
    <mergeCell ref="B39:C39"/>
    <mergeCell ref="B40:C40"/>
    <mergeCell ref="B41:C41"/>
    <mergeCell ref="B42:C42"/>
  </mergeCells>
  <printOptions gridLines="1"/>
  <pageMargins left="0.7" right="0.7" top="0.75" bottom="0.75" header="0.3" footer="0.3"/>
  <pageSetup fitToHeight="0" orientation="landscape"/>
  <headerFooter>
    <oddHeader>&amp;LTable: ACSDT1Y2022.B08301</oddHeader>
    <oddFooter>&amp;L&amp;Bdata.census.gov&amp;B | Measuring America's People, Places, and Economy &amp;R&amp;P</oddFooter>
    <evenHeader>&amp;LTable: ACSDT1Y2022.B08301</evenHeader>
    <evenFooter>&amp;L&amp;Bdata.census.gov&amp;B | Measuring America's People, Places, and Economy &amp;R&amp;P</even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21B05-CA97-4DD9-910F-0263BEB19B89}">
  <sheetPr>
    <tabColor theme="5" tint="0.59999389629810485"/>
  </sheetPr>
  <dimension ref="A1:Q27"/>
  <sheetViews>
    <sheetView zoomScale="85" zoomScaleNormal="85" workbookViewId="0">
      <pane xSplit="1" ySplit="2" topLeftCell="B3" activePane="bottomRight" state="frozen"/>
      <selection activeCell="F23" sqref="F23"/>
      <selection pane="topRight" activeCell="F23" sqref="F23"/>
      <selection pane="bottomLeft" activeCell="F23" sqref="F23"/>
      <selection pane="bottomRight" activeCell="B27" sqref="A25:B27"/>
    </sheetView>
  </sheetViews>
  <sheetFormatPr defaultRowHeight="14.4" x14ac:dyDescent="0.3"/>
  <cols>
    <col min="1" max="1" width="30" style="4" customWidth="1"/>
    <col min="2" max="17" width="20" style="4" customWidth="1"/>
  </cols>
  <sheetData>
    <row r="1" spans="1:17" ht="30" customHeight="1" x14ac:dyDescent="0.3">
      <c r="A1" s="8" t="s">
        <v>29</v>
      </c>
      <c r="B1" s="55" t="s">
        <v>280</v>
      </c>
      <c r="C1" s="55"/>
      <c r="D1" s="55" t="s">
        <v>279</v>
      </c>
      <c r="E1" s="55"/>
      <c r="F1" s="55" t="s">
        <v>278</v>
      </c>
      <c r="G1" s="55"/>
      <c r="H1" s="55" t="s">
        <v>276</v>
      </c>
      <c r="I1" s="55"/>
      <c r="J1" s="55" t="s">
        <v>275</v>
      </c>
      <c r="K1" s="55"/>
      <c r="L1" s="55" t="s">
        <v>274</v>
      </c>
      <c r="M1" s="55"/>
      <c r="N1" s="55" t="s">
        <v>273</v>
      </c>
      <c r="O1" s="55"/>
      <c r="P1" s="55" t="s">
        <v>272</v>
      </c>
      <c r="Q1" s="55"/>
    </row>
    <row r="2" spans="1:17" ht="30" customHeight="1" x14ac:dyDescent="0.3">
      <c r="A2" s="8" t="s">
        <v>271</v>
      </c>
      <c r="B2" s="8" t="s">
        <v>270</v>
      </c>
      <c r="C2" s="8" t="s">
        <v>269</v>
      </c>
      <c r="D2" s="8" t="s">
        <v>270</v>
      </c>
      <c r="E2" s="8" t="s">
        <v>269</v>
      </c>
      <c r="F2" s="8" t="s">
        <v>270</v>
      </c>
      <c r="G2" s="8" t="s">
        <v>269</v>
      </c>
      <c r="H2" s="8" t="s">
        <v>270</v>
      </c>
      <c r="I2" s="8" t="s">
        <v>269</v>
      </c>
      <c r="J2" s="8" t="s">
        <v>270</v>
      </c>
      <c r="K2" s="8" t="s">
        <v>269</v>
      </c>
      <c r="L2" s="8" t="s">
        <v>270</v>
      </c>
      <c r="M2" s="8" t="s">
        <v>269</v>
      </c>
      <c r="N2" s="8" t="s">
        <v>270</v>
      </c>
      <c r="O2" s="8" t="s">
        <v>269</v>
      </c>
      <c r="P2" s="8" t="s">
        <v>270</v>
      </c>
      <c r="Q2" s="8" t="s">
        <v>269</v>
      </c>
    </row>
    <row r="3" spans="1:17" x14ac:dyDescent="0.3">
      <c r="A3" s="4" t="s">
        <v>268</v>
      </c>
      <c r="B3" s="9">
        <v>835685</v>
      </c>
      <c r="C3" s="4" t="s">
        <v>820</v>
      </c>
      <c r="D3" s="9">
        <v>555483</v>
      </c>
      <c r="E3" s="4" t="s">
        <v>821</v>
      </c>
      <c r="F3" s="9">
        <v>122594</v>
      </c>
      <c r="G3" s="4" t="s">
        <v>822</v>
      </c>
      <c r="H3" s="9">
        <v>465181</v>
      </c>
      <c r="I3" s="4" t="s">
        <v>823</v>
      </c>
      <c r="J3" s="9">
        <v>375625</v>
      </c>
      <c r="K3" s="4" t="s">
        <v>824</v>
      </c>
      <c r="L3" s="9">
        <v>967786</v>
      </c>
      <c r="M3" s="4" t="s">
        <v>825</v>
      </c>
      <c r="N3" s="9">
        <v>202290</v>
      </c>
      <c r="O3" s="4" t="s">
        <v>826</v>
      </c>
      <c r="P3" s="9">
        <v>240821</v>
      </c>
      <c r="Q3" s="4" t="s">
        <v>827</v>
      </c>
    </row>
    <row r="4" spans="1:17" x14ac:dyDescent="0.3">
      <c r="A4" s="5" t="s">
        <v>259</v>
      </c>
      <c r="B4" s="9">
        <v>495616</v>
      </c>
      <c r="C4" s="4" t="s">
        <v>828</v>
      </c>
      <c r="D4" s="9">
        <v>390453</v>
      </c>
      <c r="E4" s="4" t="s">
        <v>829</v>
      </c>
      <c r="F4" s="9">
        <v>68395</v>
      </c>
      <c r="G4" s="4" t="s">
        <v>830</v>
      </c>
      <c r="H4" s="9">
        <v>163366</v>
      </c>
      <c r="I4" s="4" t="s">
        <v>831</v>
      </c>
      <c r="J4" s="9">
        <v>245456</v>
      </c>
      <c r="K4" s="4" t="s">
        <v>832</v>
      </c>
      <c r="L4" s="9">
        <v>659260</v>
      </c>
      <c r="M4" s="4" t="s">
        <v>833</v>
      </c>
      <c r="N4" s="9">
        <v>167990</v>
      </c>
      <c r="O4" s="4" t="s">
        <v>834</v>
      </c>
      <c r="P4" s="9">
        <v>193211</v>
      </c>
      <c r="Q4" s="4" t="s">
        <v>835</v>
      </c>
    </row>
    <row r="5" spans="1:17" x14ac:dyDescent="0.3">
      <c r="A5" s="6" t="s">
        <v>249</v>
      </c>
      <c r="B5" s="9">
        <v>430950</v>
      </c>
      <c r="C5" s="4" t="s">
        <v>836</v>
      </c>
      <c r="D5" s="9">
        <v>333309</v>
      </c>
      <c r="E5" s="4" t="s">
        <v>837</v>
      </c>
      <c r="F5" s="9">
        <v>61421</v>
      </c>
      <c r="G5" s="4" t="s">
        <v>838</v>
      </c>
      <c r="H5" s="9">
        <v>135266</v>
      </c>
      <c r="I5" s="4" t="s">
        <v>839</v>
      </c>
      <c r="J5" s="9">
        <v>210245</v>
      </c>
      <c r="K5" s="4" t="s">
        <v>840</v>
      </c>
      <c r="L5" s="9">
        <v>573510</v>
      </c>
      <c r="M5" s="4" t="s">
        <v>841</v>
      </c>
      <c r="N5" s="9">
        <v>143896</v>
      </c>
      <c r="O5" s="4" t="s">
        <v>842</v>
      </c>
      <c r="P5" s="9">
        <v>173114</v>
      </c>
      <c r="Q5" s="4" t="s">
        <v>834</v>
      </c>
    </row>
    <row r="6" spans="1:17" x14ac:dyDescent="0.3">
      <c r="A6" s="6" t="s">
        <v>239</v>
      </c>
      <c r="B6" s="9">
        <v>64666</v>
      </c>
      <c r="C6" s="4" t="s">
        <v>843</v>
      </c>
      <c r="D6" s="9">
        <v>57144</v>
      </c>
      <c r="E6" s="4" t="s">
        <v>844</v>
      </c>
      <c r="F6" s="9">
        <v>6974</v>
      </c>
      <c r="G6" s="4" t="s">
        <v>845</v>
      </c>
      <c r="H6" s="9">
        <v>28100</v>
      </c>
      <c r="I6" s="4" t="s">
        <v>846</v>
      </c>
      <c r="J6" s="9">
        <v>35211</v>
      </c>
      <c r="K6" s="4" t="s">
        <v>847</v>
      </c>
      <c r="L6" s="9">
        <v>85750</v>
      </c>
      <c r="M6" s="4" t="s">
        <v>848</v>
      </c>
      <c r="N6" s="9">
        <v>24094</v>
      </c>
      <c r="O6" s="4" t="s">
        <v>849</v>
      </c>
      <c r="P6" s="9">
        <v>20097</v>
      </c>
      <c r="Q6" s="4" t="s">
        <v>850</v>
      </c>
    </row>
    <row r="7" spans="1:17" x14ac:dyDescent="0.3">
      <c r="A7" s="7" t="s">
        <v>230</v>
      </c>
      <c r="B7" s="9">
        <v>50841</v>
      </c>
      <c r="C7" s="4" t="s">
        <v>851</v>
      </c>
      <c r="D7" s="9">
        <v>42207</v>
      </c>
      <c r="E7" s="4" t="s">
        <v>852</v>
      </c>
      <c r="F7" s="9">
        <v>5753</v>
      </c>
      <c r="G7" s="4" t="s">
        <v>853</v>
      </c>
      <c r="H7" s="9">
        <v>19888</v>
      </c>
      <c r="I7" s="4" t="s">
        <v>854</v>
      </c>
      <c r="J7" s="9">
        <v>25185</v>
      </c>
      <c r="K7" s="4" t="s">
        <v>855</v>
      </c>
      <c r="L7" s="9">
        <v>63413</v>
      </c>
      <c r="M7" s="4" t="s">
        <v>856</v>
      </c>
      <c r="N7" s="9">
        <v>17661</v>
      </c>
      <c r="O7" s="4" t="s">
        <v>857</v>
      </c>
      <c r="P7" s="9">
        <v>15431</v>
      </c>
      <c r="Q7" s="4" t="s">
        <v>858</v>
      </c>
    </row>
    <row r="8" spans="1:17" x14ac:dyDescent="0.3">
      <c r="A8" s="7" t="s">
        <v>220</v>
      </c>
      <c r="B8" s="9">
        <v>10113</v>
      </c>
      <c r="C8" s="4" t="s">
        <v>859</v>
      </c>
      <c r="D8" s="9">
        <v>11394</v>
      </c>
      <c r="E8" s="4" t="s">
        <v>860</v>
      </c>
      <c r="F8" s="4">
        <v>855</v>
      </c>
      <c r="G8" s="4" t="s">
        <v>411</v>
      </c>
      <c r="H8" s="9">
        <v>4511</v>
      </c>
      <c r="I8" s="4" t="s">
        <v>861</v>
      </c>
      <c r="J8" s="9">
        <v>5221</v>
      </c>
      <c r="K8" s="4" t="s">
        <v>554</v>
      </c>
      <c r="L8" s="9">
        <v>13374</v>
      </c>
      <c r="M8" s="4" t="s">
        <v>862</v>
      </c>
      <c r="N8" s="9">
        <v>4640</v>
      </c>
      <c r="O8" s="4" t="s">
        <v>863</v>
      </c>
      <c r="P8" s="9">
        <v>1506</v>
      </c>
      <c r="Q8" s="4" t="s">
        <v>331</v>
      </c>
    </row>
    <row r="9" spans="1:17" x14ac:dyDescent="0.3">
      <c r="A9" s="7" t="s">
        <v>210</v>
      </c>
      <c r="B9" s="9">
        <v>2229</v>
      </c>
      <c r="C9" s="4" t="s">
        <v>864</v>
      </c>
      <c r="D9" s="9">
        <v>2103</v>
      </c>
      <c r="E9" s="4" t="s">
        <v>865</v>
      </c>
      <c r="F9" s="4">
        <v>366</v>
      </c>
      <c r="G9" s="4" t="s">
        <v>866</v>
      </c>
      <c r="H9" s="9">
        <v>2521</v>
      </c>
      <c r="I9" s="4" t="s">
        <v>867</v>
      </c>
      <c r="J9" s="9">
        <v>3593</v>
      </c>
      <c r="K9" s="4" t="s">
        <v>868</v>
      </c>
      <c r="L9" s="9">
        <v>5573</v>
      </c>
      <c r="M9" s="4" t="s">
        <v>869</v>
      </c>
      <c r="N9" s="4">
        <v>893</v>
      </c>
      <c r="O9" s="4" t="s">
        <v>870</v>
      </c>
      <c r="P9" s="9">
        <v>2272</v>
      </c>
      <c r="Q9" s="4" t="s">
        <v>871</v>
      </c>
    </row>
    <row r="10" spans="1:17" x14ac:dyDescent="0.3">
      <c r="A10" s="7" t="s">
        <v>201</v>
      </c>
      <c r="B10" s="9">
        <v>1280</v>
      </c>
      <c r="C10" s="4" t="s">
        <v>872</v>
      </c>
      <c r="D10" s="4">
        <v>968</v>
      </c>
      <c r="E10" s="4" t="s">
        <v>873</v>
      </c>
      <c r="F10" s="4">
        <v>0</v>
      </c>
      <c r="G10" s="4" t="s">
        <v>580</v>
      </c>
      <c r="H10" s="4">
        <v>794</v>
      </c>
      <c r="I10" s="4" t="s">
        <v>207</v>
      </c>
      <c r="J10" s="9">
        <v>1082</v>
      </c>
      <c r="K10" s="4" t="s">
        <v>874</v>
      </c>
      <c r="L10" s="9">
        <v>1527</v>
      </c>
      <c r="M10" s="4" t="s">
        <v>875</v>
      </c>
      <c r="N10" s="4">
        <v>656</v>
      </c>
      <c r="O10" s="4" t="s">
        <v>876</v>
      </c>
      <c r="P10" s="4">
        <v>380</v>
      </c>
      <c r="Q10" s="4" t="s">
        <v>877</v>
      </c>
    </row>
    <row r="11" spans="1:17" x14ac:dyDescent="0.3">
      <c r="A11" s="7" t="s">
        <v>191</v>
      </c>
      <c r="B11" s="4">
        <v>203</v>
      </c>
      <c r="C11" s="4" t="s">
        <v>878</v>
      </c>
      <c r="D11" s="4">
        <v>472</v>
      </c>
      <c r="E11" s="4" t="s">
        <v>879</v>
      </c>
      <c r="F11" s="4">
        <v>0</v>
      </c>
      <c r="G11" s="4" t="s">
        <v>580</v>
      </c>
      <c r="H11" s="4">
        <v>386</v>
      </c>
      <c r="I11" s="4" t="s">
        <v>880</v>
      </c>
      <c r="J11" s="4">
        <v>130</v>
      </c>
      <c r="K11" s="4" t="s">
        <v>576</v>
      </c>
      <c r="L11" s="9">
        <v>1863</v>
      </c>
      <c r="M11" s="4" t="s">
        <v>881</v>
      </c>
      <c r="N11" s="4">
        <v>244</v>
      </c>
      <c r="O11" s="4" t="s">
        <v>127</v>
      </c>
      <c r="P11" s="4">
        <v>508</v>
      </c>
      <c r="Q11" s="4" t="s">
        <v>686</v>
      </c>
    </row>
    <row r="12" spans="1:17" ht="28.8" x14ac:dyDescent="0.3">
      <c r="A12" s="5" t="s">
        <v>181</v>
      </c>
      <c r="B12" s="9">
        <v>57111</v>
      </c>
      <c r="C12" s="4" t="s">
        <v>882</v>
      </c>
      <c r="D12" s="9">
        <v>25259</v>
      </c>
      <c r="E12" s="4" t="s">
        <v>883</v>
      </c>
      <c r="F12" s="9">
        <v>6147</v>
      </c>
      <c r="G12" s="4" t="s">
        <v>884</v>
      </c>
      <c r="H12" s="9">
        <v>78649</v>
      </c>
      <c r="I12" s="4" t="s">
        <v>885</v>
      </c>
      <c r="J12" s="9">
        <v>15459</v>
      </c>
      <c r="K12" s="4" t="s">
        <v>886</v>
      </c>
      <c r="L12" s="9">
        <v>19997</v>
      </c>
      <c r="M12" s="4" t="s">
        <v>887</v>
      </c>
      <c r="N12" s="9">
        <v>1977</v>
      </c>
      <c r="O12" s="4" t="s">
        <v>888</v>
      </c>
      <c r="P12" s="9">
        <v>2180</v>
      </c>
      <c r="Q12" s="4" t="s">
        <v>889</v>
      </c>
    </row>
    <row r="13" spans="1:17" x14ac:dyDescent="0.3">
      <c r="A13" s="6" t="s">
        <v>390</v>
      </c>
      <c r="B13" s="9">
        <v>17073</v>
      </c>
      <c r="C13" s="4" t="s">
        <v>890</v>
      </c>
      <c r="D13" s="9">
        <v>5811</v>
      </c>
      <c r="E13" s="4" t="s">
        <v>89</v>
      </c>
      <c r="F13" s="9">
        <v>4813</v>
      </c>
      <c r="G13" s="4" t="s">
        <v>891</v>
      </c>
      <c r="H13" s="9">
        <v>52619</v>
      </c>
      <c r="I13" s="4" t="s">
        <v>892</v>
      </c>
      <c r="J13" s="9">
        <v>5990</v>
      </c>
      <c r="K13" s="4" t="s">
        <v>893</v>
      </c>
      <c r="L13" s="9">
        <v>12914</v>
      </c>
      <c r="M13" s="4" t="s">
        <v>894</v>
      </c>
      <c r="N13" s="4">
        <v>353</v>
      </c>
      <c r="O13" s="4" t="s">
        <v>895</v>
      </c>
      <c r="P13" s="9">
        <v>1129</v>
      </c>
      <c r="Q13" s="4" t="s">
        <v>880</v>
      </c>
    </row>
    <row r="14" spans="1:17" x14ac:dyDescent="0.3">
      <c r="A14" s="6" t="s">
        <v>381</v>
      </c>
      <c r="B14" s="9">
        <v>31117</v>
      </c>
      <c r="C14" s="4" t="s">
        <v>896</v>
      </c>
      <c r="D14" s="9">
        <v>14230</v>
      </c>
      <c r="E14" s="4" t="s">
        <v>897</v>
      </c>
      <c r="F14" s="4">
        <v>0</v>
      </c>
      <c r="G14" s="4" t="s">
        <v>580</v>
      </c>
      <c r="H14" s="9">
        <v>14815</v>
      </c>
      <c r="I14" s="4" t="s">
        <v>898</v>
      </c>
      <c r="J14" s="9">
        <v>4839</v>
      </c>
      <c r="K14" s="4" t="s">
        <v>899</v>
      </c>
      <c r="L14" s="9">
        <v>1567</v>
      </c>
      <c r="M14" s="4" t="s">
        <v>900</v>
      </c>
      <c r="N14" s="4">
        <v>180</v>
      </c>
      <c r="O14" s="4" t="s">
        <v>901</v>
      </c>
      <c r="P14" s="4">
        <v>176</v>
      </c>
      <c r="Q14" s="4" t="s">
        <v>902</v>
      </c>
    </row>
    <row r="15" spans="1:17" ht="28.8" x14ac:dyDescent="0.3">
      <c r="A15" s="6" t="s">
        <v>372</v>
      </c>
      <c r="B15" s="9">
        <v>4699</v>
      </c>
      <c r="C15" s="4" t="s">
        <v>483</v>
      </c>
      <c r="D15" s="9">
        <v>3884</v>
      </c>
      <c r="E15" s="4" t="s">
        <v>903</v>
      </c>
      <c r="F15" s="4">
        <v>0</v>
      </c>
      <c r="G15" s="4" t="s">
        <v>580</v>
      </c>
      <c r="H15" s="9">
        <v>5855</v>
      </c>
      <c r="I15" s="4" t="s">
        <v>904</v>
      </c>
      <c r="J15" s="9">
        <v>4494</v>
      </c>
      <c r="K15" s="4" t="s">
        <v>905</v>
      </c>
      <c r="L15" s="9">
        <v>3527</v>
      </c>
      <c r="M15" s="4" t="s">
        <v>906</v>
      </c>
      <c r="N15" s="4">
        <v>204</v>
      </c>
      <c r="O15" s="4" t="s">
        <v>907</v>
      </c>
      <c r="P15" s="4">
        <v>875</v>
      </c>
      <c r="Q15" s="4" t="s">
        <v>873</v>
      </c>
    </row>
    <row r="16" spans="1:17" ht="28.8" x14ac:dyDescent="0.3">
      <c r="A16" s="6" t="s">
        <v>363</v>
      </c>
      <c r="B16" s="4">
        <v>910</v>
      </c>
      <c r="C16" s="4" t="s">
        <v>908</v>
      </c>
      <c r="D16" s="4">
        <v>703</v>
      </c>
      <c r="E16" s="4" t="s">
        <v>157</v>
      </c>
      <c r="F16" s="4">
        <v>0</v>
      </c>
      <c r="G16" s="4" t="s">
        <v>580</v>
      </c>
      <c r="H16" s="9">
        <v>5125</v>
      </c>
      <c r="I16" s="4" t="s">
        <v>909</v>
      </c>
      <c r="J16" s="4">
        <v>136</v>
      </c>
      <c r="K16" s="4" t="s">
        <v>910</v>
      </c>
      <c r="L16" s="9">
        <v>1989</v>
      </c>
      <c r="M16" s="4" t="s">
        <v>611</v>
      </c>
      <c r="N16" s="4">
        <v>42</v>
      </c>
      <c r="O16" s="4" t="s">
        <v>911</v>
      </c>
      <c r="P16" s="4">
        <v>0</v>
      </c>
      <c r="Q16" s="4" t="s">
        <v>580</v>
      </c>
    </row>
    <row r="17" spans="1:17" x14ac:dyDescent="0.3">
      <c r="A17" s="6" t="s">
        <v>138</v>
      </c>
      <c r="B17" s="9">
        <v>3312</v>
      </c>
      <c r="C17" s="4" t="s">
        <v>912</v>
      </c>
      <c r="D17" s="4">
        <v>631</v>
      </c>
      <c r="E17" s="4" t="s">
        <v>913</v>
      </c>
      <c r="F17" s="9">
        <v>1334</v>
      </c>
      <c r="G17" s="4" t="s">
        <v>914</v>
      </c>
      <c r="H17" s="4">
        <v>235</v>
      </c>
      <c r="I17" s="4" t="s">
        <v>915</v>
      </c>
      <c r="J17" s="4">
        <v>0</v>
      </c>
      <c r="K17" s="4" t="s">
        <v>580</v>
      </c>
      <c r="L17" s="4">
        <v>0</v>
      </c>
      <c r="M17" s="4" t="s">
        <v>580</v>
      </c>
      <c r="N17" s="9">
        <v>1198</v>
      </c>
      <c r="O17" s="4" t="s">
        <v>916</v>
      </c>
      <c r="P17" s="4">
        <v>0</v>
      </c>
      <c r="Q17" s="4" t="s">
        <v>580</v>
      </c>
    </row>
    <row r="18" spans="1:17" x14ac:dyDescent="0.3">
      <c r="A18" s="5" t="s">
        <v>130</v>
      </c>
      <c r="B18" s="9">
        <v>3758</v>
      </c>
      <c r="C18" s="4" t="s">
        <v>917</v>
      </c>
      <c r="D18" s="4">
        <v>359</v>
      </c>
      <c r="E18" s="4" t="s">
        <v>111</v>
      </c>
      <c r="F18" s="4">
        <v>0</v>
      </c>
      <c r="G18" s="4" t="s">
        <v>580</v>
      </c>
      <c r="H18" s="9">
        <v>2482</v>
      </c>
      <c r="I18" s="4" t="s">
        <v>918</v>
      </c>
      <c r="J18" s="4">
        <v>791</v>
      </c>
      <c r="K18" s="4" t="s">
        <v>919</v>
      </c>
      <c r="L18" s="9">
        <v>3461</v>
      </c>
      <c r="M18" s="4" t="s">
        <v>920</v>
      </c>
      <c r="N18" s="4">
        <v>46</v>
      </c>
      <c r="O18" s="4" t="s">
        <v>921</v>
      </c>
      <c r="P18" s="4">
        <v>0</v>
      </c>
      <c r="Q18" s="4" t="s">
        <v>580</v>
      </c>
    </row>
    <row r="19" spans="1:17" x14ac:dyDescent="0.3">
      <c r="A19" s="5" t="s">
        <v>120</v>
      </c>
      <c r="B19" s="9">
        <v>1181</v>
      </c>
      <c r="C19" s="4" t="s">
        <v>922</v>
      </c>
      <c r="D19" s="9">
        <v>1432</v>
      </c>
      <c r="E19" s="4" t="s">
        <v>923</v>
      </c>
      <c r="F19" s="4">
        <v>120</v>
      </c>
      <c r="G19" s="4" t="s">
        <v>924</v>
      </c>
      <c r="H19" s="9">
        <v>1631</v>
      </c>
      <c r="I19" s="4" t="s">
        <v>159</v>
      </c>
      <c r="J19" s="4">
        <v>362</v>
      </c>
      <c r="K19" s="4" t="s">
        <v>925</v>
      </c>
      <c r="L19" s="9">
        <v>1272</v>
      </c>
      <c r="M19" s="4" t="s">
        <v>926</v>
      </c>
      <c r="N19" s="4">
        <v>411</v>
      </c>
      <c r="O19" s="4" t="s">
        <v>927</v>
      </c>
      <c r="P19" s="4">
        <v>338</v>
      </c>
      <c r="Q19" s="4" t="s">
        <v>511</v>
      </c>
    </row>
    <row r="20" spans="1:17" x14ac:dyDescent="0.3">
      <c r="A20" s="5" t="s">
        <v>110</v>
      </c>
      <c r="B20" s="9">
        <v>11582</v>
      </c>
      <c r="C20" s="4" t="s">
        <v>928</v>
      </c>
      <c r="D20" s="9">
        <v>2317</v>
      </c>
      <c r="E20" s="4" t="s">
        <v>929</v>
      </c>
      <c r="F20" s="9">
        <v>1831</v>
      </c>
      <c r="G20" s="4" t="s">
        <v>930</v>
      </c>
      <c r="H20" s="9">
        <v>15986</v>
      </c>
      <c r="I20" s="4" t="s">
        <v>931</v>
      </c>
      <c r="J20" s="9">
        <v>4773</v>
      </c>
      <c r="K20" s="4" t="s">
        <v>932</v>
      </c>
      <c r="L20" s="9">
        <v>14613</v>
      </c>
      <c r="M20" s="4" t="s">
        <v>933</v>
      </c>
      <c r="N20" s="4">
        <v>620</v>
      </c>
      <c r="O20" s="4" t="s">
        <v>934</v>
      </c>
      <c r="P20" s="9">
        <v>2013</v>
      </c>
      <c r="Q20" s="4" t="s">
        <v>935</v>
      </c>
    </row>
    <row r="21" spans="1:17" x14ac:dyDescent="0.3">
      <c r="A21" s="5" t="s">
        <v>100</v>
      </c>
      <c r="B21" s="9">
        <v>21924</v>
      </c>
      <c r="C21" s="4" t="s">
        <v>936</v>
      </c>
      <c r="D21" s="9">
        <v>13386</v>
      </c>
      <c r="E21" s="4" t="s">
        <v>937</v>
      </c>
      <c r="F21" s="9">
        <v>4329</v>
      </c>
      <c r="G21" s="4" t="s">
        <v>938</v>
      </c>
      <c r="H21" s="9">
        <v>43512</v>
      </c>
      <c r="I21" s="4" t="s">
        <v>939</v>
      </c>
      <c r="J21" s="9">
        <v>9060</v>
      </c>
      <c r="K21" s="4" t="s">
        <v>698</v>
      </c>
      <c r="L21" s="9">
        <v>19283</v>
      </c>
      <c r="M21" s="4" t="s">
        <v>940</v>
      </c>
      <c r="N21" s="9">
        <v>2356</v>
      </c>
      <c r="O21" s="4" t="s">
        <v>941</v>
      </c>
      <c r="P21" s="9">
        <v>5751</v>
      </c>
      <c r="Q21" s="4" t="s">
        <v>942</v>
      </c>
    </row>
    <row r="22" spans="1:17" x14ac:dyDescent="0.3">
      <c r="A22" s="5" t="s">
        <v>90</v>
      </c>
      <c r="B22" s="9">
        <v>10485</v>
      </c>
      <c r="C22" s="4" t="s">
        <v>943</v>
      </c>
      <c r="D22" s="9">
        <v>7118</v>
      </c>
      <c r="E22" s="4" t="s">
        <v>944</v>
      </c>
      <c r="F22" s="9">
        <v>1648</v>
      </c>
      <c r="G22" s="4" t="s">
        <v>697</v>
      </c>
      <c r="H22" s="9">
        <v>8241</v>
      </c>
      <c r="I22" s="4" t="s">
        <v>945</v>
      </c>
      <c r="J22" s="9">
        <v>4297</v>
      </c>
      <c r="K22" s="4" t="s">
        <v>946</v>
      </c>
      <c r="L22" s="9">
        <v>9528</v>
      </c>
      <c r="M22" s="4" t="s">
        <v>947</v>
      </c>
      <c r="N22" s="9">
        <v>2321</v>
      </c>
      <c r="O22" s="4" t="s">
        <v>948</v>
      </c>
      <c r="P22" s="9">
        <v>2202</v>
      </c>
      <c r="Q22" s="4" t="s">
        <v>949</v>
      </c>
    </row>
    <row r="23" spans="1:17" x14ac:dyDescent="0.3">
      <c r="A23" s="5" t="s">
        <v>302</v>
      </c>
      <c r="B23" s="9">
        <v>234028</v>
      </c>
      <c r="C23" s="4" t="s">
        <v>950</v>
      </c>
      <c r="D23" s="9">
        <v>115159</v>
      </c>
      <c r="E23" s="4" t="s">
        <v>951</v>
      </c>
      <c r="F23" s="9">
        <v>40124</v>
      </c>
      <c r="G23" s="4" t="s">
        <v>952</v>
      </c>
      <c r="H23" s="9">
        <v>151314</v>
      </c>
      <c r="I23" s="4" t="s">
        <v>953</v>
      </c>
      <c r="J23" s="9">
        <v>95427</v>
      </c>
      <c r="K23" s="4" t="s">
        <v>954</v>
      </c>
      <c r="L23" s="9">
        <v>240372</v>
      </c>
      <c r="M23" s="4" t="s">
        <v>955</v>
      </c>
      <c r="N23" s="9">
        <v>26569</v>
      </c>
      <c r="O23" s="4" t="s">
        <v>956</v>
      </c>
      <c r="P23" s="9">
        <v>35126</v>
      </c>
      <c r="Q23" s="4" t="s">
        <v>957</v>
      </c>
    </row>
    <row r="25" spans="1:17" x14ac:dyDescent="0.3">
      <c r="A25" s="10" t="s">
        <v>281</v>
      </c>
      <c r="B25" s="11">
        <f>SUMIF($B$2:$S$2,"=Estimate",$B$23:$S$23)</f>
        <v>938119</v>
      </c>
    </row>
    <row r="26" spans="1:17" x14ac:dyDescent="0.3">
      <c r="A26" s="10" t="s">
        <v>282</v>
      </c>
      <c r="B26" s="11">
        <f>SUMIF($B$2:$S$2,"=Estimate",$B$3:$S$3)</f>
        <v>3765465</v>
      </c>
    </row>
    <row r="27" spans="1:17" x14ac:dyDescent="0.3">
      <c r="A27" s="10" t="s">
        <v>4</v>
      </c>
      <c r="B27" s="12">
        <f>B25/B26</f>
        <v>0.24913762310896528</v>
      </c>
    </row>
  </sheetData>
  <mergeCells count="8">
    <mergeCell ref="N1:O1"/>
    <mergeCell ref="P1:Q1"/>
    <mergeCell ref="B1:C1"/>
    <mergeCell ref="D1:E1"/>
    <mergeCell ref="F1:G1"/>
    <mergeCell ref="H1:I1"/>
    <mergeCell ref="J1:K1"/>
    <mergeCell ref="L1:M1"/>
  </mergeCells>
  <printOptions gridLines="1"/>
  <pageMargins left="0.7" right="0.7" top="0.75" bottom="0.75" header="0.3" footer="0.3"/>
  <pageSetup pageOrder="overThenDown" orientation="landscape"/>
  <headerFooter>
    <oddHeader>&amp;LTable: ACSDT1Y2022.B08301</oddHeader>
    <oddFooter>&amp;L&amp;Bdata.census.gov&amp;B | Measuring America's People, Places, and Economy &amp;R&amp;P</oddFooter>
    <evenHeader>&amp;LTable: ACSDT1Y2022.B08301</evenHeader>
    <evenFooter>&amp;L&amp;Bdata.census.gov&amp;B | Measuring America's People, Places, and Economy &amp;R&amp;P</even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7FCE-68BF-41F1-A2FA-7F2C6A922100}">
  <sheetPr>
    <tabColor theme="8" tint="0.79998168889431442"/>
    <pageSetUpPr fitToPage="1"/>
  </sheetPr>
  <dimension ref="A1:C43"/>
  <sheetViews>
    <sheetView workbookViewId="0">
      <selection activeCell="B17" sqref="B17:C17"/>
    </sheetView>
  </sheetViews>
  <sheetFormatPr defaultRowHeight="14.4" x14ac:dyDescent="0.3"/>
  <cols>
    <col min="1" max="1" width="25" style="1" customWidth="1"/>
    <col min="2" max="2" width="80" style="1" customWidth="1"/>
    <col min="3" max="3" width="20" customWidth="1"/>
  </cols>
  <sheetData>
    <row r="1" spans="1:3" ht="60" customHeight="1" thickBot="1" x14ac:dyDescent="0.35">
      <c r="A1" s="56" t="s">
        <v>70</v>
      </c>
      <c r="B1" s="56"/>
      <c r="C1" s="3"/>
    </row>
    <row r="2" spans="1:3" x14ac:dyDescent="0.3">
      <c r="A2" s="52"/>
      <c r="B2" s="52"/>
      <c r="C2" s="52"/>
    </row>
    <row r="3" spans="1:3" x14ac:dyDescent="0.3">
      <c r="A3" s="57" t="s">
        <v>69</v>
      </c>
      <c r="B3" s="57"/>
      <c r="C3" s="57"/>
    </row>
    <row r="4" spans="1:3" x14ac:dyDescent="0.3">
      <c r="A4" s="52"/>
      <c r="B4" s="52"/>
      <c r="C4" s="52"/>
    </row>
    <row r="5" spans="1:3" ht="15.9" customHeight="1" x14ac:dyDescent="0.3">
      <c r="A5" s="13" t="s">
        <v>68</v>
      </c>
      <c r="B5" s="52" t="s">
        <v>29</v>
      </c>
      <c r="C5" s="52"/>
    </row>
    <row r="6" spans="1:3" ht="15.9" customHeight="1" x14ac:dyDescent="0.3">
      <c r="A6" s="1" t="s">
        <v>67</v>
      </c>
      <c r="B6" s="52" t="s">
        <v>51</v>
      </c>
      <c r="C6" s="52"/>
    </row>
    <row r="7" spans="1:3" ht="15.9" customHeight="1" x14ac:dyDescent="0.3">
      <c r="A7" s="1" t="s">
        <v>66</v>
      </c>
      <c r="B7" s="52" t="s">
        <v>65</v>
      </c>
      <c r="C7" s="52"/>
    </row>
    <row r="8" spans="1:3" ht="15.9" customHeight="1" x14ac:dyDescent="0.3">
      <c r="A8" s="1" t="s">
        <v>64</v>
      </c>
      <c r="B8" s="52" t="s">
        <v>644</v>
      </c>
      <c r="C8" s="52"/>
    </row>
    <row r="9" spans="1:3" ht="15.9" customHeight="1" x14ac:dyDescent="0.3">
      <c r="A9" s="1" t="s">
        <v>62</v>
      </c>
      <c r="B9" s="52" t="s">
        <v>643</v>
      </c>
      <c r="C9" s="52"/>
    </row>
    <row r="10" spans="1:3" ht="15.9" customHeight="1" x14ac:dyDescent="0.3">
      <c r="A10" s="1" t="s">
        <v>60</v>
      </c>
      <c r="B10" s="52" t="s">
        <v>59</v>
      </c>
      <c r="C10" s="52"/>
    </row>
    <row r="11" spans="1:3" ht="15.9" customHeight="1" x14ac:dyDescent="0.3">
      <c r="A11" s="1" t="s">
        <v>58</v>
      </c>
      <c r="B11" s="52" t="s">
        <v>57</v>
      </c>
      <c r="C11" s="52"/>
    </row>
    <row r="12" spans="1:3" ht="15.9" customHeight="1" x14ac:dyDescent="0.3">
      <c r="A12" s="1" t="s">
        <v>56</v>
      </c>
      <c r="B12" s="52" t="s">
        <v>26</v>
      </c>
      <c r="C12" s="52"/>
    </row>
    <row r="13" spans="1:3" ht="15.9" customHeight="1" x14ac:dyDescent="0.3">
      <c r="A13" s="1" t="s">
        <v>55</v>
      </c>
      <c r="B13" s="52" t="s">
        <v>642</v>
      </c>
      <c r="C13" s="52"/>
    </row>
    <row r="14" spans="1:3" x14ac:dyDescent="0.3">
      <c r="A14" s="52"/>
      <c r="B14" s="52"/>
      <c r="C14" s="52"/>
    </row>
    <row r="15" spans="1:3" ht="15.9" customHeight="1" x14ac:dyDescent="0.3">
      <c r="A15" s="13" t="s">
        <v>53</v>
      </c>
      <c r="B15" s="52" t="s">
        <v>29</v>
      </c>
      <c r="C15" s="52"/>
    </row>
    <row r="16" spans="1:3" ht="15.9" customHeight="1" x14ac:dyDescent="0.3">
      <c r="A16" s="1" t="s">
        <v>52</v>
      </c>
      <c r="B16" s="52" t="s">
        <v>51</v>
      </c>
      <c r="C16" s="52"/>
    </row>
    <row r="17" spans="1:3" ht="48" customHeight="1" x14ac:dyDescent="0.3">
      <c r="A17" s="1" t="s">
        <v>50</v>
      </c>
      <c r="B17" s="52" t="s">
        <v>49</v>
      </c>
      <c r="C17" s="52"/>
    </row>
    <row r="18" spans="1:3" x14ac:dyDescent="0.3">
      <c r="A18" s="52"/>
      <c r="B18" s="52"/>
      <c r="C18" s="52"/>
    </row>
    <row r="19" spans="1:3" ht="15.9" customHeight="1" x14ac:dyDescent="0.3">
      <c r="A19" s="13" t="s">
        <v>48</v>
      </c>
      <c r="B19" s="52" t="s">
        <v>26</v>
      </c>
      <c r="C19" s="52"/>
    </row>
    <row r="20" spans="1:3" x14ac:dyDescent="0.3">
      <c r="A20" s="52"/>
      <c r="B20" s="52"/>
      <c r="C20" s="52"/>
    </row>
    <row r="21" spans="1:3" ht="15.9" customHeight="1" x14ac:dyDescent="0.3">
      <c r="A21" s="13" t="s">
        <v>47</v>
      </c>
      <c r="B21" s="52" t="s">
        <v>26</v>
      </c>
      <c r="C21" s="52"/>
    </row>
    <row r="22" spans="1:3" x14ac:dyDescent="0.3">
      <c r="A22" s="52"/>
      <c r="B22" s="52"/>
      <c r="C22" s="52"/>
    </row>
    <row r="23" spans="1:3" ht="15.9" customHeight="1" x14ac:dyDescent="0.3">
      <c r="A23" s="13" t="s">
        <v>46</v>
      </c>
      <c r="B23" s="52" t="s">
        <v>26</v>
      </c>
      <c r="C23" s="52"/>
    </row>
    <row r="24" spans="1:3" x14ac:dyDescent="0.3">
      <c r="A24" s="52"/>
      <c r="B24" s="52"/>
      <c r="C24" s="52"/>
    </row>
    <row r="25" spans="1:3" ht="15.9" customHeight="1" x14ac:dyDescent="0.3">
      <c r="A25" s="13" t="s">
        <v>45</v>
      </c>
      <c r="B25" s="52" t="s">
        <v>29</v>
      </c>
      <c r="C25" s="52"/>
    </row>
    <row r="26" spans="1:3" ht="15.9" customHeight="1" x14ac:dyDescent="0.3">
      <c r="A26" s="1" t="s">
        <v>44</v>
      </c>
      <c r="B26" s="52" t="s">
        <v>26</v>
      </c>
      <c r="C26" s="52"/>
    </row>
    <row r="27" spans="1:3" ht="15.9" customHeight="1" x14ac:dyDescent="0.3">
      <c r="A27" s="1" t="s">
        <v>43</v>
      </c>
      <c r="B27" s="52" t="s">
        <v>42</v>
      </c>
      <c r="C27" s="52"/>
    </row>
    <row r="28" spans="1:3" ht="15.9" customHeight="1" x14ac:dyDescent="0.3">
      <c r="A28" s="1" t="s">
        <v>41</v>
      </c>
      <c r="B28" s="52" t="s">
        <v>26</v>
      </c>
      <c r="C28" s="52"/>
    </row>
    <row r="29" spans="1:3" ht="15.9" customHeight="1" x14ac:dyDescent="0.3">
      <c r="A29" s="1" t="s">
        <v>40</v>
      </c>
      <c r="B29" s="52" t="s">
        <v>26</v>
      </c>
      <c r="C29" s="52"/>
    </row>
    <row r="30" spans="1:3" x14ac:dyDescent="0.3">
      <c r="A30" s="52"/>
      <c r="B30" s="52"/>
      <c r="C30" s="52"/>
    </row>
    <row r="31" spans="1:3" ht="32.1" customHeight="1" x14ac:dyDescent="0.3">
      <c r="A31" s="13" t="s">
        <v>39</v>
      </c>
      <c r="B31" s="52" t="s">
        <v>641</v>
      </c>
      <c r="C31" s="52"/>
    </row>
    <row r="32" spans="1:3" x14ac:dyDescent="0.3">
      <c r="A32" s="52"/>
      <c r="B32" s="52"/>
      <c r="C32" s="52"/>
    </row>
    <row r="33" spans="1:3" ht="63.9" customHeight="1" x14ac:dyDescent="0.3">
      <c r="A33" s="13" t="s">
        <v>37</v>
      </c>
      <c r="B33" s="52" t="s">
        <v>36</v>
      </c>
      <c r="C33" s="52"/>
    </row>
    <row r="34" spans="1:3" ht="111.9" customHeight="1" x14ac:dyDescent="0.3">
      <c r="A34" s="1" t="s">
        <v>29</v>
      </c>
      <c r="B34" s="52" t="s">
        <v>288</v>
      </c>
      <c r="C34" s="52"/>
    </row>
    <row r="35" spans="1:3" ht="32.1" customHeight="1" x14ac:dyDescent="0.3">
      <c r="A35" s="1" t="s">
        <v>29</v>
      </c>
      <c r="B35" s="52" t="s">
        <v>640</v>
      </c>
      <c r="C35" s="52"/>
    </row>
    <row r="36" spans="1:3" ht="111.9" customHeight="1" x14ac:dyDescent="0.3">
      <c r="A36" s="1" t="s">
        <v>29</v>
      </c>
      <c r="B36" s="52" t="s">
        <v>286</v>
      </c>
      <c r="C36" s="52"/>
    </row>
    <row r="37" spans="1:3" ht="32.1" customHeight="1" x14ac:dyDescent="0.3">
      <c r="A37" s="1" t="s">
        <v>29</v>
      </c>
      <c r="B37" s="52" t="s">
        <v>32</v>
      </c>
      <c r="C37" s="52"/>
    </row>
    <row r="38" spans="1:3" ht="63.9" customHeight="1" x14ac:dyDescent="0.3">
      <c r="A38" s="1" t="s">
        <v>29</v>
      </c>
      <c r="B38" s="52" t="s">
        <v>639</v>
      </c>
      <c r="C38" s="52"/>
    </row>
    <row r="39" spans="1:3" ht="48" customHeight="1" x14ac:dyDescent="0.3">
      <c r="A39" s="1" t="s">
        <v>29</v>
      </c>
      <c r="B39" s="52" t="s">
        <v>30</v>
      </c>
      <c r="C39" s="52"/>
    </row>
    <row r="40" spans="1:3" ht="192" customHeight="1" x14ac:dyDescent="0.3">
      <c r="A40" s="1" t="s">
        <v>29</v>
      </c>
      <c r="B40" s="52" t="s">
        <v>638</v>
      </c>
      <c r="C40" s="52"/>
    </row>
    <row r="41" spans="1:3" x14ac:dyDescent="0.3">
      <c r="A41" s="52"/>
      <c r="B41" s="52"/>
      <c r="C41" s="52"/>
    </row>
    <row r="42" spans="1:3" ht="15.9" customHeight="1" x14ac:dyDescent="0.3">
      <c r="A42" s="13" t="s">
        <v>27</v>
      </c>
      <c r="B42" s="52" t="s">
        <v>26</v>
      </c>
      <c r="C42" s="52"/>
    </row>
    <row r="43" spans="1:3" x14ac:dyDescent="0.3">
      <c r="A43" s="52"/>
      <c r="B43" s="52"/>
      <c r="C43" s="52"/>
    </row>
  </sheetData>
  <mergeCells count="43">
    <mergeCell ref="A1:B1"/>
    <mergeCell ref="A2:C2"/>
    <mergeCell ref="A3:C3"/>
    <mergeCell ref="A4:C4"/>
    <mergeCell ref="B5:C5"/>
    <mergeCell ref="B11:C11"/>
    <mergeCell ref="B12:C12"/>
    <mergeCell ref="B13:C13"/>
    <mergeCell ref="A14:C14"/>
    <mergeCell ref="B15:C15"/>
    <mergeCell ref="B6:C6"/>
    <mergeCell ref="B7:C7"/>
    <mergeCell ref="B8:C8"/>
    <mergeCell ref="B9:C9"/>
    <mergeCell ref="B10:C10"/>
    <mergeCell ref="B21:C21"/>
    <mergeCell ref="A22:C22"/>
    <mergeCell ref="B23:C23"/>
    <mergeCell ref="A24:C24"/>
    <mergeCell ref="B25:C25"/>
    <mergeCell ref="B16:C16"/>
    <mergeCell ref="B17:C17"/>
    <mergeCell ref="A18:C18"/>
    <mergeCell ref="B19:C19"/>
    <mergeCell ref="A20:C20"/>
    <mergeCell ref="B31:C31"/>
    <mergeCell ref="A32:C32"/>
    <mergeCell ref="B33:C33"/>
    <mergeCell ref="B34:C34"/>
    <mergeCell ref="B35:C35"/>
    <mergeCell ref="B26:C26"/>
    <mergeCell ref="B27:C27"/>
    <mergeCell ref="B28:C28"/>
    <mergeCell ref="B29:C29"/>
    <mergeCell ref="A30:C30"/>
    <mergeCell ref="A41:C41"/>
    <mergeCell ref="B42:C42"/>
    <mergeCell ref="A43:C43"/>
    <mergeCell ref="B36:C36"/>
    <mergeCell ref="B37:C37"/>
    <mergeCell ref="B38:C38"/>
    <mergeCell ref="B39:C39"/>
    <mergeCell ref="B40:C40"/>
  </mergeCells>
  <printOptions gridLines="1"/>
  <pageMargins left="0.7" right="0.7" top="0.75" bottom="0.75" header="0.3" footer="0.3"/>
  <pageSetup fitToHeight="0" orientation="landscape"/>
  <headerFooter>
    <oddHeader>&amp;LTable: ACSDT1Y2021.B08301</oddHeader>
    <oddFooter>&amp;L&amp;Bdata.census.gov&amp;B | Measuring America's People, Places, and Economy &amp;R&amp;P</oddFooter>
    <evenHeader>&amp;LTable: ACSDT1Y2021.B08301</evenHeader>
    <evenFooter>&amp;L&amp;Bdata.census.gov&amp;B | Measuring America's People, Places, and Economy &amp;R&amp;P</even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12C93-422F-42DA-96A8-686AB7A5CA71}">
  <sheetPr>
    <tabColor theme="8" tint="0.79998168889431442"/>
  </sheetPr>
  <dimension ref="A1:Q27"/>
  <sheetViews>
    <sheetView zoomScale="70" zoomScaleNormal="70" workbookViewId="0">
      <pane xSplit="1" ySplit="2" topLeftCell="B3" activePane="bottomRight" state="frozen"/>
      <selection pane="topRight"/>
      <selection pane="bottomLeft"/>
      <selection pane="bottomRight" activeCell="A25" sqref="A25:B27"/>
    </sheetView>
  </sheetViews>
  <sheetFormatPr defaultRowHeight="14.4" x14ac:dyDescent="0.3"/>
  <cols>
    <col min="1" max="1" width="30" style="4" customWidth="1"/>
    <col min="2" max="17" width="20" style="4" customWidth="1"/>
  </cols>
  <sheetData>
    <row r="1" spans="1:17" ht="30" customHeight="1" x14ac:dyDescent="0.3">
      <c r="A1" s="14" t="s">
        <v>29</v>
      </c>
      <c r="B1" s="58" t="s">
        <v>280</v>
      </c>
      <c r="C1" s="58"/>
      <c r="D1" s="58" t="s">
        <v>279</v>
      </c>
      <c r="E1" s="58"/>
      <c r="F1" s="58" t="s">
        <v>278</v>
      </c>
      <c r="G1" s="58"/>
      <c r="H1" s="58" t="s">
        <v>276</v>
      </c>
      <c r="I1" s="58"/>
      <c r="J1" s="58" t="s">
        <v>275</v>
      </c>
      <c r="K1" s="58"/>
      <c r="L1" s="58" t="s">
        <v>274</v>
      </c>
      <c r="M1" s="58"/>
      <c r="N1" s="58" t="s">
        <v>273</v>
      </c>
      <c r="O1" s="58"/>
      <c r="P1" s="58" t="s">
        <v>272</v>
      </c>
      <c r="Q1" s="58"/>
    </row>
    <row r="2" spans="1:17" ht="30" customHeight="1" x14ac:dyDescent="0.3">
      <c r="A2" s="14" t="s">
        <v>271</v>
      </c>
      <c r="B2" s="14" t="s">
        <v>270</v>
      </c>
      <c r="C2" s="14" t="s">
        <v>269</v>
      </c>
      <c r="D2" s="14" t="s">
        <v>270</v>
      </c>
      <c r="E2" s="14" t="s">
        <v>269</v>
      </c>
      <c r="F2" s="14" t="s">
        <v>270</v>
      </c>
      <c r="G2" s="14" t="s">
        <v>269</v>
      </c>
      <c r="H2" s="14" t="s">
        <v>270</v>
      </c>
      <c r="I2" s="14" t="s">
        <v>269</v>
      </c>
      <c r="J2" s="14" t="s">
        <v>270</v>
      </c>
      <c r="K2" s="14" t="s">
        <v>269</v>
      </c>
      <c r="L2" s="14" t="s">
        <v>270</v>
      </c>
      <c r="M2" s="14" t="s">
        <v>269</v>
      </c>
      <c r="N2" s="14" t="s">
        <v>270</v>
      </c>
      <c r="O2" s="14" t="s">
        <v>269</v>
      </c>
      <c r="P2" s="14" t="s">
        <v>270</v>
      </c>
      <c r="Q2" s="14" t="s">
        <v>269</v>
      </c>
    </row>
    <row r="3" spans="1:17" x14ac:dyDescent="0.3">
      <c r="A3" s="4" t="s">
        <v>268</v>
      </c>
      <c r="B3" s="9">
        <v>820292</v>
      </c>
      <c r="C3" s="4" t="s">
        <v>784</v>
      </c>
      <c r="D3" s="9">
        <v>546082</v>
      </c>
      <c r="E3" s="4" t="s">
        <v>783</v>
      </c>
      <c r="F3" s="9">
        <v>123636</v>
      </c>
      <c r="G3" s="4" t="s">
        <v>782</v>
      </c>
      <c r="H3" s="9">
        <v>438943</v>
      </c>
      <c r="I3" s="4" t="s">
        <v>781</v>
      </c>
      <c r="J3" s="9">
        <v>372133</v>
      </c>
      <c r="K3" s="4" t="s">
        <v>780</v>
      </c>
      <c r="L3" s="9">
        <v>931537</v>
      </c>
      <c r="M3" s="4" t="s">
        <v>779</v>
      </c>
      <c r="N3" s="9">
        <v>203334</v>
      </c>
      <c r="O3" s="4" t="s">
        <v>778</v>
      </c>
      <c r="P3" s="9">
        <v>232502</v>
      </c>
      <c r="Q3" s="4" t="s">
        <v>777</v>
      </c>
    </row>
    <row r="4" spans="1:17" x14ac:dyDescent="0.3">
      <c r="A4" s="5" t="s">
        <v>259</v>
      </c>
      <c r="B4" s="9">
        <v>458567</v>
      </c>
      <c r="C4" s="4" t="s">
        <v>776</v>
      </c>
      <c r="D4" s="9">
        <v>359409</v>
      </c>
      <c r="E4" s="4" t="s">
        <v>775</v>
      </c>
      <c r="F4" s="9">
        <v>69949</v>
      </c>
      <c r="G4" s="4" t="s">
        <v>774</v>
      </c>
      <c r="H4" s="9">
        <v>138291</v>
      </c>
      <c r="I4" s="4" t="s">
        <v>773</v>
      </c>
      <c r="J4" s="9">
        <v>216862</v>
      </c>
      <c r="K4" s="4" t="s">
        <v>772</v>
      </c>
      <c r="L4" s="9">
        <v>549075</v>
      </c>
      <c r="M4" s="4" t="s">
        <v>771</v>
      </c>
      <c r="N4" s="9">
        <v>166810</v>
      </c>
      <c r="O4" s="4" t="s">
        <v>770</v>
      </c>
      <c r="P4" s="9">
        <v>173668</v>
      </c>
      <c r="Q4" s="4" t="s">
        <v>769</v>
      </c>
    </row>
    <row r="5" spans="1:17" x14ac:dyDescent="0.3">
      <c r="A5" s="6" t="s">
        <v>249</v>
      </c>
      <c r="B5" s="9">
        <v>403663</v>
      </c>
      <c r="C5" s="4" t="s">
        <v>768</v>
      </c>
      <c r="D5" s="9">
        <v>312869</v>
      </c>
      <c r="E5" s="4" t="s">
        <v>767</v>
      </c>
      <c r="F5" s="9">
        <v>61570</v>
      </c>
      <c r="G5" s="4" t="s">
        <v>766</v>
      </c>
      <c r="H5" s="9">
        <v>118249</v>
      </c>
      <c r="I5" s="4" t="s">
        <v>765</v>
      </c>
      <c r="J5" s="9">
        <v>187160</v>
      </c>
      <c r="K5" s="4" t="s">
        <v>764</v>
      </c>
      <c r="L5" s="9">
        <v>484962</v>
      </c>
      <c r="M5" s="4" t="s">
        <v>763</v>
      </c>
      <c r="N5" s="9">
        <v>149972</v>
      </c>
      <c r="O5" s="4" t="s">
        <v>762</v>
      </c>
      <c r="P5" s="9">
        <v>152302</v>
      </c>
      <c r="Q5" s="4" t="s">
        <v>761</v>
      </c>
    </row>
    <row r="6" spans="1:17" x14ac:dyDescent="0.3">
      <c r="A6" s="6" t="s">
        <v>239</v>
      </c>
      <c r="B6" s="9">
        <v>54904</v>
      </c>
      <c r="C6" s="4" t="s">
        <v>760</v>
      </c>
      <c r="D6" s="9">
        <v>46540</v>
      </c>
      <c r="E6" s="4" t="s">
        <v>759</v>
      </c>
      <c r="F6" s="9">
        <v>8379</v>
      </c>
      <c r="G6" s="4" t="s">
        <v>758</v>
      </c>
      <c r="H6" s="9">
        <v>20042</v>
      </c>
      <c r="I6" s="4" t="s">
        <v>757</v>
      </c>
      <c r="J6" s="9">
        <v>29702</v>
      </c>
      <c r="K6" s="4" t="s">
        <v>756</v>
      </c>
      <c r="L6" s="9">
        <v>64113</v>
      </c>
      <c r="M6" s="4" t="s">
        <v>755</v>
      </c>
      <c r="N6" s="9">
        <v>16838</v>
      </c>
      <c r="O6" s="4" t="s">
        <v>754</v>
      </c>
      <c r="P6" s="9">
        <v>21366</v>
      </c>
      <c r="Q6" s="4" t="s">
        <v>753</v>
      </c>
    </row>
    <row r="7" spans="1:17" x14ac:dyDescent="0.3">
      <c r="A7" s="7" t="s">
        <v>230</v>
      </c>
      <c r="B7" s="9">
        <v>43358</v>
      </c>
      <c r="C7" s="4" t="s">
        <v>752</v>
      </c>
      <c r="D7" s="9">
        <v>34761</v>
      </c>
      <c r="E7" s="4" t="s">
        <v>751</v>
      </c>
      <c r="F7" s="9">
        <v>4789</v>
      </c>
      <c r="G7" s="4" t="s">
        <v>750</v>
      </c>
      <c r="H7" s="9">
        <v>13988</v>
      </c>
      <c r="I7" s="4" t="s">
        <v>749</v>
      </c>
      <c r="J7" s="9">
        <v>22289</v>
      </c>
      <c r="K7" s="4" t="s">
        <v>748</v>
      </c>
      <c r="L7" s="9">
        <v>46592</v>
      </c>
      <c r="M7" s="4" t="s">
        <v>747</v>
      </c>
      <c r="N7" s="9">
        <v>13429</v>
      </c>
      <c r="O7" s="4" t="s">
        <v>299</v>
      </c>
      <c r="P7" s="9">
        <v>14585</v>
      </c>
      <c r="Q7" s="4" t="s">
        <v>746</v>
      </c>
    </row>
    <row r="8" spans="1:17" x14ac:dyDescent="0.3">
      <c r="A8" s="7" t="s">
        <v>220</v>
      </c>
      <c r="B8" s="9">
        <v>7822</v>
      </c>
      <c r="C8" s="4" t="s">
        <v>745</v>
      </c>
      <c r="D8" s="9">
        <v>5543</v>
      </c>
      <c r="E8" s="4" t="s">
        <v>744</v>
      </c>
      <c r="F8" s="9">
        <v>3112</v>
      </c>
      <c r="G8" s="4" t="s">
        <v>743</v>
      </c>
      <c r="H8" s="9">
        <v>4412</v>
      </c>
      <c r="I8" s="4" t="s">
        <v>742</v>
      </c>
      <c r="J8" s="9">
        <v>4541</v>
      </c>
      <c r="K8" s="4" t="s">
        <v>741</v>
      </c>
      <c r="L8" s="9">
        <v>9192</v>
      </c>
      <c r="M8" s="4" t="s">
        <v>740</v>
      </c>
      <c r="N8" s="9">
        <v>2224</v>
      </c>
      <c r="O8" s="4" t="s">
        <v>739</v>
      </c>
      <c r="P8" s="9">
        <v>4935</v>
      </c>
      <c r="Q8" s="4" t="s">
        <v>738</v>
      </c>
    </row>
    <row r="9" spans="1:17" x14ac:dyDescent="0.3">
      <c r="A9" s="7" t="s">
        <v>210</v>
      </c>
      <c r="B9" s="9">
        <v>2825</v>
      </c>
      <c r="C9" s="4" t="s">
        <v>737</v>
      </c>
      <c r="D9" s="9">
        <v>4305</v>
      </c>
      <c r="E9" s="4" t="s">
        <v>736</v>
      </c>
      <c r="F9" s="4">
        <v>284</v>
      </c>
      <c r="G9" s="4" t="s">
        <v>735</v>
      </c>
      <c r="H9" s="9">
        <v>1253</v>
      </c>
      <c r="I9" s="4" t="s">
        <v>734</v>
      </c>
      <c r="J9" s="9">
        <v>1319</v>
      </c>
      <c r="K9" s="4" t="s">
        <v>733</v>
      </c>
      <c r="L9" s="9">
        <v>4433</v>
      </c>
      <c r="M9" s="4" t="s">
        <v>305</v>
      </c>
      <c r="N9" s="4">
        <v>228</v>
      </c>
      <c r="O9" s="4" t="s">
        <v>732</v>
      </c>
      <c r="P9" s="4">
        <v>849</v>
      </c>
      <c r="Q9" s="4" t="s">
        <v>731</v>
      </c>
    </row>
    <row r="10" spans="1:17" x14ac:dyDescent="0.3">
      <c r="A10" s="7" t="s">
        <v>201</v>
      </c>
      <c r="B10" s="4">
        <v>796</v>
      </c>
      <c r="C10" s="4" t="s">
        <v>579</v>
      </c>
      <c r="D10" s="9">
        <v>1739</v>
      </c>
      <c r="E10" s="4" t="s">
        <v>730</v>
      </c>
      <c r="F10" s="4">
        <v>194</v>
      </c>
      <c r="G10" s="4" t="s">
        <v>729</v>
      </c>
      <c r="H10" s="4">
        <v>235</v>
      </c>
      <c r="I10" s="4" t="s">
        <v>728</v>
      </c>
      <c r="J10" s="4">
        <v>905</v>
      </c>
      <c r="K10" s="4" t="s">
        <v>727</v>
      </c>
      <c r="L10" s="9">
        <v>3222</v>
      </c>
      <c r="M10" s="4" t="s">
        <v>726</v>
      </c>
      <c r="N10" s="4">
        <v>598</v>
      </c>
      <c r="O10" s="4" t="s">
        <v>725</v>
      </c>
      <c r="P10" s="4">
        <v>591</v>
      </c>
      <c r="Q10" s="4" t="s">
        <v>724</v>
      </c>
    </row>
    <row r="11" spans="1:17" x14ac:dyDescent="0.3">
      <c r="A11" s="7" t="s">
        <v>191</v>
      </c>
      <c r="B11" s="4">
        <v>103</v>
      </c>
      <c r="C11" s="4" t="s">
        <v>723</v>
      </c>
      <c r="D11" s="4">
        <v>192</v>
      </c>
      <c r="E11" s="4" t="s">
        <v>722</v>
      </c>
      <c r="F11" s="4">
        <v>0</v>
      </c>
      <c r="G11" s="4" t="s">
        <v>580</v>
      </c>
      <c r="H11" s="4">
        <v>154</v>
      </c>
      <c r="I11" s="4" t="s">
        <v>721</v>
      </c>
      <c r="J11" s="4">
        <v>648</v>
      </c>
      <c r="K11" s="4" t="s">
        <v>720</v>
      </c>
      <c r="L11" s="4">
        <v>674</v>
      </c>
      <c r="M11" s="4" t="s">
        <v>719</v>
      </c>
      <c r="N11" s="4">
        <v>359</v>
      </c>
      <c r="O11" s="4" t="s">
        <v>718</v>
      </c>
      <c r="P11" s="4">
        <v>406</v>
      </c>
      <c r="Q11" s="4" t="s">
        <v>717</v>
      </c>
    </row>
    <row r="12" spans="1:17" ht="28.8" x14ac:dyDescent="0.3">
      <c r="A12" s="5" t="s">
        <v>181</v>
      </c>
      <c r="B12" s="9">
        <v>33280</v>
      </c>
      <c r="C12" s="4" t="s">
        <v>716</v>
      </c>
      <c r="D12" s="9">
        <v>15407</v>
      </c>
      <c r="E12" s="4" t="s">
        <v>715</v>
      </c>
      <c r="F12" s="9">
        <v>2123</v>
      </c>
      <c r="G12" s="4" t="s">
        <v>362</v>
      </c>
      <c r="H12" s="9">
        <v>49819</v>
      </c>
      <c r="I12" s="4" t="s">
        <v>714</v>
      </c>
      <c r="J12" s="9">
        <v>12419</v>
      </c>
      <c r="K12" s="4" t="s">
        <v>713</v>
      </c>
      <c r="L12" s="9">
        <v>10796</v>
      </c>
      <c r="M12" s="4" t="s">
        <v>712</v>
      </c>
      <c r="N12" s="9">
        <v>3455</v>
      </c>
      <c r="O12" s="4" t="s">
        <v>711</v>
      </c>
      <c r="P12" s="9">
        <v>1148</v>
      </c>
      <c r="Q12" s="4" t="s">
        <v>710</v>
      </c>
    </row>
    <row r="13" spans="1:17" x14ac:dyDescent="0.3">
      <c r="A13" s="6" t="s">
        <v>390</v>
      </c>
      <c r="B13" s="9">
        <v>15269</v>
      </c>
      <c r="C13" s="4" t="s">
        <v>709</v>
      </c>
      <c r="D13" s="9">
        <v>4564</v>
      </c>
      <c r="E13" s="4" t="s">
        <v>708</v>
      </c>
      <c r="F13" s="9">
        <v>1689</v>
      </c>
      <c r="G13" s="4" t="s">
        <v>707</v>
      </c>
      <c r="H13" s="9">
        <v>35270</v>
      </c>
      <c r="I13" s="4" t="s">
        <v>706</v>
      </c>
      <c r="J13" s="9">
        <v>6934</v>
      </c>
      <c r="K13" s="4" t="s">
        <v>705</v>
      </c>
      <c r="L13" s="9">
        <v>7171</v>
      </c>
      <c r="M13" s="4" t="s">
        <v>704</v>
      </c>
      <c r="N13" s="9">
        <v>1655</v>
      </c>
      <c r="O13" s="4" t="s">
        <v>703</v>
      </c>
      <c r="P13" s="4">
        <v>892</v>
      </c>
      <c r="Q13" s="4" t="s">
        <v>702</v>
      </c>
    </row>
    <row r="14" spans="1:17" x14ac:dyDescent="0.3">
      <c r="A14" s="6" t="s">
        <v>381</v>
      </c>
      <c r="B14" s="9">
        <v>14758</v>
      </c>
      <c r="C14" s="4" t="s">
        <v>701</v>
      </c>
      <c r="D14" s="9">
        <v>7529</v>
      </c>
      <c r="E14" s="4" t="s">
        <v>700</v>
      </c>
      <c r="F14" s="4">
        <v>46</v>
      </c>
      <c r="G14" s="4" t="s">
        <v>699</v>
      </c>
      <c r="H14" s="9">
        <v>10552</v>
      </c>
      <c r="I14" s="4" t="s">
        <v>698</v>
      </c>
      <c r="J14" s="9">
        <v>3055</v>
      </c>
      <c r="K14" s="4" t="s">
        <v>697</v>
      </c>
      <c r="L14" s="4">
        <v>540</v>
      </c>
      <c r="M14" s="4" t="s">
        <v>556</v>
      </c>
      <c r="N14" s="4">
        <v>802</v>
      </c>
      <c r="O14" s="4" t="s">
        <v>696</v>
      </c>
      <c r="P14" s="4">
        <v>64</v>
      </c>
      <c r="Q14" s="4" t="s">
        <v>687</v>
      </c>
    </row>
    <row r="15" spans="1:17" ht="28.8" x14ac:dyDescent="0.3">
      <c r="A15" s="6" t="s">
        <v>372</v>
      </c>
      <c r="B15" s="9">
        <v>2588</v>
      </c>
      <c r="C15" s="4" t="s">
        <v>695</v>
      </c>
      <c r="D15" s="9">
        <v>2139</v>
      </c>
      <c r="E15" s="4" t="s">
        <v>694</v>
      </c>
      <c r="F15" s="4">
        <v>0</v>
      </c>
      <c r="G15" s="4" t="s">
        <v>580</v>
      </c>
      <c r="H15" s="9">
        <v>1770</v>
      </c>
      <c r="I15" s="4" t="s">
        <v>693</v>
      </c>
      <c r="J15" s="9">
        <v>2273</v>
      </c>
      <c r="K15" s="4" t="s">
        <v>692</v>
      </c>
      <c r="L15" s="9">
        <v>1850</v>
      </c>
      <c r="M15" s="4" t="s">
        <v>691</v>
      </c>
      <c r="N15" s="4">
        <v>77</v>
      </c>
      <c r="O15" s="4" t="s">
        <v>690</v>
      </c>
      <c r="P15" s="4">
        <v>128</v>
      </c>
      <c r="Q15" s="4" t="s">
        <v>531</v>
      </c>
    </row>
    <row r="16" spans="1:17" ht="28.8" x14ac:dyDescent="0.3">
      <c r="A16" s="6" t="s">
        <v>363</v>
      </c>
      <c r="B16" s="4">
        <v>283</v>
      </c>
      <c r="C16" s="4" t="s">
        <v>689</v>
      </c>
      <c r="D16" s="4">
        <v>707</v>
      </c>
      <c r="E16" s="4" t="s">
        <v>688</v>
      </c>
      <c r="F16" s="4">
        <v>0</v>
      </c>
      <c r="G16" s="4" t="s">
        <v>580</v>
      </c>
      <c r="H16" s="9">
        <v>2227</v>
      </c>
      <c r="I16" s="4" t="s">
        <v>144</v>
      </c>
      <c r="J16" s="4">
        <v>157</v>
      </c>
      <c r="K16" s="4" t="s">
        <v>117</v>
      </c>
      <c r="L16" s="9">
        <v>1235</v>
      </c>
      <c r="M16" s="4" t="s">
        <v>509</v>
      </c>
      <c r="N16" s="4">
        <v>0</v>
      </c>
      <c r="O16" s="4" t="s">
        <v>580</v>
      </c>
      <c r="P16" s="4">
        <v>64</v>
      </c>
      <c r="Q16" s="4" t="s">
        <v>687</v>
      </c>
    </row>
    <row r="17" spans="1:17" x14ac:dyDescent="0.3">
      <c r="A17" s="6" t="s">
        <v>138</v>
      </c>
      <c r="B17" s="4">
        <v>382</v>
      </c>
      <c r="C17" s="4" t="s">
        <v>686</v>
      </c>
      <c r="D17" s="4">
        <v>468</v>
      </c>
      <c r="E17" s="4" t="s">
        <v>685</v>
      </c>
      <c r="F17" s="4">
        <v>388</v>
      </c>
      <c r="G17" s="4" t="s">
        <v>684</v>
      </c>
      <c r="H17" s="4">
        <v>0</v>
      </c>
      <c r="I17" s="4" t="s">
        <v>580</v>
      </c>
      <c r="J17" s="4">
        <v>0</v>
      </c>
      <c r="K17" s="4" t="s">
        <v>580</v>
      </c>
      <c r="L17" s="4">
        <v>0</v>
      </c>
      <c r="M17" s="4" t="s">
        <v>580</v>
      </c>
      <c r="N17" s="4">
        <v>921</v>
      </c>
      <c r="O17" s="4" t="s">
        <v>365</v>
      </c>
      <c r="P17" s="4">
        <v>0</v>
      </c>
      <c r="Q17" s="4" t="s">
        <v>580</v>
      </c>
    </row>
    <row r="18" spans="1:17" x14ac:dyDescent="0.3">
      <c r="A18" s="5" t="s">
        <v>130</v>
      </c>
      <c r="B18" s="9">
        <v>1542</v>
      </c>
      <c r="C18" s="4" t="s">
        <v>332</v>
      </c>
      <c r="D18" s="9">
        <v>1277</v>
      </c>
      <c r="E18" s="4" t="s">
        <v>543</v>
      </c>
      <c r="F18" s="4">
        <v>0</v>
      </c>
      <c r="G18" s="4" t="s">
        <v>580</v>
      </c>
      <c r="H18" s="9">
        <v>2590</v>
      </c>
      <c r="I18" s="4" t="s">
        <v>683</v>
      </c>
      <c r="J18" s="4">
        <v>919</v>
      </c>
      <c r="K18" s="4" t="s">
        <v>682</v>
      </c>
      <c r="L18" s="9">
        <v>1196</v>
      </c>
      <c r="M18" s="4" t="s">
        <v>681</v>
      </c>
      <c r="N18" s="4">
        <v>441</v>
      </c>
      <c r="O18" s="4" t="s">
        <v>411</v>
      </c>
      <c r="P18" s="4">
        <v>294</v>
      </c>
      <c r="Q18" s="4" t="s">
        <v>199</v>
      </c>
    </row>
    <row r="19" spans="1:17" x14ac:dyDescent="0.3">
      <c r="A19" s="5" t="s">
        <v>120</v>
      </c>
      <c r="B19" s="9">
        <v>1785</v>
      </c>
      <c r="C19" s="4" t="s">
        <v>680</v>
      </c>
      <c r="D19" s="9">
        <v>1155</v>
      </c>
      <c r="E19" s="4" t="s">
        <v>679</v>
      </c>
      <c r="F19" s="4">
        <v>681</v>
      </c>
      <c r="G19" s="4" t="s">
        <v>678</v>
      </c>
      <c r="H19" s="9">
        <v>3043</v>
      </c>
      <c r="I19" s="4" t="s">
        <v>669</v>
      </c>
      <c r="J19" s="4">
        <v>520</v>
      </c>
      <c r="K19" s="4" t="s">
        <v>677</v>
      </c>
      <c r="L19" s="9">
        <v>1025</v>
      </c>
      <c r="M19" s="4" t="s">
        <v>676</v>
      </c>
      <c r="N19" s="4">
        <v>626</v>
      </c>
      <c r="O19" s="4" t="s">
        <v>675</v>
      </c>
      <c r="P19" s="4">
        <v>293</v>
      </c>
      <c r="Q19" s="4" t="s">
        <v>674</v>
      </c>
    </row>
    <row r="20" spans="1:17" x14ac:dyDescent="0.3">
      <c r="A20" s="5" t="s">
        <v>110</v>
      </c>
      <c r="B20" s="9">
        <v>7902</v>
      </c>
      <c r="C20" s="4" t="s">
        <v>673</v>
      </c>
      <c r="D20" s="9">
        <v>1463</v>
      </c>
      <c r="E20" s="4" t="s">
        <v>672</v>
      </c>
      <c r="F20" s="9">
        <v>1592</v>
      </c>
      <c r="G20" s="4" t="s">
        <v>671</v>
      </c>
      <c r="H20" s="9">
        <v>9436</v>
      </c>
      <c r="I20" s="4" t="s">
        <v>670</v>
      </c>
      <c r="J20" s="9">
        <v>3315</v>
      </c>
      <c r="K20" s="4" t="s">
        <v>669</v>
      </c>
      <c r="L20" s="9">
        <v>9272</v>
      </c>
      <c r="M20" s="4" t="s">
        <v>370</v>
      </c>
      <c r="N20" s="4">
        <v>598</v>
      </c>
      <c r="O20" s="4" t="s">
        <v>499</v>
      </c>
      <c r="P20" s="9">
        <v>2043</v>
      </c>
      <c r="Q20" s="4" t="s">
        <v>668</v>
      </c>
    </row>
    <row r="21" spans="1:17" x14ac:dyDescent="0.3">
      <c r="A21" s="5" t="s">
        <v>100</v>
      </c>
      <c r="B21" s="9">
        <v>20413</v>
      </c>
      <c r="C21" s="4" t="s">
        <v>667</v>
      </c>
      <c r="D21" s="9">
        <v>9479</v>
      </c>
      <c r="E21" s="4" t="s">
        <v>666</v>
      </c>
      <c r="F21" s="9">
        <v>3684</v>
      </c>
      <c r="G21" s="4" t="s">
        <v>665</v>
      </c>
      <c r="H21" s="9">
        <v>29203</v>
      </c>
      <c r="I21" s="4" t="s">
        <v>664</v>
      </c>
      <c r="J21" s="9">
        <v>9739</v>
      </c>
      <c r="K21" s="4" t="s">
        <v>663</v>
      </c>
      <c r="L21" s="9">
        <v>19252</v>
      </c>
      <c r="M21" s="4" t="s">
        <v>293</v>
      </c>
      <c r="N21" s="9">
        <v>2719</v>
      </c>
      <c r="O21" s="4" t="s">
        <v>662</v>
      </c>
      <c r="P21" s="9">
        <v>5316</v>
      </c>
      <c r="Q21" s="4" t="s">
        <v>661</v>
      </c>
    </row>
    <row r="22" spans="1:17" x14ac:dyDescent="0.3">
      <c r="A22" s="5" t="s">
        <v>90</v>
      </c>
      <c r="B22" s="9">
        <v>9661</v>
      </c>
      <c r="C22" s="4" t="s">
        <v>660</v>
      </c>
      <c r="D22" s="9">
        <v>5048</v>
      </c>
      <c r="E22" s="4" t="s">
        <v>659</v>
      </c>
      <c r="F22" s="9">
        <v>1247</v>
      </c>
      <c r="G22" s="4" t="s">
        <v>658</v>
      </c>
      <c r="H22" s="9">
        <v>6478</v>
      </c>
      <c r="I22" s="4" t="s">
        <v>657</v>
      </c>
      <c r="J22" s="9">
        <v>5564</v>
      </c>
      <c r="K22" s="4" t="s">
        <v>656</v>
      </c>
      <c r="L22" s="9">
        <v>10021</v>
      </c>
      <c r="M22" s="4" t="s">
        <v>655</v>
      </c>
      <c r="N22" s="9">
        <v>2732</v>
      </c>
      <c r="O22" s="4" t="s">
        <v>654</v>
      </c>
      <c r="P22" s="9">
        <v>1895</v>
      </c>
      <c r="Q22" s="4" t="s">
        <v>653</v>
      </c>
    </row>
    <row r="23" spans="1:17" x14ac:dyDescent="0.3">
      <c r="A23" s="5" t="s">
        <v>302</v>
      </c>
      <c r="B23" s="9">
        <v>287142</v>
      </c>
      <c r="C23" s="4" t="s">
        <v>652</v>
      </c>
      <c r="D23" s="9">
        <v>152844</v>
      </c>
      <c r="E23" s="4" t="s">
        <v>651</v>
      </c>
      <c r="F23" s="9">
        <v>44360</v>
      </c>
      <c r="G23" s="4" t="s">
        <v>650</v>
      </c>
      <c r="H23" s="9">
        <v>200083</v>
      </c>
      <c r="I23" s="4" t="s">
        <v>649</v>
      </c>
      <c r="J23" s="9">
        <v>122795</v>
      </c>
      <c r="K23" s="4" t="s">
        <v>648</v>
      </c>
      <c r="L23" s="9">
        <v>330900</v>
      </c>
      <c r="M23" s="4" t="s">
        <v>647</v>
      </c>
      <c r="N23" s="9">
        <v>25953</v>
      </c>
      <c r="O23" s="4" t="s">
        <v>646</v>
      </c>
      <c r="P23" s="9">
        <v>47845</v>
      </c>
      <c r="Q23" s="4" t="s">
        <v>645</v>
      </c>
    </row>
    <row r="25" spans="1:17" x14ac:dyDescent="0.3">
      <c r="A25" s="10" t="s">
        <v>281</v>
      </c>
      <c r="B25" s="11">
        <f>SUMIF($B$2:$S$2,"=Estimate",$B$23:$S$23)</f>
        <v>1211922</v>
      </c>
    </row>
    <row r="26" spans="1:17" x14ac:dyDescent="0.3">
      <c r="A26" s="10" t="s">
        <v>282</v>
      </c>
      <c r="B26" s="11">
        <f>SUMIF($B$2:$S$2,"=Estimate",$B$3:$S$3)</f>
        <v>3668459</v>
      </c>
    </row>
    <row r="27" spans="1:17" x14ac:dyDescent="0.3">
      <c r="A27" s="10" t="s">
        <v>4</v>
      </c>
      <c r="B27" s="12">
        <f>B25/B26</f>
        <v>0.3303626945265028</v>
      </c>
    </row>
  </sheetData>
  <mergeCells count="8">
    <mergeCell ref="L1:M1"/>
    <mergeCell ref="N1:O1"/>
    <mergeCell ref="P1:Q1"/>
    <mergeCell ref="B1:C1"/>
    <mergeCell ref="D1:E1"/>
    <mergeCell ref="F1:G1"/>
    <mergeCell ref="H1:I1"/>
    <mergeCell ref="J1:K1"/>
  </mergeCells>
  <printOptions gridLines="1"/>
  <pageMargins left="0.7" right="0.7" top="0.75" bottom="0.75" header="0.3" footer="0.3"/>
  <pageSetup pageOrder="overThenDown" orientation="landscape"/>
  <headerFooter>
    <oddHeader>&amp;LTable: ACSDT1Y2021.B08301</oddHeader>
    <oddFooter>&amp;L&amp;Bdata.census.gov&amp;B | Measuring America's People, Places, and Economy &amp;R&amp;P</oddFooter>
    <evenHeader>&amp;LTable: ACSDT1Y2021.B08301</evenHeader>
    <evenFooter>&amp;L&amp;Bdata.census.gov&amp;B | Measuring America's People, Places, and Economy &amp;R&amp;P</even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1A29-1DC2-460A-9431-011D4BA3DD30}">
  <sheetPr>
    <tabColor theme="9" tint="0.79998168889431442"/>
    <pageSetUpPr fitToPage="1"/>
  </sheetPr>
  <dimension ref="A1:C44"/>
  <sheetViews>
    <sheetView workbookViewId="0">
      <selection activeCell="A30" sqref="A30:C30"/>
    </sheetView>
  </sheetViews>
  <sheetFormatPr defaultRowHeight="14.4" x14ac:dyDescent="0.3"/>
  <cols>
    <col min="1" max="1" width="25" style="1" customWidth="1"/>
    <col min="2" max="2" width="80" style="1" customWidth="1"/>
    <col min="3" max="3" width="20" customWidth="1"/>
  </cols>
  <sheetData>
    <row r="1" spans="1:3" ht="60" customHeight="1" thickBot="1" x14ac:dyDescent="0.35">
      <c r="A1" s="53" t="s">
        <v>70</v>
      </c>
      <c r="B1" s="53"/>
      <c r="C1" s="3"/>
    </row>
    <row r="2" spans="1:3" x14ac:dyDescent="0.3">
      <c r="A2" s="52"/>
      <c r="B2" s="52"/>
      <c r="C2" s="52"/>
    </row>
    <row r="3" spans="1:3" x14ac:dyDescent="0.3">
      <c r="A3" s="54" t="s">
        <v>69</v>
      </c>
      <c r="B3" s="54"/>
      <c r="C3" s="54"/>
    </row>
    <row r="4" spans="1:3" x14ac:dyDescent="0.3">
      <c r="A4" s="52"/>
      <c r="B4" s="52"/>
      <c r="C4" s="52"/>
    </row>
    <row r="5" spans="1:3" ht="15.9" customHeight="1" x14ac:dyDescent="0.3">
      <c r="A5" s="2" t="s">
        <v>68</v>
      </c>
      <c r="B5" s="52" t="s">
        <v>29</v>
      </c>
      <c r="C5" s="52"/>
    </row>
    <row r="6" spans="1:3" ht="15.9" customHeight="1" x14ac:dyDescent="0.3">
      <c r="A6" s="1" t="s">
        <v>67</v>
      </c>
      <c r="B6" s="52" t="s">
        <v>51</v>
      </c>
      <c r="C6" s="52"/>
    </row>
    <row r="7" spans="1:3" ht="15.9" customHeight="1" x14ac:dyDescent="0.3">
      <c r="A7" s="1" t="s">
        <v>66</v>
      </c>
      <c r="B7" s="52" t="s">
        <v>65</v>
      </c>
      <c r="C7" s="52"/>
    </row>
    <row r="8" spans="1:3" ht="15.9" customHeight="1" x14ac:dyDescent="0.3">
      <c r="A8" s="1" t="s">
        <v>64</v>
      </c>
      <c r="B8" s="52" t="s">
        <v>481</v>
      </c>
      <c r="C8" s="52"/>
    </row>
    <row r="9" spans="1:3" ht="15.9" customHeight="1" x14ac:dyDescent="0.3">
      <c r="A9" s="1" t="s">
        <v>62</v>
      </c>
      <c r="B9" s="52" t="s">
        <v>480</v>
      </c>
      <c r="C9" s="52"/>
    </row>
    <row r="10" spans="1:3" ht="15.9" customHeight="1" x14ac:dyDescent="0.3">
      <c r="A10" s="1" t="s">
        <v>60</v>
      </c>
      <c r="B10" s="52" t="s">
        <v>479</v>
      </c>
      <c r="C10" s="52"/>
    </row>
    <row r="11" spans="1:3" ht="15.9" customHeight="1" x14ac:dyDescent="0.3">
      <c r="A11" s="1" t="s">
        <v>58</v>
      </c>
      <c r="B11" s="52" t="s">
        <v>57</v>
      </c>
      <c r="C11" s="52"/>
    </row>
    <row r="12" spans="1:3" ht="15.9" customHeight="1" x14ac:dyDescent="0.3">
      <c r="A12" s="1" t="s">
        <v>56</v>
      </c>
      <c r="B12" s="52" t="s">
        <v>26</v>
      </c>
      <c r="C12" s="52"/>
    </row>
    <row r="13" spans="1:3" ht="15.9" customHeight="1" x14ac:dyDescent="0.3">
      <c r="A13" s="1" t="s">
        <v>55</v>
      </c>
      <c r="B13" s="52" t="s">
        <v>478</v>
      </c>
      <c r="C13" s="52"/>
    </row>
    <row r="14" spans="1:3" x14ac:dyDescent="0.3">
      <c r="A14" s="52"/>
      <c r="B14" s="52"/>
      <c r="C14" s="52"/>
    </row>
    <row r="15" spans="1:3" ht="15.9" customHeight="1" x14ac:dyDescent="0.3">
      <c r="A15" s="2" t="s">
        <v>53</v>
      </c>
      <c r="B15" s="52" t="s">
        <v>29</v>
      </c>
      <c r="C15" s="52"/>
    </row>
    <row r="16" spans="1:3" ht="15.9" customHeight="1" x14ac:dyDescent="0.3">
      <c r="A16" s="1" t="s">
        <v>52</v>
      </c>
      <c r="B16" s="52" t="s">
        <v>51</v>
      </c>
      <c r="C16" s="52"/>
    </row>
    <row r="17" spans="1:3" ht="48" customHeight="1" x14ac:dyDescent="0.3">
      <c r="A17" s="1" t="s">
        <v>50</v>
      </c>
      <c r="B17" s="52" t="s">
        <v>49</v>
      </c>
      <c r="C17" s="52"/>
    </row>
    <row r="18" spans="1:3" x14ac:dyDescent="0.3">
      <c r="A18" s="52"/>
      <c r="B18" s="52"/>
      <c r="C18" s="52"/>
    </row>
    <row r="19" spans="1:3" ht="15.9" customHeight="1" x14ac:dyDescent="0.3">
      <c r="A19" s="2" t="s">
        <v>48</v>
      </c>
      <c r="B19" s="52" t="s">
        <v>26</v>
      </c>
      <c r="C19" s="52"/>
    </row>
    <row r="20" spans="1:3" x14ac:dyDescent="0.3">
      <c r="A20" s="52"/>
      <c r="B20" s="52"/>
      <c r="C20" s="52"/>
    </row>
    <row r="21" spans="1:3" ht="15.9" customHeight="1" x14ac:dyDescent="0.3">
      <c r="A21" s="2" t="s">
        <v>47</v>
      </c>
      <c r="B21" s="52" t="s">
        <v>26</v>
      </c>
      <c r="C21" s="52"/>
    </row>
    <row r="22" spans="1:3" x14ac:dyDescent="0.3">
      <c r="A22" s="52"/>
      <c r="B22" s="52"/>
      <c r="C22" s="52"/>
    </row>
    <row r="23" spans="1:3" ht="15.9" customHeight="1" x14ac:dyDescent="0.3">
      <c r="A23" s="2" t="s">
        <v>46</v>
      </c>
      <c r="B23" s="52" t="s">
        <v>26</v>
      </c>
      <c r="C23" s="52"/>
    </row>
    <row r="24" spans="1:3" x14ac:dyDescent="0.3">
      <c r="A24" s="52"/>
      <c r="B24" s="52"/>
      <c r="C24" s="52"/>
    </row>
    <row r="25" spans="1:3" ht="15.9" customHeight="1" x14ac:dyDescent="0.3">
      <c r="A25" s="2" t="s">
        <v>45</v>
      </c>
      <c r="B25" s="52" t="s">
        <v>29</v>
      </c>
      <c r="C25" s="52"/>
    </row>
    <row r="26" spans="1:3" ht="15.9" customHeight="1" x14ac:dyDescent="0.3">
      <c r="A26" s="1" t="s">
        <v>44</v>
      </c>
      <c r="B26" s="52" t="s">
        <v>26</v>
      </c>
      <c r="C26" s="52"/>
    </row>
    <row r="27" spans="1:3" ht="15.9" customHeight="1" x14ac:dyDescent="0.3">
      <c r="A27" s="1" t="s">
        <v>43</v>
      </c>
      <c r="B27" s="52" t="s">
        <v>42</v>
      </c>
      <c r="C27" s="52"/>
    </row>
    <row r="28" spans="1:3" ht="15.9" customHeight="1" x14ac:dyDescent="0.3">
      <c r="A28" s="1" t="s">
        <v>41</v>
      </c>
      <c r="B28" s="52" t="s">
        <v>26</v>
      </c>
      <c r="C28" s="52"/>
    </row>
    <row r="29" spans="1:3" ht="15.9" customHeight="1" x14ac:dyDescent="0.3">
      <c r="A29" s="1" t="s">
        <v>40</v>
      </c>
      <c r="B29" s="52" t="s">
        <v>26</v>
      </c>
      <c r="C29" s="52"/>
    </row>
    <row r="30" spans="1:3" x14ac:dyDescent="0.3">
      <c r="A30" s="52"/>
      <c r="B30" s="52"/>
      <c r="C30" s="52"/>
    </row>
    <row r="31" spans="1:3" ht="32.1" customHeight="1" x14ac:dyDescent="0.3">
      <c r="A31" s="2" t="s">
        <v>39</v>
      </c>
      <c r="B31" s="52" t="s">
        <v>477</v>
      </c>
      <c r="C31" s="52"/>
    </row>
    <row r="32" spans="1:3" x14ac:dyDescent="0.3">
      <c r="A32" s="52"/>
      <c r="B32" s="52"/>
      <c r="C32" s="52"/>
    </row>
    <row r="33" spans="1:3" ht="80.099999999999994" customHeight="1" x14ac:dyDescent="0.3">
      <c r="A33" s="2" t="s">
        <v>37</v>
      </c>
      <c r="B33" s="52" t="s">
        <v>476</v>
      </c>
      <c r="C33" s="52"/>
    </row>
    <row r="34" spans="1:3" ht="111.9" customHeight="1" x14ac:dyDescent="0.3">
      <c r="A34" s="1" t="s">
        <v>29</v>
      </c>
      <c r="B34" s="52" t="s">
        <v>288</v>
      </c>
      <c r="C34" s="52"/>
    </row>
    <row r="35" spans="1:3" ht="32.1" customHeight="1" x14ac:dyDescent="0.3">
      <c r="A35" s="1" t="s">
        <v>29</v>
      </c>
      <c r="B35" s="52" t="s">
        <v>475</v>
      </c>
      <c r="C35" s="52"/>
    </row>
    <row r="36" spans="1:3" ht="111.9" customHeight="1" x14ac:dyDescent="0.3">
      <c r="A36" s="1" t="s">
        <v>29</v>
      </c>
      <c r="B36" s="52" t="s">
        <v>286</v>
      </c>
      <c r="C36" s="52"/>
    </row>
    <row r="37" spans="1:3" ht="32.1" customHeight="1" x14ac:dyDescent="0.3">
      <c r="A37" s="1" t="s">
        <v>29</v>
      </c>
      <c r="B37" s="52" t="s">
        <v>32</v>
      </c>
      <c r="C37" s="52"/>
    </row>
    <row r="38" spans="1:3" ht="32.1" customHeight="1" x14ac:dyDescent="0.3">
      <c r="A38" s="1" t="s">
        <v>29</v>
      </c>
      <c r="B38" s="52" t="s">
        <v>285</v>
      </c>
      <c r="C38" s="52"/>
    </row>
    <row r="39" spans="1:3" ht="63.9" customHeight="1" x14ac:dyDescent="0.3">
      <c r="A39" s="1" t="s">
        <v>29</v>
      </c>
      <c r="B39" s="52" t="s">
        <v>474</v>
      </c>
      <c r="C39" s="52"/>
    </row>
    <row r="40" spans="1:3" ht="48" customHeight="1" x14ac:dyDescent="0.3">
      <c r="A40" s="1" t="s">
        <v>29</v>
      </c>
      <c r="B40" s="52" t="s">
        <v>30</v>
      </c>
      <c r="C40" s="52"/>
    </row>
    <row r="41" spans="1:3" ht="176.1" customHeight="1" x14ac:dyDescent="0.3">
      <c r="A41" s="1" t="s">
        <v>29</v>
      </c>
      <c r="B41" s="52" t="s">
        <v>473</v>
      </c>
      <c r="C41" s="52"/>
    </row>
    <row r="42" spans="1:3" x14ac:dyDescent="0.3">
      <c r="A42" s="52"/>
      <c r="B42" s="52"/>
      <c r="C42" s="52"/>
    </row>
    <row r="43" spans="1:3" ht="15.9" customHeight="1" x14ac:dyDescent="0.3">
      <c r="A43" s="2" t="s">
        <v>27</v>
      </c>
      <c r="B43" s="52" t="s">
        <v>26</v>
      </c>
      <c r="C43" s="52"/>
    </row>
    <row r="44" spans="1:3" x14ac:dyDescent="0.3">
      <c r="A44" s="52"/>
      <c r="B44" s="52"/>
      <c r="C44" s="52"/>
    </row>
  </sheetData>
  <mergeCells count="44">
    <mergeCell ref="A1:B1"/>
    <mergeCell ref="A2:C2"/>
    <mergeCell ref="A3:C3"/>
    <mergeCell ref="A4:C4"/>
    <mergeCell ref="B5:C5"/>
    <mergeCell ref="B11:C11"/>
    <mergeCell ref="B12:C12"/>
    <mergeCell ref="B13:C13"/>
    <mergeCell ref="A14:C14"/>
    <mergeCell ref="B15:C15"/>
    <mergeCell ref="B6:C6"/>
    <mergeCell ref="B7:C7"/>
    <mergeCell ref="B8:C8"/>
    <mergeCell ref="B9:C9"/>
    <mergeCell ref="B10:C10"/>
    <mergeCell ref="B21:C21"/>
    <mergeCell ref="A22:C22"/>
    <mergeCell ref="B23:C23"/>
    <mergeCell ref="A24:C24"/>
    <mergeCell ref="B25:C25"/>
    <mergeCell ref="B16:C16"/>
    <mergeCell ref="B17:C17"/>
    <mergeCell ref="A18:C18"/>
    <mergeCell ref="B19:C19"/>
    <mergeCell ref="A20:C20"/>
    <mergeCell ref="B31:C31"/>
    <mergeCell ref="A32:C32"/>
    <mergeCell ref="B33:C33"/>
    <mergeCell ref="B34:C34"/>
    <mergeCell ref="B35:C35"/>
    <mergeCell ref="B26:C26"/>
    <mergeCell ref="B27:C27"/>
    <mergeCell ref="B28:C28"/>
    <mergeCell ref="B29:C29"/>
    <mergeCell ref="A30:C30"/>
    <mergeCell ref="B41:C41"/>
    <mergeCell ref="A42:C42"/>
    <mergeCell ref="B43:C43"/>
    <mergeCell ref="A44:C44"/>
    <mergeCell ref="B36:C36"/>
    <mergeCell ref="B37:C37"/>
    <mergeCell ref="B38:C38"/>
    <mergeCell ref="B39:C39"/>
    <mergeCell ref="B40:C40"/>
  </mergeCells>
  <printOptions gridLines="1"/>
  <pageMargins left="0.7" right="0.7" top="0.75" bottom="0.75" header="0.3" footer="0.3"/>
  <pageSetup fitToHeight="0" orientation="landscape"/>
  <headerFooter>
    <oddHeader>&amp;LTable: ACSDT5Y2020.B08301</oddHeader>
    <oddFooter>&amp;L&amp;Bdata.census.gov&amp;B | Measuring America's People, Places, and Economy &amp;R&amp;P</oddFooter>
    <evenHeader>&amp;LTable: ACSDT5Y2020.B08301</evenHeader>
    <evenFooter>&amp;L&amp;Bdata.census.gov&amp;B | Measuring America's People, Places, and Economy &amp;R&amp;P</even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41EDD-F505-4DA0-92B2-A44B5A01A4F8}">
  <sheetPr>
    <tabColor theme="9" tint="0.79998168889431442"/>
  </sheetPr>
  <dimension ref="A1:S27"/>
  <sheetViews>
    <sheetView zoomScale="70" zoomScaleNormal="70" workbookViewId="0">
      <pane xSplit="1" ySplit="2" topLeftCell="B3" activePane="bottomRight" state="frozen"/>
      <selection pane="topRight"/>
      <selection pane="bottomLeft"/>
      <selection pane="bottomRight" sqref="A1:XFD1"/>
    </sheetView>
  </sheetViews>
  <sheetFormatPr defaultRowHeight="14.4" x14ac:dyDescent="0.3"/>
  <cols>
    <col min="1" max="1" width="30" style="4" customWidth="1"/>
    <col min="2" max="19" width="20" style="4" customWidth="1"/>
  </cols>
  <sheetData>
    <row r="1" spans="1:19" ht="30" customHeight="1" x14ac:dyDescent="0.3">
      <c r="A1" s="8" t="s">
        <v>29</v>
      </c>
      <c r="B1" s="55" t="s">
        <v>280</v>
      </c>
      <c r="C1" s="55"/>
      <c r="D1" s="55" t="s">
        <v>279</v>
      </c>
      <c r="E1" s="55"/>
      <c r="F1" s="55" t="s">
        <v>278</v>
      </c>
      <c r="G1" s="55"/>
      <c r="H1" s="55" t="s">
        <v>277</v>
      </c>
      <c r="I1" s="55"/>
      <c r="J1" s="55" t="s">
        <v>276</v>
      </c>
      <c r="K1" s="55"/>
      <c r="L1" s="55" t="s">
        <v>275</v>
      </c>
      <c r="M1" s="55"/>
      <c r="N1" s="55" t="s">
        <v>274</v>
      </c>
      <c r="O1" s="55"/>
      <c r="P1" s="55" t="s">
        <v>273</v>
      </c>
      <c r="Q1" s="55"/>
      <c r="R1" s="55" t="s">
        <v>272</v>
      </c>
      <c r="S1" s="55"/>
    </row>
    <row r="2" spans="1:19" ht="30" customHeight="1" x14ac:dyDescent="0.3">
      <c r="A2" s="8" t="s">
        <v>271</v>
      </c>
      <c r="B2" s="8" t="s">
        <v>270</v>
      </c>
      <c r="C2" s="8" t="s">
        <v>269</v>
      </c>
      <c r="D2" s="8" t="s">
        <v>270</v>
      </c>
      <c r="E2" s="8" t="s">
        <v>269</v>
      </c>
      <c r="F2" s="8" t="s">
        <v>270</v>
      </c>
      <c r="G2" s="8" t="s">
        <v>269</v>
      </c>
      <c r="H2" s="8" t="s">
        <v>270</v>
      </c>
      <c r="I2" s="8" t="s">
        <v>269</v>
      </c>
      <c r="J2" s="8" t="s">
        <v>270</v>
      </c>
      <c r="K2" s="8" t="s">
        <v>269</v>
      </c>
      <c r="L2" s="8" t="s">
        <v>270</v>
      </c>
      <c r="M2" s="8" t="s">
        <v>269</v>
      </c>
      <c r="N2" s="8" t="s">
        <v>270</v>
      </c>
      <c r="O2" s="8" t="s">
        <v>269</v>
      </c>
      <c r="P2" s="8" t="s">
        <v>270</v>
      </c>
      <c r="Q2" s="8" t="s">
        <v>269</v>
      </c>
      <c r="R2" s="8" t="s">
        <v>270</v>
      </c>
      <c r="S2" s="8" t="s">
        <v>269</v>
      </c>
    </row>
    <row r="3" spans="1:19" x14ac:dyDescent="0.3">
      <c r="A3" s="4" t="s">
        <v>268</v>
      </c>
      <c r="B3" s="9">
        <v>799481</v>
      </c>
      <c r="C3" s="4" t="s">
        <v>637</v>
      </c>
      <c r="D3" s="9">
        <v>547220</v>
      </c>
      <c r="E3" s="4" t="s">
        <v>636</v>
      </c>
      <c r="F3" s="9">
        <v>127210</v>
      </c>
      <c r="G3" s="4" t="s">
        <v>635</v>
      </c>
      <c r="H3" s="9">
        <v>69147</v>
      </c>
      <c r="I3" s="4" t="s">
        <v>483</v>
      </c>
      <c r="J3" s="9">
        <v>509743</v>
      </c>
      <c r="K3" s="4" t="s">
        <v>634</v>
      </c>
      <c r="L3" s="9">
        <v>405104</v>
      </c>
      <c r="M3" s="4" t="s">
        <v>607</v>
      </c>
      <c r="N3" s="9">
        <v>972577</v>
      </c>
      <c r="O3" s="4" t="s">
        <v>633</v>
      </c>
      <c r="P3" s="9">
        <v>207283</v>
      </c>
      <c r="Q3" s="4" t="s">
        <v>632</v>
      </c>
      <c r="R3" s="9">
        <v>248048</v>
      </c>
      <c r="S3" s="4" t="s">
        <v>631</v>
      </c>
    </row>
    <row r="4" spans="1:19" x14ac:dyDescent="0.3">
      <c r="A4" s="5" t="s">
        <v>259</v>
      </c>
      <c r="B4" s="9">
        <v>544105</v>
      </c>
      <c r="C4" s="4" t="s">
        <v>630</v>
      </c>
      <c r="D4" s="9">
        <v>418231</v>
      </c>
      <c r="E4" s="4" t="s">
        <v>629</v>
      </c>
      <c r="F4" s="9">
        <v>89146</v>
      </c>
      <c r="G4" s="4" t="s">
        <v>628</v>
      </c>
      <c r="H4" s="9">
        <v>59051</v>
      </c>
      <c r="I4" s="4" t="s">
        <v>627</v>
      </c>
      <c r="J4" s="9">
        <v>189734</v>
      </c>
      <c r="K4" s="4" t="s">
        <v>626</v>
      </c>
      <c r="L4" s="9">
        <v>303097</v>
      </c>
      <c r="M4" s="4" t="s">
        <v>625</v>
      </c>
      <c r="N4" s="9">
        <v>789624</v>
      </c>
      <c r="O4" s="4" t="s">
        <v>624</v>
      </c>
      <c r="P4" s="9">
        <v>183472</v>
      </c>
      <c r="Q4" s="4" t="s">
        <v>623</v>
      </c>
      <c r="R4" s="9">
        <v>209988</v>
      </c>
      <c r="S4" s="4" t="s">
        <v>622</v>
      </c>
    </row>
    <row r="5" spans="1:19" x14ac:dyDescent="0.3">
      <c r="A5" s="6" t="s">
        <v>249</v>
      </c>
      <c r="B5" s="9">
        <v>467989</v>
      </c>
      <c r="C5" s="4" t="s">
        <v>621</v>
      </c>
      <c r="D5" s="9">
        <v>359707</v>
      </c>
      <c r="E5" s="4" t="s">
        <v>620</v>
      </c>
      <c r="F5" s="9">
        <v>79546</v>
      </c>
      <c r="G5" s="4" t="s">
        <v>619</v>
      </c>
      <c r="H5" s="9">
        <v>51787</v>
      </c>
      <c r="I5" s="4" t="s">
        <v>618</v>
      </c>
      <c r="J5" s="9">
        <v>155297</v>
      </c>
      <c r="K5" s="4" t="s">
        <v>617</v>
      </c>
      <c r="L5" s="9">
        <v>263177</v>
      </c>
      <c r="M5" s="4" t="s">
        <v>616</v>
      </c>
      <c r="N5" s="9">
        <v>690759</v>
      </c>
      <c r="O5" s="4" t="s">
        <v>437</v>
      </c>
      <c r="P5" s="9">
        <v>157234</v>
      </c>
      <c r="Q5" s="4" t="s">
        <v>615</v>
      </c>
      <c r="R5" s="9">
        <v>184166</v>
      </c>
      <c r="S5" s="4" t="s">
        <v>614</v>
      </c>
    </row>
    <row r="6" spans="1:19" x14ac:dyDescent="0.3">
      <c r="A6" s="6" t="s">
        <v>239</v>
      </c>
      <c r="B6" s="9">
        <v>76116</v>
      </c>
      <c r="C6" s="4" t="s">
        <v>613</v>
      </c>
      <c r="D6" s="9">
        <v>58524</v>
      </c>
      <c r="E6" s="4" t="s">
        <v>612</v>
      </c>
      <c r="F6" s="9">
        <v>9600</v>
      </c>
      <c r="G6" s="4" t="s">
        <v>611</v>
      </c>
      <c r="H6" s="9">
        <v>7264</v>
      </c>
      <c r="I6" s="4" t="s">
        <v>610</v>
      </c>
      <c r="J6" s="9">
        <v>34437</v>
      </c>
      <c r="K6" s="4" t="s">
        <v>609</v>
      </c>
      <c r="L6" s="9">
        <v>39920</v>
      </c>
      <c r="M6" s="4" t="s">
        <v>608</v>
      </c>
      <c r="N6" s="9">
        <v>98865</v>
      </c>
      <c r="O6" s="4" t="s">
        <v>607</v>
      </c>
      <c r="P6" s="9">
        <v>26238</v>
      </c>
      <c r="Q6" s="4" t="s">
        <v>606</v>
      </c>
      <c r="R6" s="9">
        <v>25822</v>
      </c>
      <c r="S6" s="4" t="s">
        <v>605</v>
      </c>
    </row>
    <row r="7" spans="1:19" x14ac:dyDescent="0.3">
      <c r="A7" s="7" t="s">
        <v>230</v>
      </c>
      <c r="B7" s="9">
        <v>55335</v>
      </c>
      <c r="C7" s="4" t="s">
        <v>604</v>
      </c>
      <c r="D7" s="9">
        <v>40789</v>
      </c>
      <c r="E7" s="4" t="s">
        <v>603</v>
      </c>
      <c r="F7" s="9">
        <v>7448</v>
      </c>
      <c r="G7" s="4" t="s">
        <v>226</v>
      </c>
      <c r="H7" s="9">
        <v>4647</v>
      </c>
      <c r="I7" s="4" t="s">
        <v>338</v>
      </c>
      <c r="J7" s="9">
        <v>24054</v>
      </c>
      <c r="K7" s="4" t="s">
        <v>602</v>
      </c>
      <c r="L7" s="9">
        <v>29164</v>
      </c>
      <c r="M7" s="4" t="s">
        <v>601</v>
      </c>
      <c r="N7" s="9">
        <v>74901</v>
      </c>
      <c r="O7" s="4" t="s">
        <v>600</v>
      </c>
      <c r="P7" s="9">
        <v>17518</v>
      </c>
      <c r="Q7" s="4" t="s">
        <v>599</v>
      </c>
      <c r="R7" s="9">
        <v>19267</v>
      </c>
      <c r="S7" s="4" t="s">
        <v>598</v>
      </c>
    </row>
    <row r="8" spans="1:19" x14ac:dyDescent="0.3">
      <c r="A8" s="7" t="s">
        <v>220</v>
      </c>
      <c r="B8" s="9">
        <v>14113</v>
      </c>
      <c r="C8" s="4" t="s">
        <v>558</v>
      </c>
      <c r="D8" s="9">
        <v>10743</v>
      </c>
      <c r="E8" s="4" t="s">
        <v>597</v>
      </c>
      <c r="F8" s="9">
        <v>1387</v>
      </c>
      <c r="G8" s="4" t="s">
        <v>512</v>
      </c>
      <c r="H8" s="9">
        <v>1573</v>
      </c>
      <c r="I8" s="4" t="s">
        <v>541</v>
      </c>
      <c r="J8" s="9">
        <v>6479</v>
      </c>
      <c r="K8" s="4" t="s">
        <v>596</v>
      </c>
      <c r="L8" s="9">
        <v>6960</v>
      </c>
      <c r="M8" s="4" t="s">
        <v>595</v>
      </c>
      <c r="N8" s="9">
        <v>14559</v>
      </c>
      <c r="O8" s="4" t="s">
        <v>594</v>
      </c>
      <c r="P8" s="9">
        <v>4753</v>
      </c>
      <c r="Q8" s="4" t="s">
        <v>593</v>
      </c>
      <c r="R8" s="9">
        <v>3771</v>
      </c>
      <c r="S8" s="4" t="s">
        <v>592</v>
      </c>
    </row>
    <row r="9" spans="1:19" x14ac:dyDescent="0.3">
      <c r="A9" s="7" t="s">
        <v>210</v>
      </c>
      <c r="B9" s="9">
        <v>3740</v>
      </c>
      <c r="C9" s="4" t="s">
        <v>591</v>
      </c>
      <c r="D9" s="9">
        <v>4209</v>
      </c>
      <c r="E9" s="4" t="s">
        <v>96</v>
      </c>
      <c r="F9" s="4">
        <v>331</v>
      </c>
      <c r="G9" s="4" t="s">
        <v>187</v>
      </c>
      <c r="H9" s="4">
        <v>430</v>
      </c>
      <c r="I9" s="4" t="s">
        <v>182</v>
      </c>
      <c r="J9" s="9">
        <v>1989</v>
      </c>
      <c r="K9" s="4" t="s">
        <v>533</v>
      </c>
      <c r="L9" s="9">
        <v>2487</v>
      </c>
      <c r="M9" s="4" t="s">
        <v>590</v>
      </c>
      <c r="N9" s="9">
        <v>5282</v>
      </c>
      <c r="O9" s="4" t="s">
        <v>589</v>
      </c>
      <c r="P9" s="9">
        <v>1701</v>
      </c>
      <c r="Q9" s="4" t="s">
        <v>588</v>
      </c>
      <c r="R9" s="9">
        <v>1727</v>
      </c>
      <c r="S9" s="4" t="s">
        <v>400</v>
      </c>
    </row>
    <row r="10" spans="1:19" x14ac:dyDescent="0.3">
      <c r="A10" s="7" t="s">
        <v>201</v>
      </c>
      <c r="B10" s="9">
        <v>2147</v>
      </c>
      <c r="C10" s="4" t="s">
        <v>587</v>
      </c>
      <c r="D10" s="9">
        <v>1734</v>
      </c>
      <c r="E10" s="4" t="s">
        <v>586</v>
      </c>
      <c r="F10" s="4">
        <v>388</v>
      </c>
      <c r="G10" s="4" t="s">
        <v>585</v>
      </c>
      <c r="H10" s="4">
        <v>510</v>
      </c>
      <c r="I10" s="4" t="s">
        <v>584</v>
      </c>
      <c r="J10" s="9">
        <v>1012</v>
      </c>
      <c r="K10" s="4" t="s">
        <v>583</v>
      </c>
      <c r="L10" s="4">
        <v>863</v>
      </c>
      <c r="M10" s="4" t="s">
        <v>112</v>
      </c>
      <c r="N10" s="9">
        <v>2970</v>
      </c>
      <c r="O10" s="4" t="s">
        <v>582</v>
      </c>
      <c r="P10" s="9">
        <v>1404</v>
      </c>
      <c r="Q10" s="4" t="s">
        <v>581</v>
      </c>
      <c r="R10" s="4">
        <v>589</v>
      </c>
      <c r="S10" s="4" t="s">
        <v>520</v>
      </c>
    </row>
    <row r="11" spans="1:19" x14ac:dyDescent="0.3">
      <c r="A11" s="7" t="s">
        <v>191</v>
      </c>
      <c r="B11" s="4">
        <v>781</v>
      </c>
      <c r="C11" s="4" t="s">
        <v>580</v>
      </c>
      <c r="D11" s="9">
        <v>1049</v>
      </c>
      <c r="E11" s="4" t="s">
        <v>579</v>
      </c>
      <c r="F11" s="4">
        <v>46</v>
      </c>
      <c r="G11" s="4" t="s">
        <v>578</v>
      </c>
      <c r="H11" s="4">
        <v>104</v>
      </c>
      <c r="I11" s="4" t="s">
        <v>577</v>
      </c>
      <c r="J11" s="4">
        <v>903</v>
      </c>
      <c r="K11" s="4" t="s">
        <v>576</v>
      </c>
      <c r="L11" s="4">
        <v>446</v>
      </c>
      <c r="M11" s="4" t="s">
        <v>575</v>
      </c>
      <c r="N11" s="9">
        <v>1153</v>
      </c>
      <c r="O11" s="4" t="s">
        <v>574</v>
      </c>
      <c r="P11" s="4">
        <v>862</v>
      </c>
      <c r="Q11" s="4" t="s">
        <v>573</v>
      </c>
      <c r="R11" s="4">
        <v>468</v>
      </c>
      <c r="S11" s="4" t="s">
        <v>572</v>
      </c>
    </row>
    <row r="12" spans="1:19" ht="28.8" x14ac:dyDescent="0.3">
      <c r="A12" s="5" t="s">
        <v>181</v>
      </c>
      <c r="B12" s="9">
        <v>114029</v>
      </c>
      <c r="C12" s="4" t="s">
        <v>571</v>
      </c>
      <c r="D12" s="9">
        <v>56093</v>
      </c>
      <c r="E12" s="4" t="s">
        <v>570</v>
      </c>
      <c r="F12" s="9">
        <v>10060</v>
      </c>
      <c r="G12" s="4" t="s">
        <v>569</v>
      </c>
      <c r="H12" s="4">
        <v>940</v>
      </c>
      <c r="I12" s="4" t="s">
        <v>568</v>
      </c>
      <c r="J12" s="9">
        <v>161085</v>
      </c>
      <c r="K12" s="4" t="s">
        <v>567</v>
      </c>
      <c r="L12" s="9">
        <v>41094</v>
      </c>
      <c r="M12" s="4" t="s">
        <v>566</v>
      </c>
      <c r="N12" s="9">
        <v>39110</v>
      </c>
      <c r="O12" s="4" t="s">
        <v>565</v>
      </c>
      <c r="P12" s="9">
        <v>5671</v>
      </c>
      <c r="Q12" s="4" t="s">
        <v>564</v>
      </c>
      <c r="R12" s="9">
        <v>3926</v>
      </c>
      <c r="S12" s="4" t="s">
        <v>563</v>
      </c>
    </row>
    <row r="13" spans="1:19" x14ac:dyDescent="0.3">
      <c r="A13" s="6" t="s">
        <v>390</v>
      </c>
      <c r="B13" s="9">
        <v>35173</v>
      </c>
      <c r="C13" s="4" t="s">
        <v>562</v>
      </c>
      <c r="D13" s="9">
        <v>9363</v>
      </c>
      <c r="E13" s="4" t="s">
        <v>561</v>
      </c>
      <c r="F13" s="9">
        <v>6257</v>
      </c>
      <c r="G13" s="4" t="s">
        <v>560</v>
      </c>
      <c r="H13" s="4">
        <v>501</v>
      </c>
      <c r="I13" s="4" t="s">
        <v>531</v>
      </c>
      <c r="J13" s="9">
        <v>101416</v>
      </c>
      <c r="K13" s="4" t="s">
        <v>559</v>
      </c>
      <c r="L13" s="9">
        <v>12762</v>
      </c>
      <c r="M13" s="4" t="s">
        <v>558</v>
      </c>
      <c r="N13" s="9">
        <v>21071</v>
      </c>
      <c r="O13" s="4" t="s">
        <v>557</v>
      </c>
      <c r="P13" s="9">
        <v>2348</v>
      </c>
      <c r="Q13" s="4" t="s">
        <v>556</v>
      </c>
      <c r="R13" s="9">
        <v>3229</v>
      </c>
      <c r="S13" s="4" t="s">
        <v>555</v>
      </c>
    </row>
    <row r="14" spans="1:19" x14ac:dyDescent="0.3">
      <c r="A14" s="6" t="s">
        <v>381</v>
      </c>
      <c r="B14" s="9">
        <v>64960</v>
      </c>
      <c r="C14" s="4" t="s">
        <v>554</v>
      </c>
      <c r="D14" s="9">
        <v>38041</v>
      </c>
      <c r="E14" s="4" t="s">
        <v>553</v>
      </c>
      <c r="F14" s="4">
        <v>76</v>
      </c>
      <c r="G14" s="4" t="s">
        <v>546</v>
      </c>
      <c r="H14" s="4">
        <v>25</v>
      </c>
      <c r="I14" s="4" t="s">
        <v>552</v>
      </c>
      <c r="J14" s="9">
        <v>41610</v>
      </c>
      <c r="K14" s="4" t="s">
        <v>551</v>
      </c>
      <c r="L14" s="9">
        <v>17253</v>
      </c>
      <c r="M14" s="4" t="s">
        <v>550</v>
      </c>
      <c r="N14" s="9">
        <v>2704</v>
      </c>
      <c r="O14" s="4" t="s">
        <v>549</v>
      </c>
      <c r="P14" s="4">
        <v>956</v>
      </c>
      <c r="Q14" s="4" t="s">
        <v>548</v>
      </c>
      <c r="R14" s="4">
        <v>146</v>
      </c>
      <c r="S14" s="4" t="s">
        <v>547</v>
      </c>
    </row>
    <row r="15" spans="1:19" ht="28.8" x14ac:dyDescent="0.3">
      <c r="A15" s="6" t="s">
        <v>372</v>
      </c>
      <c r="B15" s="9">
        <v>8828</v>
      </c>
      <c r="C15" s="4" t="s">
        <v>509</v>
      </c>
      <c r="D15" s="9">
        <v>7242</v>
      </c>
      <c r="E15" s="4" t="s">
        <v>525</v>
      </c>
      <c r="F15" s="4">
        <v>110</v>
      </c>
      <c r="G15" s="4" t="s">
        <v>546</v>
      </c>
      <c r="H15" s="4">
        <v>5</v>
      </c>
      <c r="I15" s="4" t="s">
        <v>539</v>
      </c>
      <c r="J15" s="9">
        <v>7767</v>
      </c>
      <c r="K15" s="4" t="s">
        <v>545</v>
      </c>
      <c r="L15" s="9">
        <v>10212</v>
      </c>
      <c r="M15" s="4" t="s">
        <v>544</v>
      </c>
      <c r="N15" s="9">
        <v>12410</v>
      </c>
      <c r="O15" s="4" t="s">
        <v>543</v>
      </c>
      <c r="P15" s="4">
        <v>849</v>
      </c>
      <c r="Q15" s="4" t="s">
        <v>520</v>
      </c>
      <c r="R15" s="4">
        <v>442</v>
      </c>
      <c r="S15" s="4" t="s">
        <v>518</v>
      </c>
    </row>
    <row r="16" spans="1:19" ht="28.8" x14ac:dyDescent="0.3">
      <c r="A16" s="6" t="s">
        <v>363</v>
      </c>
      <c r="B16" s="9">
        <v>1391</v>
      </c>
      <c r="C16" s="4" t="s">
        <v>542</v>
      </c>
      <c r="D16" s="9">
        <v>1124</v>
      </c>
      <c r="E16" s="4" t="s">
        <v>541</v>
      </c>
      <c r="F16" s="4">
        <v>42</v>
      </c>
      <c r="G16" s="4" t="s">
        <v>540</v>
      </c>
      <c r="H16" s="4">
        <v>4</v>
      </c>
      <c r="I16" s="4" t="s">
        <v>539</v>
      </c>
      <c r="J16" s="9">
        <v>10051</v>
      </c>
      <c r="K16" s="4" t="s">
        <v>538</v>
      </c>
      <c r="L16" s="4">
        <v>854</v>
      </c>
      <c r="M16" s="4" t="s">
        <v>537</v>
      </c>
      <c r="N16" s="9">
        <v>2841</v>
      </c>
      <c r="O16" s="4" t="s">
        <v>536</v>
      </c>
      <c r="P16" s="4">
        <v>17</v>
      </c>
      <c r="Q16" s="4" t="s">
        <v>535</v>
      </c>
      <c r="R16" s="4">
        <v>34</v>
      </c>
      <c r="S16" s="4" t="s">
        <v>534</v>
      </c>
    </row>
    <row r="17" spans="1:19" x14ac:dyDescent="0.3">
      <c r="A17" s="6" t="s">
        <v>138</v>
      </c>
      <c r="B17" s="9">
        <v>3677</v>
      </c>
      <c r="C17" s="4" t="s">
        <v>134</v>
      </c>
      <c r="D17" s="4">
        <v>323</v>
      </c>
      <c r="E17" s="4" t="s">
        <v>355</v>
      </c>
      <c r="F17" s="9">
        <v>3575</v>
      </c>
      <c r="G17" s="4" t="s">
        <v>533</v>
      </c>
      <c r="H17" s="4">
        <v>405</v>
      </c>
      <c r="I17" s="4" t="s">
        <v>532</v>
      </c>
      <c r="J17" s="4">
        <v>241</v>
      </c>
      <c r="K17" s="4" t="s">
        <v>531</v>
      </c>
      <c r="L17" s="4">
        <v>13</v>
      </c>
      <c r="M17" s="4" t="s">
        <v>530</v>
      </c>
      <c r="N17" s="4">
        <v>84</v>
      </c>
      <c r="O17" s="4" t="s">
        <v>131</v>
      </c>
      <c r="P17" s="9">
        <v>1501</v>
      </c>
      <c r="Q17" s="4" t="s">
        <v>529</v>
      </c>
      <c r="R17" s="4">
        <v>75</v>
      </c>
      <c r="S17" s="4" t="s">
        <v>526</v>
      </c>
    </row>
    <row r="18" spans="1:19" x14ac:dyDescent="0.3">
      <c r="A18" s="5" t="s">
        <v>130</v>
      </c>
      <c r="B18" s="9">
        <v>2236</v>
      </c>
      <c r="C18" s="4" t="s">
        <v>528</v>
      </c>
      <c r="D18" s="4">
        <v>880</v>
      </c>
      <c r="E18" s="4" t="s">
        <v>511</v>
      </c>
      <c r="F18" s="4">
        <v>5</v>
      </c>
      <c r="G18" s="4" t="s">
        <v>527</v>
      </c>
      <c r="H18" s="4">
        <v>95</v>
      </c>
      <c r="I18" s="4" t="s">
        <v>526</v>
      </c>
      <c r="J18" s="9">
        <v>6866</v>
      </c>
      <c r="K18" s="4" t="s">
        <v>525</v>
      </c>
      <c r="L18" s="9">
        <v>1095</v>
      </c>
      <c r="M18" s="4" t="s">
        <v>524</v>
      </c>
      <c r="N18" s="9">
        <v>2626</v>
      </c>
      <c r="O18" s="4" t="s">
        <v>207</v>
      </c>
      <c r="P18" s="4">
        <v>174</v>
      </c>
      <c r="Q18" s="4" t="s">
        <v>523</v>
      </c>
      <c r="R18" s="4">
        <v>335</v>
      </c>
      <c r="S18" s="4" t="s">
        <v>522</v>
      </c>
    </row>
    <row r="19" spans="1:19" x14ac:dyDescent="0.3">
      <c r="A19" s="5" t="s">
        <v>120</v>
      </c>
      <c r="B19" s="9">
        <v>2799</v>
      </c>
      <c r="C19" s="4" t="s">
        <v>521</v>
      </c>
      <c r="D19" s="9">
        <v>1095</v>
      </c>
      <c r="E19" s="4" t="s">
        <v>520</v>
      </c>
      <c r="F19" s="4">
        <v>128</v>
      </c>
      <c r="G19" s="4" t="s">
        <v>519</v>
      </c>
      <c r="H19" s="4">
        <v>206</v>
      </c>
      <c r="I19" s="4" t="s">
        <v>518</v>
      </c>
      <c r="J19" s="9">
        <v>4400</v>
      </c>
      <c r="K19" s="4" t="s">
        <v>517</v>
      </c>
      <c r="L19" s="9">
        <v>1245</v>
      </c>
      <c r="M19" s="4" t="s">
        <v>516</v>
      </c>
      <c r="N19" s="9">
        <v>2627</v>
      </c>
      <c r="O19" s="4" t="s">
        <v>515</v>
      </c>
      <c r="P19" s="4">
        <v>613</v>
      </c>
      <c r="Q19" s="4" t="s">
        <v>514</v>
      </c>
      <c r="R19" s="4">
        <v>788</v>
      </c>
      <c r="S19" s="4" t="s">
        <v>127</v>
      </c>
    </row>
    <row r="20" spans="1:19" x14ac:dyDescent="0.3">
      <c r="A20" s="5" t="s">
        <v>110</v>
      </c>
      <c r="B20" s="9">
        <v>13534</v>
      </c>
      <c r="C20" s="4" t="s">
        <v>513</v>
      </c>
      <c r="D20" s="9">
        <v>2484</v>
      </c>
      <c r="E20" s="4" t="s">
        <v>512</v>
      </c>
      <c r="F20" s="9">
        <v>1492</v>
      </c>
      <c r="G20" s="4" t="s">
        <v>511</v>
      </c>
      <c r="H20" s="4">
        <v>706</v>
      </c>
      <c r="I20" s="4" t="s">
        <v>373</v>
      </c>
      <c r="J20" s="9">
        <v>18725</v>
      </c>
      <c r="K20" s="4" t="s">
        <v>510</v>
      </c>
      <c r="L20" s="9">
        <v>5341</v>
      </c>
      <c r="M20" s="4" t="s">
        <v>509</v>
      </c>
      <c r="N20" s="9">
        <v>15012</v>
      </c>
      <c r="O20" s="4" t="s">
        <v>508</v>
      </c>
      <c r="P20" s="4">
        <v>522</v>
      </c>
      <c r="Q20" s="4" t="s">
        <v>507</v>
      </c>
      <c r="R20" s="9">
        <v>1773</v>
      </c>
      <c r="S20" s="4" t="s">
        <v>506</v>
      </c>
    </row>
    <row r="21" spans="1:19" x14ac:dyDescent="0.3">
      <c r="A21" s="5" t="s">
        <v>100</v>
      </c>
      <c r="B21" s="9">
        <v>26599</v>
      </c>
      <c r="C21" s="4" t="s">
        <v>505</v>
      </c>
      <c r="D21" s="9">
        <v>8647</v>
      </c>
      <c r="E21" s="4" t="s">
        <v>504</v>
      </c>
      <c r="F21" s="9">
        <v>4121</v>
      </c>
      <c r="G21" s="4" t="s">
        <v>411</v>
      </c>
      <c r="H21" s="9">
        <v>2424</v>
      </c>
      <c r="I21" s="4" t="s">
        <v>503</v>
      </c>
      <c r="J21" s="9">
        <v>59807</v>
      </c>
      <c r="K21" s="4" t="s">
        <v>502</v>
      </c>
      <c r="L21" s="9">
        <v>9924</v>
      </c>
      <c r="M21" s="4" t="s">
        <v>501</v>
      </c>
      <c r="N21" s="9">
        <v>20559</v>
      </c>
      <c r="O21" s="4" t="s">
        <v>500</v>
      </c>
      <c r="P21" s="9">
        <v>2472</v>
      </c>
      <c r="Q21" s="4" t="s">
        <v>499</v>
      </c>
      <c r="R21" s="9">
        <v>6207</v>
      </c>
      <c r="S21" s="4" t="s">
        <v>82</v>
      </c>
    </row>
    <row r="22" spans="1:19" x14ac:dyDescent="0.3">
      <c r="A22" s="5" t="s">
        <v>90</v>
      </c>
      <c r="B22" s="9">
        <v>8404</v>
      </c>
      <c r="C22" s="4" t="s">
        <v>498</v>
      </c>
      <c r="D22" s="9">
        <v>5438</v>
      </c>
      <c r="E22" s="4" t="s">
        <v>497</v>
      </c>
      <c r="F22" s="4">
        <v>835</v>
      </c>
      <c r="G22" s="4" t="s">
        <v>496</v>
      </c>
      <c r="H22" s="4">
        <v>704</v>
      </c>
      <c r="I22" s="4" t="s">
        <v>495</v>
      </c>
      <c r="J22" s="9">
        <v>9110</v>
      </c>
      <c r="K22" s="4" t="s">
        <v>494</v>
      </c>
      <c r="L22" s="9">
        <v>4802</v>
      </c>
      <c r="M22" s="4" t="s">
        <v>190</v>
      </c>
      <c r="N22" s="9">
        <v>8325</v>
      </c>
      <c r="O22" s="4" t="s">
        <v>493</v>
      </c>
      <c r="P22" s="9">
        <v>1133</v>
      </c>
      <c r="Q22" s="4" t="s">
        <v>492</v>
      </c>
      <c r="R22" s="9">
        <v>2519</v>
      </c>
      <c r="S22" s="4" t="s">
        <v>491</v>
      </c>
    </row>
    <row r="23" spans="1:19" x14ac:dyDescent="0.3">
      <c r="A23" s="5" t="s">
        <v>302</v>
      </c>
      <c r="B23" s="9">
        <v>87775</v>
      </c>
      <c r="C23" s="4" t="s">
        <v>490</v>
      </c>
      <c r="D23" s="9">
        <v>54352</v>
      </c>
      <c r="E23" s="4" t="s">
        <v>489</v>
      </c>
      <c r="F23" s="9">
        <v>21423</v>
      </c>
      <c r="G23" s="4" t="s">
        <v>488</v>
      </c>
      <c r="H23" s="9">
        <v>5021</v>
      </c>
      <c r="I23" s="4" t="s">
        <v>487</v>
      </c>
      <c r="J23" s="9">
        <v>60016</v>
      </c>
      <c r="K23" s="4" t="s">
        <v>486</v>
      </c>
      <c r="L23" s="9">
        <v>38506</v>
      </c>
      <c r="M23" s="4" t="s">
        <v>485</v>
      </c>
      <c r="N23" s="9">
        <v>94694</v>
      </c>
      <c r="O23" s="4" t="s">
        <v>484</v>
      </c>
      <c r="P23" s="9">
        <v>13226</v>
      </c>
      <c r="Q23" s="4" t="s">
        <v>483</v>
      </c>
      <c r="R23" s="9">
        <v>22512</v>
      </c>
      <c r="S23" s="4" t="s">
        <v>482</v>
      </c>
    </row>
    <row r="25" spans="1:19" x14ac:dyDescent="0.3">
      <c r="A25" s="10" t="s">
        <v>281</v>
      </c>
      <c r="B25" s="11">
        <f>SUMIF($B$2:$S$2,"=Estimate",$B$23:$S$23)</f>
        <v>397525</v>
      </c>
    </row>
    <row r="26" spans="1:19" x14ac:dyDescent="0.3">
      <c r="A26" s="10" t="s">
        <v>282</v>
      </c>
      <c r="B26" s="11">
        <f>SUMIF($B$2:$S$2,"=Estimate",$B$3:$S$3)</f>
        <v>3885813</v>
      </c>
    </row>
    <row r="27" spans="1:19" x14ac:dyDescent="0.3">
      <c r="A27" s="10" t="s">
        <v>4</v>
      </c>
      <c r="B27" s="12">
        <f>B25/B26</f>
        <v>0.10230162902846843</v>
      </c>
    </row>
  </sheetData>
  <mergeCells count="9">
    <mergeCell ref="L1:M1"/>
    <mergeCell ref="N1:O1"/>
    <mergeCell ref="P1:Q1"/>
    <mergeCell ref="R1:S1"/>
    <mergeCell ref="B1:C1"/>
    <mergeCell ref="D1:E1"/>
    <mergeCell ref="F1:G1"/>
    <mergeCell ref="H1:I1"/>
    <mergeCell ref="J1:K1"/>
  </mergeCells>
  <printOptions gridLines="1"/>
  <pageMargins left="0.7" right="0.7" top="0.75" bottom="0.75" header="0.3" footer="0.3"/>
  <pageSetup pageOrder="overThenDown" orientation="landscape"/>
  <headerFooter>
    <oddHeader>&amp;LTable: ACSDT5Y2020.B08301</oddHeader>
    <oddFooter>&amp;L&amp;Bdata.census.gov&amp;B | Measuring America's People, Places, and Economy &amp;R&amp;P</oddFooter>
    <evenHeader>&amp;LTable: ACSDT5Y2020.B08301</evenHeader>
    <evenFooter>&amp;L&amp;Bdata.census.gov&amp;B | Measuring America's People, Places, and Economy &amp;R&amp;P</even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E1E9-17B7-498E-A1D6-1B82C9A045BB}">
  <sheetPr>
    <tabColor theme="7" tint="0.79998168889431442"/>
    <pageSetUpPr fitToPage="1"/>
  </sheetPr>
  <dimension ref="A1:C44"/>
  <sheetViews>
    <sheetView workbookViewId="0">
      <selection activeCell="B9" sqref="B9:C9"/>
    </sheetView>
  </sheetViews>
  <sheetFormatPr defaultRowHeight="14.4" x14ac:dyDescent="0.3"/>
  <cols>
    <col min="1" max="1" width="25" style="1" customWidth="1"/>
    <col min="2" max="2" width="80" style="1" customWidth="1"/>
    <col min="3" max="3" width="20" customWidth="1"/>
  </cols>
  <sheetData>
    <row r="1" spans="1:3" ht="60" customHeight="1" thickBot="1" x14ac:dyDescent="0.35">
      <c r="A1" s="53" t="s">
        <v>70</v>
      </c>
      <c r="B1" s="53"/>
      <c r="C1" s="3"/>
    </row>
    <row r="2" spans="1:3" x14ac:dyDescent="0.3">
      <c r="A2" s="52"/>
      <c r="B2" s="52"/>
      <c r="C2" s="52"/>
    </row>
    <row r="3" spans="1:3" x14ac:dyDescent="0.3">
      <c r="A3" s="54" t="s">
        <v>69</v>
      </c>
      <c r="B3" s="54"/>
      <c r="C3" s="54"/>
    </row>
    <row r="4" spans="1:3" x14ac:dyDescent="0.3">
      <c r="A4" s="52"/>
      <c r="B4" s="52"/>
      <c r="C4" s="52"/>
    </row>
    <row r="5" spans="1:3" ht="15.9" customHeight="1" x14ac:dyDescent="0.3">
      <c r="A5" s="2" t="s">
        <v>68</v>
      </c>
      <c r="B5" s="52" t="s">
        <v>29</v>
      </c>
      <c r="C5" s="52"/>
    </row>
    <row r="6" spans="1:3" ht="15.9" customHeight="1" x14ac:dyDescent="0.3">
      <c r="A6" s="1" t="s">
        <v>67</v>
      </c>
      <c r="B6" s="52" t="s">
        <v>51</v>
      </c>
      <c r="C6" s="52"/>
    </row>
    <row r="7" spans="1:3" ht="15.9" customHeight="1" x14ac:dyDescent="0.3">
      <c r="A7" s="1" t="s">
        <v>66</v>
      </c>
      <c r="B7" s="52" t="s">
        <v>65</v>
      </c>
      <c r="C7" s="52"/>
    </row>
    <row r="8" spans="1:3" ht="15.9" customHeight="1" x14ac:dyDescent="0.3">
      <c r="A8" s="1" t="s">
        <v>64</v>
      </c>
      <c r="B8" s="52" t="s">
        <v>292</v>
      </c>
      <c r="C8" s="52"/>
    </row>
    <row r="9" spans="1:3" ht="15.9" customHeight="1" x14ac:dyDescent="0.3">
      <c r="A9" s="1" t="s">
        <v>62</v>
      </c>
      <c r="B9" s="52" t="s">
        <v>291</v>
      </c>
      <c r="C9" s="52"/>
    </row>
    <row r="10" spans="1:3" ht="15.9" customHeight="1" x14ac:dyDescent="0.3">
      <c r="A10" s="1" t="s">
        <v>60</v>
      </c>
      <c r="B10" s="52" t="s">
        <v>59</v>
      </c>
      <c r="C10" s="52"/>
    </row>
    <row r="11" spans="1:3" ht="15.9" customHeight="1" x14ac:dyDescent="0.3">
      <c r="A11" s="1" t="s">
        <v>58</v>
      </c>
      <c r="B11" s="52" t="s">
        <v>57</v>
      </c>
      <c r="C11" s="52"/>
    </row>
    <row r="12" spans="1:3" ht="15.9" customHeight="1" x14ac:dyDescent="0.3">
      <c r="A12" s="1" t="s">
        <v>56</v>
      </c>
      <c r="B12" s="52" t="s">
        <v>26</v>
      </c>
      <c r="C12" s="52"/>
    </row>
    <row r="13" spans="1:3" ht="15.9" customHeight="1" x14ac:dyDescent="0.3">
      <c r="A13" s="1" t="s">
        <v>55</v>
      </c>
      <c r="B13" s="52" t="s">
        <v>290</v>
      </c>
      <c r="C13" s="52"/>
    </row>
    <row r="14" spans="1:3" x14ac:dyDescent="0.3">
      <c r="A14" s="52"/>
      <c r="B14" s="52"/>
      <c r="C14" s="52"/>
    </row>
    <row r="15" spans="1:3" ht="15.9" customHeight="1" x14ac:dyDescent="0.3">
      <c r="A15" s="2" t="s">
        <v>53</v>
      </c>
      <c r="B15" s="52" t="s">
        <v>29</v>
      </c>
      <c r="C15" s="52"/>
    </row>
    <row r="16" spans="1:3" ht="15.9" customHeight="1" x14ac:dyDescent="0.3">
      <c r="A16" s="1" t="s">
        <v>52</v>
      </c>
      <c r="B16" s="52" t="s">
        <v>51</v>
      </c>
      <c r="C16" s="52"/>
    </row>
    <row r="17" spans="1:3" ht="48" customHeight="1" x14ac:dyDescent="0.3">
      <c r="A17" s="1" t="s">
        <v>50</v>
      </c>
      <c r="B17" s="52" t="s">
        <v>49</v>
      </c>
      <c r="C17" s="52"/>
    </row>
    <row r="18" spans="1:3" x14ac:dyDescent="0.3">
      <c r="A18" s="52"/>
      <c r="B18" s="52"/>
      <c r="C18" s="52"/>
    </row>
    <row r="19" spans="1:3" ht="15.9" customHeight="1" x14ac:dyDescent="0.3">
      <c r="A19" s="2" t="s">
        <v>48</v>
      </c>
      <c r="B19" s="52" t="s">
        <v>26</v>
      </c>
      <c r="C19" s="52"/>
    </row>
    <row r="20" spans="1:3" x14ac:dyDescent="0.3">
      <c r="A20" s="52"/>
      <c r="B20" s="52"/>
      <c r="C20" s="52"/>
    </row>
    <row r="21" spans="1:3" ht="15.9" customHeight="1" x14ac:dyDescent="0.3">
      <c r="A21" s="2" t="s">
        <v>47</v>
      </c>
      <c r="B21" s="52" t="s">
        <v>26</v>
      </c>
      <c r="C21" s="52"/>
    </row>
    <row r="22" spans="1:3" x14ac:dyDescent="0.3">
      <c r="A22" s="52"/>
      <c r="B22" s="52"/>
      <c r="C22" s="52"/>
    </row>
    <row r="23" spans="1:3" ht="15.9" customHeight="1" x14ac:dyDescent="0.3">
      <c r="A23" s="2" t="s">
        <v>46</v>
      </c>
      <c r="B23" s="52" t="s">
        <v>26</v>
      </c>
      <c r="C23" s="52"/>
    </row>
    <row r="24" spans="1:3" x14ac:dyDescent="0.3">
      <c r="A24" s="52"/>
      <c r="B24" s="52"/>
      <c r="C24" s="52"/>
    </row>
    <row r="25" spans="1:3" ht="15.9" customHeight="1" x14ac:dyDescent="0.3">
      <c r="A25" s="2" t="s">
        <v>45</v>
      </c>
      <c r="B25" s="52" t="s">
        <v>29</v>
      </c>
      <c r="C25" s="52"/>
    </row>
    <row r="26" spans="1:3" ht="15.9" customHeight="1" x14ac:dyDescent="0.3">
      <c r="A26" s="1" t="s">
        <v>44</v>
      </c>
      <c r="B26" s="52" t="s">
        <v>26</v>
      </c>
      <c r="C26" s="52"/>
    </row>
    <row r="27" spans="1:3" ht="15.9" customHeight="1" x14ac:dyDescent="0.3">
      <c r="A27" s="1" t="s">
        <v>43</v>
      </c>
      <c r="B27" s="52" t="s">
        <v>42</v>
      </c>
      <c r="C27" s="52"/>
    </row>
    <row r="28" spans="1:3" ht="15.9" customHeight="1" x14ac:dyDescent="0.3">
      <c r="A28" s="1" t="s">
        <v>41</v>
      </c>
      <c r="B28" s="52" t="s">
        <v>26</v>
      </c>
      <c r="C28" s="52"/>
    </row>
    <row r="29" spans="1:3" ht="15.9" customHeight="1" x14ac:dyDescent="0.3">
      <c r="A29" s="1" t="s">
        <v>40</v>
      </c>
      <c r="B29" s="52" t="s">
        <v>26</v>
      </c>
      <c r="C29" s="52"/>
    </row>
    <row r="30" spans="1:3" x14ac:dyDescent="0.3">
      <c r="A30" s="52"/>
      <c r="B30" s="52"/>
      <c r="C30" s="52"/>
    </row>
    <row r="31" spans="1:3" ht="32.1" customHeight="1" x14ac:dyDescent="0.3">
      <c r="A31" s="2" t="s">
        <v>39</v>
      </c>
      <c r="B31" s="52" t="s">
        <v>289</v>
      </c>
      <c r="C31" s="52"/>
    </row>
    <row r="32" spans="1:3" x14ac:dyDescent="0.3">
      <c r="A32" s="52"/>
      <c r="B32" s="52"/>
      <c r="C32" s="52"/>
    </row>
    <row r="33" spans="1:3" ht="63.9" customHeight="1" x14ac:dyDescent="0.3">
      <c r="A33" s="2" t="s">
        <v>37</v>
      </c>
      <c r="B33" s="52" t="s">
        <v>36</v>
      </c>
      <c r="C33" s="52"/>
    </row>
    <row r="34" spans="1:3" ht="111.9" customHeight="1" x14ac:dyDescent="0.3">
      <c r="A34" s="1" t="s">
        <v>29</v>
      </c>
      <c r="B34" s="52" t="s">
        <v>288</v>
      </c>
      <c r="C34" s="52"/>
    </row>
    <row r="35" spans="1:3" ht="32.1" customHeight="1" x14ac:dyDescent="0.3">
      <c r="A35" s="1" t="s">
        <v>29</v>
      </c>
      <c r="B35" s="52" t="s">
        <v>287</v>
      </c>
      <c r="C35" s="52"/>
    </row>
    <row r="36" spans="1:3" ht="111.9" customHeight="1" x14ac:dyDescent="0.3">
      <c r="A36" s="1" t="s">
        <v>29</v>
      </c>
      <c r="B36" s="52" t="s">
        <v>286</v>
      </c>
      <c r="C36" s="52"/>
    </row>
    <row r="37" spans="1:3" ht="32.1" customHeight="1" x14ac:dyDescent="0.3">
      <c r="A37" s="1" t="s">
        <v>29</v>
      </c>
      <c r="B37" s="52" t="s">
        <v>32</v>
      </c>
      <c r="C37" s="52"/>
    </row>
    <row r="38" spans="1:3" ht="32.1" customHeight="1" x14ac:dyDescent="0.3">
      <c r="A38" s="1" t="s">
        <v>29</v>
      </c>
      <c r="B38" s="52" t="s">
        <v>285</v>
      </c>
      <c r="C38" s="52"/>
    </row>
    <row r="39" spans="1:3" ht="63.9" customHeight="1" x14ac:dyDescent="0.3">
      <c r="A39" s="1" t="s">
        <v>29</v>
      </c>
      <c r="B39" s="52" t="s">
        <v>284</v>
      </c>
      <c r="C39" s="52"/>
    </row>
    <row r="40" spans="1:3" ht="48" customHeight="1" x14ac:dyDescent="0.3">
      <c r="A40" s="1" t="s">
        <v>29</v>
      </c>
      <c r="B40" s="52" t="s">
        <v>30</v>
      </c>
      <c r="C40" s="52"/>
    </row>
    <row r="41" spans="1:3" ht="320.10000000000002" customHeight="1" x14ac:dyDescent="0.3">
      <c r="A41" s="1" t="s">
        <v>29</v>
      </c>
      <c r="B41" s="52" t="s">
        <v>283</v>
      </c>
      <c r="C41" s="52"/>
    </row>
    <row r="42" spans="1:3" x14ac:dyDescent="0.3">
      <c r="A42" s="52"/>
      <c r="B42" s="52"/>
      <c r="C42" s="52"/>
    </row>
    <row r="43" spans="1:3" ht="15.9" customHeight="1" x14ac:dyDescent="0.3">
      <c r="A43" s="2" t="s">
        <v>27</v>
      </c>
      <c r="B43" s="52" t="s">
        <v>26</v>
      </c>
      <c r="C43" s="52"/>
    </row>
    <row r="44" spans="1:3" x14ac:dyDescent="0.3">
      <c r="A44" s="52"/>
      <c r="B44" s="52"/>
      <c r="C44" s="52"/>
    </row>
  </sheetData>
  <mergeCells count="44">
    <mergeCell ref="A1:B1"/>
    <mergeCell ref="A2:C2"/>
    <mergeCell ref="A3:C3"/>
    <mergeCell ref="A4:C4"/>
    <mergeCell ref="B5:C5"/>
    <mergeCell ref="B11:C11"/>
    <mergeCell ref="B12:C12"/>
    <mergeCell ref="B13:C13"/>
    <mergeCell ref="A14:C14"/>
    <mergeCell ref="B15:C15"/>
    <mergeCell ref="B6:C6"/>
    <mergeCell ref="B7:C7"/>
    <mergeCell ref="B8:C8"/>
    <mergeCell ref="B9:C9"/>
    <mergeCell ref="B10:C10"/>
    <mergeCell ref="B21:C21"/>
    <mergeCell ref="A22:C22"/>
    <mergeCell ref="B23:C23"/>
    <mergeCell ref="A24:C24"/>
    <mergeCell ref="B25:C25"/>
    <mergeCell ref="B16:C16"/>
    <mergeCell ref="B17:C17"/>
    <mergeCell ref="A18:C18"/>
    <mergeCell ref="B19:C19"/>
    <mergeCell ref="A20:C20"/>
    <mergeCell ref="B31:C31"/>
    <mergeCell ref="A32:C32"/>
    <mergeCell ref="B33:C33"/>
    <mergeCell ref="B34:C34"/>
    <mergeCell ref="B35:C35"/>
    <mergeCell ref="B26:C26"/>
    <mergeCell ref="B27:C27"/>
    <mergeCell ref="B28:C28"/>
    <mergeCell ref="B29:C29"/>
    <mergeCell ref="A30:C30"/>
    <mergeCell ref="B41:C41"/>
    <mergeCell ref="A42:C42"/>
    <mergeCell ref="B43:C43"/>
    <mergeCell ref="A44:C44"/>
    <mergeCell ref="B36:C36"/>
    <mergeCell ref="B37:C37"/>
    <mergeCell ref="B38:C38"/>
    <mergeCell ref="B39:C39"/>
    <mergeCell ref="B40:C40"/>
  </mergeCells>
  <printOptions gridLines="1"/>
  <pageMargins left="0.7" right="0.7" top="0.75" bottom="0.75" header="0.3" footer="0.3"/>
  <pageSetup fitToHeight="0" orientation="landscape"/>
  <headerFooter>
    <oddHeader>&amp;LTable: ACSDT1Y2019.B08301</oddHeader>
    <oddFooter>&amp;L&amp;Bdata.census.gov&amp;B | Measuring America's People, Places, and Economy &amp;R&amp;P</oddFooter>
    <evenHeader>&amp;LTable: ACSDT1Y2019.B08301</evenHeader>
    <evenFooter>&amp;L&amp;Bdata.census.gov&amp;B | Measuring America's People, Places, and Economy &amp;R&amp;P</even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5EA5-E235-4C39-9FB0-E4E1DF7DC8FA}">
  <sheetPr>
    <tabColor theme="7" tint="0.79998168889431442"/>
  </sheetPr>
  <dimension ref="A1:S27"/>
  <sheetViews>
    <sheetView zoomScale="70" zoomScaleNormal="70" workbookViewId="0">
      <pane xSplit="1" ySplit="2" topLeftCell="B6" activePane="bottomRight" state="frozen"/>
      <selection pane="topRight"/>
      <selection pane="bottomLeft"/>
      <selection pane="bottomRight" sqref="A1:XFD1"/>
    </sheetView>
  </sheetViews>
  <sheetFormatPr defaultRowHeight="14.4" x14ac:dyDescent="0.3"/>
  <cols>
    <col min="1" max="1" width="30" style="4" customWidth="1"/>
    <col min="2" max="19" width="20" style="4" customWidth="1"/>
  </cols>
  <sheetData>
    <row r="1" spans="1:19" ht="30" customHeight="1" x14ac:dyDescent="0.3">
      <c r="A1" s="8" t="s">
        <v>29</v>
      </c>
      <c r="B1" s="55" t="s">
        <v>280</v>
      </c>
      <c r="C1" s="55"/>
      <c r="D1" s="55" t="s">
        <v>279</v>
      </c>
      <c r="E1" s="55"/>
      <c r="F1" s="55" t="s">
        <v>278</v>
      </c>
      <c r="G1" s="55"/>
      <c r="H1" s="55" t="s">
        <v>277</v>
      </c>
      <c r="I1" s="55"/>
      <c r="J1" s="55" t="s">
        <v>276</v>
      </c>
      <c r="K1" s="55"/>
      <c r="L1" s="55" t="s">
        <v>275</v>
      </c>
      <c r="M1" s="55"/>
      <c r="N1" s="55" t="s">
        <v>274</v>
      </c>
      <c r="O1" s="55"/>
      <c r="P1" s="55" t="s">
        <v>273</v>
      </c>
      <c r="Q1" s="55"/>
      <c r="R1" s="55" t="s">
        <v>272</v>
      </c>
      <c r="S1" s="55"/>
    </row>
    <row r="2" spans="1:19" ht="30" customHeight="1" x14ac:dyDescent="0.3">
      <c r="A2" s="8" t="s">
        <v>271</v>
      </c>
      <c r="B2" s="8" t="s">
        <v>270</v>
      </c>
      <c r="C2" s="8" t="s">
        <v>269</v>
      </c>
      <c r="D2" s="8" t="s">
        <v>270</v>
      </c>
      <c r="E2" s="8" t="s">
        <v>269</v>
      </c>
      <c r="F2" s="8" t="s">
        <v>270</v>
      </c>
      <c r="G2" s="8" t="s">
        <v>269</v>
      </c>
      <c r="H2" s="8" t="s">
        <v>270</v>
      </c>
      <c r="I2" s="8" t="s">
        <v>269</v>
      </c>
      <c r="J2" s="8" t="s">
        <v>270</v>
      </c>
      <c r="K2" s="8" t="s">
        <v>269</v>
      </c>
      <c r="L2" s="8" t="s">
        <v>270</v>
      </c>
      <c r="M2" s="8" t="s">
        <v>269</v>
      </c>
      <c r="N2" s="8" t="s">
        <v>270</v>
      </c>
      <c r="O2" s="8" t="s">
        <v>269</v>
      </c>
      <c r="P2" s="8" t="s">
        <v>270</v>
      </c>
      <c r="Q2" s="8" t="s">
        <v>269</v>
      </c>
      <c r="R2" s="8" t="s">
        <v>270</v>
      </c>
      <c r="S2" s="8" t="s">
        <v>269</v>
      </c>
    </row>
    <row r="3" spans="1:19" x14ac:dyDescent="0.3">
      <c r="A3" s="4" t="s">
        <v>268</v>
      </c>
      <c r="B3" s="9">
        <v>812004</v>
      </c>
      <c r="C3" s="4" t="s">
        <v>472</v>
      </c>
      <c r="D3" s="9">
        <v>559646</v>
      </c>
      <c r="E3" s="4" t="s">
        <v>471</v>
      </c>
      <c r="F3" s="9">
        <v>128119</v>
      </c>
      <c r="G3" s="4" t="s">
        <v>470</v>
      </c>
      <c r="H3" s="9">
        <v>67719</v>
      </c>
      <c r="I3" s="4" t="s">
        <v>469</v>
      </c>
      <c r="J3" s="9">
        <v>526022</v>
      </c>
      <c r="K3" s="4" t="s">
        <v>468</v>
      </c>
      <c r="L3" s="9">
        <v>412818</v>
      </c>
      <c r="M3" s="4" t="s">
        <v>467</v>
      </c>
      <c r="N3" s="9">
        <v>995301</v>
      </c>
      <c r="O3" s="4" t="s">
        <v>466</v>
      </c>
      <c r="P3" s="9">
        <v>215285</v>
      </c>
      <c r="Q3" s="4" t="s">
        <v>465</v>
      </c>
      <c r="R3" s="9">
        <v>251132</v>
      </c>
      <c r="S3" s="4" t="s">
        <v>464</v>
      </c>
    </row>
    <row r="4" spans="1:19" x14ac:dyDescent="0.3">
      <c r="A4" s="5" t="s">
        <v>259</v>
      </c>
      <c r="B4" s="9">
        <v>564704</v>
      </c>
      <c r="C4" s="4" t="s">
        <v>463</v>
      </c>
      <c r="D4" s="9">
        <v>436382</v>
      </c>
      <c r="E4" s="4" t="s">
        <v>462</v>
      </c>
      <c r="F4" s="9">
        <v>89313</v>
      </c>
      <c r="G4" s="4" t="s">
        <v>461</v>
      </c>
      <c r="H4" s="9">
        <v>58092</v>
      </c>
      <c r="I4" s="4" t="s">
        <v>460</v>
      </c>
      <c r="J4" s="9">
        <v>183968</v>
      </c>
      <c r="K4" s="4" t="s">
        <v>459</v>
      </c>
      <c r="L4" s="9">
        <v>313448</v>
      </c>
      <c r="M4" s="4" t="s">
        <v>458</v>
      </c>
      <c r="N4" s="9">
        <v>844908</v>
      </c>
      <c r="O4" s="4" t="s">
        <v>457</v>
      </c>
      <c r="P4" s="9">
        <v>191637</v>
      </c>
      <c r="Q4" s="4" t="s">
        <v>456</v>
      </c>
      <c r="R4" s="9">
        <v>214680</v>
      </c>
      <c r="S4" s="4" t="s">
        <v>455</v>
      </c>
    </row>
    <row r="5" spans="1:19" x14ac:dyDescent="0.3">
      <c r="A5" s="6" t="s">
        <v>249</v>
      </c>
      <c r="B5" s="9">
        <v>492931</v>
      </c>
      <c r="C5" s="4" t="s">
        <v>454</v>
      </c>
      <c r="D5" s="9">
        <v>380290</v>
      </c>
      <c r="E5" s="4" t="s">
        <v>453</v>
      </c>
      <c r="F5" s="9">
        <v>76934</v>
      </c>
      <c r="G5" s="4" t="s">
        <v>79</v>
      </c>
      <c r="H5" s="9">
        <v>51318</v>
      </c>
      <c r="I5" s="4" t="s">
        <v>452</v>
      </c>
      <c r="J5" s="9">
        <v>153014</v>
      </c>
      <c r="K5" s="4" t="s">
        <v>451</v>
      </c>
      <c r="L5" s="9">
        <v>274447</v>
      </c>
      <c r="M5" s="4" t="s">
        <v>450</v>
      </c>
      <c r="N5" s="9">
        <v>740364</v>
      </c>
      <c r="O5" s="4" t="s">
        <v>449</v>
      </c>
      <c r="P5" s="9">
        <v>163732</v>
      </c>
      <c r="Q5" s="4" t="s">
        <v>448</v>
      </c>
      <c r="R5" s="9">
        <v>189234</v>
      </c>
      <c r="S5" s="4" t="s">
        <v>447</v>
      </c>
    </row>
    <row r="6" spans="1:19" x14ac:dyDescent="0.3">
      <c r="A6" s="6" t="s">
        <v>239</v>
      </c>
      <c r="B6" s="9">
        <v>71773</v>
      </c>
      <c r="C6" s="4" t="s">
        <v>446</v>
      </c>
      <c r="D6" s="9">
        <v>56092</v>
      </c>
      <c r="E6" s="4" t="s">
        <v>445</v>
      </c>
      <c r="F6" s="9">
        <v>12379</v>
      </c>
      <c r="G6" s="4" t="s">
        <v>444</v>
      </c>
      <c r="H6" s="9">
        <v>6774</v>
      </c>
      <c r="I6" s="4" t="s">
        <v>443</v>
      </c>
      <c r="J6" s="9">
        <v>30954</v>
      </c>
      <c r="K6" s="4" t="s">
        <v>442</v>
      </c>
      <c r="L6" s="9">
        <v>39001</v>
      </c>
      <c r="M6" s="4" t="s">
        <v>441</v>
      </c>
      <c r="N6" s="9">
        <v>104544</v>
      </c>
      <c r="O6" s="4" t="s">
        <v>440</v>
      </c>
      <c r="P6" s="9">
        <v>27905</v>
      </c>
      <c r="Q6" s="4" t="s">
        <v>439</v>
      </c>
      <c r="R6" s="9">
        <v>25446</v>
      </c>
      <c r="S6" s="4" t="s">
        <v>438</v>
      </c>
    </row>
    <row r="7" spans="1:19" x14ac:dyDescent="0.3">
      <c r="A7" s="7" t="s">
        <v>230</v>
      </c>
      <c r="B7" s="9">
        <v>53276</v>
      </c>
      <c r="C7" s="4" t="s">
        <v>437</v>
      </c>
      <c r="D7" s="9">
        <v>40010</v>
      </c>
      <c r="E7" s="4" t="s">
        <v>436</v>
      </c>
      <c r="F7" s="9">
        <v>10359</v>
      </c>
      <c r="G7" s="4" t="s">
        <v>435</v>
      </c>
      <c r="H7" s="9">
        <v>4637</v>
      </c>
      <c r="I7" s="4" t="s">
        <v>434</v>
      </c>
      <c r="J7" s="9">
        <v>20779</v>
      </c>
      <c r="K7" s="4" t="s">
        <v>433</v>
      </c>
      <c r="L7" s="9">
        <v>27447</v>
      </c>
      <c r="M7" s="4" t="s">
        <v>432</v>
      </c>
      <c r="N7" s="9">
        <v>79677</v>
      </c>
      <c r="O7" s="4" t="s">
        <v>431</v>
      </c>
      <c r="P7" s="9">
        <v>18107</v>
      </c>
      <c r="Q7" s="4" t="s">
        <v>430</v>
      </c>
      <c r="R7" s="9">
        <v>20665</v>
      </c>
      <c r="S7" s="4" t="s">
        <v>429</v>
      </c>
    </row>
    <row r="8" spans="1:19" x14ac:dyDescent="0.3">
      <c r="A8" s="7" t="s">
        <v>220</v>
      </c>
      <c r="B8" s="9">
        <v>12609</v>
      </c>
      <c r="C8" s="4" t="s">
        <v>428</v>
      </c>
      <c r="D8" s="9">
        <v>10694</v>
      </c>
      <c r="E8" s="4" t="s">
        <v>427</v>
      </c>
      <c r="F8" s="4">
        <v>890</v>
      </c>
      <c r="G8" s="4" t="s">
        <v>426</v>
      </c>
      <c r="H8" s="9">
        <v>1341</v>
      </c>
      <c r="I8" s="4" t="s">
        <v>217</v>
      </c>
      <c r="J8" s="9">
        <v>5867</v>
      </c>
      <c r="K8" s="4" t="s">
        <v>425</v>
      </c>
      <c r="L8" s="9">
        <v>7733</v>
      </c>
      <c r="M8" s="4" t="s">
        <v>424</v>
      </c>
      <c r="N8" s="9">
        <v>16066</v>
      </c>
      <c r="O8" s="4" t="s">
        <v>99</v>
      </c>
      <c r="P8" s="9">
        <v>6156</v>
      </c>
      <c r="Q8" s="4" t="s">
        <v>370</v>
      </c>
      <c r="R8" s="9">
        <v>2867</v>
      </c>
      <c r="S8" s="4" t="s">
        <v>423</v>
      </c>
    </row>
    <row r="9" spans="1:19" x14ac:dyDescent="0.3">
      <c r="A9" s="7" t="s">
        <v>210</v>
      </c>
      <c r="B9" s="9">
        <v>4384</v>
      </c>
      <c r="C9" s="4" t="s">
        <v>422</v>
      </c>
      <c r="D9" s="9">
        <v>2441</v>
      </c>
      <c r="E9" s="4" t="s">
        <v>421</v>
      </c>
      <c r="F9" s="4">
        <v>322</v>
      </c>
      <c r="G9" s="4" t="s">
        <v>111</v>
      </c>
      <c r="H9" s="4">
        <v>50</v>
      </c>
      <c r="I9" s="4" t="s">
        <v>420</v>
      </c>
      <c r="J9" s="9">
        <v>2421</v>
      </c>
      <c r="K9" s="4" t="s">
        <v>419</v>
      </c>
      <c r="L9" s="9">
        <v>1482</v>
      </c>
      <c r="M9" s="4" t="s">
        <v>418</v>
      </c>
      <c r="N9" s="9">
        <v>4655</v>
      </c>
      <c r="O9" s="4" t="s">
        <v>417</v>
      </c>
      <c r="P9" s="9">
        <v>1144</v>
      </c>
      <c r="Q9" s="4" t="s">
        <v>416</v>
      </c>
      <c r="R9" s="9">
        <v>1234</v>
      </c>
      <c r="S9" s="4" t="s">
        <v>415</v>
      </c>
    </row>
    <row r="10" spans="1:19" x14ac:dyDescent="0.3">
      <c r="A10" s="7" t="s">
        <v>201</v>
      </c>
      <c r="B10" s="4">
        <v>782</v>
      </c>
      <c r="C10" s="4" t="s">
        <v>414</v>
      </c>
      <c r="D10" s="9">
        <v>1833</v>
      </c>
      <c r="E10" s="4" t="s">
        <v>413</v>
      </c>
      <c r="F10" s="4">
        <v>700</v>
      </c>
      <c r="G10" s="4" t="s">
        <v>412</v>
      </c>
      <c r="H10" s="4">
        <v>551</v>
      </c>
      <c r="I10" s="4" t="s">
        <v>411</v>
      </c>
      <c r="J10" s="4">
        <v>943</v>
      </c>
      <c r="K10" s="4" t="s">
        <v>410</v>
      </c>
      <c r="L10" s="9">
        <v>1647</v>
      </c>
      <c r="M10" s="4" t="s">
        <v>409</v>
      </c>
      <c r="N10" s="9">
        <v>3044</v>
      </c>
      <c r="O10" s="4" t="s">
        <v>194</v>
      </c>
      <c r="P10" s="9">
        <v>1534</v>
      </c>
      <c r="Q10" s="4" t="s">
        <v>408</v>
      </c>
      <c r="R10" s="4">
        <v>161</v>
      </c>
      <c r="S10" s="4" t="s">
        <v>407</v>
      </c>
    </row>
    <row r="11" spans="1:19" x14ac:dyDescent="0.3">
      <c r="A11" s="7" t="s">
        <v>191</v>
      </c>
      <c r="B11" s="4">
        <v>722</v>
      </c>
      <c r="C11" s="4" t="s">
        <v>134</v>
      </c>
      <c r="D11" s="9">
        <v>1114</v>
      </c>
      <c r="E11" s="4" t="s">
        <v>406</v>
      </c>
      <c r="F11" s="4">
        <v>108</v>
      </c>
      <c r="G11" s="4" t="s">
        <v>405</v>
      </c>
      <c r="H11" s="4">
        <v>195</v>
      </c>
      <c r="I11" s="4" t="s">
        <v>404</v>
      </c>
      <c r="J11" s="4">
        <v>944</v>
      </c>
      <c r="K11" s="4" t="s">
        <v>403</v>
      </c>
      <c r="L11" s="4">
        <v>692</v>
      </c>
      <c r="M11" s="4" t="s">
        <v>402</v>
      </c>
      <c r="N11" s="9">
        <v>1102</v>
      </c>
      <c r="O11" s="4" t="s">
        <v>401</v>
      </c>
      <c r="P11" s="4">
        <v>964</v>
      </c>
      <c r="Q11" s="4" t="s">
        <v>400</v>
      </c>
      <c r="R11" s="4">
        <v>519</v>
      </c>
      <c r="S11" s="4" t="s">
        <v>183</v>
      </c>
    </row>
    <row r="12" spans="1:19" ht="28.8" x14ac:dyDescent="0.3">
      <c r="A12" s="5" t="s">
        <v>181</v>
      </c>
      <c r="B12" s="9">
        <v>143362</v>
      </c>
      <c r="C12" s="4" t="s">
        <v>399</v>
      </c>
      <c r="D12" s="9">
        <v>63846</v>
      </c>
      <c r="E12" s="4" t="s">
        <v>398</v>
      </c>
      <c r="F12" s="9">
        <v>13964</v>
      </c>
      <c r="G12" s="4" t="s">
        <v>397</v>
      </c>
      <c r="H12" s="9">
        <v>1082</v>
      </c>
      <c r="I12" s="4" t="s">
        <v>396</v>
      </c>
      <c r="J12" s="9">
        <v>191018</v>
      </c>
      <c r="K12" s="4" t="s">
        <v>395</v>
      </c>
      <c r="L12" s="9">
        <v>49642</v>
      </c>
      <c r="M12" s="4" t="s">
        <v>394</v>
      </c>
      <c r="N12" s="9">
        <v>47636</v>
      </c>
      <c r="O12" s="4" t="s">
        <v>393</v>
      </c>
      <c r="P12" s="9">
        <v>7226</v>
      </c>
      <c r="Q12" s="4" t="s">
        <v>392</v>
      </c>
      <c r="R12" s="9">
        <v>4316</v>
      </c>
      <c r="S12" s="4" t="s">
        <v>391</v>
      </c>
    </row>
    <row r="13" spans="1:19" x14ac:dyDescent="0.3">
      <c r="A13" s="6" t="s">
        <v>390</v>
      </c>
      <c r="B13" s="9">
        <v>39892</v>
      </c>
      <c r="C13" s="4" t="s">
        <v>389</v>
      </c>
      <c r="D13" s="9">
        <v>11177</v>
      </c>
      <c r="E13" s="4" t="s">
        <v>388</v>
      </c>
      <c r="F13" s="9">
        <v>8107</v>
      </c>
      <c r="G13" s="4" t="s">
        <v>387</v>
      </c>
      <c r="H13" s="4">
        <v>462</v>
      </c>
      <c r="I13" s="4" t="s">
        <v>330</v>
      </c>
      <c r="J13" s="9">
        <v>121279</v>
      </c>
      <c r="K13" s="4" t="s">
        <v>386</v>
      </c>
      <c r="L13" s="9">
        <v>12017</v>
      </c>
      <c r="M13" s="4" t="s">
        <v>385</v>
      </c>
      <c r="N13" s="9">
        <v>23330</v>
      </c>
      <c r="O13" s="4" t="s">
        <v>384</v>
      </c>
      <c r="P13" s="9">
        <v>3018</v>
      </c>
      <c r="Q13" s="4" t="s">
        <v>383</v>
      </c>
      <c r="R13" s="9">
        <v>3163</v>
      </c>
      <c r="S13" s="4" t="s">
        <v>382</v>
      </c>
    </row>
    <row r="14" spans="1:19" x14ac:dyDescent="0.3">
      <c r="A14" s="6" t="s">
        <v>381</v>
      </c>
      <c r="B14" s="9">
        <v>82262</v>
      </c>
      <c r="C14" s="4" t="s">
        <v>380</v>
      </c>
      <c r="D14" s="9">
        <v>38318</v>
      </c>
      <c r="E14" s="4" t="s">
        <v>379</v>
      </c>
      <c r="F14" s="4">
        <v>0</v>
      </c>
      <c r="G14" s="4" t="s">
        <v>344</v>
      </c>
      <c r="H14" s="4">
        <v>63</v>
      </c>
      <c r="I14" s="4" t="s">
        <v>378</v>
      </c>
      <c r="J14" s="9">
        <v>47881</v>
      </c>
      <c r="K14" s="4" t="s">
        <v>377</v>
      </c>
      <c r="L14" s="9">
        <v>21530</v>
      </c>
      <c r="M14" s="4" t="s">
        <v>376</v>
      </c>
      <c r="N14" s="9">
        <v>2820</v>
      </c>
      <c r="O14" s="4" t="s">
        <v>375</v>
      </c>
      <c r="P14" s="4">
        <v>224</v>
      </c>
      <c r="Q14" s="4" t="s">
        <v>374</v>
      </c>
      <c r="R14" s="4">
        <v>129</v>
      </c>
      <c r="S14" s="4" t="s">
        <v>373</v>
      </c>
    </row>
    <row r="15" spans="1:19" ht="28.8" x14ac:dyDescent="0.3">
      <c r="A15" s="6" t="s">
        <v>372</v>
      </c>
      <c r="B15" s="9">
        <v>13309</v>
      </c>
      <c r="C15" s="4" t="s">
        <v>371</v>
      </c>
      <c r="D15" s="9">
        <v>11860</v>
      </c>
      <c r="E15" s="4" t="s">
        <v>370</v>
      </c>
      <c r="F15" s="4">
        <v>341</v>
      </c>
      <c r="G15" s="4" t="s">
        <v>369</v>
      </c>
      <c r="H15" s="4">
        <v>0</v>
      </c>
      <c r="I15" s="4" t="s">
        <v>344</v>
      </c>
      <c r="J15" s="9">
        <v>11422</v>
      </c>
      <c r="K15" s="4" t="s">
        <v>368</v>
      </c>
      <c r="L15" s="9">
        <v>15033</v>
      </c>
      <c r="M15" s="4" t="s">
        <v>367</v>
      </c>
      <c r="N15" s="9">
        <v>15557</v>
      </c>
      <c r="O15" s="4" t="s">
        <v>366</v>
      </c>
      <c r="P15" s="9">
        <v>1287</v>
      </c>
      <c r="Q15" s="4" t="s">
        <v>365</v>
      </c>
      <c r="R15" s="4">
        <v>895</v>
      </c>
      <c r="S15" s="4" t="s">
        <v>364</v>
      </c>
    </row>
    <row r="16" spans="1:19" ht="28.8" x14ac:dyDescent="0.3">
      <c r="A16" s="6" t="s">
        <v>363</v>
      </c>
      <c r="B16" s="9">
        <v>2516</v>
      </c>
      <c r="C16" s="4" t="s">
        <v>362</v>
      </c>
      <c r="D16" s="9">
        <v>2064</v>
      </c>
      <c r="E16" s="4" t="s">
        <v>361</v>
      </c>
      <c r="F16" s="4">
        <v>82</v>
      </c>
      <c r="G16" s="4" t="s">
        <v>360</v>
      </c>
      <c r="H16" s="4">
        <v>31</v>
      </c>
      <c r="I16" s="4" t="s">
        <v>359</v>
      </c>
      <c r="J16" s="9">
        <v>10339</v>
      </c>
      <c r="K16" s="4" t="s">
        <v>358</v>
      </c>
      <c r="L16" s="9">
        <v>1062</v>
      </c>
      <c r="M16" s="4" t="s">
        <v>357</v>
      </c>
      <c r="N16" s="9">
        <v>5786</v>
      </c>
      <c r="O16" s="4" t="s">
        <v>356</v>
      </c>
      <c r="P16" s="4">
        <v>0</v>
      </c>
      <c r="Q16" s="4" t="s">
        <v>344</v>
      </c>
      <c r="R16" s="4">
        <v>78</v>
      </c>
      <c r="S16" s="4" t="s">
        <v>355</v>
      </c>
    </row>
    <row r="17" spans="1:19" x14ac:dyDescent="0.3">
      <c r="A17" s="6" t="s">
        <v>138</v>
      </c>
      <c r="B17" s="9">
        <v>5383</v>
      </c>
      <c r="C17" s="4" t="s">
        <v>354</v>
      </c>
      <c r="D17" s="4">
        <v>427</v>
      </c>
      <c r="E17" s="4" t="s">
        <v>353</v>
      </c>
      <c r="F17" s="9">
        <v>5434</v>
      </c>
      <c r="G17" s="4" t="s">
        <v>352</v>
      </c>
      <c r="H17" s="4">
        <v>526</v>
      </c>
      <c r="I17" s="4" t="s">
        <v>351</v>
      </c>
      <c r="J17" s="4">
        <v>97</v>
      </c>
      <c r="K17" s="4" t="s">
        <v>350</v>
      </c>
      <c r="L17" s="4">
        <v>0</v>
      </c>
      <c r="M17" s="4" t="s">
        <v>344</v>
      </c>
      <c r="N17" s="4">
        <v>143</v>
      </c>
      <c r="O17" s="4" t="s">
        <v>349</v>
      </c>
      <c r="P17" s="9">
        <v>2697</v>
      </c>
      <c r="Q17" s="4" t="s">
        <v>348</v>
      </c>
      <c r="R17" s="4">
        <v>51</v>
      </c>
      <c r="S17" s="4" t="s">
        <v>347</v>
      </c>
    </row>
    <row r="18" spans="1:19" x14ac:dyDescent="0.3">
      <c r="A18" s="5" t="s">
        <v>130</v>
      </c>
      <c r="B18" s="9">
        <v>3671</v>
      </c>
      <c r="C18" s="4" t="s">
        <v>346</v>
      </c>
      <c r="D18" s="9">
        <v>1770</v>
      </c>
      <c r="E18" s="4" t="s">
        <v>345</v>
      </c>
      <c r="F18" s="4">
        <v>0</v>
      </c>
      <c r="G18" s="4" t="s">
        <v>344</v>
      </c>
      <c r="H18" s="4">
        <v>332</v>
      </c>
      <c r="I18" s="4" t="s">
        <v>343</v>
      </c>
      <c r="J18" s="9">
        <v>10901</v>
      </c>
      <c r="K18" s="4" t="s">
        <v>342</v>
      </c>
      <c r="L18" s="9">
        <v>2604</v>
      </c>
      <c r="M18" s="4" t="s">
        <v>341</v>
      </c>
      <c r="N18" s="9">
        <v>3926</v>
      </c>
      <c r="O18" s="4" t="s">
        <v>340</v>
      </c>
      <c r="P18" s="4">
        <v>201</v>
      </c>
      <c r="Q18" s="4" t="s">
        <v>339</v>
      </c>
      <c r="R18" s="4">
        <v>597</v>
      </c>
      <c r="S18" s="4" t="s">
        <v>338</v>
      </c>
    </row>
    <row r="19" spans="1:19" x14ac:dyDescent="0.3">
      <c r="A19" s="5" t="s">
        <v>120</v>
      </c>
      <c r="B19" s="9">
        <v>3016</v>
      </c>
      <c r="C19" s="4" t="s">
        <v>337</v>
      </c>
      <c r="D19" s="9">
        <v>1630</v>
      </c>
      <c r="E19" s="4" t="s">
        <v>336</v>
      </c>
      <c r="F19" s="4">
        <v>66</v>
      </c>
      <c r="G19" s="4" t="s">
        <v>335</v>
      </c>
      <c r="H19" s="4">
        <v>139</v>
      </c>
      <c r="I19" s="4" t="s">
        <v>334</v>
      </c>
      <c r="J19" s="9">
        <v>4026</v>
      </c>
      <c r="K19" s="4" t="s">
        <v>333</v>
      </c>
      <c r="L19" s="9">
        <v>1843</v>
      </c>
      <c r="M19" s="4" t="s">
        <v>332</v>
      </c>
      <c r="N19" s="9">
        <v>1802</v>
      </c>
      <c r="O19" s="4" t="s">
        <v>331</v>
      </c>
      <c r="P19" s="4">
        <v>465</v>
      </c>
      <c r="Q19" s="4" t="s">
        <v>330</v>
      </c>
      <c r="R19" s="4">
        <v>340</v>
      </c>
      <c r="S19" s="4" t="s">
        <v>329</v>
      </c>
    </row>
    <row r="20" spans="1:19" x14ac:dyDescent="0.3">
      <c r="A20" s="5" t="s">
        <v>110</v>
      </c>
      <c r="B20" s="9">
        <v>14530</v>
      </c>
      <c r="C20" s="4" t="s">
        <v>328</v>
      </c>
      <c r="D20" s="9">
        <v>2838</v>
      </c>
      <c r="E20" s="4" t="s">
        <v>327</v>
      </c>
      <c r="F20" s="4">
        <v>827</v>
      </c>
      <c r="G20" s="4" t="s">
        <v>326</v>
      </c>
      <c r="H20" s="4">
        <v>972</v>
      </c>
      <c r="I20" s="4" t="s">
        <v>325</v>
      </c>
      <c r="J20" s="9">
        <v>20201</v>
      </c>
      <c r="K20" s="4" t="s">
        <v>324</v>
      </c>
      <c r="L20" s="9">
        <v>6124</v>
      </c>
      <c r="M20" s="4" t="s">
        <v>323</v>
      </c>
      <c r="N20" s="9">
        <v>17336</v>
      </c>
      <c r="O20" s="4" t="s">
        <v>322</v>
      </c>
      <c r="P20" s="4">
        <v>617</v>
      </c>
      <c r="Q20" s="4" t="s">
        <v>321</v>
      </c>
      <c r="R20" s="9">
        <v>2082</v>
      </c>
      <c r="S20" s="4" t="s">
        <v>320</v>
      </c>
    </row>
    <row r="21" spans="1:19" x14ac:dyDescent="0.3">
      <c r="A21" s="5" t="s">
        <v>100</v>
      </c>
      <c r="B21" s="9">
        <v>23056</v>
      </c>
      <c r="C21" s="4" t="s">
        <v>319</v>
      </c>
      <c r="D21" s="9">
        <v>9329</v>
      </c>
      <c r="E21" s="4" t="s">
        <v>318</v>
      </c>
      <c r="F21" s="9">
        <v>4466</v>
      </c>
      <c r="G21" s="4" t="s">
        <v>317</v>
      </c>
      <c r="H21" s="9">
        <v>2204</v>
      </c>
      <c r="I21" s="4" t="s">
        <v>316</v>
      </c>
      <c r="J21" s="9">
        <v>67862</v>
      </c>
      <c r="K21" s="4" t="s">
        <v>315</v>
      </c>
      <c r="L21" s="9">
        <v>9574</v>
      </c>
      <c r="M21" s="4" t="s">
        <v>314</v>
      </c>
      <c r="N21" s="9">
        <v>23323</v>
      </c>
      <c r="O21" s="4" t="s">
        <v>313</v>
      </c>
      <c r="P21" s="9">
        <v>2852</v>
      </c>
      <c r="Q21" s="4" t="s">
        <v>129</v>
      </c>
      <c r="R21" s="9">
        <v>4491</v>
      </c>
      <c r="S21" s="4" t="s">
        <v>312</v>
      </c>
    </row>
    <row r="22" spans="1:19" x14ac:dyDescent="0.3">
      <c r="A22" s="5" t="s">
        <v>90</v>
      </c>
      <c r="B22" s="9">
        <v>6430</v>
      </c>
      <c r="C22" s="4" t="s">
        <v>311</v>
      </c>
      <c r="D22" s="9">
        <v>4877</v>
      </c>
      <c r="E22" s="4" t="s">
        <v>310</v>
      </c>
      <c r="F22" s="9">
        <v>1599</v>
      </c>
      <c r="G22" s="4" t="s">
        <v>309</v>
      </c>
      <c r="H22" s="4">
        <v>657</v>
      </c>
      <c r="I22" s="4" t="s">
        <v>308</v>
      </c>
      <c r="J22" s="9">
        <v>8922</v>
      </c>
      <c r="K22" s="4" t="s">
        <v>307</v>
      </c>
      <c r="L22" s="9">
        <v>4209</v>
      </c>
      <c r="M22" s="4" t="s">
        <v>306</v>
      </c>
      <c r="N22" s="9">
        <v>7902</v>
      </c>
      <c r="O22" s="4" t="s">
        <v>305</v>
      </c>
      <c r="P22" s="9">
        <v>1799</v>
      </c>
      <c r="Q22" s="4" t="s">
        <v>304</v>
      </c>
      <c r="R22" s="9">
        <v>4242</v>
      </c>
      <c r="S22" s="4" t="s">
        <v>303</v>
      </c>
    </row>
    <row r="23" spans="1:19" x14ac:dyDescent="0.3">
      <c r="A23" s="5" t="s">
        <v>302</v>
      </c>
      <c r="B23" s="9">
        <v>53235</v>
      </c>
      <c r="C23" s="4" t="s">
        <v>301</v>
      </c>
      <c r="D23" s="9">
        <v>38974</v>
      </c>
      <c r="E23" s="4" t="s">
        <v>300</v>
      </c>
      <c r="F23" s="9">
        <v>17884</v>
      </c>
      <c r="G23" s="4" t="s">
        <v>299</v>
      </c>
      <c r="H23" s="9">
        <v>4241</v>
      </c>
      <c r="I23" s="4" t="s">
        <v>298</v>
      </c>
      <c r="J23" s="9">
        <v>39124</v>
      </c>
      <c r="K23" s="4" t="s">
        <v>297</v>
      </c>
      <c r="L23" s="9">
        <v>25374</v>
      </c>
      <c r="M23" s="4" t="s">
        <v>296</v>
      </c>
      <c r="N23" s="9">
        <v>48468</v>
      </c>
      <c r="O23" s="4" t="s">
        <v>295</v>
      </c>
      <c r="P23" s="9">
        <v>10488</v>
      </c>
      <c r="Q23" s="4" t="s">
        <v>294</v>
      </c>
      <c r="R23" s="9">
        <v>20384</v>
      </c>
      <c r="S23" s="4" t="s">
        <v>293</v>
      </c>
    </row>
    <row r="25" spans="1:19" x14ac:dyDescent="0.3">
      <c r="A25" s="10" t="s">
        <v>281</v>
      </c>
      <c r="B25" s="11">
        <f>SUMIF($B$2:$S$2,"=Estimate",$B$23:$S$23)</f>
        <v>258172</v>
      </c>
    </row>
    <row r="26" spans="1:19" x14ac:dyDescent="0.3">
      <c r="A26" s="10" t="s">
        <v>282</v>
      </c>
      <c r="B26" s="11">
        <f>SUMIF($B$2:$S$2,"=Estimate",$B$3:$S$3)</f>
        <v>3968046</v>
      </c>
    </row>
    <row r="27" spans="1:19" x14ac:dyDescent="0.3">
      <c r="A27" s="10" t="s">
        <v>4</v>
      </c>
      <c r="B27" s="12">
        <f>B25/B26</f>
        <v>6.506275380880161E-2</v>
      </c>
    </row>
  </sheetData>
  <mergeCells count="9">
    <mergeCell ref="L1:M1"/>
    <mergeCell ref="N1:O1"/>
    <mergeCell ref="P1:Q1"/>
    <mergeCell ref="R1:S1"/>
    <mergeCell ref="B1:C1"/>
    <mergeCell ref="D1:E1"/>
    <mergeCell ref="F1:G1"/>
    <mergeCell ref="H1:I1"/>
    <mergeCell ref="J1:K1"/>
  </mergeCells>
  <printOptions gridLines="1"/>
  <pageMargins left="0.7" right="0.7" top="0.75" bottom="0.75" header="0.3" footer="0.3"/>
  <pageSetup pageOrder="overThenDown" orientation="landscape"/>
  <headerFooter>
    <oddHeader>&amp;LTable: ACSDT1Y2019.B08301</oddHeader>
    <oddFooter>&amp;L&amp;Bdata.census.gov&amp;B | Measuring America's People, Places, and Economy &amp;R&amp;P</oddFooter>
    <evenHeader>&amp;LTable: ACSDT1Y2019.B08301</evenHeader>
    <evenFooter>&amp;L&amp;Bdata.census.gov&amp;B | Measuring America's People, Places, and Economy &amp;R&amp;P</even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62F98-BB04-47B7-A74E-663B208BBFC6}">
  <sheetPr>
    <tabColor theme="5" tint="0.79998168889431442"/>
    <pageSetUpPr fitToPage="1"/>
  </sheetPr>
  <dimension ref="A1:C44"/>
  <sheetViews>
    <sheetView workbookViewId="0">
      <selection activeCell="B9" sqref="B9:C9"/>
    </sheetView>
  </sheetViews>
  <sheetFormatPr defaultRowHeight="14.4" x14ac:dyDescent="0.3"/>
  <cols>
    <col min="1" max="1" width="25" style="1" customWidth="1"/>
    <col min="2" max="2" width="80" style="1" customWidth="1"/>
    <col min="3" max="3" width="20" customWidth="1"/>
  </cols>
  <sheetData>
    <row r="1" spans="1:3" ht="60" customHeight="1" thickBot="1" x14ac:dyDescent="0.35">
      <c r="A1" s="53" t="s">
        <v>70</v>
      </c>
      <c r="B1" s="53"/>
      <c r="C1" s="3"/>
    </row>
    <row r="2" spans="1:3" x14ac:dyDescent="0.3">
      <c r="A2" s="52"/>
      <c r="B2" s="52"/>
      <c r="C2" s="52"/>
    </row>
    <row r="3" spans="1:3" x14ac:dyDescent="0.3">
      <c r="A3" s="54" t="s">
        <v>69</v>
      </c>
      <c r="B3" s="54"/>
      <c r="C3" s="54"/>
    </row>
    <row r="4" spans="1:3" x14ac:dyDescent="0.3">
      <c r="A4" s="52"/>
      <c r="B4" s="52"/>
      <c r="C4" s="52"/>
    </row>
    <row r="5" spans="1:3" ht="15.9" customHeight="1" x14ac:dyDescent="0.3">
      <c r="A5" s="2" t="s">
        <v>68</v>
      </c>
      <c r="B5" s="52" t="s">
        <v>29</v>
      </c>
      <c r="C5" s="52"/>
    </row>
    <row r="6" spans="1:3" ht="15.9" customHeight="1" x14ac:dyDescent="0.3">
      <c r="A6" s="1" t="s">
        <v>67</v>
      </c>
      <c r="B6" s="52" t="s">
        <v>51</v>
      </c>
      <c r="C6" s="52"/>
    </row>
    <row r="7" spans="1:3" ht="15.9" customHeight="1" x14ac:dyDescent="0.3">
      <c r="A7" s="1" t="s">
        <v>66</v>
      </c>
      <c r="B7" s="52" t="s">
        <v>65</v>
      </c>
      <c r="C7" s="52"/>
    </row>
    <row r="8" spans="1:3" ht="15.9" customHeight="1" x14ac:dyDescent="0.3">
      <c r="A8" s="1" t="s">
        <v>64</v>
      </c>
      <c r="B8" s="52" t="s">
        <v>63</v>
      </c>
      <c r="C8" s="52"/>
    </row>
    <row r="9" spans="1:3" ht="15.9" customHeight="1" x14ac:dyDescent="0.3">
      <c r="A9" s="1" t="s">
        <v>62</v>
      </c>
      <c r="B9" s="52" t="s">
        <v>61</v>
      </c>
      <c r="C9" s="52"/>
    </row>
    <row r="10" spans="1:3" ht="15.9" customHeight="1" x14ac:dyDescent="0.3">
      <c r="A10" s="1" t="s">
        <v>60</v>
      </c>
      <c r="B10" s="52" t="s">
        <v>59</v>
      </c>
      <c r="C10" s="52"/>
    </row>
    <row r="11" spans="1:3" ht="15.9" customHeight="1" x14ac:dyDescent="0.3">
      <c r="A11" s="1" t="s">
        <v>58</v>
      </c>
      <c r="B11" s="52" t="s">
        <v>57</v>
      </c>
      <c r="C11" s="52"/>
    </row>
    <row r="12" spans="1:3" ht="15.9" customHeight="1" x14ac:dyDescent="0.3">
      <c r="A12" s="1" t="s">
        <v>56</v>
      </c>
      <c r="B12" s="52" t="s">
        <v>26</v>
      </c>
      <c r="C12" s="52"/>
    </row>
    <row r="13" spans="1:3" ht="15.9" customHeight="1" x14ac:dyDescent="0.3">
      <c r="A13" s="1" t="s">
        <v>55</v>
      </c>
      <c r="B13" s="52" t="s">
        <v>54</v>
      </c>
      <c r="C13" s="52"/>
    </row>
    <row r="14" spans="1:3" x14ac:dyDescent="0.3">
      <c r="A14" s="52"/>
      <c r="B14" s="52"/>
      <c r="C14" s="52"/>
    </row>
    <row r="15" spans="1:3" ht="15.9" customHeight="1" x14ac:dyDescent="0.3">
      <c r="A15" s="2" t="s">
        <v>53</v>
      </c>
      <c r="B15" s="52" t="s">
        <v>29</v>
      </c>
      <c r="C15" s="52"/>
    </row>
    <row r="16" spans="1:3" ht="15.9" customHeight="1" x14ac:dyDescent="0.3">
      <c r="A16" s="1" t="s">
        <v>52</v>
      </c>
      <c r="B16" s="52" t="s">
        <v>51</v>
      </c>
      <c r="C16" s="52"/>
    </row>
    <row r="17" spans="1:3" ht="48" customHeight="1" x14ac:dyDescent="0.3">
      <c r="A17" s="1" t="s">
        <v>50</v>
      </c>
      <c r="B17" s="52" t="s">
        <v>49</v>
      </c>
      <c r="C17" s="52"/>
    </row>
    <row r="18" spans="1:3" x14ac:dyDescent="0.3">
      <c r="A18" s="52"/>
      <c r="B18" s="52"/>
      <c r="C18" s="52"/>
    </row>
    <row r="19" spans="1:3" ht="15.9" customHeight="1" x14ac:dyDescent="0.3">
      <c r="A19" s="2" t="s">
        <v>48</v>
      </c>
      <c r="B19" s="52" t="s">
        <v>26</v>
      </c>
      <c r="C19" s="52"/>
    </row>
    <row r="20" spans="1:3" x14ac:dyDescent="0.3">
      <c r="A20" s="52"/>
      <c r="B20" s="52"/>
      <c r="C20" s="52"/>
    </row>
    <row r="21" spans="1:3" ht="15.9" customHeight="1" x14ac:dyDescent="0.3">
      <c r="A21" s="2" t="s">
        <v>47</v>
      </c>
      <c r="B21" s="52" t="s">
        <v>26</v>
      </c>
      <c r="C21" s="52"/>
    </row>
    <row r="22" spans="1:3" x14ac:dyDescent="0.3">
      <c r="A22" s="52"/>
      <c r="B22" s="52"/>
      <c r="C22" s="52"/>
    </row>
    <row r="23" spans="1:3" ht="15.9" customHeight="1" x14ac:dyDescent="0.3">
      <c r="A23" s="2" t="s">
        <v>46</v>
      </c>
      <c r="B23" s="52" t="s">
        <v>26</v>
      </c>
      <c r="C23" s="52"/>
    </row>
    <row r="24" spans="1:3" x14ac:dyDescent="0.3">
      <c r="A24" s="52"/>
      <c r="B24" s="52"/>
      <c r="C24" s="52"/>
    </row>
    <row r="25" spans="1:3" ht="15.9" customHeight="1" x14ac:dyDescent="0.3">
      <c r="A25" s="2" t="s">
        <v>45</v>
      </c>
      <c r="B25" s="52" t="s">
        <v>29</v>
      </c>
      <c r="C25" s="52"/>
    </row>
    <row r="26" spans="1:3" ht="15.9" customHeight="1" x14ac:dyDescent="0.3">
      <c r="A26" s="1" t="s">
        <v>44</v>
      </c>
      <c r="B26" s="52" t="s">
        <v>26</v>
      </c>
      <c r="C26" s="52"/>
    </row>
    <row r="27" spans="1:3" ht="15.9" customHeight="1" x14ac:dyDescent="0.3">
      <c r="A27" s="1" t="s">
        <v>43</v>
      </c>
      <c r="B27" s="52" t="s">
        <v>42</v>
      </c>
      <c r="C27" s="52"/>
    </row>
    <row r="28" spans="1:3" ht="15.9" customHeight="1" x14ac:dyDescent="0.3">
      <c r="A28" s="1" t="s">
        <v>41</v>
      </c>
      <c r="B28" s="52" t="s">
        <v>26</v>
      </c>
      <c r="C28" s="52"/>
    </row>
    <row r="29" spans="1:3" ht="15.9" customHeight="1" x14ac:dyDescent="0.3">
      <c r="A29" s="1" t="s">
        <v>40</v>
      </c>
      <c r="B29" s="52" t="s">
        <v>26</v>
      </c>
      <c r="C29" s="52"/>
    </row>
    <row r="30" spans="1:3" x14ac:dyDescent="0.3">
      <c r="A30" s="52"/>
      <c r="B30" s="52"/>
      <c r="C30" s="52"/>
    </row>
    <row r="31" spans="1:3" ht="32.1" customHeight="1" x14ac:dyDescent="0.3">
      <c r="A31" s="2" t="s">
        <v>39</v>
      </c>
      <c r="B31" s="52" t="s">
        <v>38</v>
      </c>
      <c r="C31" s="52"/>
    </row>
    <row r="32" spans="1:3" x14ac:dyDescent="0.3">
      <c r="A32" s="52"/>
      <c r="B32" s="52"/>
      <c r="C32" s="52"/>
    </row>
    <row r="33" spans="1:3" ht="63.9" customHeight="1" x14ac:dyDescent="0.3">
      <c r="A33" s="2" t="s">
        <v>37</v>
      </c>
      <c r="B33" s="52" t="s">
        <v>36</v>
      </c>
      <c r="C33" s="52"/>
    </row>
    <row r="34" spans="1:3" ht="224.1" customHeight="1" x14ac:dyDescent="0.3">
      <c r="A34" s="1" t="s">
        <v>29</v>
      </c>
      <c r="B34" s="52" t="s">
        <v>35</v>
      </c>
      <c r="C34" s="52"/>
    </row>
    <row r="35" spans="1:3" ht="32.1" customHeight="1" x14ac:dyDescent="0.3">
      <c r="A35" s="1" t="s">
        <v>29</v>
      </c>
      <c r="B35" s="52" t="s">
        <v>34</v>
      </c>
      <c r="C35" s="52"/>
    </row>
    <row r="36" spans="1:3" ht="159.9" customHeight="1" x14ac:dyDescent="0.3">
      <c r="A36" s="1" t="s">
        <v>29</v>
      </c>
      <c r="B36" s="52" t="s">
        <v>33</v>
      </c>
      <c r="C36" s="52"/>
    </row>
    <row r="37" spans="1:3" ht="32.1" customHeight="1" x14ac:dyDescent="0.3">
      <c r="A37" s="1" t="s">
        <v>29</v>
      </c>
      <c r="B37" s="52" t="s">
        <v>32</v>
      </c>
      <c r="C37" s="52"/>
    </row>
    <row r="38" spans="1:3" ht="63.9" customHeight="1" x14ac:dyDescent="0.3">
      <c r="A38" s="1" t="s">
        <v>29</v>
      </c>
      <c r="B38" s="52" t="s">
        <v>31</v>
      </c>
      <c r="C38" s="52"/>
    </row>
    <row r="39" spans="1:3" ht="48" customHeight="1" x14ac:dyDescent="0.3">
      <c r="A39" s="1" t="s">
        <v>29</v>
      </c>
      <c r="B39" s="52" t="s">
        <v>30</v>
      </c>
      <c r="C39" s="52"/>
    </row>
    <row r="40" spans="1:3" ht="408.9" customHeight="1" x14ac:dyDescent="0.3">
      <c r="A40" s="1" t="s">
        <v>29</v>
      </c>
      <c r="B40" s="52" t="s">
        <v>28</v>
      </c>
      <c r="C40" s="52"/>
    </row>
    <row r="41" spans="1:3" ht="54.9" customHeight="1" x14ac:dyDescent="0.3">
      <c r="B41" s="52"/>
      <c r="C41" s="52"/>
    </row>
    <row r="42" spans="1:3" x14ac:dyDescent="0.3">
      <c r="A42" s="52"/>
      <c r="B42" s="52"/>
      <c r="C42" s="52"/>
    </row>
    <row r="43" spans="1:3" ht="15.9" customHeight="1" x14ac:dyDescent="0.3">
      <c r="A43" s="2" t="s">
        <v>27</v>
      </c>
      <c r="B43" s="52" t="s">
        <v>26</v>
      </c>
      <c r="C43" s="52"/>
    </row>
    <row r="44" spans="1:3" x14ac:dyDescent="0.3">
      <c r="A44" s="52"/>
      <c r="B44" s="52"/>
      <c r="C44" s="52"/>
    </row>
  </sheetData>
  <mergeCells count="43">
    <mergeCell ref="A42:C42"/>
    <mergeCell ref="B43:C43"/>
    <mergeCell ref="A44:C44"/>
    <mergeCell ref="B36:C36"/>
    <mergeCell ref="B37:C37"/>
    <mergeCell ref="B38:C38"/>
    <mergeCell ref="B39:C39"/>
    <mergeCell ref="B40:C41"/>
    <mergeCell ref="B26:C26"/>
    <mergeCell ref="B27:C27"/>
    <mergeCell ref="B28:C28"/>
    <mergeCell ref="B29:C29"/>
    <mergeCell ref="A30:C30"/>
    <mergeCell ref="B31:C31"/>
    <mergeCell ref="A32:C32"/>
    <mergeCell ref="B33:C33"/>
    <mergeCell ref="B34:C34"/>
    <mergeCell ref="B35:C35"/>
    <mergeCell ref="B16:C16"/>
    <mergeCell ref="B17:C17"/>
    <mergeCell ref="A18:C18"/>
    <mergeCell ref="B19:C19"/>
    <mergeCell ref="A20:C20"/>
    <mergeCell ref="B21:C21"/>
    <mergeCell ref="A22:C22"/>
    <mergeCell ref="B23:C23"/>
    <mergeCell ref="A24:C24"/>
    <mergeCell ref="B25:C25"/>
    <mergeCell ref="B6:C6"/>
    <mergeCell ref="B7:C7"/>
    <mergeCell ref="B8:C8"/>
    <mergeCell ref="B9:C9"/>
    <mergeCell ref="B10:C10"/>
    <mergeCell ref="B11:C11"/>
    <mergeCell ref="B12:C12"/>
    <mergeCell ref="B13:C13"/>
    <mergeCell ref="A14:C14"/>
    <mergeCell ref="B15:C15"/>
    <mergeCell ref="A1:B1"/>
    <mergeCell ref="A2:C2"/>
    <mergeCell ref="A3:C3"/>
    <mergeCell ref="A4:C4"/>
    <mergeCell ref="B5:C5"/>
  </mergeCells>
  <printOptions gridLines="1"/>
  <pageMargins left="0.7" right="0.7" top="0.75" bottom="0.75" header="0.3" footer="0.3"/>
  <pageSetup fitToHeight="0" orientation="landscape"/>
  <headerFooter>
    <oddHeader>&amp;LTable: ACSDT1Y2018.B08301</oddHeader>
    <oddFooter>&amp;L&amp;Bdata.census.gov&amp;B | Measuring America's People, Places, and Economy &amp;R&amp;P</oddFooter>
    <evenHeader>&amp;LTable: ACSDT1Y2018.B08301</evenHeader>
    <evenFooter>&amp;L&amp;Bdata.census.gov&amp;B | Measuring America's People, Places, and Economy &amp;R&amp;P</even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CE4CF-53A6-40C1-B104-2F713299A2D3}">
  <sheetPr>
    <tabColor theme="5" tint="0.79998168889431442"/>
  </sheetPr>
  <dimension ref="A1:S27"/>
  <sheetViews>
    <sheetView zoomScale="55" zoomScaleNormal="55" workbookViewId="0">
      <pane xSplit="1" ySplit="2" topLeftCell="B3" activePane="bottomRight" state="frozen"/>
      <selection pane="topRight"/>
      <selection pane="bottomLeft"/>
      <selection pane="bottomRight" activeCell="R1" sqref="R1:S1"/>
    </sheetView>
  </sheetViews>
  <sheetFormatPr defaultRowHeight="14.4" x14ac:dyDescent="0.3"/>
  <cols>
    <col min="1" max="1" width="30" style="4" customWidth="1"/>
    <col min="2" max="19" width="20" style="4" customWidth="1"/>
  </cols>
  <sheetData>
    <row r="1" spans="1:19" ht="30" customHeight="1" x14ac:dyDescent="0.3">
      <c r="A1" s="8" t="s">
        <v>29</v>
      </c>
      <c r="B1" s="55" t="s">
        <v>280</v>
      </c>
      <c r="C1" s="55"/>
      <c r="D1" s="55" t="s">
        <v>279</v>
      </c>
      <c r="E1" s="55"/>
      <c r="F1" s="55" t="s">
        <v>278</v>
      </c>
      <c r="G1" s="55"/>
      <c r="H1" s="55" t="s">
        <v>277</v>
      </c>
      <c r="I1" s="55"/>
      <c r="J1" s="55" t="s">
        <v>276</v>
      </c>
      <c r="K1" s="55"/>
      <c r="L1" s="55" t="s">
        <v>275</v>
      </c>
      <c r="M1" s="55"/>
      <c r="N1" s="55" t="s">
        <v>274</v>
      </c>
      <c r="O1" s="55"/>
      <c r="P1" s="55" t="s">
        <v>273</v>
      </c>
      <c r="Q1" s="55"/>
      <c r="R1" s="55" t="s">
        <v>272</v>
      </c>
      <c r="S1" s="55"/>
    </row>
    <row r="2" spans="1:19" ht="30" customHeight="1" x14ac:dyDescent="0.3">
      <c r="A2" s="8" t="s">
        <v>271</v>
      </c>
      <c r="B2" s="8" t="s">
        <v>270</v>
      </c>
      <c r="C2" s="8" t="s">
        <v>269</v>
      </c>
      <c r="D2" s="8" t="s">
        <v>270</v>
      </c>
      <c r="E2" s="8" t="s">
        <v>269</v>
      </c>
      <c r="F2" s="8" t="s">
        <v>270</v>
      </c>
      <c r="G2" s="8" t="s">
        <v>269</v>
      </c>
      <c r="H2" s="8" t="s">
        <v>270</v>
      </c>
      <c r="I2" s="8" t="s">
        <v>269</v>
      </c>
      <c r="J2" s="8" t="s">
        <v>270</v>
      </c>
      <c r="K2" s="8" t="s">
        <v>269</v>
      </c>
      <c r="L2" s="8" t="s">
        <v>270</v>
      </c>
      <c r="M2" s="8" t="s">
        <v>269</v>
      </c>
      <c r="N2" s="8" t="s">
        <v>270</v>
      </c>
      <c r="O2" s="8" t="s">
        <v>269</v>
      </c>
      <c r="P2" s="8" t="s">
        <v>270</v>
      </c>
      <c r="Q2" s="8" t="s">
        <v>269</v>
      </c>
      <c r="R2" s="8" t="s">
        <v>270</v>
      </c>
      <c r="S2" s="8" t="s">
        <v>269</v>
      </c>
    </row>
    <row r="3" spans="1:19" x14ac:dyDescent="0.3">
      <c r="A3" s="4" t="s">
        <v>268</v>
      </c>
      <c r="B3" s="9">
        <v>796952</v>
      </c>
      <c r="C3" s="4" t="s">
        <v>267</v>
      </c>
      <c r="D3" s="9">
        <v>560747</v>
      </c>
      <c r="E3" s="4" t="s">
        <v>266</v>
      </c>
      <c r="F3" s="9">
        <v>132566</v>
      </c>
      <c r="G3" s="4" t="s">
        <v>265</v>
      </c>
      <c r="H3" s="9">
        <v>66644</v>
      </c>
      <c r="I3" s="4" t="s">
        <v>255</v>
      </c>
      <c r="J3" s="9">
        <v>524742</v>
      </c>
      <c r="K3" s="4" t="s">
        <v>264</v>
      </c>
      <c r="L3" s="9">
        <v>407732</v>
      </c>
      <c r="M3" s="4" t="s">
        <v>263</v>
      </c>
      <c r="N3" s="9">
        <v>992175</v>
      </c>
      <c r="O3" s="4" t="s">
        <v>262</v>
      </c>
      <c r="P3" s="9">
        <v>214362</v>
      </c>
      <c r="Q3" s="4" t="s">
        <v>261</v>
      </c>
      <c r="R3" s="9">
        <v>253870</v>
      </c>
      <c r="S3" s="4" t="s">
        <v>260</v>
      </c>
    </row>
    <row r="4" spans="1:19" x14ac:dyDescent="0.3">
      <c r="A4" s="5" t="s">
        <v>259</v>
      </c>
      <c r="B4" s="9">
        <v>558954</v>
      </c>
      <c r="C4" s="4" t="s">
        <v>258</v>
      </c>
      <c r="D4" s="9">
        <v>440033</v>
      </c>
      <c r="E4" s="4" t="s">
        <v>257</v>
      </c>
      <c r="F4" s="9">
        <v>95886</v>
      </c>
      <c r="G4" s="4" t="s">
        <v>256</v>
      </c>
      <c r="H4" s="9">
        <v>56181</v>
      </c>
      <c r="I4" s="4" t="s">
        <v>255</v>
      </c>
      <c r="J4" s="9">
        <v>204159</v>
      </c>
      <c r="K4" s="4" t="s">
        <v>254</v>
      </c>
      <c r="L4" s="9">
        <v>318251</v>
      </c>
      <c r="M4" s="4" t="s">
        <v>253</v>
      </c>
      <c r="N4" s="9">
        <v>847915</v>
      </c>
      <c r="O4" s="4" t="s">
        <v>252</v>
      </c>
      <c r="P4" s="9">
        <v>190837</v>
      </c>
      <c r="Q4" s="4" t="s">
        <v>251</v>
      </c>
      <c r="R4" s="9">
        <v>220249</v>
      </c>
      <c r="S4" s="4" t="s">
        <v>250</v>
      </c>
    </row>
    <row r="5" spans="1:19" x14ac:dyDescent="0.3">
      <c r="A5" s="6" t="s">
        <v>249</v>
      </c>
      <c r="B5" s="9">
        <v>484833</v>
      </c>
      <c r="C5" s="4" t="s">
        <v>248</v>
      </c>
      <c r="D5" s="9">
        <v>376164</v>
      </c>
      <c r="E5" s="4" t="s">
        <v>247</v>
      </c>
      <c r="F5" s="9">
        <v>86544</v>
      </c>
      <c r="G5" s="4" t="s">
        <v>246</v>
      </c>
      <c r="H5" s="9">
        <v>51221</v>
      </c>
      <c r="I5" s="4" t="s">
        <v>245</v>
      </c>
      <c r="J5" s="9">
        <v>158937</v>
      </c>
      <c r="K5" s="4" t="s">
        <v>244</v>
      </c>
      <c r="L5" s="9">
        <v>278254</v>
      </c>
      <c r="M5" s="4" t="s">
        <v>243</v>
      </c>
      <c r="N5" s="9">
        <v>745953</v>
      </c>
      <c r="O5" s="4" t="s">
        <v>242</v>
      </c>
      <c r="P5" s="9">
        <v>161545</v>
      </c>
      <c r="Q5" s="4" t="s">
        <v>241</v>
      </c>
      <c r="R5" s="9">
        <v>195677</v>
      </c>
      <c r="S5" s="4" t="s">
        <v>240</v>
      </c>
    </row>
    <row r="6" spans="1:19" x14ac:dyDescent="0.3">
      <c r="A6" s="6" t="s">
        <v>239</v>
      </c>
      <c r="B6" s="9">
        <v>74121</v>
      </c>
      <c r="C6" s="4" t="s">
        <v>238</v>
      </c>
      <c r="D6" s="9">
        <v>63869</v>
      </c>
      <c r="E6" s="4" t="s">
        <v>237</v>
      </c>
      <c r="F6" s="9">
        <v>9342</v>
      </c>
      <c r="G6" s="4" t="s">
        <v>236</v>
      </c>
      <c r="H6" s="9">
        <v>4960</v>
      </c>
      <c r="I6" s="4" t="s">
        <v>235</v>
      </c>
      <c r="J6" s="9">
        <v>45222</v>
      </c>
      <c r="K6" s="4" t="s">
        <v>234</v>
      </c>
      <c r="L6" s="9">
        <v>39997</v>
      </c>
      <c r="M6" s="4" t="s">
        <v>170</v>
      </c>
      <c r="N6" s="9">
        <v>101962</v>
      </c>
      <c r="O6" s="4" t="s">
        <v>233</v>
      </c>
      <c r="P6" s="9">
        <v>29292</v>
      </c>
      <c r="Q6" s="4" t="s">
        <v>232</v>
      </c>
      <c r="R6" s="9">
        <v>24572</v>
      </c>
      <c r="S6" s="4" t="s">
        <v>231</v>
      </c>
    </row>
    <row r="7" spans="1:19" x14ac:dyDescent="0.3">
      <c r="A7" s="7" t="s">
        <v>230</v>
      </c>
      <c r="B7" s="9">
        <v>52355</v>
      </c>
      <c r="C7" s="4" t="s">
        <v>229</v>
      </c>
      <c r="D7" s="9">
        <v>46560</v>
      </c>
      <c r="E7" s="4" t="s">
        <v>228</v>
      </c>
      <c r="F7" s="9">
        <v>7319</v>
      </c>
      <c r="G7" s="4" t="s">
        <v>227</v>
      </c>
      <c r="H7" s="9">
        <v>3564</v>
      </c>
      <c r="I7" s="4" t="s">
        <v>226</v>
      </c>
      <c r="J7" s="9">
        <v>29779</v>
      </c>
      <c r="K7" s="4" t="s">
        <v>225</v>
      </c>
      <c r="L7" s="9">
        <v>29379</v>
      </c>
      <c r="M7" s="4" t="s">
        <v>224</v>
      </c>
      <c r="N7" s="9">
        <v>78630</v>
      </c>
      <c r="O7" s="4" t="s">
        <v>223</v>
      </c>
      <c r="P7" s="9">
        <v>19159</v>
      </c>
      <c r="Q7" s="4" t="s">
        <v>222</v>
      </c>
      <c r="R7" s="9">
        <v>19282</v>
      </c>
      <c r="S7" s="4" t="s">
        <v>221</v>
      </c>
    </row>
    <row r="8" spans="1:19" x14ac:dyDescent="0.3">
      <c r="A8" s="7" t="s">
        <v>220</v>
      </c>
      <c r="B8" s="9">
        <v>13119</v>
      </c>
      <c r="C8" s="4" t="s">
        <v>219</v>
      </c>
      <c r="D8" s="9">
        <v>11305</v>
      </c>
      <c r="E8" s="4" t="s">
        <v>218</v>
      </c>
      <c r="F8" s="9">
        <v>1522</v>
      </c>
      <c r="G8" s="4" t="s">
        <v>217</v>
      </c>
      <c r="H8" s="4">
        <v>750</v>
      </c>
      <c r="I8" s="4" t="s">
        <v>216</v>
      </c>
      <c r="J8" s="9">
        <v>9404</v>
      </c>
      <c r="K8" s="4" t="s">
        <v>215</v>
      </c>
      <c r="L8" s="9">
        <v>6370</v>
      </c>
      <c r="M8" s="4" t="s">
        <v>214</v>
      </c>
      <c r="N8" s="9">
        <v>13989</v>
      </c>
      <c r="O8" s="4" t="s">
        <v>213</v>
      </c>
      <c r="P8" s="9">
        <v>5604</v>
      </c>
      <c r="Q8" s="4" t="s">
        <v>212</v>
      </c>
      <c r="R8" s="9">
        <v>3208</v>
      </c>
      <c r="S8" s="4" t="s">
        <v>211</v>
      </c>
    </row>
    <row r="9" spans="1:19" x14ac:dyDescent="0.3">
      <c r="A9" s="7" t="s">
        <v>210</v>
      </c>
      <c r="B9" s="9">
        <v>4757</v>
      </c>
      <c r="C9" s="4" t="s">
        <v>209</v>
      </c>
      <c r="D9" s="9">
        <v>4430</v>
      </c>
      <c r="E9" s="4" t="s">
        <v>168</v>
      </c>
      <c r="F9" s="4">
        <v>255</v>
      </c>
      <c r="G9" s="4" t="s">
        <v>208</v>
      </c>
      <c r="H9" s="4">
        <v>424</v>
      </c>
      <c r="I9" s="4" t="s">
        <v>207</v>
      </c>
      <c r="J9" s="9">
        <v>2992</v>
      </c>
      <c r="K9" s="4" t="s">
        <v>206</v>
      </c>
      <c r="L9" s="9">
        <v>3157</v>
      </c>
      <c r="M9" s="4" t="s">
        <v>205</v>
      </c>
      <c r="N9" s="9">
        <v>4542</v>
      </c>
      <c r="O9" s="4" t="s">
        <v>204</v>
      </c>
      <c r="P9" s="9">
        <v>2194</v>
      </c>
      <c r="Q9" s="4" t="s">
        <v>203</v>
      </c>
      <c r="R9" s="4">
        <v>819</v>
      </c>
      <c r="S9" s="4" t="s">
        <v>202</v>
      </c>
    </row>
    <row r="10" spans="1:19" x14ac:dyDescent="0.3">
      <c r="A10" s="7" t="s">
        <v>201</v>
      </c>
      <c r="B10" s="9">
        <v>3235</v>
      </c>
      <c r="C10" s="4" t="s">
        <v>200</v>
      </c>
      <c r="D10" s="4">
        <v>746</v>
      </c>
      <c r="E10" s="4" t="s">
        <v>199</v>
      </c>
      <c r="F10" s="4">
        <v>178</v>
      </c>
      <c r="G10" s="4" t="s">
        <v>198</v>
      </c>
      <c r="H10" s="4">
        <v>56</v>
      </c>
      <c r="I10" s="4" t="s">
        <v>197</v>
      </c>
      <c r="J10" s="9">
        <v>1472</v>
      </c>
      <c r="K10" s="4" t="s">
        <v>196</v>
      </c>
      <c r="L10" s="4">
        <v>853</v>
      </c>
      <c r="M10" s="4" t="s">
        <v>195</v>
      </c>
      <c r="N10" s="9">
        <v>3076</v>
      </c>
      <c r="O10" s="4" t="s">
        <v>194</v>
      </c>
      <c r="P10" s="9">
        <v>1088</v>
      </c>
      <c r="Q10" s="4" t="s">
        <v>193</v>
      </c>
      <c r="R10" s="9">
        <v>1003</v>
      </c>
      <c r="S10" s="4" t="s">
        <v>192</v>
      </c>
    </row>
    <row r="11" spans="1:19" x14ac:dyDescent="0.3">
      <c r="A11" s="7" t="s">
        <v>191</v>
      </c>
      <c r="B11" s="4">
        <v>655</v>
      </c>
      <c r="C11" s="4" t="s">
        <v>190</v>
      </c>
      <c r="D11" s="4">
        <v>828</v>
      </c>
      <c r="E11" s="4" t="s">
        <v>189</v>
      </c>
      <c r="F11" s="4">
        <v>68</v>
      </c>
      <c r="G11" s="4" t="s">
        <v>188</v>
      </c>
      <c r="H11" s="4">
        <v>166</v>
      </c>
      <c r="I11" s="4" t="s">
        <v>187</v>
      </c>
      <c r="J11" s="9">
        <v>1575</v>
      </c>
      <c r="K11" s="4" t="s">
        <v>186</v>
      </c>
      <c r="L11" s="4">
        <v>238</v>
      </c>
      <c r="M11" s="4" t="s">
        <v>185</v>
      </c>
      <c r="N11" s="9">
        <v>1725</v>
      </c>
      <c r="O11" s="4" t="s">
        <v>184</v>
      </c>
      <c r="P11" s="9">
        <v>1247</v>
      </c>
      <c r="Q11" s="4" t="s">
        <v>183</v>
      </c>
      <c r="R11" s="4">
        <v>260</v>
      </c>
      <c r="S11" s="4" t="s">
        <v>182</v>
      </c>
    </row>
    <row r="12" spans="1:19" ht="28.8" x14ac:dyDescent="0.3">
      <c r="A12" s="5" t="s">
        <v>181</v>
      </c>
      <c r="B12" s="9">
        <v>125492</v>
      </c>
      <c r="C12" s="4" t="s">
        <v>180</v>
      </c>
      <c r="D12" s="9">
        <v>63005</v>
      </c>
      <c r="E12" s="4" t="s">
        <v>179</v>
      </c>
      <c r="F12" s="9">
        <v>11031</v>
      </c>
      <c r="G12" s="4" t="s">
        <v>178</v>
      </c>
      <c r="H12" s="9">
        <v>1435</v>
      </c>
      <c r="I12" s="4" t="s">
        <v>177</v>
      </c>
      <c r="J12" s="9">
        <v>175897</v>
      </c>
      <c r="K12" s="4" t="s">
        <v>176</v>
      </c>
      <c r="L12" s="9">
        <v>43049</v>
      </c>
      <c r="M12" s="4" t="s">
        <v>175</v>
      </c>
      <c r="N12" s="9">
        <v>40195</v>
      </c>
      <c r="O12" s="4" t="s">
        <v>174</v>
      </c>
      <c r="P12" s="9">
        <v>7116</v>
      </c>
      <c r="Q12" s="4" t="s">
        <v>173</v>
      </c>
      <c r="R12" s="9">
        <v>5287</v>
      </c>
      <c r="S12" s="4" t="s">
        <v>172</v>
      </c>
    </row>
    <row r="13" spans="1:19" x14ac:dyDescent="0.3">
      <c r="A13" s="6" t="s">
        <v>171</v>
      </c>
      <c r="B13" s="9">
        <v>40817</v>
      </c>
      <c r="C13" s="4" t="s">
        <v>170</v>
      </c>
      <c r="D13" s="9">
        <v>12339</v>
      </c>
      <c r="E13" s="4" t="s">
        <v>169</v>
      </c>
      <c r="F13" s="9">
        <v>7142</v>
      </c>
      <c r="G13" s="4" t="s">
        <v>168</v>
      </c>
      <c r="H13" s="4">
        <v>593</v>
      </c>
      <c r="I13" s="4" t="s">
        <v>167</v>
      </c>
      <c r="J13" s="9">
        <v>105342</v>
      </c>
      <c r="K13" s="4" t="s">
        <v>166</v>
      </c>
      <c r="L13" s="9">
        <v>12573</v>
      </c>
      <c r="M13" s="4" t="s">
        <v>165</v>
      </c>
      <c r="N13" s="9">
        <v>24145</v>
      </c>
      <c r="O13" s="4" t="s">
        <v>164</v>
      </c>
      <c r="P13" s="9">
        <v>3013</v>
      </c>
      <c r="Q13" s="4" t="s">
        <v>163</v>
      </c>
      <c r="R13" s="9">
        <v>4124</v>
      </c>
      <c r="S13" s="4" t="s">
        <v>162</v>
      </c>
    </row>
    <row r="14" spans="1:19" ht="28.8" x14ac:dyDescent="0.3">
      <c r="A14" s="6" t="s">
        <v>161</v>
      </c>
      <c r="B14" s="9">
        <v>1820</v>
      </c>
      <c r="C14" s="4" t="s">
        <v>160</v>
      </c>
      <c r="D14" s="9">
        <v>1092</v>
      </c>
      <c r="E14" s="4" t="s">
        <v>159</v>
      </c>
      <c r="F14" s="4">
        <v>0</v>
      </c>
      <c r="G14" s="4" t="s">
        <v>127</v>
      </c>
      <c r="H14" s="4">
        <v>0</v>
      </c>
      <c r="I14" s="4" t="s">
        <v>127</v>
      </c>
      <c r="J14" s="9">
        <v>12951</v>
      </c>
      <c r="K14" s="4" t="s">
        <v>158</v>
      </c>
      <c r="L14" s="4">
        <v>636</v>
      </c>
      <c r="M14" s="4" t="s">
        <v>157</v>
      </c>
      <c r="N14" s="9">
        <v>1279</v>
      </c>
      <c r="O14" s="4" t="s">
        <v>156</v>
      </c>
      <c r="P14" s="4">
        <v>54</v>
      </c>
      <c r="Q14" s="4" t="s">
        <v>155</v>
      </c>
      <c r="R14" s="4">
        <v>0</v>
      </c>
      <c r="S14" s="4" t="s">
        <v>127</v>
      </c>
    </row>
    <row r="15" spans="1:19" x14ac:dyDescent="0.3">
      <c r="A15" s="6" t="s">
        <v>154</v>
      </c>
      <c r="B15" s="9">
        <v>69625</v>
      </c>
      <c r="C15" s="4" t="s">
        <v>153</v>
      </c>
      <c r="D15" s="9">
        <v>44517</v>
      </c>
      <c r="E15" s="4" t="s">
        <v>152</v>
      </c>
      <c r="F15" s="4">
        <v>0</v>
      </c>
      <c r="G15" s="4" t="s">
        <v>127</v>
      </c>
      <c r="H15" s="4">
        <v>0</v>
      </c>
      <c r="I15" s="4" t="s">
        <v>127</v>
      </c>
      <c r="J15" s="9">
        <v>49398</v>
      </c>
      <c r="K15" s="4" t="s">
        <v>151</v>
      </c>
      <c r="L15" s="9">
        <v>18659</v>
      </c>
      <c r="M15" s="4" t="s">
        <v>150</v>
      </c>
      <c r="N15" s="9">
        <v>2206</v>
      </c>
      <c r="O15" s="4" t="s">
        <v>149</v>
      </c>
      <c r="P15" s="9">
        <v>1344</v>
      </c>
      <c r="Q15" s="4" t="s">
        <v>148</v>
      </c>
      <c r="R15" s="4">
        <v>114</v>
      </c>
      <c r="S15" s="4" t="s">
        <v>147</v>
      </c>
    </row>
    <row r="16" spans="1:19" x14ac:dyDescent="0.3">
      <c r="A16" s="6" t="s">
        <v>146</v>
      </c>
      <c r="B16" s="9">
        <v>9471</v>
      </c>
      <c r="C16" s="4" t="s">
        <v>145</v>
      </c>
      <c r="D16" s="9">
        <v>4757</v>
      </c>
      <c r="E16" s="4" t="s">
        <v>144</v>
      </c>
      <c r="F16" s="4">
        <v>127</v>
      </c>
      <c r="G16" s="4" t="s">
        <v>143</v>
      </c>
      <c r="H16" s="4">
        <v>0</v>
      </c>
      <c r="I16" s="4" t="s">
        <v>127</v>
      </c>
      <c r="J16" s="9">
        <v>7556</v>
      </c>
      <c r="K16" s="4" t="s">
        <v>142</v>
      </c>
      <c r="L16" s="9">
        <v>11181</v>
      </c>
      <c r="M16" s="4" t="s">
        <v>141</v>
      </c>
      <c r="N16" s="9">
        <v>12565</v>
      </c>
      <c r="O16" s="4" t="s">
        <v>140</v>
      </c>
      <c r="P16" s="4">
        <v>521</v>
      </c>
      <c r="Q16" s="4" t="s">
        <v>139</v>
      </c>
      <c r="R16" s="9">
        <v>1009</v>
      </c>
      <c r="S16" s="4" t="s">
        <v>114</v>
      </c>
    </row>
    <row r="17" spans="1:19" x14ac:dyDescent="0.3">
      <c r="A17" s="6" t="s">
        <v>138</v>
      </c>
      <c r="B17" s="9">
        <v>3759</v>
      </c>
      <c r="C17" s="4" t="s">
        <v>137</v>
      </c>
      <c r="D17" s="4">
        <v>300</v>
      </c>
      <c r="E17" s="4" t="s">
        <v>136</v>
      </c>
      <c r="F17" s="9">
        <v>3762</v>
      </c>
      <c r="G17" s="4" t="s">
        <v>135</v>
      </c>
      <c r="H17" s="4">
        <v>842</v>
      </c>
      <c r="I17" s="4" t="s">
        <v>134</v>
      </c>
      <c r="J17" s="4">
        <v>650</v>
      </c>
      <c r="K17" s="4" t="s">
        <v>133</v>
      </c>
      <c r="L17" s="4">
        <v>0</v>
      </c>
      <c r="M17" s="4" t="s">
        <v>127</v>
      </c>
      <c r="N17" s="4">
        <v>0</v>
      </c>
      <c r="O17" s="4" t="s">
        <v>127</v>
      </c>
      <c r="P17" s="9">
        <v>2184</v>
      </c>
      <c r="Q17" s="4" t="s">
        <v>132</v>
      </c>
      <c r="R17" s="4">
        <v>40</v>
      </c>
      <c r="S17" s="4" t="s">
        <v>131</v>
      </c>
    </row>
    <row r="18" spans="1:19" x14ac:dyDescent="0.3">
      <c r="A18" s="5" t="s">
        <v>130</v>
      </c>
      <c r="B18" s="9">
        <v>3113</v>
      </c>
      <c r="C18" s="4" t="s">
        <v>129</v>
      </c>
      <c r="D18" s="9">
        <v>1024</v>
      </c>
      <c r="E18" s="4" t="s">
        <v>128</v>
      </c>
      <c r="F18" s="4">
        <v>0</v>
      </c>
      <c r="G18" s="4" t="s">
        <v>127</v>
      </c>
      <c r="H18" s="4">
        <v>74</v>
      </c>
      <c r="I18" s="4" t="s">
        <v>126</v>
      </c>
      <c r="J18" s="9">
        <v>10820</v>
      </c>
      <c r="K18" s="4" t="s">
        <v>125</v>
      </c>
      <c r="L18" s="9">
        <v>1577</v>
      </c>
      <c r="M18" s="4" t="s">
        <v>124</v>
      </c>
      <c r="N18" s="9">
        <v>3488</v>
      </c>
      <c r="O18" s="4" t="s">
        <v>123</v>
      </c>
      <c r="P18" s="4">
        <v>195</v>
      </c>
      <c r="Q18" s="4" t="s">
        <v>122</v>
      </c>
      <c r="R18" s="4">
        <v>453</v>
      </c>
      <c r="S18" s="4" t="s">
        <v>121</v>
      </c>
    </row>
    <row r="19" spans="1:19" x14ac:dyDescent="0.3">
      <c r="A19" s="5" t="s">
        <v>120</v>
      </c>
      <c r="B19" s="9">
        <v>3750</v>
      </c>
      <c r="C19" s="4" t="s">
        <v>119</v>
      </c>
      <c r="D19" s="9">
        <v>1886</v>
      </c>
      <c r="E19" s="4" t="s">
        <v>118</v>
      </c>
      <c r="F19" s="4">
        <v>179</v>
      </c>
      <c r="G19" s="4" t="s">
        <v>117</v>
      </c>
      <c r="H19" s="4">
        <v>106</v>
      </c>
      <c r="I19" s="4" t="s">
        <v>116</v>
      </c>
      <c r="J19" s="9">
        <v>3671</v>
      </c>
      <c r="K19" s="4" t="s">
        <v>115</v>
      </c>
      <c r="L19" s="9">
        <v>1203</v>
      </c>
      <c r="M19" s="4" t="s">
        <v>114</v>
      </c>
      <c r="N19" s="9">
        <v>3127</v>
      </c>
      <c r="O19" s="4" t="s">
        <v>113</v>
      </c>
      <c r="P19" s="4">
        <v>628</v>
      </c>
      <c r="Q19" s="4" t="s">
        <v>112</v>
      </c>
      <c r="R19" s="4">
        <v>651</v>
      </c>
      <c r="S19" s="4" t="s">
        <v>111</v>
      </c>
    </row>
    <row r="20" spans="1:19" x14ac:dyDescent="0.3">
      <c r="A20" s="5" t="s">
        <v>110</v>
      </c>
      <c r="B20" s="9">
        <v>13919</v>
      </c>
      <c r="C20" s="4" t="s">
        <v>109</v>
      </c>
      <c r="D20" s="9">
        <v>1961</v>
      </c>
      <c r="E20" s="4" t="s">
        <v>108</v>
      </c>
      <c r="F20" s="9">
        <v>1618</v>
      </c>
      <c r="G20" s="4" t="s">
        <v>107</v>
      </c>
      <c r="H20" s="4">
        <v>728</v>
      </c>
      <c r="I20" s="4" t="s">
        <v>106</v>
      </c>
      <c r="J20" s="9">
        <v>21999</v>
      </c>
      <c r="K20" s="4" t="s">
        <v>105</v>
      </c>
      <c r="L20" s="9">
        <v>6672</v>
      </c>
      <c r="M20" s="4" t="s">
        <v>104</v>
      </c>
      <c r="N20" s="9">
        <v>16832</v>
      </c>
      <c r="O20" s="4" t="s">
        <v>103</v>
      </c>
      <c r="P20" s="4">
        <v>922</v>
      </c>
      <c r="Q20" s="4" t="s">
        <v>102</v>
      </c>
      <c r="R20" s="9">
        <v>1790</v>
      </c>
      <c r="S20" s="4" t="s">
        <v>101</v>
      </c>
    </row>
    <row r="21" spans="1:19" x14ac:dyDescent="0.3">
      <c r="A21" s="5" t="s">
        <v>100</v>
      </c>
      <c r="B21" s="9">
        <v>28404</v>
      </c>
      <c r="C21" s="4" t="s">
        <v>99</v>
      </c>
      <c r="D21" s="9">
        <v>7920</v>
      </c>
      <c r="E21" s="4" t="s">
        <v>98</v>
      </c>
      <c r="F21" s="9">
        <v>2359</v>
      </c>
      <c r="G21" s="4" t="s">
        <v>97</v>
      </c>
      <c r="H21" s="9">
        <v>2095</v>
      </c>
      <c r="I21" s="4" t="s">
        <v>96</v>
      </c>
      <c r="J21" s="9">
        <v>66653</v>
      </c>
      <c r="K21" s="4" t="s">
        <v>95</v>
      </c>
      <c r="L21" s="9">
        <v>9558</v>
      </c>
      <c r="M21" s="4" t="s">
        <v>94</v>
      </c>
      <c r="N21" s="9">
        <v>21211</v>
      </c>
      <c r="O21" s="4" t="s">
        <v>93</v>
      </c>
      <c r="P21" s="9">
        <v>2543</v>
      </c>
      <c r="Q21" s="4" t="s">
        <v>92</v>
      </c>
      <c r="R21" s="9">
        <v>5624</v>
      </c>
      <c r="S21" s="4" t="s">
        <v>91</v>
      </c>
    </row>
    <row r="22" spans="1:19" x14ac:dyDescent="0.3">
      <c r="A22" s="5" t="s">
        <v>90</v>
      </c>
      <c r="B22" s="9">
        <v>8274</v>
      </c>
      <c r="C22" s="4" t="s">
        <v>89</v>
      </c>
      <c r="D22" s="9">
        <v>6943</v>
      </c>
      <c r="E22" s="4" t="s">
        <v>88</v>
      </c>
      <c r="F22" s="9">
        <v>1024</v>
      </c>
      <c r="G22" s="4" t="s">
        <v>87</v>
      </c>
      <c r="H22" s="9">
        <v>1723</v>
      </c>
      <c r="I22" s="4" t="s">
        <v>86</v>
      </c>
      <c r="J22" s="9">
        <v>8526</v>
      </c>
      <c r="K22" s="4" t="s">
        <v>85</v>
      </c>
      <c r="L22" s="9">
        <v>5285</v>
      </c>
      <c r="M22" s="4" t="s">
        <v>84</v>
      </c>
      <c r="N22" s="9">
        <v>9380</v>
      </c>
      <c r="O22" s="4" t="s">
        <v>83</v>
      </c>
      <c r="P22" s="9">
        <v>1268</v>
      </c>
      <c r="Q22" s="4" t="s">
        <v>82</v>
      </c>
      <c r="R22" s="9">
        <v>1412</v>
      </c>
      <c r="S22" s="4" t="s">
        <v>81</v>
      </c>
    </row>
    <row r="23" spans="1:19" x14ac:dyDescent="0.3">
      <c r="A23" s="5" t="s">
        <v>80</v>
      </c>
      <c r="B23" s="9">
        <v>55046</v>
      </c>
      <c r="C23" s="4" t="s">
        <v>79</v>
      </c>
      <c r="D23" s="9">
        <v>37975</v>
      </c>
      <c r="E23" s="4" t="s">
        <v>78</v>
      </c>
      <c r="F23" s="9">
        <v>20469</v>
      </c>
      <c r="G23" s="4" t="s">
        <v>77</v>
      </c>
      <c r="H23" s="9">
        <v>4302</v>
      </c>
      <c r="I23" s="4" t="s">
        <v>76</v>
      </c>
      <c r="J23" s="9">
        <v>33017</v>
      </c>
      <c r="K23" s="4" t="s">
        <v>75</v>
      </c>
      <c r="L23" s="9">
        <v>22137</v>
      </c>
      <c r="M23" s="4" t="s">
        <v>74</v>
      </c>
      <c r="N23" s="9">
        <v>50027</v>
      </c>
      <c r="O23" s="4" t="s">
        <v>73</v>
      </c>
      <c r="P23" s="9">
        <v>10853</v>
      </c>
      <c r="Q23" s="4" t="s">
        <v>72</v>
      </c>
      <c r="R23" s="9">
        <v>18404</v>
      </c>
      <c r="S23" s="4" t="s">
        <v>71</v>
      </c>
    </row>
    <row r="25" spans="1:19" x14ac:dyDescent="0.3">
      <c r="A25" s="10" t="s">
        <v>281</v>
      </c>
      <c r="B25" s="11">
        <f>SUMIF($B$2:$S$2,"=Estimate",$B$23:$S$23)</f>
        <v>252230</v>
      </c>
    </row>
    <row r="26" spans="1:19" x14ac:dyDescent="0.3">
      <c r="A26" s="10" t="s">
        <v>282</v>
      </c>
      <c r="B26" s="11">
        <f>SUMIF($B$2:$S$2,"=Estimate",$B$3:$S$3)</f>
        <v>3949790</v>
      </c>
    </row>
    <row r="27" spans="1:19" x14ac:dyDescent="0.3">
      <c r="A27" s="10" t="s">
        <v>4</v>
      </c>
      <c r="B27" s="12">
        <f>B25/B26</f>
        <v>6.3859091242825572E-2</v>
      </c>
    </row>
  </sheetData>
  <mergeCells count="9">
    <mergeCell ref="L1:M1"/>
    <mergeCell ref="N1:O1"/>
    <mergeCell ref="P1:Q1"/>
    <mergeCell ref="R1:S1"/>
    <mergeCell ref="B1:C1"/>
    <mergeCell ref="D1:E1"/>
    <mergeCell ref="F1:G1"/>
    <mergeCell ref="H1:I1"/>
    <mergeCell ref="J1:K1"/>
  </mergeCells>
  <printOptions gridLines="1"/>
  <pageMargins left="0.7" right="0.7" top="0.75" bottom="0.75" header="0.3" footer="0.3"/>
  <pageSetup pageOrder="overThenDown" orientation="landscape" r:id="rId1"/>
  <headerFooter>
    <oddHeader>&amp;LTable: ACSDT1Y2018.B08301</oddHeader>
    <oddFooter>&amp;L&amp;Bdata.census.gov&amp;B | Measuring America's People, Places, and Economy &amp;R&amp;P</oddFooter>
    <evenHeader>&amp;LTable: ACSDT1Y2018.B08301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7</vt:i4>
      </vt:variant>
    </vt:vector>
  </HeadingPairs>
  <TitlesOfParts>
    <vt:vector size="24" baseType="lpstr">
      <vt:lpstr>ATUS-2023</vt:lpstr>
      <vt:lpstr>ATUS-2022</vt:lpstr>
      <vt:lpstr>ACS Summary</vt:lpstr>
      <vt:lpstr>Info-ACSDT1Y2024</vt:lpstr>
      <vt:lpstr>Data-ACSDT1Y2024</vt:lpstr>
      <vt:lpstr>Info-ACSDT1Y2023</vt:lpstr>
      <vt:lpstr>Data-ACSDT1Y2023</vt:lpstr>
      <vt:lpstr>Info-ACSDT1Y2022</vt:lpstr>
      <vt:lpstr>Data-ACSDT1Y2022</vt:lpstr>
      <vt:lpstr>Info-ACSDT1Y2021</vt:lpstr>
      <vt:lpstr>Data-ACSDT1Y2021</vt:lpstr>
      <vt:lpstr>Info-ACSDT5Y2020</vt:lpstr>
      <vt:lpstr>Data-ACSDT5Y2020</vt:lpstr>
      <vt:lpstr>Info-ACSDT1Y2019</vt:lpstr>
      <vt:lpstr>Data-ACSDT1Y2019</vt:lpstr>
      <vt:lpstr>info-ACSDT1Y2018</vt:lpstr>
      <vt:lpstr>Data-ACSDT1Y2018</vt:lpstr>
      <vt:lpstr>'Data-ACSDT1Y2018'!Print_Titles</vt:lpstr>
      <vt:lpstr>'Data-ACSDT1Y2019'!Print_Titles</vt:lpstr>
      <vt:lpstr>'Data-ACSDT1Y2021'!Print_Titles</vt:lpstr>
      <vt:lpstr>'Data-ACSDT1Y2022'!Print_Titles</vt:lpstr>
      <vt:lpstr>'Data-ACSDT1Y2023'!Print_Titles</vt:lpstr>
      <vt:lpstr>'Data-ACSDT1Y2024'!Print_Titles</vt:lpstr>
      <vt:lpstr>'Data-ACSDT5Y2020'!Print_Titles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Raleigh McCoy</dc:creator>
  <cp:lastModifiedBy>Yuqi Wang</cp:lastModifiedBy>
  <dcterms:created xsi:type="dcterms:W3CDTF">2020-03-19T17:09:17Z</dcterms:created>
  <dcterms:modified xsi:type="dcterms:W3CDTF">2026-02-20T06:11:24Z</dcterms:modified>
</cp:coreProperties>
</file>