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travel-model-one\utilities\RTP\config_RTP2025\"/>
    </mc:Choice>
  </mc:AlternateContent>
  <xr:revisionPtr revIDLastSave="0" documentId="13_ncr:1_{ABA6695F-CAC3-4258-B7EB-7323CE9774B0}" xr6:coauthVersionLast="47" xr6:coauthVersionMax="47" xr10:uidLastSave="{00000000-0000-0000-0000-000000000000}"/>
  <bookViews>
    <workbookView xWindow="840" yWindow="6024" windowWidth="25416" windowHeight="11304" xr2:uid="{1F9DB3D6-6479-4470-B3F5-B9ED0E0652FB}"/>
  </bookViews>
  <sheets>
    <sheet name="ModelRuns" sheetId="1" r:id="rId1"/>
    <sheet name="Estimating Constants" sheetId="2" r:id="rId2"/>
  </sheets>
  <definedNames>
    <definedName name="_xlnm._FilterDatabase" localSheetId="0" hidden="1">ModelRuns!$A$1:$Z$298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2" l="1"/>
  <c r="D61" i="2"/>
  <c r="F56" i="2"/>
  <c r="D56" i="2"/>
  <c r="D42" i="2"/>
  <c r="D39" i="2"/>
  <c r="H26" i="2" a="1"/>
  <c r="H23" i="2" a="1"/>
  <c r="F12" i="2" a="1"/>
  <c r="C14" i="2" s="1"/>
  <c r="F4" i="2" a="1"/>
  <c r="C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tc={5E9E5ACE-141E-4D56-A8B9-D004BCC9E5DA}</author>
  </authors>
  <commentList>
    <comment ref="Y1" authorId="0" shapeId="0" xr:uid="{5E9E5ACE-141E-4D56-A8B9-D004BCC9E5DA}">
      <text>
        <t>[Threaded comment]
Your version of Excel allows you to read this threaded comment; however, any edits to it will get removed if the file is opened in a newer version of Excel. Learn more: https://go.microsoft.com/fwlink/?linkid=870924
Comment:
    Short description for public metrics summaries, etc. Need not be unique.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<sst xmlns="http://schemas.openxmlformats.org/spreadsheetml/2006/main" count="3500" uniqueCount="1130">
  <si>
    <t>year</t>
  </si>
  <si>
    <t>directory</t>
  </si>
  <si>
    <t>run_set</t>
  </si>
  <si>
    <t>category</t>
  </si>
  <si>
    <t>urbansim_runid</t>
  </si>
  <si>
    <t>status</t>
  </si>
  <si>
    <t>network</t>
  </si>
  <si>
    <t>landuse_path</t>
  </si>
  <si>
    <t>2015_TM152_IPA_19</t>
  </si>
  <si>
    <t>petrale</t>
  </si>
  <si>
    <t>n/a</t>
  </si>
  <si>
    <t>current</t>
  </si>
  <si>
    <t>BlueprintNetworks_v01\net_2023_Blueprint</t>
  </si>
  <si>
    <t>BlueprintNetworks_v01\net_2015_Blueprint</t>
  </si>
  <si>
    <t>2023_TM152_IPA_00</t>
  </si>
  <si>
    <t>model_machine</t>
  </si>
  <si>
    <t>model2-b</t>
  </si>
  <si>
    <t>RTP2025_IP</t>
  </si>
  <si>
    <t>description</t>
  </si>
  <si>
    <t>Initial run</t>
  </si>
  <si>
    <t>2023_TM152_IPA_01</t>
  </si>
  <si>
    <t>Updated telecommute</t>
  </si>
  <si>
    <t>Asana Link</t>
  </si>
  <si>
    <t>https://app.asana.com/0/1204085012544660/1204284429821325/f</t>
  </si>
  <si>
    <t>https://app.asana.com/0/1204085012544660/1204284429821329/f</t>
  </si>
  <si>
    <t>https://app.asana.com/0/1204085012544660/1205155764447002/f</t>
  </si>
  <si>
    <t>2023_TM152_IPA_02</t>
  </si>
  <si>
    <t>Transit avoidance, BART freq modified to GTFS</t>
  </si>
  <si>
    <t>BlueprintNetworks_v02\net_2023_Blueprint</t>
  </si>
  <si>
    <t>https://app.asana.com/0/1204085012544660/1205199218253656/f</t>
  </si>
  <si>
    <t>2023_TM152_IPA_03</t>
  </si>
  <si>
    <t>https://app.asana.com/0/1204085012544660/1205199737436901/f</t>
  </si>
  <si>
    <t>BlueprintNetworks_v03\net_2023_Blueprint</t>
  </si>
  <si>
    <t>More transit avoidance, ACE &amp; CapCor freq from GTFS, popsim rerun</t>
  </si>
  <si>
    <t>https://app.asana.com/0/1204085012544660/1205234639757909/f</t>
  </si>
  <si>
    <t>Reduced employment</t>
  </si>
  <si>
    <t>2023_TM152_IPA_04</t>
  </si>
  <si>
    <t>Telecommute_constant_FT</t>
  </si>
  <si>
    <t>Telecommute_constant_PT</t>
  </si>
  <si>
    <t>2023_TM152_IPA_05</t>
  </si>
  <si>
    <t>2023_TM152_IPA_06</t>
  </si>
  <si>
    <t>2023_TM152_IPA_07</t>
  </si>
  <si>
    <t>model3-b</t>
  </si>
  <si>
    <t>model3-c</t>
  </si>
  <si>
    <t>model2-d</t>
  </si>
  <si>
    <t>https://app.asana.com/0/1204085012544660/1205236835509772/f</t>
  </si>
  <si>
    <t>More transit avoidance</t>
  </si>
  <si>
    <t>2023_TM152_IPA_08</t>
  </si>
  <si>
    <t>Update Caltrain, Muni networks</t>
  </si>
  <si>
    <t>BlueprintNetworks_v04\net_2023_Blueprint</t>
  </si>
  <si>
    <t>https://app.asana.com/0/1204085012544660/1205262205592822/f</t>
  </si>
  <si>
    <t>2023_TM152_IPA_09</t>
  </si>
  <si>
    <t>AC BRT mode, work transit avoidance</t>
  </si>
  <si>
    <t>BlueprintNetworks_v05\net_2023_Blueprint</t>
  </si>
  <si>
    <t>2023_TM152_IPA_10</t>
  </si>
  <si>
    <t>More work transit avoidance</t>
  </si>
  <si>
    <t>https://app.asana.com/0/1204085012544660/1205262205592824/f</t>
  </si>
  <si>
    <t>2023_TM152_IPA_11</t>
  </si>
  <si>
    <t>More work transit avoidance, less NonWork; Update VTA, GGF freqs</t>
  </si>
  <si>
    <t>BlueprintNetworks_v06\net_2023_Blueprint</t>
  </si>
  <si>
    <t>https://app.asana.com/0/1204085012544660/1205272308819760/f</t>
  </si>
  <si>
    <t>2023_TM152_IPA_12</t>
  </si>
  <si>
    <t>Transit avoidance</t>
  </si>
  <si>
    <t>2023_TM152_IPA_13</t>
  </si>
  <si>
    <t>https://app.asana.com/0/1204085012544660/1205288383916134/f</t>
  </si>
  <si>
    <t>2023_TM152_IPA_14</t>
  </si>
  <si>
    <t>https://app.asana.com/0/1204085012544660/1205305219663089/f</t>
  </si>
  <si>
    <t>BlueprintNetworks_v07\net_2023_Blueprint</t>
  </si>
  <si>
    <t>Update SF Ferry freqs, transit avoidance</t>
  </si>
  <si>
    <t>2023_TM152_IPA_15</t>
  </si>
  <si>
    <t>Work_Transit_Hesitance</t>
  </si>
  <si>
    <t>NonWork_Transit_Hesitance</t>
  </si>
  <si>
    <t>2023_TM152_IPA_16</t>
  </si>
  <si>
    <t>Update AC, SamTrans, new Muni, VTA lines; transit hesitance</t>
  </si>
  <si>
    <t>BlueprintNetworks_v08\net_2023_Blueprint</t>
  </si>
  <si>
    <t>https://app.asana.com/0/1204085012544660/1205369544070134/f</t>
  </si>
  <si>
    <t>2023_TM160_IPA_17</t>
  </si>
  <si>
    <t>2023_TM152_IPA_17</t>
  </si>
  <si>
    <t>Update new AC, new SamTrans; freq for Marin and Union City transit</t>
  </si>
  <si>
    <t>BlueprintNetworks_v09\net_2023_Blueprint</t>
  </si>
  <si>
    <t>WFH update</t>
  </si>
  <si>
    <t>https://app.asana.com/0/1204085012544660/1205437969712611/f</t>
  </si>
  <si>
    <t>WFH_FullTimeWorker_Factor</t>
  </si>
  <si>
    <t>WFH_PartTimeWorker_Factor</t>
  </si>
  <si>
    <t>BART_Transit_Hesitance</t>
  </si>
  <si>
    <t>2023_TM152_IPA_18</t>
  </si>
  <si>
    <t>2023_TM160_IPA_18</t>
  </si>
  <si>
    <t>Add BART hesitance</t>
  </si>
  <si>
    <t>model3-d</t>
  </si>
  <si>
    <t>https://app.asana.com/0/1204085012544660/1205453752337938/f</t>
  </si>
  <si>
    <t>2023_TM152_IPA_19</t>
  </si>
  <si>
    <t>2023_TM160_IPA_19</t>
  </si>
  <si>
    <t>Increase BART hesistance</t>
  </si>
  <si>
    <t>https://app.asana.com/0/1204085012544660/1205470723787170/f</t>
  </si>
  <si>
    <t>2023_TM160_IPA_20</t>
  </si>
  <si>
    <t>2023_TM160_IPA_21</t>
  </si>
  <si>
    <t>Set WFH factors to be 0.5x of v19's</t>
  </si>
  <si>
    <t>https://app.asana.com/0/1204085012544660/1205555270932662/f</t>
  </si>
  <si>
    <t>https://app.asana.com/0/1204085012544660/1205555270932665/f</t>
  </si>
  <si>
    <t>2035_TM160_IPA_01</t>
  </si>
  <si>
    <t>2035_TM160_IPA_02</t>
  </si>
  <si>
    <t>2035_TM160_IPA_03</t>
  </si>
  <si>
    <t>https://app.asana.com/0/1204085012544660/1205533462992294/f</t>
  </si>
  <si>
    <t>M:\Application\Model One\RTP2021\Blueprint\INPUT_DEVELOPMENT\Networks\BlueprintNetworks_64\net_2035_Blueprint_tollscsv</t>
  </si>
  <si>
    <t>Initial 2035 IPA run with PBA50 AOC, WFH &amp; trn hesistance from 2023 v19</t>
  </si>
  <si>
    <t>Same as v1 but with draft PBA50+ AOC</t>
  </si>
  <si>
    <t>Same as v2 but with trn hesistance set to 0</t>
  </si>
  <si>
    <t>https://app.asana.com/0/1204085012544660/1205555270932668/f</t>
  </si>
  <si>
    <t>model3-a</t>
  </si>
  <si>
    <t>na</t>
  </si>
  <si>
    <t>model2-c</t>
  </si>
  <si>
    <t>https://app.asana.com/0/1204085012544660/1205555270932675/f</t>
  </si>
  <si>
    <t>2035_TM152_FBP_Plus_24</t>
  </si>
  <si>
    <t>RTP2021</t>
  </si>
  <si>
    <t>RTP21 adopted run</t>
  </si>
  <si>
    <t>M:\Application\Model One\RTP2021\Blueprint\INPUT_DEVELOPMENT\Networks\BlueprintNetworks_64\net_2035_Blueprint</t>
  </si>
  <si>
    <t>run182</t>
  </si>
  <si>
    <t>"Final Blueprint runs\Final Blueprint (s24)\BAUS v2.25 - FINAL VERSION"</t>
  </si>
  <si>
    <t>AOC_CentsPerMile</t>
  </si>
  <si>
    <t>2035_TM160_IPA_04</t>
  </si>
  <si>
    <t>2035_TM160_IPA_05</t>
  </si>
  <si>
    <t>WFH rate at 25%, with trn hesistance on</t>
  </si>
  <si>
    <t>WFH rate at 25%, with trn hesistance off</t>
  </si>
  <si>
    <t>https://app.asana.com/0/1204085012544660/1205561944199034/f</t>
  </si>
  <si>
    <t>https://app.asana.com/0/1204085012544660/1205561944199029/f</t>
  </si>
  <si>
    <t>2005_TM152_IPA_03</t>
  </si>
  <si>
    <t>RTP21 2005 run</t>
  </si>
  <si>
    <t>2050_TM152_FBP_PlusCrossing_24</t>
  </si>
  <si>
    <t>M:\Application\Model One\RTP2021\Blueprint\INPUT_DEVELOPMENT\Networks\BlueprintNetworks_64\net_2050_Blueprint</t>
  </si>
  <si>
    <t>model2-a</t>
  </si>
  <si>
    <t xml:space="preserve">2025_TM152_FBP_Plus_22 </t>
  </si>
  <si>
    <t>RTP21 2025 run</t>
  </si>
  <si>
    <t>BlueprintNetworks_62\net_2025_Blueprint_TransitCuts_v01</t>
  </si>
  <si>
    <t>WFH at 25%, trn hes=200, 0, 50</t>
  </si>
  <si>
    <t>WFH at 25%, trn hes=300, 0, 50</t>
  </si>
  <si>
    <t>https://app.asana.com/0/1204085012544660/1205620374882148/f</t>
  </si>
  <si>
    <t>https://app.asana.com/0/1204085012544660/1205606356917109/f</t>
  </si>
  <si>
    <t>https://app.asana.com/0/1204085012544660/1205620374882150/f</t>
  </si>
  <si>
    <t>2023_TM160_IPA_22</t>
  </si>
  <si>
    <t>2023_TM160_IPA_23</t>
  </si>
  <si>
    <t>2023_TM160_IPA_24</t>
  </si>
  <si>
    <t>WFH at 10%, trn hes=300, 0, 50</t>
  </si>
  <si>
    <t>WFH at 20%, trn hes=400, 0, 40</t>
  </si>
  <si>
    <t>https://app.asana.com/0/1204085012544660/1205620374882153/f</t>
  </si>
  <si>
    <t>2023_TM160_IPA_25</t>
  </si>
  <si>
    <t>2015_TM160_IPA_01</t>
  </si>
  <si>
    <t>BlueprintNetworks_v09\net_2015_Blueprint</t>
  </si>
  <si>
    <t>https://app.asana.com/0/1204085012544660/1205634764978037/f</t>
  </si>
  <si>
    <t>2005_TM160_IPA_01</t>
  </si>
  <si>
    <t>Initial TM160 2015 run</t>
  </si>
  <si>
    <t>Initial TM160 2005 run</t>
  </si>
  <si>
    <t>https://app.asana.com/0/1204085012544660/1205634764978035/f</t>
  </si>
  <si>
    <t>WFH at 25%, trn hes=120, 0, 45</t>
  </si>
  <si>
    <t>WFH rate at ~11%</t>
  </si>
  <si>
    <t>2015_TM160_IPA_02</t>
  </si>
  <si>
    <t>2015_TM160_IPA_02_calib12</t>
  </si>
  <si>
    <t>2015_TM160_IPA_03</t>
  </si>
  <si>
    <t>New CDAP, WFH rate at ~12%</t>
  </si>
  <si>
    <t>https://app.asana.com/0/1204085012544660/1205741891321014/f</t>
  </si>
  <si>
    <t>2023_TM160_IPA_26</t>
  </si>
  <si>
    <t>New CDAP, WFH at ~25%, , trn hes=120, 0, 45</t>
  </si>
  <si>
    <t>https://app.asana.com/0/1204085012544660/1205764227468992/f</t>
  </si>
  <si>
    <t>2023_TM160_IPA_27</t>
  </si>
  <si>
    <t>BlueprintNetworks_v10\net_2023_Blueprint</t>
  </si>
  <si>
    <t>New CDAP, WFH at ~25%, trn hes=120, 0, 45, network v10</t>
  </si>
  <si>
    <t>2023_TM160_IPA_28</t>
  </si>
  <si>
    <t>Added BART hesistancy to Caltrain and ferry, WFH remains at ~25%</t>
  </si>
  <si>
    <t>2023_TM160_IPA_29</t>
  </si>
  <si>
    <t>Refined empres estimates, WFH remains at ~25%</t>
  </si>
  <si>
    <t>https://app.asana.com/0/1204085012544660/1205838169476835/f</t>
  </si>
  <si>
    <t>2023_TM160_IPA_30</t>
  </si>
  <si>
    <t>Higher tolls, WFH remains at ~25%</t>
  </si>
  <si>
    <t>BlueprintNetworks_v11\net_2023_Blueprint</t>
  </si>
  <si>
    <t>https://app.asana.com/0/1204085012544660/1205866185692454/f</t>
  </si>
  <si>
    <t>2023_TM160_IPA_31</t>
  </si>
  <si>
    <t>https://app.asana.com/0/1204085012544660/1205893933741809/f</t>
  </si>
  <si>
    <t>2023_TM160_IPA_32</t>
  </si>
  <si>
    <t>BlueprintNetworks_v12\net_2023_Blueprint</t>
  </si>
  <si>
    <t>https://app.asana.com/0/1204085012544660/1205909635346843/f</t>
  </si>
  <si>
    <t>https://app.asana.com/0/1204085012544660/1205910032623946/f</t>
  </si>
  <si>
    <t>2023_TM160_IPA_33</t>
  </si>
  <si>
    <t>2023_TM160_IPA_34</t>
  </si>
  <si>
    <t>https://app.asana.com/0/1204085012544660/1205800562404712/f</t>
  </si>
  <si>
    <t>2023_TM160_IPA_35</t>
  </si>
  <si>
    <t>2035_TM160_IPA_06</t>
  </si>
  <si>
    <t>https://app.asana.com/0/1204085012544660/1205911053939954/f</t>
  </si>
  <si>
    <t>https://app.asana.com/0/1204085012544660/1205909635346849/f</t>
  </si>
  <si>
    <t>2023_TM160_IPA_36</t>
  </si>
  <si>
    <t>2023_TM160_IPA_37</t>
  </si>
  <si>
    <t>https://app.asana.com/0/1204085012544660/1205912003541563/f</t>
  </si>
  <si>
    <t>https://app.asana.com/0/1204085012544660/1205912003541566/f</t>
  </si>
  <si>
    <t>2023_TM160_IPA_38</t>
  </si>
  <si>
    <t>work trn hes=100, rail/ferry hes=80, WFH at ~30%</t>
  </si>
  <si>
    <t>work trn hes=90, rail/ferry hes=70, WFH at ~31%</t>
  </si>
  <si>
    <t>work trn hes=90, rail/ferry hes=70, WFH at ~30%</t>
  </si>
  <si>
    <t>work trn hes=100, rail/ferry hes=60, WFH at ~31%</t>
  </si>
  <si>
    <t>work trn hes=100, rail/ferry hes=60, WFH at ~30%</t>
  </si>
  <si>
    <t>Toll rate fixes, WFH at ~31%</t>
  </si>
  <si>
    <t>Toll rate fixes, WFH at ~30%</t>
  </si>
  <si>
    <t>Higher tolls, WFH at ~30%</t>
  </si>
  <si>
    <t>2023_TM160_IPA_39</t>
  </si>
  <si>
    <t>https://app.asana.com/0/1204085012544660/1205937699715122/f</t>
  </si>
  <si>
    <t>https://app.asana.com/0/1204085012544660/1205937699715120/f</t>
  </si>
  <si>
    <t>2023_TM160_IPA_40</t>
  </si>
  <si>
    <t>new AOC (16.46 cents)</t>
  </si>
  <si>
    <t>https://app.asana.com/0/1204085012544660/1205973396667333/f</t>
  </si>
  <si>
    <t>2035_TM160_IPA_07</t>
  </si>
  <si>
    <t>2035_TM160_IPA_06_EN7test</t>
  </si>
  <si>
    <t>Best guess at IPA assumptions</t>
  </si>
  <si>
    <t>Same as v05 except for nonres</t>
  </si>
  <si>
    <t>Same as v06 but with EN7</t>
  </si>
  <si>
    <t>FBP scaled to RGF</t>
  </si>
  <si>
    <t>https://app.asana.com/0/1204085012544660/1205943552385938/f</t>
  </si>
  <si>
    <t>2015_TM160_IPA_03_AOCplus10pct</t>
  </si>
  <si>
    <t>https://app.asana.com/0/1204085012544660/1205973396667340/f</t>
  </si>
  <si>
    <t>Same as 2015_TM160_IPA_03</t>
  </si>
  <si>
    <t>2023_TM160_IPA_41</t>
  </si>
  <si>
    <t>AOC=16.61, WFH at ~30%</t>
  </si>
  <si>
    <t>https://app.asana.com/0/1204085012544660/1205980528918816/f</t>
  </si>
  <si>
    <t>2023_TM160_IPA_42</t>
  </si>
  <si>
    <t>AOC=16.61, WFH at ~31%</t>
  </si>
  <si>
    <t>https://app.asana.com/0/1204085012544660/1205983427401938/f</t>
  </si>
  <si>
    <t>2005_TM160_IPA_02</t>
  </si>
  <si>
    <t>TM160 2005 run with WFH equivalent to PBA50 2005</t>
  </si>
  <si>
    <t>RTP2021\IncrementalProgress\2005_TM152_IPA_03\INPUT</t>
  </si>
  <si>
    <t>https://app.asana.com/0/1204085012544660/1205996578467417/f</t>
  </si>
  <si>
    <t>IPA minus EN7</t>
  </si>
  <si>
    <t>https://app.asana.com/0/1204085012544660/1205987181125876/f</t>
  </si>
  <si>
    <t>2035_TM160_IPA_08</t>
  </si>
  <si>
    <t>2035_TM160_IPA_09</t>
  </si>
  <si>
    <t>https://app.asana.com/0/1204085012544660/1205996812896085/f</t>
  </si>
  <si>
    <t>2035_TM160_IPA_09_PBA50landuse</t>
  </si>
  <si>
    <t>POPLU_v225_UBI</t>
  </si>
  <si>
    <t>run183</t>
  </si>
  <si>
    <t>https://app.asana.com/0/1204085012544660/1205995415086649/f</t>
  </si>
  <si>
    <t>2035_TM160_IPA_09_PBA50aoc</t>
  </si>
  <si>
    <t>https://app.asana.com/0/1204085012544660/1205995415086641/f</t>
  </si>
  <si>
    <t>2035_TM160_IPA_09_PBA50ixex</t>
  </si>
  <si>
    <t>https://app.asana.com/0/1204085012544660/1205995415086647/f</t>
  </si>
  <si>
    <t>IPA with PBA50 wfh</t>
  </si>
  <si>
    <t>https://app.asana.com/0/1204085012544660/1205995415086637/f</t>
  </si>
  <si>
    <t>2035_TM160_IPA_09_minusModePref</t>
  </si>
  <si>
    <t>https://app.asana.com/0/1204085012544660/1205995415086639/f</t>
  </si>
  <si>
    <t>IPA</t>
  </si>
  <si>
    <t>Previous Plan</t>
  </si>
  <si>
    <t>Base year</t>
  </si>
  <si>
    <t>Previous base year</t>
  </si>
  <si>
    <t>SB375 Base year</t>
  </si>
  <si>
    <t>2035_TM160_IPA_10</t>
  </si>
  <si>
    <t>IPA with fixes</t>
  </si>
  <si>
    <t>https://app.asana.com/0/1204085012544660/1206015047138571/f</t>
  </si>
  <si>
    <t>2035_TM160_IPA_10_plusEN7</t>
  </si>
  <si>
    <t>IPA with EN7 bug fixed</t>
  </si>
  <si>
    <t>https://app.asana.com/0/1204085012544660/1205973396668369/f</t>
  </si>
  <si>
    <t>2035_TM160_IPA_11</t>
  </si>
  <si>
    <t>IPA with EN7 fixed and bike mode share adjusted</t>
  </si>
  <si>
    <t>https://app.asana.com/0/1204085012544660/1206021318810361/f</t>
  </si>
  <si>
    <t>2035_TM160_IPA_11_PBA50wfh</t>
  </si>
  <si>
    <t>2035_TM160_IPA_12</t>
  </si>
  <si>
    <t>IPA with air passenger fix</t>
  </si>
  <si>
    <t>https://app.asana.com/0/1204085012544660/1206074168414015/f</t>
  </si>
  <si>
    <t>2035_TM160_IPA_11_network2023</t>
  </si>
  <si>
    <t>IPA v11 with 2023 networks</t>
  </si>
  <si>
    <t>M:\Application\Model One\RTP2025\INPUT_DEVELOPMENT\Networks\BlueprintNetworks_v12\net_2023_Blueprint</t>
  </si>
  <si>
    <t>https://app.asana.com/0/1204085012544660/1206031684822718/f</t>
  </si>
  <si>
    <t>2005_TM160_IPA_03</t>
  </si>
  <si>
    <t>TM160 2005 run with air passenger trips fixed</t>
  </si>
  <si>
    <t>2005_v01</t>
  </si>
  <si>
    <t>https://app.asana.com/0/1204085012544660/1206071846636750/f</t>
  </si>
  <si>
    <t>IPA (but with EN7 bug and high bike mode share)</t>
  </si>
  <si>
    <t>IPA v9 with PBA50 landuse/pop</t>
  </si>
  <si>
    <t>IPA v9 with PBA50 aoc</t>
  </si>
  <si>
    <t>IPA v9 with PBA50 ModePrefs</t>
  </si>
  <si>
    <t>IPA v9 with PBA50 ixex</t>
  </si>
  <si>
    <t>2035_TM160_IPA_13</t>
  </si>
  <si>
    <t>IPA with lower AOC</t>
  </si>
  <si>
    <t>https://app.asana.com/0/1204085012544660/1206153405312420/f</t>
  </si>
  <si>
    <t>2005 land use</t>
  </si>
  <si>
    <t>2015_TM152_IPA_17</t>
  </si>
  <si>
    <t>RTP21 2015 run</t>
  </si>
  <si>
    <t>IPA with lower AOC and non-fuel fix</t>
  </si>
  <si>
    <t>https://app.asana.com/0/1204085012544660/1206165621445907/f</t>
  </si>
  <si>
    <t>2035_TM160_IPA_14</t>
  </si>
  <si>
    <t>IPA with higher AOC (0.1758) with FE adj</t>
  </si>
  <si>
    <t>2035_TM160_IPA_15</t>
  </si>
  <si>
    <t>2035_TM160_IPA_16</t>
  </si>
  <si>
    <t>https://app.asana.com/0/1204085012544660/1206283153206081/f</t>
  </si>
  <si>
    <t>IPA with lower AOC (0.1506) removing FE adj</t>
  </si>
  <si>
    <t>https://app.asana.com/0/1204085012544660/1206323265669539/f</t>
  </si>
  <si>
    <t>https://app.asana.com/0/1204085012544660/1206579347148152/f</t>
  </si>
  <si>
    <t>2023_TM160_IPA_43</t>
  </si>
  <si>
    <t>BlueprintNetworks_v13\net_2023_Blueprint</t>
  </si>
  <si>
    <t>AOC=16.61, correct airpax matrices and updated 2023 network</t>
  </si>
  <si>
    <t>https://app.asana.com/0/1204085012544660/1205996579503045/f</t>
  </si>
  <si>
    <t>https://app.asana.com/0/1204085012544660/1206276152024563/f</t>
  </si>
  <si>
    <t>2023_TM160_IPA_44</t>
  </si>
  <si>
    <t>AOC=16.21</t>
  </si>
  <si>
    <t>2023_TM160_IPA_45</t>
  </si>
  <si>
    <t>AOC=15.16 cents i.e. no fuel efficiency adjustment</t>
  </si>
  <si>
    <t>https://app.asana.com/0/1204085012544660/1206339517579867/f</t>
  </si>
  <si>
    <t>2023_TM160_IPA_50_SetMinVtollToZero</t>
  </si>
  <si>
    <t>https://app.asana.com/0/0/1206579347148164/f</t>
  </si>
  <si>
    <t>AOC=15.16, with min vtoll of 50 cents (test run)</t>
  </si>
  <si>
    <t>variant of v50, with min_vtoll set to 0</t>
  </si>
  <si>
    <t>2023_TM160_IPA_46_AOC1621plus10pct</t>
  </si>
  <si>
    <t>2023_TM160_IPA_47_AOC1621plus20pct</t>
  </si>
  <si>
    <t>2023_TM160_IPA_48_AOC1621minus10pct</t>
  </si>
  <si>
    <t>2023_TM160_IPA_49_AOC1621minus20pct</t>
  </si>
  <si>
    <t>Sensitivity test, AOC=16.21 plus 10pct</t>
  </si>
  <si>
    <t>Sensitivity test, AOC=16.21 plus 20pct</t>
  </si>
  <si>
    <t>Sensitivity test, AOC=16.21 minus 10pct</t>
  </si>
  <si>
    <t>Sensitivity test, AOC=16.21 minus 20pct</t>
  </si>
  <si>
    <t>https://app.asana.com/0/0/1205865655371103/f</t>
  </si>
  <si>
    <t>2015_TM160_IPA_04</t>
  </si>
  <si>
    <t>2015_TM160_IPA_05</t>
  </si>
  <si>
    <t>With air passenger fix</t>
  </si>
  <si>
    <t>https://app.asana.com/0/1204085012544660/1206096144185634/f</t>
  </si>
  <si>
    <t>w Networks v13 (with revised exp bus freq)</t>
  </si>
  <si>
    <t>sensitivityTest_set</t>
  </si>
  <si>
    <t>Sensitivity Test - AOC</t>
  </si>
  <si>
    <t>2023_TM160_IPA_51</t>
  </si>
  <si>
    <t>2023_TM160_IPA_52</t>
  </si>
  <si>
    <t>2023_TM160_IPA_53</t>
  </si>
  <si>
    <t>https://app.asana.com/0/1204085012544660/1206685870182016/f</t>
  </si>
  <si>
    <t>https://app.asana.com/0/1204085012544660/1206685870182013/f</t>
  </si>
  <si>
    <t>https://app.asana.com/0/1204085012544660/1206699871295080/f</t>
  </si>
  <si>
    <t>AOC=16.21, with wrk_trn_hes=90</t>
  </si>
  <si>
    <t>AOC=16.21, with wrk_trn_hes=80</t>
  </si>
  <si>
    <t>AOC=16.21, with wrk_trn_hes=70</t>
  </si>
  <si>
    <t>Alias</t>
  </si>
  <si>
    <t>2015</t>
  </si>
  <si>
    <t>2035 IPA</t>
  </si>
  <si>
    <t>2023_TM160_IPA_54</t>
  </si>
  <si>
    <t>AOC=16.21, with wrk_trn_hes=83.3</t>
  </si>
  <si>
    <t>https://app.asana.com/0/1204085012544660/1206710598691438/f</t>
  </si>
  <si>
    <t>2023_TM160_IPA_55</t>
  </si>
  <si>
    <t>AOC=16.21, with BART_Transit_Hesitance=70</t>
  </si>
  <si>
    <t>2035_TM160_DBP_NoProject_01</t>
  </si>
  <si>
    <t>RTP2025</t>
  </si>
  <si>
    <t>DBP</t>
  </si>
  <si>
    <t>Initial 2035 NoProject Run</t>
  </si>
  <si>
    <t>https://app.asana.com/0/1204085012544660/1206676779097787/f</t>
  </si>
  <si>
    <t>M:\urban_modeling\baus\PBA50Plus\PBA50Plus_NP_InitialRun\outputs\PBA50Plus_NP_InitialRun_v8</t>
  </si>
  <si>
    <t>PBA50Plus_NP_InitialRun_v8</t>
  </si>
  <si>
    <t>BlueprintNetworks_v16\net_2030_Baseline</t>
  </si>
  <si>
    <t>2035_TM160_DBP_Plan_01</t>
  </si>
  <si>
    <t>Initial 2035 Plan Run</t>
  </si>
  <si>
    <t>M:\urban_modeling\baus\PBA50Plus\PBA50Plus_Preservation</t>
  </si>
  <si>
    <t>PBA50Plus_Preservation</t>
  </si>
  <si>
    <t>BlueprintNetworks_v16\net_2035_Blueprint</t>
  </si>
  <si>
    <t>https://app.asana.com/0/1204085012544660/1206676779097785/f</t>
  </si>
  <si>
    <t>2050_TM160_DBP_NoProject_01</t>
  </si>
  <si>
    <t>2050_TM160_DBP_Plan_01</t>
  </si>
  <si>
    <t>Initial 2050 NoProject Run</t>
  </si>
  <si>
    <t>Initial 2050 Plan Run</t>
  </si>
  <si>
    <t>BlueprintNetworks_v16\net_2050_Blueprint</t>
  </si>
  <si>
    <t>https://app.asana.com/0/1204085012544660/1206676779097791/f</t>
  </si>
  <si>
    <t>https://app.asana.com/0/1204085012544660/1206676779097789/f</t>
  </si>
  <si>
    <t>2035 Plan</t>
  </si>
  <si>
    <t>2023</t>
  </si>
  <si>
    <t>2005_TM160_IPA_04</t>
  </si>
  <si>
    <t>TM160 2005 run with AOC update</t>
  </si>
  <si>
    <t>https://app.asana.com/0/1204085012544660/1206855706696334/f</t>
  </si>
  <si>
    <t>2015_TM160_IPA_06</t>
  </si>
  <si>
    <t>AOC update</t>
  </si>
  <si>
    <t>https://app.asana.com/0/1204085012544660/1206855706696340/f</t>
  </si>
  <si>
    <t>2023_TM160_IPA_56</t>
  </si>
  <si>
    <t>https://app.asana.com/0/1204085012544660/1206732756637852/f</t>
  </si>
  <si>
    <t>https://app.asana.com/0/1204085012544660/1206855706696343/f</t>
  </si>
  <si>
    <t>2035_TM160_IPA_17</t>
  </si>
  <si>
    <t>IPA with AOC refresh</t>
  </si>
  <si>
    <t>https://app.asana.com/0/1204085012544660/1206855706696345/f</t>
  </si>
  <si>
    <t>2035_TM160_DBP_NoProject_02</t>
  </si>
  <si>
    <t>Updated AOC</t>
  </si>
  <si>
    <t>https://app.asana.com/0/1204085012544660/1206860232829469/f</t>
  </si>
  <si>
    <t>2035_TM160_DBP_Plan_02</t>
  </si>
  <si>
    <t>https://app.asana.com/0/1204085012544660/1206860232829467/f</t>
  </si>
  <si>
    <t>2050_TM160_DBP_NoProject_02</t>
  </si>
  <si>
    <t>https://app.asana.com/0/1204085012544660/1206860234162315/f</t>
  </si>
  <si>
    <t>2050_TM160_DBP_Plan_02</t>
  </si>
  <si>
    <t>AOC=15.28, with BART_Transit_Hesitance=70</t>
  </si>
  <si>
    <t>2023_TM160_IPA_50</t>
  </si>
  <si>
    <t>2035_TM160_DBP_NoProject_03</t>
  </si>
  <si>
    <t>Updated landuse/popsyn and small network updates</t>
  </si>
  <si>
    <t>M:\urban_modeling\baus\PBA50Plus\PBA50Plus_2020Validation_HE_BOC_v2</t>
  </si>
  <si>
    <t>2050_TM160_DBP_NoProject_03</t>
  </si>
  <si>
    <t>2050_TM160_DBP_Plan_03</t>
  </si>
  <si>
    <t>2035_TM160_DBP_Plan_03</t>
  </si>
  <si>
    <t>M:\urban_modeling\baus\PBA50Plus\PBA50Plus_InclusionaryZoning_v2</t>
  </si>
  <si>
    <t>PBA50Plus_2020Validation_HE_BOC_v2</t>
  </si>
  <si>
    <t>PBA50Plus_InclusionaryZoning_v2</t>
  </si>
  <si>
    <t>BlueprintNetworks_v17\net_2030_Baseline</t>
  </si>
  <si>
    <t>BlueprintNetworks_v17\net_2050_Blueprint</t>
  </si>
  <si>
    <t>BlueprintNetworks_v17\net_2035_Blueprint</t>
  </si>
  <si>
    <t>https://app.asana.com/0/1204085012544660/1206926596430568/f</t>
  </si>
  <si>
    <t>https://app.asana.com/0/1204085012544660/1206926596430572/f</t>
  </si>
  <si>
    <t>https://app.asana.com/0/1204085012544660/1206926596430570/f</t>
  </si>
  <si>
    <t>https://app.asana.com/0/1204085012544660/1206926596430574/f</t>
  </si>
  <si>
    <t>run_offmodel</t>
  </si>
  <si>
    <t>2035_TM160_DBP_NoProject_04</t>
  </si>
  <si>
    <t>BlueprintNetworks_v18\net_2030_Baseline</t>
  </si>
  <si>
    <t>https://app.asana.com/0/1204085012544660/1206985522676091/f</t>
  </si>
  <si>
    <t>PBA50Plus_NP_Exogenous_2020Validation_HE_BOC_SLR</t>
  </si>
  <si>
    <t>M:\urban_modeling\baus\PBA50Plus\PBA50Plus_NP_Exogenous_2020Validation_HE_BOC_SLR</t>
  </si>
  <si>
    <t>2035_TM160_DBP_Plan_04</t>
  </si>
  <si>
    <t>Update landuse/popsyn; add T5 mileage fee; NGF round1 tolling; temp remove T8 Complete Streets</t>
  </si>
  <si>
    <t>M:\urban_modeling\baus\PBA50Plus\PBA50Plus_Exogenous_2020Validation_GG_Pipeline_Strategies_SLR_v2</t>
  </si>
  <si>
    <t>PBA50Plus_Exogenous_2020Validation_GG_Pipeline_Strategies_SLR_v2</t>
  </si>
  <si>
    <t>BlueprintNetworks_v18\net_2035_Blueprint</t>
  </si>
  <si>
    <t>https://app.asana.com/0/1204085012544660/1206985522675993/f</t>
  </si>
  <si>
    <t>2050_TM160_DBP_NoProject_04</t>
  </si>
  <si>
    <t>2050_TM160_DBP_Plan_04</t>
  </si>
  <si>
    <t>BlueprintNetworks_v18\net_2050_Blueprint</t>
  </si>
  <si>
    <t>https://app.asana.com/0/1204085012544660/1206985522676094/f</t>
  </si>
  <si>
    <t>https://app.asana.com/0/1204085012544660/1206985522676097/f</t>
  </si>
  <si>
    <t>2005</t>
  </si>
  <si>
    <t>2035_TM160_DBP_NoProject_05</t>
  </si>
  <si>
    <t>Updated landuse/popsyn (fix too many persons)</t>
  </si>
  <si>
    <t xml:space="preserve">M:\urban_modeling\baus\PBA50Plus\PBA50Plus_NoProject_v4dem </t>
  </si>
  <si>
    <t xml:space="preserve">PBA50Plus_NoProject_v4dem </t>
  </si>
  <si>
    <t>https://app.asana.com/0/1204085012544660/1207070817758664/f</t>
  </si>
  <si>
    <t>2035_TM160_DBP_Plan_05</t>
  </si>
  <si>
    <t>Update landuse/popsyn (fix too many persons); add back T8 Complete Streets</t>
  </si>
  <si>
    <t>PBA50Plus_Draft_Blueprint_v2b</t>
  </si>
  <si>
    <t>M:\urban_modeling\baus\PBA50Plus\PBA50Plus_DBP_InitialRun\outputs\PBA50Plus_Draft_Blueprint_v2b</t>
  </si>
  <si>
    <t>https://app.asana.com/0/1204085012544660/1207012741527409/f</t>
  </si>
  <si>
    <t>2050_TM160_DBP_NoProject_05</t>
  </si>
  <si>
    <t>https://app.asana.com/0/1204085012544660/1207070817758666/f</t>
  </si>
  <si>
    <t>2050_TM160_DBP_Plan_05</t>
  </si>
  <si>
    <t>https://app.asana.com/0/1204085012544660/1207012741527411/f</t>
  </si>
  <si>
    <t>2035_TM160_DBP_NoProject_05b</t>
  </si>
  <si>
    <t>Updated landuse/popsyn (fix too many persons), orig AOC</t>
  </si>
  <si>
    <t>https://app.asana.com/0/1182463234225195/1207086029250362/f</t>
  </si>
  <si>
    <t>https://app.asana.com/0/1182463234225195/1207095052585768/f</t>
  </si>
  <si>
    <t>2050_TM160_DBP_NoProject_05b</t>
  </si>
  <si>
    <t>https://app.asana.com/0/1182463234225195/1207094549470908/f</t>
  </si>
  <si>
    <t>https://app.asana.com/0/1182463234225195/1207094551343878/f</t>
  </si>
  <si>
    <t>2035_TM160_DBP_Plan_06</t>
  </si>
  <si>
    <t>2035_TM160_DBP_Plan_06b</t>
  </si>
  <si>
    <t>https://app.asana.com/0/1182463234225195/1207094549470912/f</t>
  </si>
  <si>
    <t xml:space="preserve">PBA50Plus_Draft_Blueprint_v2b_zoningclip </t>
  </si>
  <si>
    <t>M:\urban_modeling\baus\PBA50Plus\PBA50Plus_DBP_InitialRun\outputs\PBA50Plus_Draft_Blueprint_v2b_zoningclip</t>
  </si>
  <si>
    <t>Update landuse/popsyn</t>
  </si>
  <si>
    <t>Original AOC</t>
  </si>
  <si>
    <t>2050_TM160_DBP_Plan_06</t>
  </si>
  <si>
    <t>2050_TM160_DBP_Plan_06b</t>
  </si>
  <si>
    <t>https://app.asana.com/0/1182463234225195/1207094549470916/f</t>
  </si>
  <si>
    <t>2035_TM160_DBP_NoProject_06b</t>
  </si>
  <si>
    <t>Updated landuse/popsyn</t>
  </si>
  <si>
    <t>M:\urban_modeling\baus\PBA50Plus\PBA50Plus_NoProject_v7</t>
  </si>
  <si>
    <t>PBA50Plus_NoProject_v7</t>
  </si>
  <si>
    <t>https://app.asana.com/0/1182463234225195/1207127651751783/f</t>
  </si>
  <si>
    <t>2050_TM160_DBP_NoProject_06b</t>
  </si>
  <si>
    <t>https://app.asana.com/0/1182463234225195/1207127941488239/f</t>
  </si>
  <si>
    <t>2035_TM160_DBP_Plan_07b</t>
  </si>
  <si>
    <t>Update landuse/popsyn (fix too many persons)</t>
  </si>
  <si>
    <t>M:\urban_modeling\baus\PBA50Plus\PBA50Plus_DraftBlueprint\PBA50Plus_Draft_Blueprint_v6</t>
  </si>
  <si>
    <t>PBA50Plus_Draft_Blueprint_v6</t>
  </si>
  <si>
    <t>https://app.asana.com/0/1182463234225195/1207127280475842/f</t>
  </si>
  <si>
    <t>2050_TM160_DBP_Plan_07b</t>
  </si>
  <si>
    <t>Update landuse/popsyn (fix too many persons); tweak bike back</t>
  </si>
  <si>
    <t>https://app.asana.com/0/1182463234225195/1207127280475846/f</t>
  </si>
  <si>
    <t>2035_TM152_FBP_NoProject_24</t>
  </si>
  <si>
    <t>RTP21 no project run</t>
  </si>
  <si>
    <t>"Baseline Large (s25) runs\NP_v8"</t>
  </si>
  <si>
    <t>run314</t>
  </si>
  <si>
    <t>M:\Application\Model One\RTP2021\Blueprint\INPUT_DEVELOPMENT\Networks\BlueprintNetworks_61\net_2035_Baseline</t>
  </si>
  <si>
    <t>2050_TM152_FBP_NoProject_24</t>
  </si>
  <si>
    <t>M:\Application\Model One\RTP2021\Blueprint\INPUT_DEVELOPMENT\Networks\BlueprintNetworks_62\net_2050_Baseline</t>
  </si>
  <si>
    <t>2035_TM160_DBP_Trend_06b</t>
  </si>
  <si>
    <t>NoProject with DBP land use</t>
  </si>
  <si>
    <t>https://app.asana.com/0/1182463234225195/1207023459120319/f</t>
  </si>
  <si>
    <t>2050_TM160_DBP_Trend_06b</t>
  </si>
  <si>
    <t>https://app.asana.com/0/1182463234225195/1207023459120318/f</t>
  </si>
  <si>
    <t>2035_TM160_DBP_Trend_07b</t>
  </si>
  <si>
    <t>DBP Land Use BAUSv8</t>
  </si>
  <si>
    <t>M:\urban_modeling\baus\PBA50Plus\PBA50Plus_DraftBlueprint\PBA50Plus_Draft_Blueprint_v8_znupd_nodevfix</t>
  </si>
  <si>
    <t>PBA50Plus_Draft_Blueprint_v8_znupd_nodevfix</t>
  </si>
  <si>
    <t>2035_TM160_DBP_Plan_08b</t>
  </si>
  <si>
    <t>https://app.asana.com/0/1182463234225195/1207227541117519/f</t>
  </si>
  <si>
    <t>https://app.asana.com/0/1182463234225195/1207227169631490/f</t>
  </si>
  <si>
    <t>2050_TM160_DBP_Trend_07b</t>
  </si>
  <si>
    <t>https://app.asana.com/0/1182463234225195/1207227541117524/f</t>
  </si>
  <si>
    <t>2050_TM160_DBP_Plan_08b</t>
  </si>
  <si>
    <t>https://app.asana.com/0/1182463234225195/1207227169631494/f</t>
  </si>
  <si>
    <t>2035_TM160_DBP_Plan_08b_ZeroTrnHes</t>
  </si>
  <si>
    <t>2035_TM160_DBP_Plan_08b_PBA50network</t>
  </si>
  <si>
    <t>2035_TM160_DBP_Plan_08b_PBA50lupop</t>
  </si>
  <si>
    <t>DBP run with zero transit hesitancy</t>
  </si>
  <si>
    <t>DBP run with PBA50 network</t>
  </si>
  <si>
    <t>DBP run with PBA50 landuse/pop</t>
  </si>
  <si>
    <t>https://app.asana.com/0/0/1207403425432857/f</t>
  </si>
  <si>
    <t>2050_TM160_DBP_Plan_08b_ZeroTrnHes</t>
  </si>
  <si>
    <t>2050_TM160_DBP_Plan_08b_PBA50network</t>
  </si>
  <si>
    <t>2050_TM160_DBP_Plan_08b_PBA50lupop</t>
  </si>
  <si>
    <t>2023_TM161_IPA_00</t>
  </si>
  <si>
    <t>BlueprintNetworks_v19\net_2023_Baseline</t>
  </si>
  <si>
    <t>https://app.asana.com/0/15119358130897/1207937299902230/f</t>
  </si>
  <si>
    <t>First run on v1.6.1_develop branch</t>
  </si>
  <si>
    <t>2015_TM161_IPA_00</t>
  </si>
  <si>
    <t>BlueprintNetworks_v19\net_2015_Baseline</t>
  </si>
  <si>
    <t>https://app.asana.com/0/15119358130897/1207937299902229/f</t>
  </si>
  <si>
    <t>2015_TM161_IPA_01</t>
  </si>
  <si>
    <t>Stop applying rail hesitancy to ferry</t>
  </si>
  <si>
    <t>https://app.asana.com/0/15119358130897/1208321635007924/f</t>
  </si>
  <si>
    <t>2023_TM161_IPA_01</t>
  </si>
  <si>
    <t>https://app.asana.com/0/15119358130897/1208321635007923/f</t>
  </si>
  <si>
    <t>2023_TM161_IPA_02</t>
  </si>
  <si>
    <t>Update WFH factors</t>
  </si>
  <si>
    <t>https://app.asana.com/0/1182463234225195/1208357459771268/f</t>
  </si>
  <si>
    <t>2015_TM161_IPA_02</t>
  </si>
  <si>
    <t>https://app.asana.com/0/1182463234225195/1208357459771266/f</t>
  </si>
  <si>
    <t>https://app.asana.com/0/15119358130897/1208364052955607/f</t>
  </si>
  <si>
    <t>2023_TM161_IPA_03</t>
  </si>
  <si>
    <t>2023_TM161_IPA_04</t>
  </si>
  <si>
    <t>Reduce work hesitance (75)</t>
  </si>
  <si>
    <t>Reduce work hesitance (50)</t>
  </si>
  <si>
    <t>https://app.asana.com/0/15119358130897/1208382029196535/f</t>
  </si>
  <si>
    <t>2023_TM161_IPA_05</t>
  </si>
  <si>
    <t>Reduce rail hesitance (60)</t>
  </si>
  <si>
    <t>https://app.asana.com/0/1182463234225195/1208384457487898/f</t>
  </si>
  <si>
    <t>2023_TM161_IPA_06</t>
  </si>
  <si>
    <t>Reduce rail hesitance less (68)</t>
  </si>
  <si>
    <t>https://app.asana.com/0/1182463234225195/1208382649608925/f</t>
  </si>
  <si>
    <t>2015_TM161_IPA_03</t>
  </si>
  <si>
    <t>Update network (v20), add min vtoll</t>
  </si>
  <si>
    <t>BlueprintNetworks_v20\net_2015_Baseline</t>
  </si>
  <si>
    <t>https://app.asana.com/0/15119358130897/1208514481749354/f</t>
  </si>
  <si>
    <t>2023_TM161_IPA_07</t>
  </si>
  <si>
    <t>BlueprintNetworks_v20\net_2023_Baseline</t>
  </si>
  <si>
    <t>https://app.asana.com/0/15119358130897/1208512615405603/f</t>
  </si>
  <si>
    <t>2015_TM161_IPA_04</t>
  </si>
  <si>
    <t>Add distance-based WFH factor</t>
  </si>
  <si>
    <t>https://app.asana.com/0/15119358130897/1208575254860278/f</t>
  </si>
  <si>
    <t>WFH_Distance_Factor</t>
  </si>
  <si>
    <t>2023_TM161_IPA_08</t>
  </si>
  <si>
    <t>https://app.asana.com/0/15119358130897/1208561571870267/f</t>
  </si>
  <si>
    <t>WFH_Calibration_constant</t>
  </si>
  <si>
    <t>2023_TM161_IPA_09</t>
  </si>
  <si>
    <t>Implement WFH binomial logit model from BATS2023</t>
  </si>
  <si>
    <t>https://app.asana.com/0/1182463234225195/1208680310703248/f</t>
  </si>
  <si>
    <t>2015_TM161_IPA_05</t>
  </si>
  <si>
    <t>https://app.asana.com/0/1182463234225195/1208680310703245/f</t>
  </si>
  <si>
    <t>2023_TM161_IPA_10</t>
  </si>
  <si>
    <t>https://app.asana.com/0/1182463234225195/1208761269297984/f</t>
  </si>
  <si>
    <t>2023_TM161_IPA_11</t>
  </si>
  <si>
    <t>https://app.asana.com/0/1182463234225195/1208777431099286/f</t>
  </si>
  <si>
    <t>2023_v05</t>
  </si>
  <si>
    <t>2023_v04</t>
  </si>
  <si>
    <t>Fixed bridge tolls</t>
  </si>
  <si>
    <t>Employment data scaled using EDD</t>
  </si>
  <si>
    <t>2023_TM161_IPA_12</t>
  </si>
  <si>
    <t>Updated tazdata/popsyn</t>
  </si>
  <si>
    <t>2023_v06</t>
  </si>
  <si>
    <t>https://app.asana.com/0/1182463234225195/1208802601965935/f</t>
  </si>
  <si>
    <t>2023_TM161_IPA_13</t>
  </si>
  <si>
    <t>2023_TM161_IPA_14</t>
  </si>
  <si>
    <t>Reduced employmend based on LODES</t>
  </si>
  <si>
    <t>https://app.asana.com/0/1182463234225195/1208852502622653/f</t>
  </si>
  <si>
    <t>2023_v07</t>
  </si>
  <si>
    <t>Remove WFH calibration constant</t>
  </si>
  <si>
    <t>BlueprintNetworks_v21\net_2023_Baseline</t>
  </si>
  <si>
    <t>https://app.asana.com/0/1182463234225195/1208877757357957/f</t>
  </si>
  <si>
    <t>2023_TM161_IPA_15</t>
  </si>
  <si>
    <t>2023_TM161_IPA_14_2015tazdata</t>
  </si>
  <si>
    <t>Use 2015 tazdata and popsyn</t>
  </si>
  <si>
    <t>Use simplified 2023 tazdata/popsyn process</t>
  </si>
  <si>
    <t>2023_v08</t>
  </si>
  <si>
    <t>2015_v01</t>
  </si>
  <si>
    <t>https://app.asana.com/0/1182463234225195/1208907921453458/f</t>
  </si>
  <si>
    <t>https://app.asana.com/0/1182463234225195/1208982882445216/f</t>
  </si>
  <si>
    <t>2023_TM161_IPA_16</t>
  </si>
  <si>
    <t>Small update to WFH model</t>
  </si>
  <si>
    <t>https://app.asana.com/0/1182463234225195/1208994947807134/f</t>
  </si>
  <si>
    <t>2023_TM161_IPA_17</t>
  </si>
  <si>
    <t>Reduced EMPRES (EMPRES_LODES_WEIGHT=1.0)</t>
  </si>
  <si>
    <t>2023_v09</t>
  </si>
  <si>
    <t>https://app.asana.com/0/1182463234225195/1209025940328122/f</t>
  </si>
  <si>
    <t>2023_TM161_IPA_18</t>
  </si>
  <si>
    <t>2023_TM161_IPA_19</t>
  </si>
  <si>
    <t>WFH_Calibration_eastbay_SF=1.5</t>
  </si>
  <si>
    <t>WFH_Calibration_eastbay_SF=10</t>
  </si>
  <si>
    <t>https://app.asana.com/0/1182463234225195/1209062443126521/f</t>
  </si>
  <si>
    <t>https://app.asana.com/0/1182463234225195/1209062575808283/f</t>
  </si>
  <si>
    <t>WFH_Calibration_eastbay_SF</t>
  </si>
  <si>
    <t>2023_TM161_IPA_20</t>
  </si>
  <si>
    <t>2023_v10</t>
  </si>
  <si>
    <t>WFH_Calibration_eastbay_SF=3.0, LODES_WEIGHT=0.5 EMPRES</t>
  </si>
  <si>
    <t>https://app.asana.com/0/1182463234225195/1209083666552449/f</t>
  </si>
  <si>
    <t>AOC update, WFH calib base</t>
  </si>
  <si>
    <t>https://app.asana.com/0/1204085012544660/1209083668073211/f</t>
  </si>
  <si>
    <t>2015_TM161_IPA_06</t>
  </si>
  <si>
    <t>2015_TM161_IPA_07</t>
  </si>
  <si>
    <t>Calibrate WFH</t>
  </si>
  <si>
    <t>https://app.asana.com/0/1182463234225195/1209085765475067/f</t>
  </si>
  <si>
    <t>2023_TM161_IPA_21</t>
  </si>
  <si>
    <t>Calibrated WFH_Calibration_constant</t>
  </si>
  <si>
    <t>https://app.asana.com/0/1182463234225195/1209085102649144/f</t>
  </si>
  <si>
    <t>2023_TM161_IPA_22</t>
  </si>
  <si>
    <t>Apply rail hesitance to work only</t>
  </si>
  <si>
    <t>https://app.asana.com/0/1182463234225195/1209109377073910/f</t>
  </si>
  <si>
    <t>2023_TM161_IPA_23</t>
  </si>
  <si>
    <t>https://app.asana.com/0/1182463234225195/1209109377073914/f</t>
  </si>
  <si>
    <t>2023_TM161_IPA_24</t>
  </si>
  <si>
    <t>Updated params</t>
  </si>
  <si>
    <t>https://app.asana.com/0/1182463234225195/1209112583570140/f</t>
  </si>
  <si>
    <t>2015_TM161_IPA_08</t>
  </si>
  <si>
    <t>Reduce WFH a bit</t>
  </si>
  <si>
    <t>2030_TM152_FBP_Plus_23</t>
  </si>
  <si>
    <t>RTP21 2030 run</t>
  </si>
  <si>
    <t>2040_TM152_FBP_Plus_24</t>
  </si>
  <si>
    <t>2025_TM152_FBP_NoProject_22</t>
  </si>
  <si>
    <t>2030_TM152_FBP_NoProject_22</t>
  </si>
  <si>
    <t>2040_TM152_FBP_NoProject_21</t>
  </si>
  <si>
    <t>BlueprintNetworks_v21\net_2015_Baseline</t>
  </si>
  <si>
    <t>https://app.asana.com/0/1182463234225195/1209146563140781/f</t>
  </si>
  <si>
    <t>2023_TM161_IPA_25</t>
  </si>
  <si>
    <t>Fixed bugs in tazdata/popsyn</t>
  </si>
  <si>
    <t>2023_v11</t>
  </si>
  <si>
    <t>https://app.asana.com/0/1182463234225195/1209239133642267/f</t>
  </si>
  <si>
    <t>2035_TM161_FBP_NoProject_01</t>
  </si>
  <si>
    <t>FBP</t>
  </si>
  <si>
    <t>M:\urban_modeling\baus\PBA50Plus\PBA50Plus_NoProject\PBA50Plus_NoProject_v34</t>
  </si>
  <si>
    <t>PBA50Plus_NoProject_v34</t>
  </si>
  <si>
    <t>BlueprintNetworks_v20\net_2035_Blueprint</t>
  </si>
  <si>
    <t>https://app.asana.com/0/1204085012544660/1209142883744054/f</t>
  </si>
  <si>
    <t>2035_TM161_FBP_Plan_01</t>
  </si>
  <si>
    <t>BlueprintNetworks_v21\net_2035_Baseline</t>
  </si>
  <si>
    <t>PBA50Plus_Final_Blueprint_v24</t>
  </si>
  <si>
    <t>https://app.asana.com/0/1204085012544660/1207250032780236/f</t>
  </si>
  <si>
    <t>Decrease wfh slightly</t>
  </si>
  <si>
    <t>2023_TM161_IPA_26</t>
  </si>
  <si>
    <t>https://app.asana.com/0/1182463234225195/1209258783477466/f</t>
  </si>
  <si>
    <t>2035_TM161_FBP_NoProject_02</t>
  </si>
  <si>
    <t>PBA50Plus_NoProject_v34d</t>
  </si>
  <si>
    <t>https://app.asana.com/0/1204085012544660/1209255883413280/f</t>
  </si>
  <si>
    <t>Decrease Gqpop, update params</t>
  </si>
  <si>
    <t>2023_v12</t>
  </si>
  <si>
    <t>https://app.asana.com/0/1182463234225195/1209286887916516/f</t>
  </si>
  <si>
    <t>2023_TM161_IPA_27</t>
  </si>
  <si>
    <t>2023_TM161_IPA_28</t>
  </si>
  <si>
    <t>Update params</t>
  </si>
  <si>
    <t>https://app.asana.com/0/1182463234225195/1209311688192636</t>
  </si>
  <si>
    <t>2035_TM161_FBP_NoProject_03</t>
  </si>
  <si>
    <t>Run with poverty-based fare discount</t>
  </si>
  <si>
    <t>2035_TM161_FBP_NoProject_03b</t>
  </si>
  <si>
    <t>Expand fare discount population</t>
  </si>
  <si>
    <t>https://app.asana.com/0/1204085012544660/1209293498296440</t>
  </si>
  <si>
    <t>https://app.asana.com/0/1204085012544660/1209323166608310</t>
  </si>
  <si>
    <t>2023_TM161_IPA_29</t>
  </si>
  <si>
    <t>https://app.asana.com/0/1204085012544660/1209311976601001</t>
  </si>
  <si>
    <t>Updated tazdata/popsyn, use poverty-based fare discount</t>
  </si>
  <si>
    <t>BlueprintNetworks_v22\net_2035_Blueprint</t>
  </si>
  <si>
    <t>2035_TM161_FBP_NoProject_04</t>
  </si>
  <si>
    <t>Update network (v22)</t>
  </si>
  <si>
    <t>BlueprintNetworks_v22\net_2035_Baseline</t>
  </si>
  <si>
    <t>2023_TM161_IPA_30</t>
  </si>
  <si>
    <t>Run with v1.6.1_povfare, update network</t>
  </si>
  <si>
    <t>BlueprintNetworks_v22\net_2023_Baseline</t>
  </si>
  <si>
    <t>https://app.asana.com/0/1204085012544660/1209347279371566</t>
  </si>
  <si>
    <t>https://app.asana.com/0/1204085012544660/1209347279371577</t>
  </si>
  <si>
    <t>2035_TM161_FBP_Plan_04</t>
  </si>
  <si>
    <t>https://app.asana.com/0/1204085012544660/1209277282041084</t>
  </si>
  <si>
    <t>PBA50Plus_Final_Blueprint_v24h</t>
  </si>
  <si>
    <t>BAUS_FBP_v02\2035</t>
  </si>
  <si>
    <t>BAUS_FBP_v01\2035</t>
  </si>
  <si>
    <t>BAUS_NoProject_v07\2035</t>
  </si>
  <si>
    <t>2035_TM161_IPA_01</t>
  </si>
  <si>
    <t>IPA with v1.6.1 develop</t>
  </si>
  <si>
    <t>https://app.asana.com/0/1204085012544660/1208480198631445</t>
  </si>
  <si>
    <t>2005_TM161_IPA_01</t>
  </si>
  <si>
    <t>TM161 2005 run</t>
  </si>
  <si>
    <t>https://app.asana.com/0/15119358130897/1209348812457178</t>
  </si>
  <si>
    <t>2050 DBP</t>
  </si>
  <si>
    <t>2035 DBP</t>
  </si>
  <si>
    <t>2035_TM161_FBP_Plan_05</t>
  </si>
  <si>
    <t>BlueprintNetworks_v23\net_2035_Blueprint</t>
  </si>
  <si>
    <t>https://app.asana.com/0/1204085012544660/1209416190199674</t>
  </si>
  <si>
    <t>2035_TM161_FBP_Plan_06</t>
  </si>
  <si>
    <t>BlueprintNetworks_v25\net_2035_Blueprint</t>
  </si>
  <si>
    <t>https://app.asana.com/0/1204085012544660/1209488081987942</t>
  </si>
  <si>
    <t>Added ALT etc. network projects</t>
  </si>
  <si>
    <t>More network projects; parking strategy; automated off-model prep step</t>
  </si>
  <si>
    <t>2035_TM161_FBP_NoProject_06</t>
  </si>
  <si>
    <t>Update network (v26)</t>
  </si>
  <si>
    <t>BlueprintNetworks_v26\net_2035_Baseline</t>
  </si>
  <si>
    <t>https://app.asana.com/0/15119358130897/1209561744981157</t>
  </si>
  <si>
    <t>https://app.asana.com/0/15119358130897/1209561744981153</t>
  </si>
  <si>
    <t>2035_TM161_FBP_Plan_07</t>
  </si>
  <si>
    <t>BlueprintNetworks_v26\net_2035_Blueprint</t>
  </si>
  <si>
    <t>2050_TM161_FBP_NoProject_01</t>
  </si>
  <si>
    <t>BAUS_NoProject_v07</t>
  </si>
  <si>
    <t>BlueprintNetworks_v26\net_2050_Baseline</t>
  </si>
  <si>
    <t>https://app.asana.com/0/15119358130897/1209561744981150</t>
  </si>
  <si>
    <t>2035 No Project</t>
  </si>
  <si>
    <t>2050_TM161_FBP_Plan_01</t>
  </si>
  <si>
    <t>BAUS_FBP_v02\2050</t>
  </si>
  <si>
    <t>BlueprintNetworks_v26\net_2050_Blueprint</t>
  </si>
  <si>
    <t>https://app.asana.com/0/15119358130897/1209561744981155</t>
  </si>
  <si>
    <t>2050 Plan</t>
  </si>
  <si>
    <t>2050 No Project</t>
  </si>
  <si>
    <t>2050_TM161_FBP_Plan_02</t>
  </si>
  <si>
    <t>Initial 2050 Plan Run with transit fixed</t>
  </si>
  <si>
    <t>https://app.asana.com/0/1204085012544660/1209589858764580</t>
  </si>
  <si>
    <t>baseline</t>
  </si>
  <si>
    <t>2035_TM161_FBP_Plan_08</t>
  </si>
  <si>
    <t>Update network (v27) and LU (BAUS_FBP_v03)</t>
  </si>
  <si>
    <t>BAUS_FBP_v03\2035</t>
  </si>
  <si>
    <t>PBA50Plus_Final_Blueprint_v39</t>
  </si>
  <si>
    <t>BlueprintNetworks_v27\net_2035_Blueprint</t>
  </si>
  <si>
    <t>https://app.asana.com/1/11860278793487/project/1204085012544660/task/1209660380187449</t>
  </si>
  <si>
    <t>2050_TM161_FBP_Plan_03</t>
  </si>
  <si>
    <t>BAUS_FBP_v03\2050</t>
  </si>
  <si>
    <t>BlueprintNetworks_v27\net_2050_Blueprint</t>
  </si>
  <si>
    <t>https://app.asana.com/1/11860278793487/project/1204085012544660/task/1209660380187451</t>
  </si>
  <si>
    <t>2035_TM161_DBP_Plan_08b</t>
  </si>
  <si>
    <t>DBP run with TM1.6.1</t>
  </si>
  <si>
    <t>https://app.asana.com/0/1204085012544660/1209153461832478/f</t>
  </si>
  <si>
    <t>2035 DBP TM1.6.1</t>
  </si>
  <si>
    <t>2035_TM161_FBP_Plan_09</t>
  </si>
  <si>
    <t>Update network (v28) and LU (BAUS_FBP_v04)</t>
  </si>
  <si>
    <t>BAUS_FBP_v04\2035</t>
  </si>
  <si>
    <t>PBA50Plus_Final_Blueprint_v41</t>
  </si>
  <si>
    <t>BlueprintNetworks_v28\net_2035_Blueprint</t>
  </si>
  <si>
    <t>https://app.asana.com/0/15119358130897/1209692438624869/f</t>
  </si>
  <si>
    <t>2050_TM161_FBP_Plan_04</t>
  </si>
  <si>
    <t>BAUS_FBP_v04\2050</t>
  </si>
  <si>
    <t>BlueprintNetworks_v28\net_2050_Blueprint</t>
  </si>
  <si>
    <t>https://app.asana.com/0/15119358130897/1209692438624871/f</t>
  </si>
  <si>
    <t>IP</t>
  </si>
  <si>
    <t>2023_TM161_IPA_31</t>
  </si>
  <si>
    <t>Run with network v29</t>
  </si>
  <si>
    <t>BlueprintNetworks_v29\net_2023_Baseline</t>
  </si>
  <si>
    <t>https://app.asana.com/0/1204085012544660/1209719572637223/f</t>
  </si>
  <si>
    <t>2035_TM161_FBP_Plan_10</t>
  </si>
  <si>
    <t>Update network (v29)</t>
  </si>
  <si>
    <t>BlueprintNetworks_v29\net_2035_Blueprint</t>
  </si>
  <si>
    <t>https://app.asana.com/0/1204085012544660/1209742972816410/f</t>
  </si>
  <si>
    <t>2050_TM161_FBP_Plan_05</t>
  </si>
  <si>
    <t>BlueprintNetworks_v29\net_2050_Blueprint</t>
  </si>
  <si>
    <t>BlueprintNetworks_64\net_2050_Blueprint</t>
  </si>
  <si>
    <t>https://app.asana.com/0/1204085012544660/1209742972816413/f</t>
  </si>
  <si>
    <t>2035_TM161_FBP_NoProject_07</t>
  </si>
  <si>
    <t>Update network (v30) and LU (BAUS_NoProject_v08)</t>
  </si>
  <si>
    <t>BAUS_NoProject_v08\2035</t>
  </si>
  <si>
    <t>PBA50Plus_NoProject_v35b</t>
  </si>
  <si>
    <t>BlueprintNetworks_v30\net_2035_Baseline</t>
  </si>
  <si>
    <t>https://app.asana.com/0/1204085012544660/1209830500940701/f</t>
  </si>
  <si>
    <t>2050_TM161_FBP_NoProject_02</t>
  </si>
  <si>
    <t>BAUS_NoProject_v08</t>
  </si>
  <si>
    <t>BlueprintNetworks_v30\net_2050_Baseline</t>
  </si>
  <si>
    <t>https://app.asana.com/0/1204085012544660/1209830500940705/f</t>
  </si>
  <si>
    <t>2035_TM161_FBP_Plan_11</t>
  </si>
  <si>
    <t>Update network (v30) and LU (BAUS_FBP_v05)</t>
  </si>
  <si>
    <t>BAUS_FBP_v05\2035</t>
  </si>
  <si>
    <t>PBA50Plus_Final_Blueprint_v55b</t>
  </si>
  <si>
    <t>BlueprintNetworks_v30\net_2035_Blueprint</t>
  </si>
  <si>
    <t>https://app.asana.com/0/1204085012544660/1209830512018440/f</t>
  </si>
  <si>
    <t>2050_TM161_FBP_Plan_06</t>
  </si>
  <si>
    <t>BAUS_FBP_v05\2050</t>
  </si>
  <si>
    <t>BlueprintNetworks_v30\net_2050_Blueprint</t>
  </si>
  <si>
    <t>2023_TM161_IPA_32</t>
  </si>
  <si>
    <t>Update network (v30) and increase transit hesitance</t>
  </si>
  <si>
    <t>BlueprintNetworks_30\net_2023_Baseline</t>
  </si>
  <si>
    <t>https://app.asana.com/0/1204085012544660/1209905514877208/f</t>
  </si>
  <si>
    <t>2015_TM161_IPA_09</t>
  </si>
  <si>
    <t>Update network (v30)</t>
  </si>
  <si>
    <t>BlueprintNetworks_v30\net_2015_Baseline</t>
  </si>
  <si>
    <t>https://app.asana.com/0/1204085012544660/1209905514877212/f</t>
  </si>
  <si>
    <t>2023_TM161_IPA_33</t>
  </si>
  <si>
    <t>Increase transit hesitance</t>
  </si>
  <si>
    <t>2015_v02</t>
  </si>
  <si>
    <t>https://app.asana.com/0/1204085012544660/1209905920344155/f</t>
  </si>
  <si>
    <t>target</t>
  </si>
  <si>
    <t>LINEST</t>
  </si>
  <si>
    <t>Express &amp; Local Boards Diff</t>
  </si>
  <si>
    <t>run</t>
  </si>
  <si>
    <t>2023_TM161_IPA_34</t>
  </si>
  <si>
    <t>https://app.asana.com/1/11860278793487/project/1204085012544660/task/1209917936709266?focus=true</t>
  </si>
  <si>
    <t>Increase rail hesitance</t>
  </si>
  <si>
    <t>2023_TM161_IPA_35</t>
  </si>
  <si>
    <t>Heavy Rail Boards Diff</t>
  </si>
  <si>
    <t>https://app.asana.com/1/11860278793487/project/1204085012544660/task/1209940594375530?focus=true</t>
  </si>
  <si>
    <t>2023_TM161_IPA_35_T4_01</t>
  </si>
  <si>
    <t>T4 test 1</t>
  </si>
  <si>
    <t>https://app.asana.com/1/11860278793487/project/1204085012544660/task/1209965473746709?focus=true</t>
  </si>
  <si>
    <t>WorkTransitHesitance</t>
  </si>
  <si>
    <t>BARTTransitHesitance</t>
  </si>
  <si>
    <t>T4 recovery</t>
  </si>
  <si>
    <t>2023_TM161_IPA_35_T4_02</t>
  </si>
  <si>
    <t>Estimating Work_Transit_Hesitance</t>
  </si>
  <si>
    <t>Work Transit Hesitance</t>
  </si>
  <si>
    <t>Estimating Rail_Transit_Hesitance</t>
  </si>
  <si>
    <t>Rail Transit Hesitance</t>
  </si>
  <si>
    <t>Estimating Transit Hesitance for T4</t>
  </si>
  <si>
    <t>T4 test 2</t>
  </si>
  <si>
    <t>https://app.asana.com/1/11860278793487/project/1204085012544660/task/1209969021356548?focus=true</t>
  </si>
  <si>
    <t>2023_TM161_IPA_35_T4_03</t>
  </si>
  <si>
    <t>T4 test 3</t>
  </si>
  <si>
    <t>https://app.asana.com/1/11860278793487/project/1204085012544660/task/1209980714098256?focus=true</t>
  </si>
  <si>
    <t>2023_TM161_IPA_35_T4_04</t>
  </si>
  <si>
    <t>https://app.asana.com/1/11860278793487/project/1205004773899709/task/1208564098970875</t>
  </si>
  <si>
    <t>T4 test 4</t>
  </si>
  <si>
    <t>https://app.asana.com/1/11860278793487/project/1204085012544660/task/1209980714098259?focus=true</t>
  </si>
  <si>
    <t>Express &amp; Local Boards Diff from 2023_TM161_IPA_35</t>
  </si>
  <si>
    <t>Heavy Rail Boards Diff from 2023_TM161_IPA_35</t>
  </si>
  <si>
    <t>2023_TM161_IPA_35_T4_05</t>
  </si>
  <si>
    <t>https://app.asana.com/1/11860278793487/project/1204085012544660/task/1210008080782618?focus=true</t>
  </si>
  <si>
    <t>T4 test 5</t>
  </si>
  <si>
    <t>2023_TM161_IPA_35_T4_06</t>
  </si>
  <si>
    <t>T4 test 6</t>
  </si>
  <si>
    <t>https://app.asana.com/1/11860278793487/project/15119358130897/task/1210016563228518?focus=true</t>
  </si>
  <si>
    <t>2023_TM161_IPA_35_T4_07</t>
  </si>
  <si>
    <t>T4 test 7</t>
  </si>
  <si>
    <t>https://app.asana.com/1/11860278793487/project/1204085012544660/task/1210016563228527?focus=true</t>
  </si>
  <si>
    <t>2035_TM161_FBP_NoProject_13</t>
  </si>
  <si>
    <t>https://app.asana.com/1/11860278793487/project/1204085012544660/task/1209981411746327?focus=true</t>
  </si>
  <si>
    <t>BlueprintNetworks_v32\net_2035_Baseline</t>
  </si>
  <si>
    <t>PBA50Plus_NoProject_v35d</t>
  </si>
  <si>
    <t>BAUS_NoProject_v09\2035</t>
  </si>
  <si>
    <t>Update network (v32) and LU (BAUS_NoProject_v09)</t>
  </si>
  <si>
    <t>2035_TM161_FBP_Plan_13</t>
  </si>
  <si>
    <t>Update network (v32)</t>
  </si>
  <si>
    <t>BlueprintNetworks_v32\net_2035_Blueprint</t>
  </si>
  <si>
    <t>https://app.asana.com/1/11860278793487/project/1204085012544660/task/1209943766583271?focus=true</t>
  </si>
  <si>
    <t>2050_TM161_FBP_NoProject_13</t>
  </si>
  <si>
    <t>2050_TM161_FBP_NoProject_14</t>
  </si>
  <si>
    <t>2050_TM161_FBP_Plan_13</t>
  </si>
  <si>
    <t>2050_TM161_FBP_Plan_14</t>
  </si>
  <si>
    <t>Update network (v33) and LU (BAUS_FBP_v07)</t>
  </si>
  <si>
    <t>Update AOC</t>
  </si>
  <si>
    <t>BAUS_FBP_v07\2050</t>
  </si>
  <si>
    <t>BlueprintNetworks_v33\net_2050_Blueprint</t>
  </si>
  <si>
    <t>https://app.asana.com/1/11860278793487/project/1203667963226596/task/1210052190647443?focus=true</t>
  </si>
  <si>
    <t>https://app.asana.com/1/11860278793487/project/1204085012544660/task/1210085747520415?focus=true</t>
  </si>
  <si>
    <t>https://app.asana.com/1/11860278793487/project/1203667963226596/task/1210041394107182?focus=true</t>
  </si>
  <si>
    <t>BlueprintNetworks_v33\net_2050_Baseline</t>
  </si>
  <si>
    <t>BAUS_NoProject_v09\2050</t>
  </si>
  <si>
    <t>Update network (v33) and LU (BAUS_NoProject_v09)</t>
  </si>
  <si>
    <t>https://app.asana.com/1/11860278793487/project/1204085012544660/task/1210085367460375?focus=true</t>
  </si>
  <si>
    <t>2035_TM161_FBP_NoProject_15</t>
  </si>
  <si>
    <t>Update network (v34) and LU (BAUS_NoProject_v10)</t>
  </si>
  <si>
    <t>BAUS_NoProject_v10\2035</t>
  </si>
  <si>
    <t>PBA50Plus_NoProject_v38</t>
  </si>
  <si>
    <t>BlueprintNetworks_v34\net_2035_Baseline</t>
  </si>
  <si>
    <t>https://app.asana.com/1/11860278793487/project/1204085012544660/task/1210090025914667?focus=true</t>
  </si>
  <si>
    <t>2035_TM161_FBP_Plan_15</t>
  </si>
  <si>
    <t>Update network (v34) and LU (BAUS_FBP_v08)</t>
  </si>
  <si>
    <t>BAUS_FBP_v08\2035</t>
  </si>
  <si>
    <t>PBA50Plus_Final_Blueprint_v65</t>
  </si>
  <si>
    <t>BlueprintNetworks_v34\net_2035_Blueprint</t>
  </si>
  <si>
    <t>https://app.asana.com/1/11860278793487/project/1204085012544660/task/1210090167091971?focus=true</t>
  </si>
  <si>
    <t>2050_TM161_FBP_NoProject_15</t>
  </si>
  <si>
    <t>BAUS_NoProject_v10\2050</t>
  </si>
  <si>
    <t>BlueprintNetworks_v34\net_2050_Baseline</t>
  </si>
  <si>
    <t>https://app.asana.com/1/11860278793487/project/1204085012544660/task/1210090025914670?focus=true</t>
  </si>
  <si>
    <t>2050_TM161_FBP_Plan_15</t>
  </si>
  <si>
    <t>BAUS_FBP_v08\2050</t>
  </si>
  <si>
    <t>BlueprintNetworks_v34\net_2050_Blueprint</t>
  </si>
  <si>
    <t>https://app.asana.com/1/11860278793487/project/1204085012544660/task/1210090167091967?focus=true</t>
  </si>
  <si>
    <t>2035 No Project Example</t>
  </si>
  <si>
    <t>2035_TM161_FBP_Plan_16</t>
  </si>
  <si>
    <t>Update network (v35)</t>
  </si>
  <si>
    <t>BlueprintNetworks_v35\net_2035_Blueprint</t>
  </si>
  <si>
    <t>https://app.asana.com/1/11860278793487/project/1204085012544660/task/1210118366389838?focus=true</t>
  </si>
  <si>
    <t>2050_TM161_FBP_Plan_16</t>
  </si>
  <si>
    <t>BlueprintNetworks_v35\net_2050_Blueprint</t>
  </si>
  <si>
    <t>https://app.asana.com/1/11860278793487/project/1204085012544660/task/1210118366389840?focus=true</t>
  </si>
  <si>
    <t>2035_TM161_FBP_NoProject_16</t>
  </si>
  <si>
    <t>BlueprintNetworks_v35\net_2035_Baseline</t>
  </si>
  <si>
    <t>https://app.asana.com/1/11860278793487/project/1204085012544660/task/1210146297367546?focus=true</t>
  </si>
  <si>
    <t>2050_TM161_FBP_NoProject_16</t>
  </si>
  <si>
    <t>https://app.asana.com/1/11860278793487/project/1204085012544660/task/1210150835883197?focus=true</t>
  </si>
  <si>
    <t>BlueprintNetworks_v35\net_2050_Baseline</t>
  </si>
  <si>
    <t>2050_TM161_EIR_Alt1_01</t>
  </si>
  <si>
    <t>https://app.asana.com/1/11860278793487/project/1204085012544660/task/1210175964183992?focus=true</t>
  </si>
  <si>
    <t>2050 EIR Alt1</t>
  </si>
  <si>
    <t>2035_TM161_EIR_Alt1_01</t>
  </si>
  <si>
    <t>EIR</t>
  </si>
  <si>
    <t>EIR Alt 1 initial run</t>
  </si>
  <si>
    <t>https://app.asana.com/1/11860278793487/project/1204085012544660/task/1210175964183990?focus=true</t>
  </si>
  <si>
    <t>2035 EIR Alt1</t>
  </si>
  <si>
    <t>2050_TM161_FBP_NoProject_17</t>
  </si>
  <si>
    <t>Fix missing low-income transit discount</t>
  </si>
  <si>
    <t>https://app.asana.com/1/11860278793487/project/1204085012544660/task/1210240218133807?focus=true</t>
  </si>
  <si>
    <t>2035_TM161_EIR_Alt1_02</t>
  </si>
  <si>
    <t>2035_TM161_EIR_Alt2_01</t>
  </si>
  <si>
    <t>Scale transit based on ridership</t>
  </si>
  <si>
    <t>EIR Alt1 initial run</t>
  </si>
  <si>
    <t>EIR Alt2  (land use variant) initial run</t>
  </si>
  <si>
    <t>BAUS_EIR_Alt2_v01\2035</t>
  </si>
  <si>
    <t>PBA50Plus_EIR_Alt2_Var4_v1</t>
  </si>
  <si>
    <t>BlueprintNetworks_v36\net_2050_Alt1</t>
  </si>
  <si>
    <t>https://app.asana.com/1/11860278793487/project/1204085012544660/task/1210228293179333?focus=true</t>
  </si>
  <si>
    <t>https://app.asana.com/1/11860278793487/project/1204085012544660/task/1210265619020822?focus=true</t>
  </si>
  <si>
    <t>2035 EIR Alt2</t>
  </si>
  <si>
    <t>2050_TM161_EIR_Alt1_02</t>
  </si>
  <si>
    <t>2050_TM161_EIR_Alt2_01</t>
  </si>
  <si>
    <t>BAUS_EIR_Alt2_v01\2050</t>
  </si>
  <si>
    <t>BlueprintNetworks_v36\net_2035_Alt1</t>
  </si>
  <si>
    <t>https://app.asana.com/1/11860278793487/project/1204085012544660/task/1210265619020826?focus=true</t>
  </si>
  <si>
    <t>https://app.asana.com/1/11860278793487/project/1204085012544660/task/1210228293179341?focus=true</t>
  </si>
  <si>
    <t>2050 EIR Alt2</t>
  </si>
  <si>
    <t>2030_TM161_FBP_Plan_01</t>
  </si>
  <si>
    <t>RTP25 2030 run</t>
  </si>
  <si>
    <t>BAUS_FBP_v08\2030</t>
  </si>
  <si>
    <t>PBA50Plus_Final_Blueprint_v65*</t>
  </si>
  <si>
    <t>BlueprintNetworks_v35\net_2030_Blueprint</t>
  </si>
  <si>
    <t>https://app.asana.com/1/11860278793487/project/15119358130897/task/1210267093141527?focus=true</t>
  </si>
  <si>
    <t>2030 Plan</t>
  </si>
  <si>
    <t>2040_TM161_FBP_Plan_01</t>
  </si>
  <si>
    <t>RTP25 2040 run</t>
  </si>
  <si>
    <t>BAUS_FBP_v08\2040</t>
  </si>
  <si>
    <t>BlueprintNetworks_v35\net_2040_Blueprint</t>
  </si>
  <si>
    <t>https://app.asana.com/1/11860278793487/project/1204085012544660/task/1210267093141529?focus=true</t>
  </si>
  <si>
    <t>2040 Plan</t>
  </si>
  <si>
    <t>2023_TM161_IPA_35_plus5pctWFH_01</t>
  </si>
  <si>
    <t>sensitivity</t>
  </si>
  <si>
    <t>2023_TM161_IPA_35_minus5pctWFH_01</t>
  </si>
  <si>
    <t>WFH plus 5pct 01</t>
  </si>
  <si>
    <t>WFH minus 5pct 01</t>
  </si>
  <si>
    <t>https://app.asana.com/1/11860278793487/project/1204085012544660/task/1210514148458442?focus=true</t>
  </si>
  <si>
    <t>https://app.asana.com/1/11860278793487/project/1204085012544660/task/1210516767090270?focus=true</t>
  </si>
  <si>
    <t>RTP_2025Sens</t>
  </si>
  <si>
    <t>Estimating WFH Constance for Sensitivity Test</t>
  </si>
  <si>
    <t>https://app.asana.com/1/11860278793487/task/1206605326484504?focus=true</t>
  </si>
  <si>
    <t>WFH calibration constant</t>
  </si>
  <si>
    <t>Share of WFH &amp; Does not make work tour (Workers Working Universe)</t>
  </si>
  <si>
    <t>2023_TM161_IPA_35_minus5pctWFH_02</t>
  </si>
  <si>
    <t>2023_TM161_IPA_35_plus5pctWFH_02</t>
  </si>
  <si>
    <t>2023_TM161_IPA_35_minus10pctWFH_01</t>
  </si>
  <si>
    <t>2023_TM161_IPA_35_plus10pctWFH_01</t>
  </si>
  <si>
    <t>2023 Target</t>
  </si>
  <si>
    <t>+5pct target</t>
  </si>
  <si>
    <t>-5pct target</t>
  </si>
  <si>
    <t>WFH plus 5pct 02</t>
  </si>
  <si>
    <t>WFH minus 5pct 02</t>
  </si>
  <si>
    <t>https://app.asana.com/1/11860278793487/project/1204085012544660/task/1210536623266908?focus=true</t>
  </si>
  <si>
    <t>https://app.asana.com/1/11860278793487/project/1204085012544660/task/1210536736342238?focus=true</t>
  </si>
  <si>
    <t>2023_TM161_IPA_35_plusHalfTransitRecovery_01</t>
  </si>
  <si>
    <t>2023_TM161_IPA_35_minusHalfTransitRecovery_01</t>
  </si>
  <si>
    <t>https://app.asana.com/1/11860278793487/project/1204085012544660/task/1210562908503078?focus=true</t>
  </si>
  <si>
    <t>https://app.asana.com/1/11860278793487/project/1204085012544660/task/1210563605255027?focus=true</t>
  </si>
  <si>
    <t>TransitRecovery plus half 01</t>
  </si>
  <si>
    <t>TransitRecovery minus half 01</t>
  </si>
  <si>
    <t>Estimating Transit Hesitance Constance for Sensitivity Test</t>
  </si>
  <si>
    <t>2023_TM161_IPA_35_minusHalfRecovery_01</t>
  </si>
  <si>
    <t>(TBD)</t>
  </si>
  <si>
    <t>T4 recovery Target</t>
  </si>
  <si>
    <t>2023_TM161_IPA_35_plusHalfRecovery_01</t>
  </si>
  <si>
    <t>+ half T4 recovery target</t>
  </si>
  <si>
    <t>- half T4 recovery Target</t>
  </si>
  <si>
    <t>WFH</t>
  </si>
  <si>
    <t>TransitHesitance</t>
  </si>
  <si>
    <t>https://app.asana.com/1/11860278793487/project/1204085012544660/task/1206605326484505?focus=true</t>
  </si>
  <si>
    <t>2023_TM161_IPA_35_plusHalfRecovery_02</t>
  </si>
  <si>
    <t>2023_TM161_IPA_35_plusHalfRecovery_03</t>
  </si>
  <si>
    <t>2023_TM161_IPA_35_plusHalfTransitRecovery_02</t>
  </si>
  <si>
    <t>TransitRecovery plus half 02</t>
  </si>
  <si>
    <t>https://app.asana.com/1/11860278793487/project/1204085012544660/task/1210575927523473?focus=true</t>
  </si>
  <si>
    <t>2023_TM161_IPA_35_plusHalfTransitRecovery_03</t>
  </si>
  <si>
    <t>https://app.asana.com/1/11860278793487/project/1159042832247728/task/1210585462270301?focus=true</t>
  </si>
  <si>
    <t>TransitRecovery plus half 03</t>
  </si>
  <si>
    <t>2023_TM161_IPA_35_plusHalfRecovery_04</t>
  </si>
  <si>
    <t>2023_TM161_IPA_35_plusHalfTransitRecovery_04</t>
  </si>
  <si>
    <t>TransitRecovery plus half 04</t>
  </si>
  <si>
    <t>https://app.asana.com/1/11860278793487/project/1159042832247728/task/1210594974596528?focus=true</t>
  </si>
  <si>
    <t>WFH +5 pct</t>
  </si>
  <si>
    <t>WFH -5 pct</t>
  </si>
  <si>
    <t>Transit Recovery -50%</t>
  </si>
  <si>
    <t>Transit Recovery +50%</t>
  </si>
  <si>
    <t>Check output against target at: https://10ay.online.tableau.com/#/site/metropolitantransportationcommission/views/across_RTP2025_SENS_tm161_transit_summary_17501836903550/SummarybyMode</t>
  </si>
  <si>
    <t>Check output against target at: https://10ay.online.tableau.com/#/site/metropolitantransportationcommission/views/across_RTP2025_SENS_JourneyToWorkModes_TM161/WFHShareDashboard?:iid=1</t>
  </si>
  <si>
    <t>Class 1 Diff 10 AddLane 1 SF MSA</t>
  </si>
  <si>
    <t>https://app.asana.com/1/11860278793487/project/1204085012544660/task/1210736608345448?focus=true</t>
  </si>
  <si>
    <t>https://app.asana.com/1/11860278793487/project/1204085012544660/task/1210736608345445?focus=true</t>
  </si>
  <si>
    <t>https://app.asana.com/1/11860278793487/project/1204085012544660/task/1210732796243972?focus=true</t>
  </si>
  <si>
    <t>2023_TM161_IPA_35_Class1_Diff10_AddLane1_SFOF</t>
  </si>
  <si>
    <t>2023_TM161_IPA_35_Class1_Diff10_AddLane1_SJSSC</t>
  </si>
  <si>
    <t>2023_TM161_IPA_35_Class2_Diff10_AddLane1_SM</t>
  </si>
  <si>
    <t>2023_TM161_IPA_35_Class2_Diff15_AddLane1_SC</t>
  </si>
  <si>
    <t>https://app.asana.com/1/11860278793487/project/1204085012544660/task/1210768448127898?focus=true</t>
  </si>
  <si>
    <t>Class1_Diff10_AddLane1_SFOF</t>
  </si>
  <si>
    <t>Class1_Diff10_AddLane1_SJSSC</t>
  </si>
  <si>
    <t>Class2_Diff10_AddLane1_SM</t>
  </si>
  <si>
    <t>Class2_Diff15_AddLane1_SC</t>
  </si>
  <si>
    <t>BlueprintNetworks_v37_for_SENS\2023_Class2_Diff15_AddLane1_SC</t>
  </si>
  <si>
    <t>BlueprintNetworks_v37_for_SENS\2023_Class2_Diff10_AddLane1_SM</t>
  </si>
  <si>
    <t>BlueprintNetworks_v37_for_SENS\2023_Class1_Diff10_AddLane1_SJSSC</t>
  </si>
  <si>
    <t>BlueprintNetworks_v37_for_SENS\2023_Class1_Diff10_AddLane1_SFOF</t>
  </si>
  <si>
    <t>Roadway capacity increase</t>
  </si>
  <si>
    <t>Class 1 Diff 10 AddLane 1 SJ MSA</t>
  </si>
  <si>
    <t>Class 2 Diff 10 AddLane 1 SM County</t>
  </si>
  <si>
    <t>Class 2 Diff 15 AddLane 1 SC County</t>
  </si>
  <si>
    <t>2035_TM161_SENS_3A_01</t>
  </si>
  <si>
    <t>SENS_v3A\2035</t>
  </si>
  <si>
    <t>PBA50Plus_sensitivity_V3A</t>
  </si>
  <si>
    <t>https://app.asana.com/1/11860278793487/task/1210860187536556?focus=true</t>
  </si>
  <si>
    <t>2035_TM161_SENS_3A_P01_Diff20_AddLane1_ALA</t>
  </si>
  <si>
    <t>Diff20_AddLane1_ALA</t>
  </si>
  <si>
    <t>2035_TM161_SENS_3A_P02_Diff20_AddLane1_CC</t>
  </si>
  <si>
    <t>Diff20_AddLane1_CC</t>
  </si>
  <si>
    <t>BlueprintNetworks_v37_for_SENS\2035_20Diff_1LaneAdd_ALA</t>
  </si>
  <si>
    <t>BlueprintNetworks_v37_for_SENS\2035_20Diff_1LaneAdd_CC</t>
  </si>
  <si>
    <t>https://app.asana.com/1/11860278793487/project/1159042832247728/task/1210969353696846?focus=true</t>
  </si>
  <si>
    <t>https://app.asana.com/1/11860278793487/project/1159042832247728/task/1210969353696847?focus=true</t>
  </si>
  <si>
    <t>2035_TM161_SENS_3A_P03</t>
  </si>
  <si>
    <t>2035_TM161_SENS_3A_P04</t>
  </si>
  <si>
    <t>2035_TM161_SENS_3A_P05</t>
  </si>
  <si>
    <t>2035_TM161_SENS_3A_P06</t>
  </si>
  <si>
    <t>eastCC_Oakland_2LaneAdd</t>
  </si>
  <si>
    <t>eastALACC_Oakland_2LaneAdd</t>
  </si>
  <si>
    <t>eastALA_SMSCL_2LaneAdd</t>
  </si>
  <si>
    <t>Vallejo_SF_2LaneAdd</t>
  </si>
  <si>
    <t>BlueprintNetworks_v37_for_SENS\2035_Vallejo_SF_2LaneAdd</t>
  </si>
  <si>
    <t>BlueprintNetworks_v37_for_SENS\2035_eastALA_SMSCL_2LaneAdd</t>
  </si>
  <si>
    <t>BlueprintNetworks_v37_for_SENS\2035_eastALACC_Oakland_2LaneAdd</t>
  </si>
  <si>
    <t>BlueprintNetworks_v37_for_SENS\2035_eastCC_Oakland_2LaneAdd</t>
  </si>
  <si>
    <t>https://app.asana.com/1/11860278793487/project/1203667963226602/task/1210969353696848?focus=true</t>
  </si>
  <si>
    <t>https://app.asana.com/1/11860278793487/project/1203667963226602/task/1211001461703560?focus=true</t>
  </si>
  <si>
    <t>https://app.asana.com/1/11860278793487/project/1203667963226602/task/1211001461703562?focus=true</t>
  </si>
  <si>
    <t>https://app.asana.com/1/11860278793487/project/1203667963226602/task/1211001461703565?focus=true</t>
  </si>
  <si>
    <t>sensitivity_longRunInducedDemand</t>
  </si>
  <si>
    <t>2035_TM161_SENS_3A_P07</t>
  </si>
  <si>
    <t>BlueprintNetworks_v37_for_SENS\2035_v7_eastCC_Oakland_34LaneAdd</t>
  </si>
  <si>
    <t>https://app.asana.com/1/11860278793487/project/1159042832247728/task/1211048115653592?focus=true</t>
  </si>
  <si>
    <t>2035_TM161_SENS_3A_P08</t>
  </si>
  <si>
    <t>BlueprintNetworks_v37_for_SENS\2035_v8_eastALACC_Oakland_34LaneAdd</t>
  </si>
  <si>
    <t>https://app.asana.com/1/11860278793487/project/1159042832247728/task/1211048115653595?focus=true</t>
  </si>
  <si>
    <t>2035_TM161_SENS_3A_P09</t>
  </si>
  <si>
    <t>BlueprintNetworks_v37_for_SENS\2035_v9_ALA_SMSCL_34LaneAdd</t>
  </si>
  <si>
    <t>https://app.asana.com/1/11860278793487/project/310827677834656/task/1210920858879536?focus=true</t>
  </si>
  <si>
    <t>2035_TM161_SENS_3A_P10</t>
  </si>
  <si>
    <t>BlueprintNetworks_v37_for_SENS\2035_v10_Vallejo_SF_34LaneAdd</t>
  </si>
  <si>
    <t>https://app.asana.com/1/11860278793487/project/1159042832247728/task/1211048115653601?focus=true</t>
  </si>
  <si>
    <t>2050_TM161_SENS_3A_01</t>
  </si>
  <si>
    <t>https://app.asana.com/1/11860278793487/task/1211096749996011?focus=true</t>
  </si>
  <si>
    <t>SENS_v3A\2050</t>
  </si>
  <si>
    <t>2050_TM161_SENS_3A_P07</t>
  </si>
  <si>
    <t>2050_TM161_SENS_3A_P08</t>
  </si>
  <si>
    <t>2050_TM161_SENS_3A_P09</t>
  </si>
  <si>
    <t>2050_TM161_SENS_3A_P10</t>
  </si>
  <si>
    <t>BlueprintNetworks_v37_for_SENS\2050_v7_eastCC_Oakland_34LaneAdd</t>
  </si>
  <si>
    <t>https://app.asana.com/1/11860278793487/project/1203667963226602/task/1211118174941124?focus=true</t>
  </si>
  <si>
    <t>https://app.asana.com/1/11860278793487/project/1203667963226602/task/1211118174941128?focus=true</t>
  </si>
  <si>
    <t>BlueprintNetworks_v37_for_SENS\2050_v8_eastALACC_Oakland_34LaneAdd</t>
  </si>
  <si>
    <t>https://app.asana.com/1/11860278793487/project/1203667963226602/task/1211118598663388?focus=true</t>
  </si>
  <si>
    <t>BlueprintNetworks_v37_for_SENS\2050_v9_ALA_SMSCL_34LaneAdd</t>
  </si>
  <si>
    <t>https://app.asana.com/1/11860278793487/project/1203667963226602/task/1211118602655911?focus=true</t>
  </si>
  <si>
    <t>BlueprintNetworks_v37_for_SENS\2050_v10_Vallejo_SF_34LaneAdd</t>
  </si>
  <si>
    <t>2035_TM161_FBP_LowVMTStress_1_01</t>
  </si>
  <si>
    <t>Focused Growth in SF District 1 and 3</t>
  </si>
  <si>
    <t>LowVMTStress_v1</t>
  </si>
  <si>
    <t>VMT</t>
  </si>
  <si>
    <t>SF Growth</t>
  </si>
  <si>
    <t>RTP_2025VMT</t>
  </si>
  <si>
    <t>https://app.asana.com/1/11860278793487/project/310827677834656/task/1211087691897474?focus=true</t>
  </si>
  <si>
    <t>2035_TM161_SENS_3A_02</t>
  </si>
  <si>
    <t>https://app.asana.com/1/11860278793487/project/1203667963226602/task/1211145697689809?focus=true</t>
  </si>
  <si>
    <t>NoProject_network_02</t>
  </si>
  <si>
    <t>PBA50Plus_sensitivity_V3A_NPv1</t>
  </si>
  <si>
    <t>SENS_v3A_NPv1\2035</t>
  </si>
  <si>
    <t>2035_TM161_SENS_3A_02_P07</t>
  </si>
  <si>
    <t>SENS_v3A_P07v1\2035</t>
  </si>
  <si>
    <t>PBA50Plus_sensitivity_V3A_P07v1</t>
  </si>
  <si>
    <t>https://app.asana.com/1/11860278793487/project/1203667963226602/task/1211153539959886?focus=true</t>
  </si>
  <si>
    <t>NoProject_network_01</t>
  </si>
  <si>
    <t>eastCC_Oakland_34LaneAdd_01</t>
  </si>
  <si>
    <t>eastALACC_Oakland_34LaneAdd_01</t>
  </si>
  <si>
    <t>ALA_SMSCL_34LaneAdd_01</t>
  </si>
  <si>
    <t>Vallejo_SF_34LaneAdd_01</t>
  </si>
  <si>
    <t>eastCC_Oakland_34LaneAdd_02</t>
  </si>
  <si>
    <t>2035_TM161_SENS_spacePerWorker_v1</t>
  </si>
  <si>
    <t>SENS_spacePerWorker_v65_exog_p92\2035</t>
  </si>
  <si>
    <t>PBA50Plus_Final_Blueprint_v65_exog_p92</t>
  </si>
  <si>
    <t>https://app.asana.com/1/11860278793487/project/1203667963226602/task/1210745925940874?focus=true</t>
  </si>
  <si>
    <t>Space per worker exogenous</t>
  </si>
  <si>
    <t>8% reduction in space per worker</t>
  </si>
  <si>
    <t>2035_TM161_SENS_3A_02_P08</t>
  </si>
  <si>
    <t>2035_TM161_SENS_3A_02_P09</t>
  </si>
  <si>
    <t>2035_TM161_SENS_3A_02_P10</t>
  </si>
  <si>
    <t>https://app.asana.com/1/11860278793487/project/1159042832247728/task/1211178049398560?focus=true</t>
  </si>
  <si>
    <t>PBA50Plus_sensitivity_V3A_P08v1</t>
  </si>
  <si>
    <t>SENS_v3A_P08v1\2035</t>
  </si>
  <si>
    <t>eastALACC_Oakland_34LaneAdd_02</t>
  </si>
  <si>
    <t>ALA_SMSCL_34LaneAdd_02</t>
  </si>
  <si>
    <t>Vallejo_SF_34LaneAdd_02</t>
  </si>
  <si>
    <t>https://app.asana.com/1/11860278793487/project/1159042832247728/task/1211178448866038?focus=true</t>
  </si>
  <si>
    <t>PBA50Plus_sensitivity_V3A_P09v1</t>
  </si>
  <si>
    <t>SENS_v3A_P09v1\2035</t>
  </si>
  <si>
    <t>SENS_v3A_P10v1\2035</t>
  </si>
  <si>
    <t>https://app.asana.com/1/11860278793487/project/1159042832247728/task/1211178448866040?focus=true</t>
  </si>
  <si>
    <t>PBA50Plus_sensitivity_V3A_P10v1</t>
  </si>
  <si>
    <t>2035 NoProject_network_iter1</t>
  </si>
  <si>
    <t>2035 NoProject_network_iter2</t>
  </si>
  <si>
    <t>eastCC_Oakland_34LaneAdd_iter1</t>
  </si>
  <si>
    <t>eastALACC_Oakland_34LaneAdd_iter1</t>
  </si>
  <si>
    <t>ALA_SMSCL_34LaneAdd_iter1</t>
  </si>
  <si>
    <t>Vallejo_SF_34LaneAdd_iter1</t>
  </si>
  <si>
    <t>eastCC_Oakland_34LaneAdd_iter2</t>
  </si>
  <si>
    <t>eastALACC_Oakland_34LaneAdd_iter2</t>
  </si>
  <si>
    <t>ALA_SMSCL_34LaneAdd_iter2</t>
  </si>
  <si>
    <t>Vallejo_SF_34LaneAdd_iter2</t>
  </si>
  <si>
    <t>Integrated Model - iter0</t>
  </si>
  <si>
    <t>Integrated Model - iter1</t>
  </si>
  <si>
    <t>Integrated Model - iter2</t>
  </si>
  <si>
    <t>2050 NoProject_network_iter1</t>
  </si>
  <si>
    <t>Class 3 Diff 5 AddLane 1 ALA County</t>
  </si>
  <si>
    <t>Class 3 Diff 5 AddLane 1 CC County</t>
  </si>
  <si>
    <t>2023_TM161_IPA_35_Class3_Diff5_AddLane1_ALA</t>
  </si>
  <si>
    <t>2023_TM161_IPA_35_Class3_Diff5_AddLane1_CC</t>
  </si>
  <si>
    <t>BlueprintNetworks_v37_for_SENS\2023_Class3_Diff5_AddLane1_ALA</t>
  </si>
  <si>
    <t>https://app.asana.com/1/11860278793487/project/1204085012544660/task/1211333558536640?focus=true</t>
  </si>
  <si>
    <t>https://app.asana.com/1/11860278793487/project/1204085012544660/task/1211333558536643?focus=true</t>
  </si>
  <si>
    <t>BlueprintNetworks_v37_for_SENS\2023_Class3_Diff5_AddLane1_CC</t>
  </si>
  <si>
    <t>Class3_Diff5_AddLane1_ALA</t>
  </si>
  <si>
    <t>Class3_Diff5_AddLane1_CC</t>
  </si>
  <si>
    <t>2035_TM161_FBP_Plan_16_minusT12</t>
  </si>
  <si>
    <t>RTP_T12</t>
  </si>
  <si>
    <t>2035 Final Blueprint minus T12 projects</t>
  </si>
  <si>
    <t>transit</t>
  </si>
  <si>
    <t>BlueprintNetworks_v39_FBPminusT12\net_2035_Blueprint</t>
  </si>
  <si>
    <t>https://app.asana.com/1/11860278793487/project/1159042832247728/task/1211676832985621?focus=true</t>
  </si>
  <si>
    <t>2035 FBP minus T12</t>
  </si>
  <si>
    <t>2050_TM161_FBP_Plan_16_minusT12</t>
  </si>
  <si>
    <t>2050 Final Blueprint minus T12 projects</t>
  </si>
  <si>
    <t>BlueprintNetworks_v39_FBPminusT12\net_2050_Blueprint</t>
  </si>
  <si>
    <t>https://app.asana.com/1/11860278793487/project/1159042832247728/task/1211676832985623?focus=true</t>
  </si>
  <si>
    <t>2050 FBP minus T12</t>
  </si>
  <si>
    <t>Alias_BAUS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</si>
</sst>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1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sz val="10"/>
      <color rgb="FFFF0000"/>
      <name val="Consolas"/>
      <family val="3"/>
    </font>
    <font>
      <sz val="10"/>
      <name val="Calibri"/>
      <family val="2"/>
      <scheme val="minor"/>
    </font>
    <font>
      <sz val="10"/>
      <name val="Consolas"/>
      <family val="3"/>
    </font>
    <font>
      <sz val="10"/>
      <color theme="0"/>
      <name val="Calibri"/>
      <family val="2"/>
      <scheme val="minor"/>
    </font>
    <font>
      <sz val="10"/>
      <color theme="0"/>
      <name val="Consolas"/>
      <family val="3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u/>
      <sz val="10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3" fillId="0" borderId="0" applyFont="0" applyFill="0" applyBorder="0" applyAlignment="0" applyProtection="0"/>
  </cellStyleXfs>
  <cellXfs count="258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2" fontId="4" fillId="0" borderId="0" xfId="0" applyNumberFormat="1" applyFont="1"/>
    <xf numFmtId="2" fontId="4" fillId="2" borderId="0" xfId="0" applyNumberFormat="1" applyFont="1" applyFill="1"/>
    <xf numFmtId="0" fontId="1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5" fillId="0" borderId="0" xfId="0" applyNumberFormat="1" applyFon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2" fontId="4" fillId="3" borderId="0" xfId="0" applyNumberFormat="1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2" fontId="4" fillId="4" borderId="0" xfId="0" applyNumberFormat="1" applyFont="1" applyFill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0" xfId="0" applyFont="1" applyFill="1"/>
    <xf numFmtId="0" fontId="4" fillId="5" borderId="0" xfId="0" applyFont="1" applyFill="1" applyAlignment="1">
      <alignment horizontal="center"/>
    </xf>
    <xf numFmtId="2" fontId="4" fillId="5" borderId="0" xfId="0" applyNumberFormat="1" applyFont="1" applyFill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2" fillId="7" borderId="0" xfId="0" applyFont="1" applyFill="1" applyAlignment="1">
      <alignment horizontal="center"/>
    </xf>
    <xf numFmtId="2" fontId="4" fillId="7" borderId="0" xfId="0" applyNumberFormat="1" applyFont="1" applyFill="1"/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4" fillId="8" borderId="0" xfId="0" applyFont="1" applyFill="1" applyAlignment="1">
      <alignment horizontal="center"/>
    </xf>
    <xf numFmtId="2" fontId="4" fillId="8" borderId="0" xfId="0" applyNumberFormat="1" applyFont="1" applyFill="1"/>
    <xf numFmtId="0" fontId="2" fillId="9" borderId="0" xfId="0" applyFont="1" applyFill="1" applyAlignment="1">
      <alignment horizontal="center"/>
    </xf>
    <xf numFmtId="0" fontId="2" fillId="9" borderId="0" xfId="0" applyFont="1" applyFill="1"/>
    <xf numFmtId="0" fontId="4" fillId="9" borderId="0" xfId="0" applyFont="1" applyFill="1" applyAlignment="1">
      <alignment horizontal="center"/>
    </xf>
    <xf numFmtId="2" fontId="4" fillId="9" borderId="0" xfId="0" applyNumberFormat="1" applyFont="1" applyFill="1"/>
    <xf numFmtId="0" fontId="1" fillId="0" borderId="2" xfId="0" applyFont="1" applyBorder="1" applyAlignment="1">
      <alignment horizontal="right" wrapText="1"/>
    </xf>
    <xf numFmtId="2" fontId="4" fillId="5" borderId="0" xfId="0" applyNumberFormat="1" applyFont="1" applyFill="1" applyAlignment="1">
      <alignment horizontal="right"/>
    </xf>
    <xf numFmtId="2" fontId="4" fillId="8" borderId="0" xfId="0" applyNumberFormat="1" applyFont="1" applyFill="1" applyAlignment="1">
      <alignment horizontal="right"/>
    </xf>
    <xf numFmtId="2" fontId="4" fillId="9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7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6" borderId="0" xfId="0" applyFont="1" applyFill="1" applyAlignment="1">
      <alignment horizontal="right"/>
    </xf>
    <xf numFmtId="164" fontId="4" fillId="9" borderId="0" xfId="0" applyNumberFormat="1" applyFont="1" applyFill="1"/>
    <xf numFmtId="2" fontId="2" fillId="9" borderId="0" xfId="0" applyNumberFormat="1" applyFont="1" applyFill="1"/>
    <xf numFmtId="2" fontId="4" fillId="10" borderId="0" xfId="0" applyNumberFormat="1" applyFont="1" applyFill="1"/>
    <xf numFmtId="0" fontId="2" fillId="10" borderId="0" xfId="0" applyFont="1" applyFill="1"/>
    <xf numFmtId="0" fontId="2" fillId="11" borderId="0" xfId="0" applyFont="1" applyFill="1" applyAlignment="1">
      <alignment horizontal="center"/>
    </xf>
    <xf numFmtId="0" fontId="2" fillId="11" borderId="0" xfId="0" applyFont="1" applyFill="1"/>
    <xf numFmtId="0" fontId="4" fillId="11" borderId="0" xfId="0" applyFont="1" applyFill="1" applyAlignment="1">
      <alignment horizontal="center"/>
    </xf>
    <xf numFmtId="2" fontId="4" fillId="11" borderId="0" xfId="0" applyNumberFormat="1" applyFont="1" applyFill="1" applyAlignment="1">
      <alignment horizontal="right"/>
    </xf>
    <xf numFmtId="2" fontId="4" fillId="11" borderId="0" xfId="0" applyNumberFormat="1" applyFont="1" applyFill="1"/>
    <xf numFmtId="0" fontId="2" fillId="9" borderId="0" xfId="0" quotePrefix="1" applyFont="1" applyFill="1"/>
    <xf numFmtId="0" fontId="6" fillId="10" borderId="0" xfId="0" applyFont="1" applyFill="1"/>
    <xf numFmtId="0" fontId="6" fillId="10" borderId="0" xfId="0" applyFont="1" applyFill="1" applyAlignment="1">
      <alignment horizontal="center"/>
    </xf>
    <xf numFmtId="0" fontId="6" fillId="10" borderId="0" xfId="0" applyFont="1" applyFill="1" applyAlignment="1">
      <alignment horizontal="right"/>
    </xf>
    <xf numFmtId="2" fontId="7" fillId="10" borderId="0" xfId="0" applyNumberFormat="1" applyFont="1" applyFill="1"/>
    <xf numFmtId="0" fontId="6" fillId="12" borderId="0" xfId="0" applyFont="1" applyFill="1"/>
    <xf numFmtId="0" fontId="2" fillId="12" borderId="0" xfId="0" applyFont="1" applyFill="1"/>
    <xf numFmtId="0" fontId="6" fillId="12" borderId="0" xfId="0" applyFont="1" applyFill="1" applyAlignment="1">
      <alignment horizontal="center"/>
    </xf>
    <xf numFmtId="0" fontId="6" fillId="12" borderId="0" xfId="0" applyFont="1" applyFill="1" applyAlignment="1">
      <alignment horizontal="right"/>
    </xf>
    <xf numFmtId="2" fontId="7" fillId="12" borderId="0" xfId="0" applyNumberFormat="1" applyFont="1" applyFill="1"/>
    <xf numFmtId="0" fontId="2" fillId="11" borderId="0" xfId="0" applyFont="1" applyFill="1" applyAlignment="1">
      <alignment horizontal="right"/>
    </xf>
    <xf numFmtId="0" fontId="2" fillId="13" borderId="0" xfId="0" applyFont="1" applyFill="1"/>
    <xf numFmtId="0" fontId="2" fillId="13" borderId="0" xfId="0" applyFont="1" applyFill="1" applyAlignment="1">
      <alignment horizontal="center"/>
    </xf>
    <xf numFmtId="0" fontId="2" fillId="13" borderId="0" xfId="0" applyFont="1" applyFill="1" applyAlignment="1">
      <alignment horizontal="right"/>
    </xf>
    <xf numFmtId="2" fontId="4" fillId="13" borderId="0" xfId="0" applyNumberFormat="1" applyFont="1" applyFill="1"/>
    <xf numFmtId="2" fontId="4" fillId="6" borderId="0" xfId="0" applyNumberFormat="1" applyFont="1" applyFill="1" applyAlignment="1">
      <alignment horizontal="right"/>
    </xf>
    <xf numFmtId="0" fontId="2" fillId="14" borderId="0" xfId="0" applyFont="1" applyFill="1"/>
    <xf numFmtId="0" fontId="6" fillId="14" borderId="0" xfId="0" applyFont="1" applyFill="1"/>
    <xf numFmtId="0" fontId="2" fillId="15" borderId="0" xfId="0" applyFont="1" applyFill="1"/>
    <xf numFmtId="0" fontId="2" fillId="15" borderId="0" xfId="0" applyFont="1" applyFill="1" applyAlignment="1">
      <alignment horizontal="center"/>
    </xf>
    <xf numFmtId="0" fontId="2" fillId="15" borderId="0" xfId="0" applyFont="1" applyFill="1" applyAlignment="1">
      <alignment horizontal="right"/>
    </xf>
    <xf numFmtId="2" fontId="4" fillId="15" borderId="0" xfId="0" applyNumberFormat="1" applyFont="1" applyFill="1"/>
    <xf numFmtId="0" fontId="8" fillId="16" borderId="0" xfId="0" applyFont="1" applyFill="1"/>
    <xf numFmtId="0" fontId="8" fillId="16" borderId="0" xfId="0" applyFont="1" applyFill="1" applyAlignment="1">
      <alignment horizontal="center"/>
    </xf>
    <xf numFmtId="0" fontId="8" fillId="16" borderId="0" xfId="0" applyFont="1" applyFill="1" applyAlignment="1">
      <alignment horizontal="right"/>
    </xf>
    <xf numFmtId="2" fontId="9" fillId="16" borderId="0" xfId="0" applyNumberFormat="1" applyFont="1" applyFill="1" applyAlignment="1">
      <alignment horizontal="right"/>
    </xf>
    <xf numFmtId="0" fontId="8" fillId="17" borderId="0" xfId="0" applyFont="1" applyFill="1"/>
    <xf numFmtId="0" fontId="8" fillId="17" borderId="0" xfId="0" applyFont="1" applyFill="1" applyAlignment="1">
      <alignment horizontal="center"/>
    </xf>
    <xf numFmtId="0" fontId="8" fillId="17" borderId="0" xfId="0" applyFont="1" applyFill="1" applyAlignment="1">
      <alignment horizontal="left"/>
    </xf>
    <xf numFmtId="0" fontId="8" fillId="17" borderId="0" xfId="0" applyFont="1" applyFill="1" applyAlignment="1">
      <alignment horizontal="right"/>
    </xf>
    <xf numFmtId="2" fontId="9" fillId="17" borderId="0" xfId="0" applyNumberFormat="1" applyFont="1" applyFill="1"/>
    <xf numFmtId="0" fontId="2" fillId="18" borderId="0" xfId="0" applyFont="1" applyFill="1"/>
    <xf numFmtId="0" fontId="8" fillId="18" borderId="0" xfId="0" applyFont="1" applyFill="1"/>
    <xf numFmtId="0" fontId="8" fillId="18" borderId="0" xfId="0" applyFont="1" applyFill="1" applyAlignment="1">
      <alignment horizontal="center"/>
    </xf>
    <xf numFmtId="0" fontId="8" fillId="18" borderId="0" xfId="0" applyFont="1" applyFill="1" applyAlignment="1">
      <alignment horizontal="right"/>
    </xf>
    <xf numFmtId="2" fontId="9" fillId="18" borderId="0" xfId="0" applyNumberFormat="1" applyFont="1" applyFill="1"/>
    <xf numFmtId="0" fontId="8" fillId="18" borderId="0" xfId="0" applyFont="1" applyFill="1" applyAlignment="1">
      <alignment horizontal="left"/>
    </xf>
    <xf numFmtId="2" fontId="7" fillId="2" borderId="0" xfId="0" applyNumberFormat="1" applyFont="1" applyFill="1"/>
    <xf numFmtId="0" fontId="2" fillId="2" borderId="0" xfId="0" applyFont="1" applyFill="1"/>
    <xf numFmtId="0" fontId="6" fillId="2" borderId="0" xfId="0" applyFont="1" applyFill="1"/>
    <xf numFmtId="0" fontId="6" fillId="13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164" fontId="4" fillId="11" borderId="0" xfId="0" applyNumberFormat="1" applyFont="1" applyFill="1"/>
    <xf numFmtId="0" fontId="4" fillId="0" borderId="0" xfId="0" applyFont="1"/>
    <xf numFmtId="0" fontId="4" fillId="2" borderId="0" xfId="0" applyFont="1" applyFill="1"/>
    <xf numFmtId="164" fontId="4" fillId="2" borderId="0" xfId="0" applyNumberFormat="1" applyFont="1" applyFill="1"/>
    <xf numFmtId="2" fontId="2" fillId="11" borderId="0" xfId="0" applyNumberFormat="1" applyFont="1" applyFill="1"/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right"/>
    </xf>
    <xf numFmtId="2" fontId="7" fillId="5" borderId="0" xfId="0" applyNumberFormat="1" applyFont="1" applyFill="1"/>
    <xf numFmtId="0" fontId="2" fillId="19" borderId="0" xfId="0" applyFont="1" applyFill="1"/>
    <xf numFmtId="0" fontId="2" fillId="19" borderId="0" xfId="0" applyFont="1" applyFill="1" applyAlignment="1">
      <alignment horizontal="center"/>
    </xf>
    <xf numFmtId="0" fontId="2" fillId="19" borderId="0" xfId="0" applyFont="1" applyFill="1" applyAlignment="1">
      <alignment horizontal="right"/>
    </xf>
    <xf numFmtId="0" fontId="4" fillId="19" borderId="0" xfId="0" applyFont="1" applyFill="1"/>
    <xf numFmtId="2" fontId="4" fillId="19" borderId="0" xfId="0" applyNumberFormat="1" applyFont="1" applyFill="1"/>
    <xf numFmtId="164" fontId="4" fillId="19" borderId="0" xfId="0" applyNumberFormat="1" applyFont="1" applyFill="1"/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6" fillId="7" borderId="0" xfId="0" applyFont="1" applyFill="1" applyAlignment="1">
      <alignment horizontal="right"/>
    </xf>
    <xf numFmtId="2" fontId="7" fillId="7" borderId="0" xfId="0" applyNumberFormat="1" applyFont="1" applyFill="1"/>
    <xf numFmtId="0" fontId="6" fillId="20" borderId="0" xfId="0" applyFont="1" applyFill="1"/>
    <xf numFmtId="0" fontId="6" fillId="20" borderId="0" xfId="0" applyFont="1" applyFill="1" applyAlignment="1">
      <alignment horizontal="center"/>
    </xf>
    <xf numFmtId="0" fontId="6" fillId="20" borderId="0" xfId="0" applyFont="1" applyFill="1" applyAlignment="1">
      <alignment horizontal="right"/>
    </xf>
    <xf numFmtId="2" fontId="7" fillId="20" borderId="0" xfId="0" applyNumberFormat="1" applyFont="1" applyFill="1"/>
    <xf numFmtId="164" fontId="6" fillId="20" borderId="0" xfId="0" applyNumberFormat="1" applyFont="1" applyFill="1"/>
    <xf numFmtId="0" fontId="2" fillId="20" borderId="0" xfId="0" applyFont="1" applyFill="1"/>
    <xf numFmtId="0" fontId="0" fillId="20" borderId="0" xfId="0" applyFill="1"/>
    <xf numFmtId="0" fontId="2" fillId="20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1" borderId="0" xfId="0" applyFont="1" applyFill="1"/>
    <xf numFmtId="0" fontId="4" fillId="21" borderId="0" xfId="0" applyFont="1" applyFill="1" applyAlignment="1">
      <alignment horizontal="center"/>
    </xf>
    <xf numFmtId="2" fontId="4" fillId="21" borderId="0" xfId="0" applyNumberFormat="1" applyFont="1" applyFill="1" applyAlignment="1">
      <alignment horizontal="right"/>
    </xf>
    <xf numFmtId="2" fontId="4" fillId="21" borderId="0" xfId="0" applyNumberFormat="1" applyFont="1" applyFill="1"/>
    <xf numFmtId="0" fontId="2" fillId="21" borderId="0" xfId="0" quotePrefix="1" applyFont="1" applyFill="1"/>
    <xf numFmtId="164" fontId="4" fillId="21" borderId="0" xfId="0" applyNumberFormat="1" applyFont="1" applyFill="1"/>
    <xf numFmtId="0" fontId="2" fillId="11" borderId="0" xfId="0" quotePrefix="1" applyFont="1" applyFill="1"/>
    <xf numFmtId="0" fontId="2" fillId="2" borderId="0" xfId="0" quotePrefix="1" applyFont="1" applyFill="1"/>
    <xf numFmtId="0" fontId="8" fillId="22" borderId="0" xfId="0" applyFont="1" applyFill="1"/>
    <xf numFmtId="0" fontId="8" fillId="22" borderId="0" xfId="0" applyFont="1" applyFill="1" applyAlignment="1">
      <alignment horizontal="center"/>
    </xf>
    <xf numFmtId="0" fontId="8" fillId="22" borderId="0" xfId="0" applyFont="1" applyFill="1" applyAlignment="1">
      <alignment horizontal="right"/>
    </xf>
    <xf numFmtId="2" fontId="9" fillId="22" borderId="0" xfId="0" applyNumberFormat="1" applyFont="1" applyFill="1"/>
    <xf numFmtId="0" fontId="2" fillId="22" borderId="0" xfId="0" applyFont="1" applyFill="1"/>
    <xf numFmtId="2" fontId="8" fillId="22" borderId="0" xfId="0" applyNumberFormat="1" applyFont="1" applyFill="1"/>
    <xf numFmtId="164" fontId="8" fillId="22" borderId="0" xfId="0" applyNumberFormat="1" applyFont="1" applyFill="1"/>
    <xf numFmtId="0" fontId="8" fillId="22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11" fillId="0" borderId="0" xfId="0" applyFont="1" applyAlignment="1">
      <alignment wrapText="1"/>
    </xf>
    <xf numFmtId="165" fontId="11" fillId="0" borderId="3" xfId="0" applyNumberFormat="1" applyFont="1" applyBorder="1"/>
    <xf numFmtId="166" fontId="11" fillId="0" borderId="4" xfId="0" applyNumberFormat="1" applyFont="1" applyBorder="1"/>
    <xf numFmtId="166" fontId="11" fillId="0" borderId="6" xfId="0" applyNumberFormat="1" applyFont="1" applyBorder="1"/>
    <xf numFmtId="165" fontId="11" fillId="0" borderId="7" xfId="0" applyNumberFormat="1" applyFont="1" applyBorder="1"/>
    <xf numFmtId="0" fontId="11" fillId="0" borderId="8" xfId="0" applyFont="1" applyBorder="1"/>
    <xf numFmtId="0" fontId="12" fillId="0" borderId="0" xfId="1" applyFont="1"/>
    <xf numFmtId="0" fontId="2" fillId="0" borderId="2" xfId="0" applyFont="1" applyBorder="1" applyAlignment="1">
      <alignment wrapText="1"/>
    </xf>
    <xf numFmtId="166" fontId="11" fillId="0" borderId="8" xfId="2" applyNumberFormat="1" applyFont="1" applyBorder="1"/>
    <xf numFmtId="0" fontId="11" fillId="8" borderId="0" xfId="0" applyFont="1" applyFill="1"/>
    <xf numFmtId="0" fontId="11" fillId="0" borderId="5" xfId="0" applyFont="1" applyBorder="1"/>
    <xf numFmtId="0" fontId="14" fillId="0" borderId="0" xfId="0" applyFont="1"/>
    <xf numFmtId="9" fontId="11" fillId="0" borderId="0" xfId="2" applyFont="1"/>
    <xf numFmtId="0" fontId="8" fillId="23" borderId="0" xfId="0" applyFont="1" applyFill="1"/>
    <xf numFmtId="0" fontId="8" fillId="23" borderId="0" xfId="0" applyFont="1" applyFill="1" applyAlignment="1">
      <alignment horizontal="center"/>
    </xf>
    <xf numFmtId="0" fontId="8" fillId="23" borderId="0" xfId="0" applyFont="1" applyFill="1" applyAlignment="1">
      <alignment horizontal="right"/>
    </xf>
    <xf numFmtId="164" fontId="8" fillId="23" borderId="0" xfId="0" applyNumberFormat="1" applyFont="1" applyFill="1"/>
    <xf numFmtId="2" fontId="8" fillId="23" borderId="0" xfId="0" applyNumberFormat="1" applyFont="1" applyFill="1"/>
    <xf numFmtId="0" fontId="2" fillId="23" borderId="0" xfId="0" applyFont="1" applyFill="1"/>
    <xf numFmtId="0" fontId="8" fillId="24" borderId="0" xfId="0" applyFont="1" applyFill="1"/>
    <xf numFmtId="0" fontId="8" fillId="24" borderId="0" xfId="0" applyFont="1" applyFill="1" applyAlignment="1">
      <alignment horizontal="center"/>
    </xf>
    <xf numFmtId="0" fontId="8" fillId="24" borderId="0" xfId="0" applyFont="1" applyFill="1" applyAlignment="1">
      <alignment horizontal="right"/>
    </xf>
    <xf numFmtId="164" fontId="8" fillId="24" borderId="0" xfId="0" applyNumberFormat="1" applyFont="1" applyFill="1"/>
    <xf numFmtId="2" fontId="9" fillId="24" borderId="0" xfId="0" applyNumberFormat="1" applyFont="1" applyFill="1"/>
    <xf numFmtId="164" fontId="8" fillId="17" borderId="0" xfId="0" applyNumberFormat="1" applyFont="1" applyFill="1"/>
    <xf numFmtId="0" fontId="8" fillId="25" borderId="0" xfId="0" applyFont="1" applyFill="1"/>
    <xf numFmtId="0" fontId="8" fillId="25" borderId="0" xfId="0" applyFont="1" applyFill="1" applyAlignment="1">
      <alignment horizontal="center"/>
    </xf>
    <xf numFmtId="0" fontId="8" fillId="25" borderId="0" xfId="0" applyFont="1" applyFill="1" applyAlignment="1">
      <alignment horizontal="right"/>
    </xf>
    <xf numFmtId="164" fontId="8" fillId="25" borderId="0" xfId="0" applyNumberFormat="1" applyFont="1" applyFill="1"/>
    <xf numFmtId="2" fontId="8" fillId="25" borderId="0" xfId="0" applyNumberFormat="1" applyFont="1" applyFill="1"/>
    <xf numFmtId="0" fontId="2" fillId="25" borderId="0" xfId="0" applyFont="1" applyFill="1"/>
    <xf numFmtId="0" fontId="8" fillId="25" borderId="0" xfId="0" applyFont="1" applyFill="1" applyAlignment="1">
      <alignment horizontal="left"/>
    </xf>
    <xf numFmtId="0" fontId="8" fillId="23" borderId="0" xfId="0" applyFont="1" applyFill="1" applyAlignment="1">
      <alignment horizontal="left"/>
    </xf>
    <xf numFmtId="0" fontId="8" fillId="26" borderId="0" xfId="0" applyFont="1" applyFill="1"/>
    <xf numFmtId="0" fontId="8" fillId="26" borderId="0" xfId="0" applyFont="1" applyFill="1" applyAlignment="1">
      <alignment horizontal="center"/>
    </xf>
    <xf numFmtId="0" fontId="8" fillId="26" borderId="0" xfId="0" applyFont="1" applyFill="1" applyAlignment="1">
      <alignment horizontal="right"/>
    </xf>
    <xf numFmtId="2" fontId="9" fillId="26" borderId="0" xfId="0" applyNumberFormat="1" applyFont="1" applyFill="1"/>
    <xf numFmtId="164" fontId="8" fillId="26" borderId="0" xfId="0" applyNumberFormat="1" applyFont="1" applyFill="1"/>
    <xf numFmtId="0" fontId="8" fillId="26" borderId="0" xfId="0" applyFont="1" applyFill="1" applyAlignment="1">
      <alignment horizontal="left"/>
    </xf>
    <xf numFmtId="2" fontId="8" fillId="26" borderId="0" xfId="0" applyNumberFormat="1" applyFont="1" applyFill="1"/>
    <xf numFmtId="0" fontId="11" fillId="0" borderId="2" xfId="0" applyFont="1" applyBorder="1"/>
    <xf numFmtId="166" fontId="11" fillId="8" borderId="10" xfId="2" applyNumberFormat="1" applyFont="1" applyFill="1" applyBorder="1"/>
    <xf numFmtId="0" fontId="11" fillId="8" borderId="9" xfId="0" applyFont="1" applyFill="1" applyBorder="1"/>
    <xf numFmtId="9" fontId="11" fillId="8" borderId="10" xfId="2" applyFont="1" applyFill="1" applyBorder="1"/>
    <xf numFmtId="0" fontId="11" fillId="8" borderId="10" xfId="0" applyFont="1" applyFill="1" applyBorder="1"/>
    <xf numFmtId="9" fontId="11" fillId="8" borderId="11" xfId="2" applyFont="1" applyFill="1" applyBorder="1"/>
    <xf numFmtId="0" fontId="11" fillId="0" borderId="0" xfId="0" applyFont="1"/>
    <xf numFmtId="165" fontId="11" fillId="2" borderId="3" xfId="0" applyNumberFormat="1" applyFont="1" applyFill="1" applyBorder="1"/>
    <xf numFmtId="166" fontId="11" fillId="2" borderId="1" xfId="2" applyNumberFormat="1" applyFont="1" applyFill="1" applyBorder="1"/>
    <xf numFmtId="165" fontId="11" fillId="2" borderId="1" xfId="0" applyNumberFormat="1" applyFont="1" applyFill="1" applyBorder="1"/>
    <xf numFmtId="166" fontId="11" fillId="2" borderId="4" xfId="2" applyNumberFormat="1" applyFont="1" applyFill="1" applyBorder="1"/>
    <xf numFmtId="9" fontId="11" fillId="0" borderId="6" xfId="2" applyFont="1" applyBorder="1"/>
    <xf numFmtId="165" fontId="11" fillId="0" borderId="5" xfId="0" applyNumberFormat="1" applyFont="1" applyBorder="1"/>
    <xf numFmtId="9" fontId="11" fillId="0" borderId="0" xfId="0" applyNumberFormat="1" applyFont="1"/>
    <xf numFmtId="165" fontId="11" fillId="0" borderId="0" xfId="0" applyNumberFormat="1" applyFont="1"/>
    <xf numFmtId="9" fontId="11" fillId="0" borderId="6" xfId="0" applyNumberFormat="1" applyFont="1" applyBorder="1"/>
    <xf numFmtId="165" fontId="11" fillId="14" borderId="5" xfId="0" applyNumberFormat="1" applyFont="1" applyFill="1" applyBorder="1"/>
    <xf numFmtId="0" fontId="11" fillId="0" borderId="7" xfId="0" applyFont="1" applyBorder="1" applyAlignment="1">
      <alignment wrapText="1"/>
    </xf>
    <xf numFmtId="0" fontId="2" fillId="0" borderId="7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10" xfId="0" applyFont="1" applyBorder="1"/>
    <xf numFmtId="0" fontId="2" fillId="2" borderId="9" xfId="0" applyFont="1" applyFill="1" applyBorder="1"/>
    <xf numFmtId="166" fontId="2" fillId="2" borderId="10" xfId="0" applyNumberFormat="1" applyFont="1" applyFill="1" applyBorder="1"/>
    <xf numFmtId="0" fontId="2" fillId="3" borderId="5" xfId="0" applyFont="1" applyFill="1" applyBorder="1"/>
    <xf numFmtId="166" fontId="2" fillId="3" borderId="0" xfId="0" applyNumberFormat="1" applyFont="1" applyFill="1"/>
    <xf numFmtId="0" fontId="2" fillId="0" borderId="2" xfId="0" applyFont="1" applyBorder="1"/>
    <xf numFmtId="0" fontId="2" fillId="0" borderId="5" xfId="0" applyFont="1" applyBorder="1"/>
    <xf numFmtId="166" fontId="11" fillId="0" borderId="0" xfId="0" applyNumberFormat="1" applyFont="1"/>
    <xf numFmtId="0" fontId="11" fillId="3" borderId="0" xfId="0" quotePrefix="1" applyFont="1" applyFill="1"/>
    <xf numFmtId="0" fontId="15" fillId="0" borderId="0" xfId="0" applyFont="1"/>
    <xf numFmtId="0" fontId="16" fillId="0" borderId="0" xfId="0" applyFont="1"/>
    <xf numFmtId="166" fontId="14" fillId="0" borderId="2" xfId="0" applyNumberFormat="1" applyFont="1" applyBorder="1"/>
    <xf numFmtId="0" fontId="1" fillId="0" borderId="7" xfId="0" applyFont="1" applyBorder="1"/>
    <xf numFmtId="164" fontId="1" fillId="0" borderId="7" xfId="0" applyNumberFormat="1" applyFont="1" applyBorder="1"/>
    <xf numFmtId="165" fontId="11" fillId="2" borderId="9" xfId="0" applyNumberFormat="1" applyFont="1" applyFill="1" applyBorder="1"/>
    <xf numFmtId="166" fontId="11" fillId="2" borderId="10" xfId="2" applyNumberFormat="1" applyFont="1" applyFill="1" applyBorder="1"/>
    <xf numFmtId="165" fontId="11" fillId="2" borderId="10" xfId="0" applyNumberFormat="1" applyFont="1" applyFill="1" applyBorder="1"/>
    <xf numFmtId="166" fontId="11" fillId="2" borderId="11" xfId="2" applyNumberFormat="1" applyFont="1" applyFill="1" applyBorder="1"/>
    <xf numFmtId="165" fontId="11" fillId="3" borderId="5" xfId="0" applyNumberFormat="1" applyFont="1" applyFill="1" applyBorder="1"/>
    <xf numFmtId="165" fontId="11" fillId="3" borderId="0" xfId="0" applyNumberFormat="1" applyFont="1" applyFill="1"/>
    <xf numFmtId="0" fontId="11" fillId="8" borderId="8" xfId="0" applyFont="1" applyFill="1" applyBorder="1"/>
    <xf numFmtId="9" fontId="11" fillId="3" borderId="0" xfId="2" applyFont="1" applyFill="1" applyBorder="1"/>
    <xf numFmtId="9" fontId="11" fillId="0" borderId="0" xfId="2" applyFont="1" applyFill="1" applyBorder="1"/>
    <xf numFmtId="9" fontId="11" fillId="3" borderId="6" xfId="2" applyFont="1" applyFill="1" applyBorder="1"/>
    <xf numFmtId="9" fontId="11" fillId="0" borderId="6" xfId="2" applyFont="1" applyFill="1" applyBorder="1"/>
    <xf numFmtId="0" fontId="11" fillId="0" borderId="6" xfId="0" applyFont="1" applyBorder="1"/>
    <xf numFmtId="165" fontId="14" fillId="0" borderId="7" xfId="0" applyNumberFormat="1" applyFont="1" applyBorder="1"/>
    <xf numFmtId="9" fontId="14" fillId="0" borderId="2" xfId="2" applyFont="1" applyFill="1" applyBorder="1"/>
    <xf numFmtId="165" fontId="14" fillId="0" borderId="2" xfId="0" applyNumberFormat="1" applyFont="1" applyBorder="1"/>
    <xf numFmtId="165" fontId="14" fillId="0" borderId="5" xfId="0" applyNumberFormat="1" applyFont="1" applyBorder="1"/>
    <xf numFmtId="9" fontId="14" fillId="0" borderId="0" xfId="2" applyFont="1"/>
    <xf numFmtId="165" fontId="14" fillId="0" borderId="0" xfId="0" applyNumberFormat="1" applyFont="1"/>
    <xf numFmtId="9" fontId="14" fillId="0" borderId="6" xfId="2" applyFont="1" applyBorder="1"/>
    <xf numFmtId="0" fontId="6" fillId="27" borderId="0" xfId="0" applyFont="1" applyFill="1"/>
    <xf numFmtId="0" fontId="6" fillId="27" borderId="0" xfId="0" applyFont="1" applyFill="1" applyAlignment="1">
      <alignment horizontal="center"/>
    </xf>
    <xf numFmtId="0" fontId="6" fillId="27" borderId="0" xfId="1" applyFont="1" applyFill="1"/>
    <xf numFmtId="0" fontId="6" fillId="27" borderId="0" xfId="0" applyFont="1" applyFill="1" applyAlignment="1">
      <alignment horizontal="right"/>
    </xf>
    <xf numFmtId="164" fontId="6" fillId="27" borderId="0" xfId="0" applyNumberFormat="1" applyFont="1" applyFill="1"/>
    <xf numFmtId="2" fontId="7" fillId="27" borderId="0" xfId="0" applyNumberFormat="1" applyFont="1" applyFill="1"/>
    <xf numFmtId="0" fontId="6" fillId="28" borderId="0" xfId="0" applyFont="1" applyFill="1"/>
    <xf numFmtId="0" fontId="6" fillId="28" borderId="0" xfId="0" applyFont="1" applyFill="1" applyAlignment="1">
      <alignment horizontal="center"/>
    </xf>
    <xf numFmtId="0" fontId="6" fillId="28" borderId="0" xfId="1" applyFont="1" applyFill="1"/>
    <xf numFmtId="0" fontId="6" fillId="28" borderId="0" xfId="0" applyFont="1" applyFill="1" applyAlignment="1">
      <alignment horizontal="right"/>
    </xf>
    <xf numFmtId="164" fontId="6" fillId="28" borderId="0" xfId="0" applyNumberFormat="1" applyFont="1" applyFill="1"/>
    <xf numFmtId="2" fontId="7" fillId="28" borderId="0" xfId="0" applyNumberFormat="1" applyFont="1" applyFill="1"/>
    <xf numFmtId="0" fontId="6" fillId="29" borderId="0" xfId="0" applyFont="1" applyFill="1"/>
    <xf numFmtId="0" fontId="6" fillId="29" borderId="0" xfId="0" applyFont="1" applyFill="1" applyAlignment="1">
      <alignment horizontal="center"/>
    </xf>
    <xf numFmtId="0" fontId="6" fillId="29" borderId="0" xfId="1" applyFont="1" applyFill="1"/>
    <xf numFmtId="0" fontId="6" fillId="29" borderId="0" xfId="0" applyFont="1" applyFill="1" applyAlignment="1">
      <alignment horizontal="right"/>
    </xf>
    <xf numFmtId="164" fontId="6" fillId="29" borderId="0" xfId="0" applyNumberFormat="1" applyFont="1" applyFill="1"/>
    <xf numFmtId="2" fontId="7" fillId="29" borderId="0" xfId="0" applyNumberFormat="1" applyFont="1" applyFill="1"/>
    <xf numFmtId="0" fontId="2" fillId="27" borderId="0" xfId="0" applyFont="1" applyFill="1"/>
    <xf numFmtId="0" fontId="2" fillId="27" borderId="0" xfId="0" applyFont="1" applyFill="1" applyAlignment="1">
      <alignment horizontal="center"/>
    </xf>
    <xf numFmtId="0" fontId="2" fillId="27" borderId="0" xfId="0" applyFont="1" applyFill="1" applyAlignment="1">
      <alignment horizontal="right"/>
    </xf>
    <xf numFmtId="0" fontId="17" fillId="0" borderId="2" xfId="0" applyFont="1" applyBorder="1" applyAlignment="1">
      <alignment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sa Zorn" id="{80AF8349-5E6A-40C4-8DDA-681990D9CA94}" userId="S::lzorn@bayareametro.gov::566f6297-4bb7-41af-ba02-cd2b8ef4a84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1" dT="2024-02-29T19:11:38.01" personId="{80AF8349-5E6A-40C4-8DDA-681990D9CA94}" id="{5E9E5ACE-141E-4D56-A8B9-D004BCC9E5DA}">
    <text>Short description for public metrics summaries, etc. Need not be unique.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app.asana.com/0/1204085012544660/1205634764978037/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pp.asana.com/0/1204085012544660/1205634764978037/f" TargetMode="External"/><Relationship Id="rId1" Type="http://schemas.openxmlformats.org/officeDocument/2006/relationships/hyperlink" Target="https://app.asana.com/0/1204085012544660/1205634764978037/f" TargetMode="External"/><Relationship Id="rId6" Type="http://schemas.openxmlformats.org/officeDocument/2006/relationships/hyperlink" Target="https://app.asana.com/1/11860278793487/project/1159042832247728/task/1211676832985623?focus=true" TargetMode="External"/><Relationship Id="rId5" Type="http://schemas.openxmlformats.org/officeDocument/2006/relationships/hyperlink" Target="https://app.asana.com/1/11860278793487/project/1159042832247728/task/1211048115653592?focus=true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app.asana.com/1/11860278793487/task/1210860187536556?focus=true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asana.com/1/11860278793487/project/1205004773899709/task/1208564098970875" TargetMode="External"/><Relationship Id="rId2" Type="http://schemas.openxmlformats.org/officeDocument/2006/relationships/hyperlink" Target="https://app.asana.com/1/11860278793487/project/1204085012544660/task/1209940594375530?focus=true" TargetMode="External"/><Relationship Id="rId1" Type="http://schemas.openxmlformats.org/officeDocument/2006/relationships/hyperlink" Target="https://app.asana.com/0/1204085012544660/1209905920344155/f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app.asana.com/1/11860278793487/project/1204085012544660/task/1206605326484505?focus=true" TargetMode="External"/><Relationship Id="rId4" Type="http://schemas.openxmlformats.org/officeDocument/2006/relationships/hyperlink" Target="https://app.asana.com/1/11860278793487/task/1206605326484504?focus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CC59-3725-4FDA-8BF2-0F68CB1B6F5A}">
  <sheetPr filterMode="1"/>
  <dimension ref="A1:Z298"/>
  <sheetViews>
    <sheetView tabSelected="1" zoomScale="85" zoomScaleNormal="85" workbookViewId="0">
      <pane xSplit="2" ySplit="1" topLeftCell="M6" activePane="bottomRight" state="frozen"/>
      <selection pane="topRight" activeCell="C1" sqref="C1"/>
      <selection pane="bottomLeft" activeCell="A2" sqref="A2"/>
      <selection pane="bottomRight" activeCell="AA187" sqref="AA187"/>
    </sheetView>
  </sheetViews>
  <sheetFormatPr defaultColWidth="9.33203125" defaultRowHeight="13.8" x14ac:dyDescent="0.3"/>
  <cols>
    <col min="1" max="1" width="5" style="1" bestFit="1" customWidth="1"/>
    <col min="2" max="2" width="55.88671875" style="1" customWidth="1"/>
    <col min="3" max="3" width="13.88671875" style="1" customWidth="1"/>
    <col min="4" max="4" width="11" style="1" customWidth="1"/>
    <col min="5" max="5" width="23.5546875" style="1" customWidth="1"/>
    <col min="6" max="6" width="42.33203125" style="1" customWidth="1"/>
    <col min="7" max="7" width="26.88671875" style="1" customWidth="1"/>
    <col min="8" max="8" width="27.5546875" style="1" customWidth="1"/>
    <col min="9" max="9" width="8.33203125" style="1" customWidth="1"/>
    <col min="10" max="10" width="9.33203125" style="1" customWidth="1"/>
    <col min="11" max="11" width="70.5546875" style="1" customWidth="1"/>
    <col min="12" max="12" width="11.33203125" style="10" customWidth="1"/>
    <col min="13" max="13" width="17.5546875" style="1" customWidth="1"/>
    <col min="14" max="14" width="8.33203125" style="1" customWidth="1"/>
    <col min="15" max="16" width="9.33203125" style="41"/>
    <col min="17" max="24" width="9.33203125" style="1"/>
    <col min="25" max="25" width="14.33203125" style="1" customWidth="1"/>
    <col min="26" max="26" width="13.44140625" style="1" customWidth="1"/>
    <col min="27" max="16384" width="9.33203125" style="1"/>
  </cols>
  <sheetData>
    <row r="1" spans="1:26" s="5" customFormat="1" ht="41.4" x14ac:dyDescent="0.3">
      <c r="A1" s="3" t="s">
        <v>0</v>
      </c>
      <c r="B1" s="2" t="s">
        <v>1</v>
      </c>
      <c r="C1" s="4" t="s">
        <v>2</v>
      </c>
      <c r="D1" s="2" t="s">
        <v>3</v>
      </c>
      <c r="E1" s="2" t="s">
        <v>318</v>
      </c>
      <c r="F1" s="2" t="s">
        <v>18</v>
      </c>
      <c r="G1" s="2" t="s">
        <v>7</v>
      </c>
      <c r="H1" s="3" t="s">
        <v>4</v>
      </c>
      <c r="I1" s="2" t="s">
        <v>5</v>
      </c>
      <c r="J1" s="2" t="s">
        <v>398</v>
      </c>
      <c r="K1" s="4" t="s">
        <v>6</v>
      </c>
      <c r="L1" s="8" t="s">
        <v>15</v>
      </c>
      <c r="M1" s="4" t="s">
        <v>22</v>
      </c>
      <c r="N1" s="4" t="s">
        <v>118</v>
      </c>
      <c r="O1" s="36" t="s">
        <v>37</v>
      </c>
      <c r="P1" s="36" t="s">
        <v>38</v>
      </c>
      <c r="Q1" s="4" t="s">
        <v>82</v>
      </c>
      <c r="R1" s="4" t="s">
        <v>83</v>
      </c>
      <c r="S1" s="4" t="s">
        <v>534</v>
      </c>
      <c r="T1" s="4" t="s">
        <v>537</v>
      </c>
      <c r="U1" s="4" t="s">
        <v>584</v>
      </c>
      <c r="V1" s="4" t="s">
        <v>70</v>
      </c>
      <c r="W1" s="4" t="s">
        <v>71</v>
      </c>
      <c r="X1" s="4" t="s">
        <v>84</v>
      </c>
      <c r="Y1" s="2" t="s">
        <v>329</v>
      </c>
      <c r="Z1" s="257" t="s">
        <v>1129</v>
      </c>
    </row>
    <row r="2" spans="1:26" s="20" customFormat="1" hidden="1" x14ac:dyDescent="0.3">
      <c r="A2" s="18">
        <v>2005</v>
      </c>
      <c r="B2" s="19" t="s">
        <v>125</v>
      </c>
      <c r="C2" s="20" t="s">
        <v>113</v>
      </c>
      <c r="D2" s="19" t="s">
        <v>247</v>
      </c>
      <c r="E2" s="19"/>
      <c r="F2" s="19" t="s">
        <v>126</v>
      </c>
      <c r="G2" s="20" t="s">
        <v>277</v>
      </c>
      <c r="H2" s="20" t="s">
        <v>10</v>
      </c>
      <c r="I2" s="19"/>
      <c r="K2" s="20" t="s">
        <v>224</v>
      </c>
      <c r="L2" s="21"/>
      <c r="N2" s="20">
        <v>14.87</v>
      </c>
      <c r="O2" s="37" t="s">
        <v>109</v>
      </c>
      <c r="P2" s="37" t="s">
        <v>109</v>
      </c>
      <c r="Q2" s="22">
        <v>0</v>
      </c>
      <c r="R2" s="22">
        <v>0</v>
      </c>
      <c r="S2" s="22"/>
      <c r="T2" s="22"/>
      <c r="U2" s="22"/>
      <c r="V2" s="22">
        <v>0</v>
      </c>
      <c r="W2" s="22">
        <v>0</v>
      </c>
      <c r="X2" s="22">
        <v>0</v>
      </c>
    </row>
    <row r="3" spans="1:26" s="29" customFormat="1" hidden="1" x14ac:dyDescent="0.3">
      <c r="A3" s="28">
        <v>2005</v>
      </c>
      <c r="B3" s="29" t="s">
        <v>148</v>
      </c>
      <c r="C3" s="29" t="s">
        <v>17</v>
      </c>
      <c r="D3" s="29" t="s">
        <v>247</v>
      </c>
      <c r="F3" s="29" t="s">
        <v>150</v>
      </c>
      <c r="G3" s="29" t="s">
        <v>277</v>
      </c>
      <c r="H3" s="29" t="s">
        <v>10</v>
      </c>
      <c r="K3" s="29" t="s">
        <v>224</v>
      </c>
      <c r="L3" s="30" t="s">
        <v>88</v>
      </c>
      <c r="M3" s="29" t="s">
        <v>151</v>
      </c>
      <c r="N3" s="29">
        <v>14.87</v>
      </c>
      <c r="O3" s="38" t="s">
        <v>109</v>
      </c>
      <c r="P3" s="38" t="s">
        <v>109</v>
      </c>
      <c r="Q3" s="31">
        <v>0</v>
      </c>
      <c r="R3" s="31">
        <v>0</v>
      </c>
      <c r="S3" s="31"/>
      <c r="T3" s="31"/>
      <c r="U3" s="31"/>
      <c r="V3" s="31">
        <v>0</v>
      </c>
      <c r="W3" s="31">
        <v>0</v>
      </c>
      <c r="X3" s="31">
        <v>0</v>
      </c>
    </row>
    <row r="4" spans="1:26" s="29" customFormat="1" hidden="1" x14ac:dyDescent="0.3">
      <c r="A4" s="28">
        <v>2005</v>
      </c>
      <c r="B4" s="29" t="s">
        <v>222</v>
      </c>
      <c r="C4" s="29" t="s">
        <v>17</v>
      </c>
      <c r="D4" s="29" t="s">
        <v>247</v>
      </c>
      <c r="F4" s="29" t="s">
        <v>223</v>
      </c>
      <c r="G4" s="29" t="s">
        <v>267</v>
      </c>
      <c r="H4" s="29" t="s">
        <v>10</v>
      </c>
      <c r="K4" s="29" t="s">
        <v>224</v>
      </c>
      <c r="L4" s="30" t="s">
        <v>88</v>
      </c>
      <c r="M4" s="29" t="s">
        <v>225</v>
      </c>
      <c r="N4" s="29">
        <v>14.87</v>
      </c>
      <c r="O4" s="38" t="s">
        <v>109</v>
      </c>
      <c r="P4" s="38" t="s">
        <v>109</v>
      </c>
      <c r="Q4" s="31"/>
      <c r="R4" s="31"/>
      <c r="S4" s="31"/>
      <c r="T4" s="31"/>
      <c r="U4" s="31"/>
      <c r="V4" s="31">
        <v>0</v>
      </c>
      <c r="W4" s="31">
        <v>0</v>
      </c>
      <c r="X4" s="31">
        <v>0</v>
      </c>
    </row>
    <row r="5" spans="1:26" s="29" customFormat="1" hidden="1" x14ac:dyDescent="0.3">
      <c r="A5" s="28">
        <v>2005</v>
      </c>
      <c r="B5" s="29" t="s">
        <v>265</v>
      </c>
      <c r="C5" s="29" t="s">
        <v>17</v>
      </c>
      <c r="D5" s="29" t="s">
        <v>247</v>
      </c>
      <c r="F5" s="29" t="s">
        <v>266</v>
      </c>
      <c r="G5" s="29" t="s">
        <v>267</v>
      </c>
      <c r="H5" s="29" t="s">
        <v>10</v>
      </c>
      <c r="K5" s="29" t="s">
        <v>224</v>
      </c>
      <c r="L5" s="30" t="s">
        <v>43</v>
      </c>
      <c r="M5" s="29" t="s">
        <v>268</v>
      </c>
      <c r="N5" s="29">
        <v>14.87</v>
      </c>
      <c r="O5" s="38" t="s">
        <v>109</v>
      </c>
      <c r="P5" s="38" t="s">
        <v>109</v>
      </c>
      <c r="Q5" s="31"/>
      <c r="R5" s="31"/>
      <c r="S5" s="31"/>
      <c r="T5" s="31"/>
      <c r="U5" s="31"/>
      <c r="V5" s="31">
        <v>0</v>
      </c>
      <c r="W5" s="31">
        <v>0</v>
      </c>
      <c r="X5" s="31">
        <v>0</v>
      </c>
    </row>
    <row r="6" spans="1:26" s="29" customFormat="1" x14ac:dyDescent="0.3">
      <c r="A6" s="28">
        <v>2005</v>
      </c>
      <c r="B6" s="29" t="s">
        <v>360</v>
      </c>
      <c r="C6" s="29" t="s">
        <v>17</v>
      </c>
      <c r="D6" s="29" t="s">
        <v>247</v>
      </c>
      <c r="F6" s="29" t="s">
        <v>361</v>
      </c>
      <c r="G6" s="29" t="s">
        <v>267</v>
      </c>
      <c r="H6" s="29" t="s">
        <v>10</v>
      </c>
      <c r="I6" s="71" t="s">
        <v>11</v>
      </c>
      <c r="J6" s="29" t="s">
        <v>704</v>
      </c>
      <c r="K6" s="29" t="s">
        <v>224</v>
      </c>
      <c r="L6" s="30" t="s">
        <v>43</v>
      </c>
      <c r="M6" s="29" t="s">
        <v>362</v>
      </c>
      <c r="N6" s="29">
        <v>14.07</v>
      </c>
      <c r="O6" s="38" t="s">
        <v>109</v>
      </c>
      <c r="P6" s="38" t="s">
        <v>109</v>
      </c>
      <c r="Q6" s="31">
        <v>0.27800000000000002</v>
      </c>
      <c r="R6" s="31">
        <v>0.78500000000000003</v>
      </c>
      <c r="S6" s="31"/>
      <c r="T6" s="31"/>
      <c r="U6" s="31"/>
      <c r="V6" s="31">
        <v>0</v>
      </c>
      <c r="W6" s="31">
        <v>0</v>
      </c>
      <c r="X6" s="31">
        <v>0</v>
      </c>
      <c r="Z6" s="29">
        <v>2005</v>
      </c>
    </row>
    <row r="7" spans="1:26" s="126" customFormat="1" x14ac:dyDescent="0.3">
      <c r="A7" s="125">
        <v>2005</v>
      </c>
      <c r="B7" s="126" t="s">
        <v>670</v>
      </c>
      <c r="C7" s="126" t="s">
        <v>17</v>
      </c>
      <c r="D7" s="126" t="s">
        <v>247</v>
      </c>
      <c r="F7" s="126" t="s">
        <v>671</v>
      </c>
      <c r="G7" s="126" t="s">
        <v>267</v>
      </c>
      <c r="H7" s="126" t="s">
        <v>10</v>
      </c>
      <c r="I7" s="71" t="s">
        <v>11</v>
      </c>
      <c r="J7" s="126" t="s">
        <v>704</v>
      </c>
      <c r="K7" s="126" t="s">
        <v>224</v>
      </c>
      <c r="L7" s="127" t="s">
        <v>44</v>
      </c>
      <c r="M7" s="126" t="s">
        <v>672</v>
      </c>
      <c r="N7" s="126">
        <v>14.07</v>
      </c>
      <c r="O7" s="128" t="s">
        <v>109</v>
      </c>
      <c r="P7" s="128" t="s">
        <v>109</v>
      </c>
      <c r="Q7" s="129"/>
      <c r="R7" s="129"/>
      <c r="S7" s="129"/>
      <c r="T7" s="131">
        <v>-1.74</v>
      </c>
      <c r="U7" s="129">
        <v>5</v>
      </c>
      <c r="V7" s="129">
        <v>0</v>
      </c>
      <c r="W7" s="129">
        <v>0</v>
      </c>
      <c r="X7" s="129">
        <v>0</v>
      </c>
      <c r="Y7" s="130" t="s">
        <v>415</v>
      </c>
      <c r="Z7" s="126">
        <v>2005</v>
      </c>
    </row>
    <row r="8" spans="1:26" s="51" customFormat="1" hidden="1" x14ac:dyDescent="0.3">
      <c r="A8" s="50">
        <v>2015</v>
      </c>
      <c r="B8" s="51" t="s">
        <v>278</v>
      </c>
      <c r="C8" s="51" t="s">
        <v>113</v>
      </c>
      <c r="D8" s="51" t="s">
        <v>246</v>
      </c>
      <c r="F8" s="51" t="s">
        <v>279</v>
      </c>
      <c r="G8" s="51" t="s">
        <v>9</v>
      </c>
      <c r="H8" s="51" t="s">
        <v>10</v>
      </c>
      <c r="L8" s="52"/>
      <c r="N8" s="51">
        <v>13.73</v>
      </c>
      <c r="O8" s="53">
        <v>-0.09</v>
      </c>
      <c r="P8" s="53">
        <v>0.9</v>
      </c>
      <c r="Q8" s="54"/>
      <c r="R8" s="54"/>
      <c r="S8" s="54"/>
      <c r="T8" s="54"/>
      <c r="U8" s="54"/>
      <c r="V8" s="54">
        <v>0</v>
      </c>
      <c r="W8" s="54">
        <v>0</v>
      </c>
    </row>
    <row r="9" spans="1:26" s="33" customFormat="1" hidden="1" x14ac:dyDescent="0.3">
      <c r="A9" s="32">
        <v>2015</v>
      </c>
      <c r="B9" s="33" t="s">
        <v>8</v>
      </c>
      <c r="C9" s="33" t="s">
        <v>17</v>
      </c>
      <c r="D9" s="33" t="s">
        <v>246</v>
      </c>
      <c r="F9" s="33" t="s">
        <v>19</v>
      </c>
      <c r="G9" s="33" t="s">
        <v>9</v>
      </c>
      <c r="H9" s="33" t="s">
        <v>10</v>
      </c>
      <c r="K9" s="33" t="s">
        <v>13</v>
      </c>
      <c r="L9" s="34" t="s">
        <v>16</v>
      </c>
      <c r="M9" s="33" t="s">
        <v>23</v>
      </c>
      <c r="O9" s="39">
        <v>-0.09</v>
      </c>
      <c r="P9" s="39">
        <v>0.9</v>
      </c>
      <c r="Q9" s="35"/>
      <c r="R9" s="35"/>
      <c r="S9" s="35"/>
      <c r="T9" s="35"/>
      <c r="U9" s="35"/>
      <c r="V9" s="35">
        <v>0</v>
      </c>
      <c r="W9" s="35">
        <v>0</v>
      </c>
    </row>
    <row r="10" spans="1:26" s="33" customFormat="1" hidden="1" x14ac:dyDescent="0.3">
      <c r="A10" s="32">
        <v>2015</v>
      </c>
      <c r="B10" s="33" t="s">
        <v>145</v>
      </c>
      <c r="C10" s="33" t="s">
        <v>17</v>
      </c>
      <c r="D10" s="33" t="s">
        <v>246</v>
      </c>
      <c r="F10" s="33" t="s">
        <v>149</v>
      </c>
      <c r="G10" s="33" t="s">
        <v>9</v>
      </c>
      <c r="H10" s="33" t="s">
        <v>10</v>
      </c>
      <c r="K10" s="33" t="s">
        <v>146</v>
      </c>
      <c r="L10" s="34" t="s">
        <v>43</v>
      </c>
      <c r="M10" s="33" t="s">
        <v>147</v>
      </c>
      <c r="O10" s="39" t="s">
        <v>109</v>
      </c>
      <c r="P10" s="39" t="s">
        <v>109</v>
      </c>
      <c r="Q10" s="35">
        <v>0</v>
      </c>
      <c r="R10" s="35">
        <v>0</v>
      </c>
      <c r="S10" s="35"/>
      <c r="T10" s="35"/>
      <c r="U10" s="35"/>
      <c r="V10" s="35">
        <v>0</v>
      </c>
      <c r="W10" s="35">
        <v>0</v>
      </c>
      <c r="X10" s="35">
        <v>0</v>
      </c>
    </row>
    <row r="11" spans="1:26" s="33" customFormat="1" hidden="1" x14ac:dyDescent="0.3">
      <c r="A11" s="32">
        <v>2015</v>
      </c>
      <c r="B11" s="33" t="s">
        <v>154</v>
      </c>
      <c r="C11" s="33" t="s">
        <v>17</v>
      </c>
      <c r="D11" s="33" t="s">
        <v>246</v>
      </c>
      <c r="F11" s="33" t="s">
        <v>153</v>
      </c>
      <c r="G11" s="33" t="s">
        <v>9</v>
      </c>
      <c r="H11" s="33" t="s">
        <v>10</v>
      </c>
      <c r="K11" s="33" t="s">
        <v>146</v>
      </c>
      <c r="L11" s="34" t="s">
        <v>43</v>
      </c>
      <c r="M11" s="33" t="s">
        <v>147</v>
      </c>
      <c r="O11" s="39" t="s">
        <v>109</v>
      </c>
      <c r="P11" s="39" t="s">
        <v>109</v>
      </c>
      <c r="Q11" s="35">
        <v>0.32</v>
      </c>
      <c r="R11" s="35">
        <v>0.28000000000000003</v>
      </c>
      <c r="S11" s="35"/>
      <c r="T11" s="35"/>
      <c r="U11" s="35"/>
      <c r="V11" s="35">
        <v>0</v>
      </c>
      <c r="W11" s="35">
        <v>0</v>
      </c>
      <c r="X11" s="35">
        <v>0</v>
      </c>
    </row>
    <row r="12" spans="1:26" s="33" customFormat="1" hidden="1" x14ac:dyDescent="0.3">
      <c r="A12" s="32">
        <v>2015</v>
      </c>
      <c r="B12" s="33" t="s">
        <v>155</v>
      </c>
      <c r="C12" s="33" t="s">
        <v>17</v>
      </c>
      <c r="D12" s="33" t="s">
        <v>246</v>
      </c>
      <c r="F12" s="33" t="s">
        <v>153</v>
      </c>
      <c r="G12" s="33" t="s">
        <v>9</v>
      </c>
      <c r="H12" s="33" t="s">
        <v>10</v>
      </c>
      <c r="K12" s="33" t="s">
        <v>146</v>
      </c>
      <c r="L12" s="34" t="s">
        <v>43</v>
      </c>
      <c r="M12" s="33" t="s">
        <v>147</v>
      </c>
      <c r="O12" s="39" t="s">
        <v>109</v>
      </c>
      <c r="P12" s="39" t="s">
        <v>109</v>
      </c>
      <c r="Q12" s="35">
        <v>0.32</v>
      </c>
      <c r="R12" s="35">
        <v>0.28000000000000003</v>
      </c>
      <c r="S12" s="35"/>
      <c r="T12" s="35"/>
      <c r="U12" s="35"/>
      <c r="V12" s="35">
        <v>0</v>
      </c>
      <c r="W12" s="35">
        <v>0</v>
      </c>
      <c r="X12" s="35">
        <v>0</v>
      </c>
    </row>
    <row r="13" spans="1:26" s="33" customFormat="1" hidden="1" x14ac:dyDescent="0.3">
      <c r="A13" s="32">
        <v>2015</v>
      </c>
      <c r="B13" s="33" t="s">
        <v>156</v>
      </c>
      <c r="C13" s="33" t="s">
        <v>17</v>
      </c>
      <c r="D13" s="33" t="s">
        <v>246</v>
      </c>
      <c r="F13" s="33" t="s">
        <v>157</v>
      </c>
      <c r="G13" s="33" t="s">
        <v>9</v>
      </c>
      <c r="H13" s="33" t="s">
        <v>10</v>
      </c>
      <c r="K13" s="33" t="s">
        <v>146</v>
      </c>
      <c r="L13" s="34" t="s">
        <v>16</v>
      </c>
      <c r="M13" s="33" t="s">
        <v>158</v>
      </c>
      <c r="N13" s="47">
        <v>15.1</v>
      </c>
      <c r="O13" s="39" t="s">
        <v>109</v>
      </c>
      <c r="P13" s="39" t="s">
        <v>109</v>
      </c>
      <c r="Q13" s="35">
        <v>0.32300000000000001</v>
      </c>
      <c r="R13" s="46">
        <v>0.83099999999999996</v>
      </c>
      <c r="S13" s="46"/>
      <c r="T13" s="46"/>
      <c r="U13" s="46"/>
      <c r="V13" s="35">
        <v>0</v>
      </c>
      <c r="W13" s="35">
        <v>0</v>
      </c>
      <c r="X13" s="35">
        <v>0</v>
      </c>
    </row>
    <row r="14" spans="1:26" s="33" customFormat="1" hidden="1" x14ac:dyDescent="0.3">
      <c r="A14" s="32">
        <v>2015</v>
      </c>
      <c r="B14" s="33" t="s">
        <v>213</v>
      </c>
      <c r="C14" s="33" t="s">
        <v>17</v>
      </c>
      <c r="D14" s="33" t="s">
        <v>246</v>
      </c>
      <c r="F14" s="33" t="s">
        <v>215</v>
      </c>
      <c r="G14" s="33" t="s">
        <v>9</v>
      </c>
      <c r="H14" s="33" t="s">
        <v>10</v>
      </c>
      <c r="K14" s="33" t="s">
        <v>146</v>
      </c>
      <c r="L14" s="34" t="s">
        <v>16</v>
      </c>
      <c r="M14" s="33" t="s">
        <v>214</v>
      </c>
      <c r="N14" s="33">
        <v>13.73</v>
      </c>
      <c r="O14" s="39" t="s">
        <v>109</v>
      </c>
      <c r="P14" s="39" t="s">
        <v>109</v>
      </c>
      <c r="Q14" s="35">
        <v>0.32300000000000001</v>
      </c>
      <c r="R14" s="46">
        <v>0.83099999999999996</v>
      </c>
      <c r="S14" s="46"/>
      <c r="T14" s="46"/>
      <c r="U14" s="46"/>
      <c r="V14" s="35">
        <v>0</v>
      </c>
      <c r="W14" s="35">
        <v>0</v>
      </c>
      <c r="X14" s="35">
        <v>0</v>
      </c>
    </row>
    <row r="15" spans="1:26" s="33" customFormat="1" hidden="1" x14ac:dyDescent="0.3">
      <c r="A15" s="32">
        <v>2015</v>
      </c>
      <c r="B15" s="33" t="s">
        <v>313</v>
      </c>
      <c r="C15" s="33" t="s">
        <v>17</v>
      </c>
      <c r="D15" s="33" t="s">
        <v>246</v>
      </c>
      <c r="F15" s="33" t="s">
        <v>315</v>
      </c>
      <c r="G15" s="33" t="s">
        <v>9</v>
      </c>
      <c r="H15" s="33" t="s">
        <v>10</v>
      </c>
      <c r="K15" s="33" t="s">
        <v>146</v>
      </c>
      <c r="L15" s="34" t="s">
        <v>16</v>
      </c>
      <c r="M15" s="33" t="s">
        <v>316</v>
      </c>
      <c r="N15" s="33">
        <v>13.73</v>
      </c>
      <c r="O15" s="39" t="s">
        <v>109</v>
      </c>
      <c r="P15" s="39" t="s">
        <v>109</v>
      </c>
      <c r="Q15" s="35">
        <v>0.32300000000000001</v>
      </c>
      <c r="R15" s="46">
        <v>0.83099999999999996</v>
      </c>
      <c r="S15" s="46"/>
      <c r="T15" s="46"/>
      <c r="U15" s="46"/>
      <c r="V15" s="35">
        <v>0</v>
      </c>
      <c r="W15" s="35">
        <v>0</v>
      </c>
      <c r="X15" s="35">
        <v>0</v>
      </c>
    </row>
    <row r="16" spans="1:26" s="33" customFormat="1" hidden="1" x14ac:dyDescent="0.3">
      <c r="A16" s="32">
        <v>2015</v>
      </c>
      <c r="B16" s="33" t="s">
        <v>314</v>
      </c>
      <c r="C16" s="33" t="s">
        <v>17</v>
      </c>
      <c r="D16" s="33" t="s">
        <v>246</v>
      </c>
      <c r="F16" s="33" t="s">
        <v>317</v>
      </c>
      <c r="G16" s="33" t="s">
        <v>9</v>
      </c>
      <c r="H16" s="33" t="s">
        <v>10</v>
      </c>
      <c r="K16" s="33" t="s">
        <v>146</v>
      </c>
      <c r="L16" s="34" t="s">
        <v>16</v>
      </c>
      <c r="M16" s="33" t="s">
        <v>316</v>
      </c>
      <c r="N16" s="33">
        <v>13.73</v>
      </c>
      <c r="O16" s="39" t="s">
        <v>109</v>
      </c>
      <c r="P16" s="39" t="s">
        <v>109</v>
      </c>
      <c r="Q16" s="35">
        <v>0.32300000000000001</v>
      </c>
      <c r="R16" s="46">
        <v>0.83099999999999996</v>
      </c>
      <c r="S16" s="46"/>
      <c r="T16" s="46"/>
      <c r="U16" s="46"/>
      <c r="V16" s="35">
        <v>0</v>
      </c>
      <c r="W16" s="35">
        <v>0</v>
      </c>
      <c r="X16" s="35">
        <v>0</v>
      </c>
      <c r="Y16" s="55"/>
    </row>
    <row r="17" spans="1:26" s="33" customFormat="1" x14ac:dyDescent="0.3">
      <c r="A17" s="32">
        <v>2015</v>
      </c>
      <c r="B17" s="33" t="s">
        <v>363</v>
      </c>
      <c r="C17" s="33" t="s">
        <v>17</v>
      </c>
      <c r="D17" s="33" t="s">
        <v>246</v>
      </c>
      <c r="F17" s="33" t="s">
        <v>364</v>
      </c>
      <c r="G17" s="33" t="s">
        <v>9</v>
      </c>
      <c r="H17" s="33" t="s">
        <v>10</v>
      </c>
      <c r="I17" s="71" t="s">
        <v>11</v>
      </c>
      <c r="K17" s="33" t="s">
        <v>146</v>
      </c>
      <c r="L17" s="34" t="s">
        <v>16</v>
      </c>
      <c r="M17" s="33" t="s">
        <v>365</v>
      </c>
      <c r="N17" s="33">
        <v>14.73</v>
      </c>
      <c r="O17" s="39" t="s">
        <v>109</v>
      </c>
      <c r="P17" s="39" t="s">
        <v>109</v>
      </c>
      <c r="Q17" s="35">
        <v>0.32300000000000001</v>
      </c>
      <c r="R17" s="46">
        <v>0.83099999999999996</v>
      </c>
      <c r="S17" s="46"/>
      <c r="T17" s="46"/>
      <c r="U17" s="35">
        <v>0</v>
      </c>
      <c r="V17" s="35">
        <v>0</v>
      </c>
      <c r="W17" s="35">
        <v>0</v>
      </c>
      <c r="X17" s="35">
        <v>0</v>
      </c>
      <c r="Y17" s="55" t="s">
        <v>330</v>
      </c>
      <c r="Z17" s="33">
        <v>2015</v>
      </c>
    </row>
    <row r="18" spans="1:26" s="51" customFormat="1" hidden="1" x14ac:dyDescent="0.3">
      <c r="A18" s="51">
        <v>2015</v>
      </c>
      <c r="B18" s="51" t="s">
        <v>499</v>
      </c>
      <c r="C18" s="51" t="s">
        <v>17</v>
      </c>
      <c r="D18" s="51" t="s">
        <v>245</v>
      </c>
      <c r="F18" s="51" t="s">
        <v>498</v>
      </c>
      <c r="G18" s="51" t="s">
        <v>568</v>
      </c>
      <c r="H18" s="51" t="s">
        <v>10</v>
      </c>
      <c r="K18" s="51" t="s">
        <v>500</v>
      </c>
      <c r="L18" s="50" t="s">
        <v>42</v>
      </c>
      <c r="M18" s="51" t="s">
        <v>501</v>
      </c>
      <c r="N18" s="51">
        <v>14.73</v>
      </c>
      <c r="O18" s="53" t="s">
        <v>109</v>
      </c>
      <c r="P18" s="53" t="s">
        <v>109</v>
      </c>
      <c r="Q18" s="54">
        <v>0.32300000000000001</v>
      </c>
      <c r="R18" s="98">
        <v>0.83099999999999996</v>
      </c>
      <c r="S18" s="98"/>
      <c r="T18" s="98"/>
      <c r="U18" s="98"/>
      <c r="V18" s="54">
        <v>0</v>
      </c>
      <c r="W18" s="54">
        <v>0</v>
      </c>
      <c r="X18" s="54">
        <v>0</v>
      </c>
    </row>
    <row r="19" spans="1:26" s="51" customFormat="1" hidden="1" x14ac:dyDescent="0.3">
      <c r="A19" s="51">
        <v>2015</v>
      </c>
      <c r="B19" s="51" t="s">
        <v>502</v>
      </c>
      <c r="C19" s="51" t="s">
        <v>17</v>
      </c>
      <c r="D19" s="51" t="s">
        <v>245</v>
      </c>
      <c r="F19" s="51" t="s">
        <v>503</v>
      </c>
      <c r="G19" s="51" t="s">
        <v>568</v>
      </c>
      <c r="H19" s="51" t="s">
        <v>10</v>
      </c>
      <c r="K19" s="51" t="s">
        <v>500</v>
      </c>
      <c r="L19" s="50" t="s">
        <v>42</v>
      </c>
      <c r="M19" s="51" t="s">
        <v>504</v>
      </c>
      <c r="N19" s="51">
        <v>14.73</v>
      </c>
      <c r="O19" s="53" t="s">
        <v>109</v>
      </c>
      <c r="P19" s="53" t="s">
        <v>109</v>
      </c>
      <c r="Q19" s="54">
        <v>0.32300000000000001</v>
      </c>
      <c r="R19" s="98">
        <v>0.83099999999999996</v>
      </c>
      <c r="S19" s="98"/>
      <c r="T19" s="98"/>
      <c r="U19" s="98"/>
      <c r="V19" s="54">
        <v>0</v>
      </c>
      <c r="W19" s="54">
        <v>0</v>
      </c>
      <c r="X19" s="54">
        <v>0</v>
      </c>
    </row>
    <row r="20" spans="1:26" s="51" customFormat="1" hidden="1" x14ac:dyDescent="0.3">
      <c r="A20" s="51">
        <v>2015</v>
      </c>
      <c r="B20" s="51" t="s">
        <v>510</v>
      </c>
      <c r="C20" s="51" t="s">
        <v>17</v>
      </c>
      <c r="D20" s="51" t="s">
        <v>245</v>
      </c>
      <c r="F20" s="51" t="s">
        <v>508</v>
      </c>
      <c r="G20" s="51" t="s">
        <v>568</v>
      </c>
      <c r="H20" s="51" t="s">
        <v>10</v>
      </c>
      <c r="K20" s="51" t="s">
        <v>500</v>
      </c>
      <c r="L20" s="50" t="s">
        <v>42</v>
      </c>
      <c r="M20" s="51" t="s">
        <v>511</v>
      </c>
      <c r="N20" s="51">
        <v>14.73</v>
      </c>
      <c r="O20" s="53" t="s">
        <v>109</v>
      </c>
      <c r="P20" s="53" t="s">
        <v>109</v>
      </c>
      <c r="Q20" s="54">
        <v>0.34</v>
      </c>
      <c r="R20" s="98">
        <v>0.84</v>
      </c>
      <c r="S20" s="98"/>
      <c r="T20" s="98"/>
      <c r="U20" s="98"/>
      <c r="V20" s="54">
        <v>0</v>
      </c>
      <c r="W20" s="54">
        <v>0</v>
      </c>
      <c r="X20" s="54">
        <v>0</v>
      </c>
    </row>
    <row r="21" spans="1:26" s="51" customFormat="1" hidden="1" x14ac:dyDescent="0.3">
      <c r="A21" s="51">
        <v>2015</v>
      </c>
      <c r="B21" s="51" t="s">
        <v>524</v>
      </c>
      <c r="C21" s="51" t="s">
        <v>17</v>
      </c>
      <c r="D21" s="51" t="s">
        <v>245</v>
      </c>
      <c r="F21" s="51" t="s">
        <v>525</v>
      </c>
      <c r="G21" s="51" t="s">
        <v>568</v>
      </c>
      <c r="H21" s="51" t="s">
        <v>10</v>
      </c>
      <c r="K21" s="51" t="s">
        <v>526</v>
      </c>
      <c r="L21" s="50" t="s">
        <v>42</v>
      </c>
      <c r="M21" s="51" t="s">
        <v>527</v>
      </c>
      <c r="N21" s="51">
        <v>14.73</v>
      </c>
      <c r="O21" s="53" t="s">
        <v>109</v>
      </c>
      <c r="P21" s="53" t="s">
        <v>109</v>
      </c>
      <c r="Q21" s="54">
        <v>0.34</v>
      </c>
      <c r="R21" s="98">
        <v>0.84</v>
      </c>
      <c r="S21" s="98"/>
      <c r="T21" s="98"/>
      <c r="U21" s="98"/>
      <c r="V21" s="54">
        <v>0</v>
      </c>
      <c r="W21" s="54">
        <v>0</v>
      </c>
      <c r="X21" s="54">
        <v>0</v>
      </c>
    </row>
    <row r="22" spans="1:26" s="51" customFormat="1" hidden="1" x14ac:dyDescent="0.3">
      <c r="A22" s="51">
        <v>2015</v>
      </c>
      <c r="B22" s="51" t="s">
        <v>531</v>
      </c>
      <c r="C22" s="51" t="s">
        <v>17</v>
      </c>
      <c r="D22" s="51" t="s">
        <v>245</v>
      </c>
      <c r="F22" s="51" t="s">
        <v>532</v>
      </c>
      <c r="G22" s="51" t="s">
        <v>568</v>
      </c>
      <c r="H22" s="51" t="s">
        <v>10</v>
      </c>
      <c r="K22" s="51" t="s">
        <v>526</v>
      </c>
      <c r="L22" s="50" t="s">
        <v>42</v>
      </c>
      <c r="M22" s="51" t="s">
        <v>533</v>
      </c>
      <c r="N22" s="51">
        <v>14.73</v>
      </c>
      <c r="O22" s="53" t="s">
        <v>109</v>
      </c>
      <c r="P22" s="53" t="s">
        <v>109</v>
      </c>
      <c r="Q22" s="54">
        <v>0.25</v>
      </c>
      <c r="R22" s="98">
        <v>0.54</v>
      </c>
      <c r="S22" s="98">
        <v>8.0000000000000002E-3</v>
      </c>
      <c r="T22" s="98"/>
      <c r="U22" s="98"/>
      <c r="V22" s="54">
        <v>0</v>
      </c>
      <c r="W22" s="54">
        <v>0</v>
      </c>
      <c r="X22" s="54">
        <v>0</v>
      </c>
    </row>
    <row r="23" spans="1:26" s="51" customFormat="1" hidden="1" x14ac:dyDescent="0.3">
      <c r="A23" s="51">
        <v>2015</v>
      </c>
      <c r="B23" s="51" t="s">
        <v>541</v>
      </c>
      <c r="C23" s="51" t="s">
        <v>17</v>
      </c>
      <c r="D23" s="51" t="s">
        <v>245</v>
      </c>
      <c r="F23" s="51" t="s">
        <v>539</v>
      </c>
      <c r="G23" s="51" t="s">
        <v>568</v>
      </c>
      <c r="H23" s="51" t="s">
        <v>10</v>
      </c>
      <c r="K23" s="51" t="s">
        <v>526</v>
      </c>
      <c r="L23" s="50" t="s">
        <v>42</v>
      </c>
      <c r="M23" s="51" t="s">
        <v>542</v>
      </c>
      <c r="N23" s="51">
        <v>14.73</v>
      </c>
      <c r="O23" s="53" t="s">
        <v>109</v>
      </c>
      <c r="P23" s="53" t="s">
        <v>109</v>
      </c>
      <c r="Q23" s="54">
        <v>0.25</v>
      </c>
      <c r="R23" s="98">
        <v>0.54</v>
      </c>
      <c r="S23" s="98"/>
      <c r="T23" s="98">
        <v>-1.351</v>
      </c>
      <c r="U23" s="98"/>
      <c r="V23" s="54">
        <v>0</v>
      </c>
      <c r="W23" s="54">
        <v>0</v>
      </c>
      <c r="X23" s="54">
        <v>0</v>
      </c>
    </row>
    <row r="24" spans="1:26" s="51" customFormat="1" hidden="1" x14ac:dyDescent="0.3">
      <c r="A24" s="51">
        <v>2015</v>
      </c>
      <c r="B24" s="51" t="s">
        <v>591</v>
      </c>
      <c r="C24" s="51" t="s">
        <v>17</v>
      </c>
      <c r="D24" s="51" t="s">
        <v>245</v>
      </c>
      <c r="F24" s="51" t="s">
        <v>589</v>
      </c>
      <c r="G24" s="51" t="s">
        <v>568</v>
      </c>
      <c r="H24" s="51" t="s">
        <v>10</v>
      </c>
      <c r="K24" s="51" t="s">
        <v>526</v>
      </c>
      <c r="L24" s="50" t="s">
        <v>42</v>
      </c>
      <c r="M24" s="51" t="s">
        <v>590</v>
      </c>
      <c r="N24" s="102">
        <v>14.4</v>
      </c>
      <c r="O24" s="53" t="s">
        <v>109</v>
      </c>
      <c r="P24" s="53" t="s">
        <v>109</v>
      </c>
      <c r="Q24" s="54"/>
      <c r="R24" s="98"/>
      <c r="S24" s="98"/>
      <c r="T24" s="98">
        <v>-1.351</v>
      </c>
      <c r="U24" s="98">
        <v>3</v>
      </c>
      <c r="V24" s="54">
        <v>0</v>
      </c>
      <c r="W24" s="54">
        <v>0</v>
      </c>
      <c r="X24" s="54">
        <v>0</v>
      </c>
    </row>
    <row r="25" spans="1:26" s="51" customFormat="1" hidden="1" x14ac:dyDescent="0.3">
      <c r="A25" s="51">
        <v>2015</v>
      </c>
      <c r="B25" s="51" t="s">
        <v>592</v>
      </c>
      <c r="C25" s="51" t="s">
        <v>17</v>
      </c>
      <c r="D25" s="51" t="s">
        <v>245</v>
      </c>
      <c r="F25" s="51" t="s">
        <v>593</v>
      </c>
      <c r="G25" s="51" t="s">
        <v>568</v>
      </c>
      <c r="H25" s="51" t="s">
        <v>10</v>
      </c>
      <c r="K25" s="51" t="s">
        <v>526</v>
      </c>
      <c r="L25" s="50" t="s">
        <v>42</v>
      </c>
      <c r="M25" s="51" t="s">
        <v>594</v>
      </c>
      <c r="N25" s="102">
        <v>14.4</v>
      </c>
      <c r="O25" s="53" t="s">
        <v>109</v>
      </c>
      <c r="P25" s="53" t="s">
        <v>109</v>
      </c>
      <c r="Q25" s="54"/>
      <c r="R25" s="98"/>
      <c r="S25" s="98"/>
      <c r="T25" s="98">
        <v>-1.44</v>
      </c>
      <c r="U25" s="98">
        <v>5</v>
      </c>
      <c r="V25" s="54">
        <v>0</v>
      </c>
      <c r="W25" s="54">
        <v>0</v>
      </c>
      <c r="X25" s="54">
        <v>0</v>
      </c>
    </row>
    <row r="26" spans="1:26" s="51" customFormat="1" hidden="1" x14ac:dyDescent="0.3">
      <c r="A26" s="51">
        <v>2015</v>
      </c>
      <c r="B26" s="51" t="s">
        <v>606</v>
      </c>
      <c r="C26" s="51" t="s">
        <v>17</v>
      </c>
      <c r="D26" s="51" t="s">
        <v>245</v>
      </c>
      <c r="F26" s="51" t="s">
        <v>607</v>
      </c>
      <c r="G26" s="51" t="s">
        <v>568</v>
      </c>
      <c r="H26" s="51" t="s">
        <v>10</v>
      </c>
      <c r="K26" s="51" t="s">
        <v>614</v>
      </c>
      <c r="L26" s="50" t="s">
        <v>42</v>
      </c>
      <c r="M26" s="51" t="s">
        <v>615</v>
      </c>
      <c r="N26" s="102">
        <v>14.4</v>
      </c>
      <c r="O26" s="53" t="s">
        <v>109</v>
      </c>
      <c r="P26" s="53" t="s">
        <v>109</v>
      </c>
      <c r="Q26" s="54"/>
      <c r="R26" s="98"/>
      <c r="S26" s="98"/>
      <c r="T26" s="98">
        <v>-1.54</v>
      </c>
      <c r="U26" s="98">
        <v>5</v>
      </c>
      <c r="V26" s="54">
        <v>0</v>
      </c>
      <c r="W26" s="54">
        <v>0</v>
      </c>
      <c r="X26" s="54">
        <v>0</v>
      </c>
      <c r="Y26" s="132"/>
    </row>
    <row r="27" spans="1:26" s="51" customFormat="1" x14ac:dyDescent="0.3">
      <c r="A27" s="51">
        <v>2015</v>
      </c>
      <c r="B27" s="51" t="s">
        <v>765</v>
      </c>
      <c r="C27" s="51" t="s">
        <v>17</v>
      </c>
      <c r="D27" s="51" t="s">
        <v>245</v>
      </c>
      <c r="F27" s="51" t="s">
        <v>766</v>
      </c>
      <c r="G27" s="51" t="s">
        <v>771</v>
      </c>
      <c r="H27" s="51" t="s">
        <v>10</v>
      </c>
      <c r="I27" s="71" t="s">
        <v>11</v>
      </c>
      <c r="K27" s="51" t="s">
        <v>767</v>
      </c>
      <c r="L27" s="50" t="s">
        <v>43</v>
      </c>
      <c r="M27" s="51" t="s">
        <v>768</v>
      </c>
      <c r="N27" s="102">
        <v>14.4</v>
      </c>
      <c r="O27" s="53" t="s">
        <v>109</v>
      </c>
      <c r="P27" s="53" t="s">
        <v>109</v>
      </c>
      <c r="Q27" s="54"/>
      <c r="R27" s="98"/>
      <c r="S27" s="98"/>
      <c r="T27" s="98">
        <v>-1.54</v>
      </c>
      <c r="U27" s="98">
        <v>5</v>
      </c>
      <c r="V27" s="54">
        <v>0</v>
      </c>
      <c r="W27" s="54">
        <v>0</v>
      </c>
      <c r="X27" s="54">
        <v>0</v>
      </c>
      <c r="Y27" s="132" t="s">
        <v>330</v>
      </c>
      <c r="Z27" s="51">
        <v>2015</v>
      </c>
    </row>
    <row r="28" spans="1:26" hidden="1" x14ac:dyDescent="0.3">
      <c r="A28" s="1">
        <v>2023</v>
      </c>
      <c r="B28" s="1" t="s">
        <v>14</v>
      </c>
      <c r="C28" s="1" t="s">
        <v>17</v>
      </c>
      <c r="D28" s="1" t="s">
        <v>245</v>
      </c>
      <c r="F28" s="1" t="s">
        <v>19</v>
      </c>
      <c r="G28" s="1" t="s">
        <v>9</v>
      </c>
      <c r="H28" s="1" t="s">
        <v>10</v>
      </c>
      <c r="K28" s="1" t="s">
        <v>12</v>
      </c>
      <c r="L28" s="9" t="s">
        <v>16</v>
      </c>
      <c r="M28" s="1" t="s">
        <v>24</v>
      </c>
      <c r="O28" s="40">
        <v>-0.44</v>
      </c>
      <c r="P28" s="40">
        <v>-0.23</v>
      </c>
      <c r="Q28" s="6"/>
      <c r="R28" s="6"/>
      <c r="S28" s="6"/>
      <c r="T28" s="6"/>
      <c r="U28" s="6"/>
      <c r="V28" s="6">
        <v>0</v>
      </c>
      <c r="W28" s="6">
        <v>0</v>
      </c>
    </row>
    <row r="29" spans="1:26" hidden="1" x14ac:dyDescent="0.3">
      <c r="A29" s="1">
        <v>2023</v>
      </c>
      <c r="B29" s="1" t="s">
        <v>20</v>
      </c>
      <c r="C29" s="1" t="s">
        <v>17</v>
      </c>
      <c r="D29" s="1" t="s">
        <v>245</v>
      </c>
      <c r="F29" s="1" t="s">
        <v>21</v>
      </c>
      <c r="G29" s="1" t="s">
        <v>9</v>
      </c>
      <c r="H29" s="1" t="s">
        <v>10</v>
      </c>
      <c r="K29" s="1" t="s">
        <v>12</v>
      </c>
      <c r="L29" s="9" t="s">
        <v>16</v>
      </c>
      <c r="M29" s="1" t="s">
        <v>25</v>
      </c>
      <c r="O29" s="40">
        <v>-1.25</v>
      </c>
      <c r="P29" s="40">
        <v>-0.75</v>
      </c>
      <c r="Q29" s="6"/>
      <c r="R29" s="6"/>
      <c r="S29" s="6"/>
      <c r="T29" s="6"/>
      <c r="U29" s="6"/>
      <c r="V29" s="6">
        <v>30</v>
      </c>
      <c r="W29" s="6">
        <v>0</v>
      </c>
    </row>
    <row r="30" spans="1:26" hidden="1" x14ac:dyDescent="0.3">
      <c r="A30" s="1">
        <v>2023</v>
      </c>
      <c r="B30" s="1" t="s">
        <v>26</v>
      </c>
      <c r="C30" s="1" t="s">
        <v>17</v>
      </c>
      <c r="D30" s="1" t="s">
        <v>245</v>
      </c>
      <c r="F30" s="1" t="s">
        <v>27</v>
      </c>
      <c r="G30" s="1" t="s">
        <v>9</v>
      </c>
      <c r="H30" s="1" t="s">
        <v>10</v>
      </c>
      <c r="K30" s="1" t="s">
        <v>28</v>
      </c>
      <c r="L30" s="9" t="s">
        <v>16</v>
      </c>
      <c r="M30" s="1" t="s">
        <v>29</v>
      </c>
      <c r="O30" s="40">
        <v>-1.25</v>
      </c>
      <c r="P30" s="40">
        <v>-0.75</v>
      </c>
      <c r="Q30" s="6"/>
      <c r="R30" s="6"/>
      <c r="S30" s="6"/>
      <c r="T30" s="6"/>
      <c r="U30" s="6"/>
      <c r="V30" s="6">
        <v>45</v>
      </c>
      <c r="W30" s="6">
        <v>15</v>
      </c>
    </row>
    <row r="31" spans="1:26" hidden="1" x14ac:dyDescent="0.3">
      <c r="A31" s="1">
        <v>2023</v>
      </c>
      <c r="B31" s="1" t="s">
        <v>30</v>
      </c>
      <c r="C31" s="1" t="s">
        <v>17</v>
      </c>
      <c r="D31" s="1" t="s">
        <v>245</v>
      </c>
      <c r="F31" s="1" t="s">
        <v>33</v>
      </c>
      <c r="G31" s="1" t="s">
        <v>9</v>
      </c>
      <c r="H31" s="1" t="s">
        <v>10</v>
      </c>
      <c r="K31" s="1" t="s">
        <v>32</v>
      </c>
      <c r="L31" s="9" t="s">
        <v>16</v>
      </c>
      <c r="M31" s="1" t="s">
        <v>31</v>
      </c>
      <c r="O31" s="40">
        <v>-1.25</v>
      </c>
      <c r="P31" s="40">
        <v>-0.75</v>
      </c>
      <c r="Q31" s="6"/>
      <c r="R31" s="6"/>
      <c r="S31" s="6"/>
      <c r="T31" s="6"/>
      <c r="U31" s="6"/>
      <c r="V31" s="6">
        <v>75</v>
      </c>
      <c r="W31" s="6">
        <v>15</v>
      </c>
    </row>
    <row r="32" spans="1:26" hidden="1" x14ac:dyDescent="0.3">
      <c r="A32" s="1">
        <v>2023</v>
      </c>
      <c r="B32" s="1" t="s">
        <v>36</v>
      </c>
      <c r="C32" s="1" t="s">
        <v>17</v>
      </c>
      <c r="D32" s="1" t="s">
        <v>245</v>
      </c>
      <c r="F32" s="1" t="s">
        <v>35</v>
      </c>
      <c r="G32" s="1" t="s">
        <v>9</v>
      </c>
      <c r="H32" s="1" t="s">
        <v>10</v>
      </c>
      <c r="K32" s="1" t="s">
        <v>32</v>
      </c>
      <c r="L32" s="9" t="s">
        <v>16</v>
      </c>
      <c r="M32" s="1" t="s">
        <v>34</v>
      </c>
      <c r="O32" s="40">
        <v>-1.25</v>
      </c>
      <c r="P32" s="40">
        <v>-0.75</v>
      </c>
      <c r="Q32" s="6"/>
      <c r="R32" s="6"/>
      <c r="S32" s="6"/>
      <c r="T32" s="6"/>
      <c r="U32" s="6"/>
      <c r="V32" s="11">
        <v>75</v>
      </c>
      <c r="W32" s="11">
        <v>15</v>
      </c>
    </row>
    <row r="33" spans="1:24" hidden="1" x14ac:dyDescent="0.3">
      <c r="A33" s="1">
        <v>2023</v>
      </c>
      <c r="B33" s="1" t="s">
        <v>39</v>
      </c>
      <c r="C33" s="1" t="s">
        <v>17</v>
      </c>
      <c r="D33" s="1" t="s">
        <v>245</v>
      </c>
      <c r="F33" s="1" t="s">
        <v>46</v>
      </c>
      <c r="G33" s="1" t="s">
        <v>9</v>
      </c>
      <c r="H33" s="1" t="s">
        <v>10</v>
      </c>
      <c r="K33" s="1" t="s">
        <v>32</v>
      </c>
      <c r="L33" s="9" t="s">
        <v>42</v>
      </c>
      <c r="M33" s="1" t="s">
        <v>45</v>
      </c>
      <c r="O33" s="40">
        <v>-1.25</v>
      </c>
      <c r="P33" s="40">
        <v>-0.75</v>
      </c>
      <c r="Q33" s="6"/>
      <c r="R33" s="6"/>
      <c r="S33" s="6"/>
      <c r="T33" s="6"/>
      <c r="U33" s="6"/>
      <c r="V33" s="7">
        <v>85</v>
      </c>
      <c r="W33" s="7">
        <v>15</v>
      </c>
    </row>
    <row r="34" spans="1:24" hidden="1" x14ac:dyDescent="0.3">
      <c r="A34" s="1">
        <v>2023</v>
      </c>
      <c r="B34" s="1" t="s">
        <v>40</v>
      </c>
      <c r="C34" s="1" t="s">
        <v>17</v>
      </c>
      <c r="D34" s="1" t="s">
        <v>245</v>
      </c>
      <c r="F34" s="1" t="s">
        <v>46</v>
      </c>
      <c r="G34" s="1" t="s">
        <v>9</v>
      </c>
      <c r="H34" s="1" t="s">
        <v>10</v>
      </c>
      <c r="K34" s="1" t="s">
        <v>32</v>
      </c>
      <c r="L34" s="9" t="s">
        <v>43</v>
      </c>
      <c r="M34" s="1" t="s">
        <v>45</v>
      </c>
      <c r="O34" s="40">
        <v>-1.25</v>
      </c>
      <c r="P34" s="40">
        <v>-0.75</v>
      </c>
      <c r="Q34" s="6"/>
      <c r="R34" s="6"/>
      <c r="S34" s="6"/>
      <c r="T34" s="6"/>
      <c r="U34" s="6"/>
      <c r="V34" s="7">
        <v>95</v>
      </c>
      <c r="W34" s="7">
        <v>15</v>
      </c>
    </row>
    <row r="35" spans="1:24" hidden="1" x14ac:dyDescent="0.3">
      <c r="A35" s="1">
        <v>2023</v>
      </c>
      <c r="B35" s="1" t="s">
        <v>41</v>
      </c>
      <c r="C35" s="1" t="s">
        <v>17</v>
      </c>
      <c r="D35" s="1" t="s">
        <v>245</v>
      </c>
      <c r="F35" s="1" t="s">
        <v>46</v>
      </c>
      <c r="G35" s="1" t="s">
        <v>9</v>
      </c>
      <c r="H35" s="1" t="s">
        <v>10</v>
      </c>
      <c r="K35" s="1" t="s">
        <v>32</v>
      </c>
      <c r="L35" s="9" t="s">
        <v>44</v>
      </c>
      <c r="M35" s="1" t="s">
        <v>45</v>
      </c>
      <c r="O35" s="40">
        <v>-1.25</v>
      </c>
      <c r="P35" s="40">
        <v>-0.75</v>
      </c>
      <c r="Q35" s="6"/>
      <c r="R35" s="6"/>
      <c r="S35" s="6"/>
      <c r="T35" s="6"/>
      <c r="U35" s="6"/>
      <c r="V35" s="7">
        <v>85</v>
      </c>
      <c r="W35" s="7">
        <v>30</v>
      </c>
    </row>
    <row r="36" spans="1:24" hidden="1" x14ac:dyDescent="0.3">
      <c r="A36" s="1">
        <v>2023</v>
      </c>
      <c r="B36" s="1" t="s">
        <v>47</v>
      </c>
      <c r="C36" s="1" t="s">
        <v>17</v>
      </c>
      <c r="D36" s="1" t="s">
        <v>245</v>
      </c>
      <c r="F36" s="1" t="s">
        <v>48</v>
      </c>
      <c r="G36" s="1" t="s">
        <v>9</v>
      </c>
      <c r="H36" s="1" t="s">
        <v>10</v>
      </c>
      <c r="K36" s="1" t="s">
        <v>49</v>
      </c>
      <c r="L36" s="10" t="s">
        <v>42</v>
      </c>
      <c r="M36" s="1" t="s">
        <v>50</v>
      </c>
      <c r="O36" s="40">
        <v>-1.25</v>
      </c>
      <c r="P36" s="40">
        <v>-0.75</v>
      </c>
      <c r="Q36" s="6"/>
      <c r="R36" s="6"/>
      <c r="S36" s="6"/>
      <c r="T36" s="6"/>
      <c r="U36" s="6"/>
      <c r="V36" s="7">
        <v>85</v>
      </c>
      <c r="W36" s="7">
        <v>30</v>
      </c>
    </row>
    <row r="37" spans="1:24" hidden="1" x14ac:dyDescent="0.3">
      <c r="A37" s="1">
        <v>2023</v>
      </c>
      <c r="B37" s="1" t="s">
        <v>51</v>
      </c>
      <c r="C37" s="1" t="s">
        <v>17</v>
      </c>
      <c r="D37" s="1" t="s">
        <v>245</v>
      </c>
      <c r="F37" s="1" t="s">
        <v>52</v>
      </c>
      <c r="G37" s="1" t="s">
        <v>9</v>
      </c>
      <c r="H37" s="1" t="s">
        <v>10</v>
      </c>
      <c r="K37" s="1" t="s">
        <v>53</v>
      </c>
      <c r="L37" s="10" t="s">
        <v>42</v>
      </c>
      <c r="M37" s="1" t="s">
        <v>56</v>
      </c>
      <c r="O37" s="40">
        <v>-1.25</v>
      </c>
      <c r="P37" s="40">
        <v>-0.75</v>
      </c>
      <c r="Q37" s="6"/>
      <c r="R37" s="6"/>
      <c r="S37" s="6"/>
      <c r="T37" s="6"/>
      <c r="U37" s="6"/>
      <c r="V37" s="7">
        <v>95</v>
      </c>
      <c r="W37" s="7">
        <v>30</v>
      </c>
    </row>
    <row r="38" spans="1:24" hidden="1" x14ac:dyDescent="0.3">
      <c r="A38" s="1">
        <v>2023</v>
      </c>
      <c r="B38" s="1" t="s">
        <v>54</v>
      </c>
      <c r="C38" s="1" t="s">
        <v>17</v>
      </c>
      <c r="D38" s="1" t="s">
        <v>245</v>
      </c>
      <c r="F38" s="1" t="s">
        <v>55</v>
      </c>
      <c r="G38" s="1" t="s">
        <v>9</v>
      </c>
      <c r="H38" s="1" t="s">
        <v>10</v>
      </c>
      <c r="K38" s="1" t="s">
        <v>53</v>
      </c>
      <c r="L38" s="10" t="s">
        <v>43</v>
      </c>
      <c r="M38" s="1" t="s">
        <v>56</v>
      </c>
      <c r="O38" s="40">
        <v>-1.25</v>
      </c>
      <c r="P38" s="40">
        <v>-0.75</v>
      </c>
      <c r="Q38" s="6"/>
      <c r="R38" s="6"/>
      <c r="S38" s="6"/>
      <c r="T38" s="6"/>
      <c r="U38" s="6"/>
      <c r="V38" s="7">
        <v>120</v>
      </c>
      <c r="W38" s="7">
        <v>30</v>
      </c>
    </row>
    <row r="39" spans="1:24" hidden="1" x14ac:dyDescent="0.3">
      <c r="A39" s="1">
        <v>2023</v>
      </c>
      <c r="B39" s="1" t="s">
        <v>57</v>
      </c>
      <c r="C39" s="1" t="s">
        <v>17</v>
      </c>
      <c r="D39" s="1" t="s">
        <v>245</v>
      </c>
      <c r="F39" s="1" t="s">
        <v>58</v>
      </c>
      <c r="G39" s="1" t="s">
        <v>9</v>
      </c>
      <c r="H39" s="1" t="s">
        <v>10</v>
      </c>
      <c r="K39" s="1" t="s">
        <v>59</v>
      </c>
      <c r="L39" s="10" t="s">
        <v>42</v>
      </c>
      <c r="M39" s="1" t="s">
        <v>60</v>
      </c>
      <c r="O39" s="40">
        <v>-1.25</v>
      </c>
      <c r="P39" s="40">
        <v>-0.75</v>
      </c>
      <c r="Q39" s="6"/>
      <c r="R39" s="6"/>
      <c r="S39" s="6"/>
      <c r="T39" s="6"/>
      <c r="U39" s="6"/>
      <c r="V39" s="7">
        <v>180</v>
      </c>
      <c r="W39" s="7">
        <v>10</v>
      </c>
    </row>
    <row r="40" spans="1:24" hidden="1" x14ac:dyDescent="0.3">
      <c r="A40" s="1">
        <v>2023</v>
      </c>
      <c r="B40" s="1" t="s">
        <v>61</v>
      </c>
      <c r="C40" s="1" t="s">
        <v>17</v>
      </c>
      <c r="D40" s="1" t="s">
        <v>245</v>
      </c>
      <c r="F40" s="1" t="s">
        <v>62</v>
      </c>
      <c r="G40" s="1" t="s">
        <v>9</v>
      </c>
      <c r="H40" s="1" t="s">
        <v>10</v>
      </c>
      <c r="K40" s="1" t="s">
        <v>59</v>
      </c>
      <c r="L40" s="10" t="s">
        <v>42</v>
      </c>
      <c r="M40" s="1" t="s">
        <v>64</v>
      </c>
      <c r="O40" s="40">
        <v>-1.25</v>
      </c>
      <c r="P40" s="40">
        <v>-0.75</v>
      </c>
      <c r="Q40" s="6"/>
      <c r="R40" s="6"/>
      <c r="S40" s="6"/>
      <c r="T40" s="6"/>
      <c r="U40" s="6"/>
      <c r="V40" s="7">
        <v>300</v>
      </c>
      <c r="W40" s="7">
        <v>5</v>
      </c>
    </row>
    <row r="41" spans="1:24" hidden="1" x14ac:dyDescent="0.3">
      <c r="A41" s="1">
        <v>2023</v>
      </c>
      <c r="B41" s="1" t="s">
        <v>63</v>
      </c>
      <c r="C41" s="1" t="s">
        <v>17</v>
      </c>
      <c r="D41" s="1" t="s">
        <v>245</v>
      </c>
      <c r="F41" s="1" t="s">
        <v>62</v>
      </c>
      <c r="G41" s="1" t="s">
        <v>9</v>
      </c>
      <c r="H41" s="1" t="s">
        <v>10</v>
      </c>
      <c r="K41" s="1" t="s">
        <v>59</v>
      </c>
      <c r="L41" s="10" t="s">
        <v>42</v>
      </c>
      <c r="M41" s="1" t="s">
        <v>64</v>
      </c>
      <c r="O41" s="40">
        <v>-1.25</v>
      </c>
      <c r="P41" s="40">
        <v>-0.75</v>
      </c>
      <c r="Q41" s="6"/>
      <c r="R41" s="6"/>
      <c r="S41" s="6"/>
      <c r="T41" s="6"/>
      <c r="U41" s="6"/>
      <c r="V41" s="7">
        <v>250</v>
      </c>
      <c r="W41" s="7">
        <v>5</v>
      </c>
    </row>
    <row r="42" spans="1:24" hidden="1" x14ac:dyDescent="0.3">
      <c r="A42" s="1">
        <v>2023</v>
      </c>
      <c r="B42" s="1" t="s">
        <v>65</v>
      </c>
      <c r="C42" s="1" t="s">
        <v>17</v>
      </c>
      <c r="D42" s="1" t="s">
        <v>245</v>
      </c>
      <c r="F42" s="1" t="s">
        <v>62</v>
      </c>
      <c r="G42" s="1" t="s">
        <v>9</v>
      </c>
      <c r="H42" s="1" t="s">
        <v>10</v>
      </c>
      <c r="K42" s="1" t="s">
        <v>59</v>
      </c>
      <c r="L42" s="10" t="s">
        <v>42</v>
      </c>
      <c r="M42" s="1" t="s">
        <v>64</v>
      </c>
      <c r="O42" s="40">
        <v>-1.25</v>
      </c>
      <c r="P42" s="40">
        <v>-0.75</v>
      </c>
      <c r="Q42" s="6"/>
      <c r="R42" s="6"/>
      <c r="S42" s="6"/>
      <c r="T42" s="6"/>
      <c r="U42" s="6"/>
      <c r="V42" s="7">
        <v>200</v>
      </c>
      <c r="W42" s="7">
        <v>5</v>
      </c>
    </row>
    <row r="43" spans="1:24" hidden="1" x14ac:dyDescent="0.3">
      <c r="A43" s="1">
        <v>2023</v>
      </c>
      <c r="B43" s="1" t="s">
        <v>69</v>
      </c>
      <c r="C43" s="1" t="s">
        <v>17</v>
      </c>
      <c r="D43" s="1" t="s">
        <v>245</v>
      </c>
      <c r="F43" s="1" t="s">
        <v>68</v>
      </c>
      <c r="G43" s="1" t="s">
        <v>9</v>
      </c>
      <c r="H43" s="1" t="s">
        <v>10</v>
      </c>
      <c r="K43" s="1" t="s">
        <v>67</v>
      </c>
      <c r="L43" s="10" t="s">
        <v>42</v>
      </c>
      <c r="M43" s="1" t="s">
        <v>66</v>
      </c>
      <c r="O43" s="40">
        <v>-1.25</v>
      </c>
      <c r="P43" s="40">
        <v>-0.75</v>
      </c>
      <c r="Q43" s="6"/>
      <c r="R43" s="6"/>
      <c r="S43" s="6"/>
      <c r="T43" s="6"/>
      <c r="U43" s="6"/>
      <c r="V43" s="7">
        <v>120</v>
      </c>
      <c r="W43" s="7">
        <v>0</v>
      </c>
    </row>
    <row r="44" spans="1:24" hidden="1" x14ac:dyDescent="0.3">
      <c r="A44" s="1">
        <v>2023</v>
      </c>
      <c r="B44" s="1" t="s">
        <v>72</v>
      </c>
      <c r="C44" s="1" t="s">
        <v>17</v>
      </c>
      <c r="D44" s="1" t="s">
        <v>245</v>
      </c>
      <c r="F44" s="1" t="s">
        <v>73</v>
      </c>
      <c r="G44" s="1" t="s">
        <v>9</v>
      </c>
      <c r="H44" s="1" t="s">
        <v>10</v>
      </c>
      <c r="K44" s="1" t="s">
        <v>74</v>
      </c>
      <c r="L44" s="10" t="s">
        <v>42</v>
      </c>
      <c r="M44" s="1" t="s">
        <v>75</v>
      </c>
      <c r="O44" s="40">
        <v>-1.25</v>
      </c>
      <c r="P44" s="40">
        <v>-0.75</v>
      </c>
      <c r="Q44" s="6"/>
      <c r="R44" s="6"/>
      <c r="S44" s="6"/>
      <c r="T44" s="6"/>
      <c r="U44" s="6"/>
      <c r="V44" s="7">
        <v>120</v>
      </c>
      <c r="W44" s="7">
        <v>0</v>
      </c>
    </row>
    <row r="45" spans="1:24" hidden="1" x14ac:dyDescent="0.3">
      <c r="A45" s="1">
        <v>2023</v>
      </c>
      <c r="B45" s="1" t="s">
        <v>77</v>
      </c>
      <c r="C45" s="1" t="s">
        <v>17</v>
      </c>
      <c r="D45" s="1" t="s">
        <v>245</v>
      </c>
      <c r="F45" s="1" t="s">
        <v>78</v>
      </c>
      <c r="G45" s="1" t="s">
        <v>9</v>
      </c>
      <c r="H45" s="1" t="s">
        <v>10</v>
      </c>
      <c r="K45" s="1" t="s">
        <v>79</v>
      </c>
      <c r="L45" s="10" t="s">
        <v>42</v>
      </c>
      <c r="M45" s="1" t="s">
        <v>81</v>
      </c>
      <c r="O45" s="40">
        <v>-1.25</v>
      </c>
      <c r="P45" s="40">
        <v>-0.75</v>
      </c>
      <c r="Q45" s="6"/>
      <c r="R45" s="6"/>
      <c r="S45" s="6"/>
      <c r="T45" s="6"/>
      <c r="U45" s="6"/>
      <c r="V45" s="7">
        <v>120</v>
      </c>
      <c r="W45" s="7">
        <v>0</v>
      </c>
    </row>
    <row r="46" spans="1:24" hidden="1" x14ac:dyDescent="0.3">
      <c r="A46" s="1">
        <v>2023</v>
      </c>
      <c r="B46" s="1" t="s">
        <v>76</v>
      </c>
      <c r="C46" s="1" t="s">
        <v>17</v>
      </c>
      <c r="D46" s="1" t="s">
        <v>245</v>
      </c>
      <c r="F46" s="1" t="s">
        <v>80</v>
      </c>
      <c r="G46" s="1" t="s">
        <v>9</v>
      </c>
      <c r="H46" s="1" t="s">
        <v>10</v>
      </c>
      <c r="K46" s="1" t="s">
        <v>79</v>
      </c>
      <c r="L46" s="10" t="s">
        <v>88</v>
      </c>
      <c r="M46" s="1" t="s">
        <v>81</v>
      </c>
      <c r="Q46" s="6">
        <v>1.27</v>
      </c>
      <c r="R46" s="6">
        <v>1.1499999999999999</v>
      </c>
      <c r="S46" s="6"/>
      <c r="T46" s="6"/>
      <c r="U46" s="6"/>
      <c r="V46" s="7">
        <v>120</v>
      </c>
      <c r="W46" s="7">
        <v>0</v>
      </c>
    </row>
    <row r="47" spans="1:24" hidden="1" x14ac:dyDescent="0.3">
      <c r="A47" s="1">
        <v>2023</v>
      </c>
      <c r="B47" s="1" t="s">
        <v>85</v>
      </c>
      <c r="C47" s="1" t="s">
        <v>17</v>
      </c>
      <c r="D47" s="1" t="s">
        <v>245</v>
      </c>
      <c r="F47" s="1" t="s">
        <v>87</v>
      </c>
      <c r="G47" s="1" t="s">
        <v>9</v>
      </c>
      <c r="H47" s="1" t="s">
        <v>10</v>
      </c>
      <c r="K47" s="1" t="s">
        <v>79</v>
      </c>
      <c r="L47" s="10" t="s">
        <v>42</v>
      </c>
      <c r="M47" s="1" t="s">
        <v>89</v>
      </c>
      <c r="O47" s="40">
        <v>-1.25</v>
      </c>
      <c r="P47" s="40">
        <v>-0.75</v>
      </c>
      <c r="Q47" s="6"/>
      <c r="R47" s="6"/>
      <c r="S47" s="6"/>
      <c r="T47" s="6"/>
      <c r="U47" s="6"/>
      <c r="V47" s="7">
        <v>120</v>
      </c>
      <c r="W47" s="7">
        <v>0</v>
      </c>
      <c r="X47" s="7">
        <v>30</v>
      </c>
    </row>
    <row r="48" spans="1:24" hidden="1" x14ac:dyDescent="0.3">
      <c r="A48" s="1">
        <v>2023</v>
      </c>
      <c r="B48" s="1" t="s">
        <v>86</v>
      </c>
      <c r="C48" s="1" t="s">
        <v>17</v>
      </c>
      <c r="D48" s="1" t="s">
        <v>245</v>
      </c>
      <c r="F48" s="1" t="s">
        <v>87</v>
      </c>
      <c r="G48" s="1" t="s">
        <v>9</v>
      </c>
      <c r="H48" s="1" t="s">
        <v>10</v>
      </c>
      <c r="K48" s="1" t="s">
        <v>79</v>
      </c>
      <c r="L48" s="10" t="s">
        <v>88</v>
      </c>
      <c r="M48" s="1" t="s">
        <v>89</v>
      </c>
      <c r="Q48" s="6">
        <v>1.27</v>
      </c>
      <c r="R48" s="6">
        <v>1.1499999999999999</v>
      </c>
      <c r="S48" s="6"/>
      <c r="T48" s="6"/>
      <c r="U48" s="6"/>
      <c r="V48" s="7">
        <v>120</v>
      </c>
      <c r="W48" s="7">
        <v>0</v>
      </c>
      <c r="X48" s="7">
        <v>30</v>
      </c>
    </row>
    <row r="49" spans="1:24" hidden="1" x14ac:dyDescent="0.3">
      <c r="A49" s="1">
        <v>2023</v>
      </c>
      <c r="B49" s="1" t="s">
        <v>90</v>
      </c>
      <c r="C49" s="1" t="s">
        <v>17</v>
      </c>
      <c r="D49" s="1" t="s">
        <v>245</v>
      </c>
      <c r="F49" s="1" t="s">
        <v>92</v>
      </c>
      <c r="G49" s="1" t="s">
        <v>9</v>
      </c>
      <c r="H49" s="1" t="s">
        <v>10</v>
      </c>
      <c r="K49" s="1" t="s">
        <v>79</v>
      </c>
      <c r="L49" s="10" t="s">
        <v>42</v>
      </c>
      <c r="M49" s="1" t="s">
        <v>93</v>
      </c>
      <c r="O49" s="40">
        <v>-1.25</v>
      </c>
      <c r="P49" s="40">
        <v>-0.75</v>
      </c>
      <c r="Q49" s="99"/>
      <c r="R49" s="99"/>
      <c r="S49" s="99"/>
      <c r="T49" s="99"/>
      <c r="U49" s="99"/>
      <c r="V49" s="7">
        <v>120</v>
      </c>
      <c r="W49" s="7">
        <v>0</v>
      </c>
      <c r="X49" s="7">
        <v>45</v>
      </c>
    </row>
    <row r="50" spans="1:24" hidden="1" x14ac:dyDescent="0.3">
      <c r="A50" s="1">
        <v>2023</v>
      </c>
      <c r="B50" s="1" t="s">
        <v>91</v>
      </c>
      <c r="C50" s="1" t="s">
        <v>17</v>
      </c>
      <c r="D50" s="1" t="s">
        <v>245</v>
      </c>
      <c r="F50" s="1" t="s">
        <v>92</v>
      </c>
      <c r="G50" s="1" t="s">
        <v>9</v>
      </c>
      <c r="H50" s="1" t="s">
        <v>10</v>
      </c>
      <c r="K50" s="1" t="s">
        <v>79</v>
      </c>
      <c r="L50" s="10" t="s">
        <v>88</v>
      </c>
      <c r="M50" s="1" t="s">
        <v>93</v>
      </c>
      <c r="N50" s="1">
        <v>17.77</v>
      </c>
      <c r="O50" s="41" t="s">
        <v>109</v>
      </c>
      <c r="P50" s="41" t="s">
        <v>109</v>
      </c>
      <c r="Q50" s="6">
        <v>1.27</v>
      </c>
      <c r="R50" s="6">
        <v>1.1499999999999999</v>
      </c>
      <c r="S50" s="6"/>
      <c r="T50" s="6"/>
      <c r="U50" s="6"/>
      <c r="V50" s="7">
        <v>120</v>
      </c>
      <c r="W50" s="7">
        <v>0</v>
      </c>
      <c r="X50" s="7">
        <v>45</v>
      </c>
    </row>
    <row r="51" spans="1:24" hidden="1" x14ac:dyDescent="0.3">
      <c r="A51" s="1">
        <v>2023</v>
      </c>
      <c r="B51" s="1" t="s">
        <v>94</v>
      </c>
      <c r="C51" s="1" t="s">
        <v>17</v>
      </c>
      <c r="D51" s="1" t="s">
        <v>245</v>
      </c>
      <c r="F51" s="1" t="s">
        <v>96</v>
      </c>
      <c r="G51" s="1" t="s">
        <v>9</v>
      </c>
      <c r="H51" s="1" t="s">
        <v>10</v>
      </c>
      <c r="K51" s="1" t="s">
        <v>79</v>
      </c>
      <c r="L51" s="10" t="s">
        <v>42</v>
      </c>
      <c r="M51" s="1" t="s">
        <v>97</v>
      </c>
      <c r="N51" s="1">
        <v>17.77</v>
      </c>
      <c r="O51" s="41" t="s">
        <v>109</v>
      </c>
      <c r="P51" s="41" t="s">
        <v>109</v>
      </c>
      <c r="Q51" s="99">
        <v>0.64</v>
      </c>
      <c r="R51" s="99">
        <v>0.57999999999999996</v>
      </c>
      <c r="S51" s="99"/>
      <c r="T51" s="99"/>
      <c r="U51" s="99"/>
      <c r="V51" s="7">
        <v>120</v>
      </c>
      <c r="W51" s="7">
        <v>0</v>
      </c>
      <c r="X51" s="7">
        <v>45</v>
      </c>
    </row>
    <row r="52" spans="1:24" hidden="1" x14ac:dyDescent="0.3">
      <c r="A52" s="1">
        <v>2023</v>
      </c>
      <c r="B52" s="1" t="s">
        <v>95</v>
      </c>
      <c r="C52" s="1" t="s">
        <v>17</v>
      </c>
      <c r="D52" s="1" t="s">
        <v>245</v>
      </c>
      <c r="F52" s="1" t="s">
        <v>152</v>
      </c>
      <c r="G52" s="1" t="s">
        <v>9</v>
      </c>
      <c r="H52" s="1" t="s">
        <v>10</v>
      </c>
      <c r="K52" s="1" t="s">
        <v>79</v>
      </c>
      <c r="L52" s="10" t="s">
        <v>88</v>
      </c>
      <c r="M52" s="1" t="s">
        <v>98</v>
      </c>
      <c r="N52" s="1">
        <v>17.77</v>
      </c>
      <c r="O52" s="41" t="s">
        <v>109</v>
      </c>
      <c r="P52" s="41" t="s">
        <v>109</v>
      </c>
      <c r="Q52" s="99">
        <v>0.95</v>
      </c>
      <c r="R52" s="99">
        <v>0.86</v>
      </c>
      <c r="S52" s="99"/>
      <c r="T52" s="99"/>
      <c r="U52" s="99"/>
      <c r="V52" s="6">
        <v>120</v>
      </c>
      <c r="W52" s="6">
        <v>0</v>
      </c>
      <c r="X52" s="6">
        <v>45</v>
      </c>
    </row>
    <row r="53" spans="1:24" hidden="1" x14ac:dyDescent="0.3">
      <c r="A53" s="1">
        <v>2023</v>
      </c>
      <c r="B53" s="1" t="s">
        <v>138</v>
      </c>
      <c r="C53" s="1" t="s">
        <v>17</v>
      </c>
      <c r="D53" s="1" t="s">
        <v>245</v>
      </c>
      <c r="F53" s="1" t="s">
        <v>133</v>
      </c>
      <c r="G53" s="1" t="s">
        <v>9</v>
      </c>
      <c r="H53" s="1" t="s">
        <v>10</v>
      </c>
      <c r="K53" s="1" t="s">
        <v>79</v>
      </c>
      <c r="L53" s="10" t="s">
        <v>43</v>
      </c>
      <c r="M53" s="1" t="s">
        <v>136</v>
      </c>
      <c r="N53" s="1">
        <v>17.77</v>
      </c>
      <c r="O53" s="41" t="s">
        <v>109</v>
      </c>
      <c r="P53" s="41" t="s">
        <v>109</v>
      </c>
      <c r="Q53" s="99">
        <v>0.95</v>
      </c>
      <c r="R53" s="99">
        <v>0.86</v>
      </c>
      <c r="S53" s="99"/>
      <c r="T53" s="99"/>
      <c r="U53" s="99"/>
      <c r="V53" s="6">
        <v>200</v>
      </c>
      <c r="W53" s="6">
        <v>0</v>
      </c>
      <c r="X53" s="6">
        <v>50</v>
      </c>
    </row>
    <row r="54" spans="1:24" hidden="1" x14ac:dyDescent="0.3">
      <c r="A54" s="1">
        <v>2023</v>
      </c>
      <c r="B54" s="1" t="s">
        <v>139</v>
      </c>
      <c r="C54" s="1" t="s">
        <v>17</v>
      </c>
      <c r="D54" s="1" t="s">
        <v>245</v>
      </c>
      <c r="F54" s="1" t="s">
        <v>134</v>
      </c>
      <c r="G54" s="1" t="s">
        <v>9</v>
      </c>
      <c r="H54" s="1" t="s">
        <v>10</v>
      </c>
      <c r="K54" s="1" t="s">
        <v>79</v>
      </c>
      <c r="L54" s="10" t="s">
        <v>88</v>
      </c>
      <c r="M54" s="1" t="s">
        <v>135</v>
      </c>
      <c r="N54" s="1">
        <v>17.77</v>
      </c>
      <c r="O54" s="41" t="s">
        <v>109</v>
      </c>
      <c r="P54" s="41" t="s">
        <v>109</v>
      </c>
      <c r="Q54" s="99">
        <v>0.95</v>
      </c>
      <c r="R54" s="99">
        <v>0.86</v>
      </c>
      <c r="S54" s="99"/>
      <c r="T54" s="99"/>
      <c r="U54" s="99"/>
      <c r="V54" s="6">
        <v>300</v>
      </c>
      <c r="W54" s="6">
        <v>0</v>
      </c>
      <c r="X54" s="6">
        <v>50</v>
      </c>
    </row>
    <row r="55" spans="1:24" hidden="1" x14ac:dyDescent="0.3">
      <c r="A55" s="1">
        <v>2023</v>
      </c>
      <c r="B55" s="1" t="s">
        <v>140</v>
      </c>
      <c r="C55" s="1" t="s">
        <v>17</v>
      </c>
      <c r="D55" s="1" t="s">
        <v>245</v>
      </c>
      <c r="F55" s="1" t="s">
        <v>141</v>
      </c>
      <c r="G55" s="1" t="s">
        <v>9</v>
      </c>
      <c r="H55" s="1" t="s">
        <v>10</v>
      </c>
      <c r="K55" s="1" t="s">
        <v>79</v>
      </c>
      <c r="L55" s="10" t="s">
        <v>129</v>
      </c>
      <c r="M55" s="1" t="s">
        <v>137</v>
      </c>
      <c r="N55" s="1">
        <v>17.77</v>
      </c>
      <c r="O55" s="41" t="s">
        <v>109</v>
      </c>
      <c r="P55" s="41" t="s">
        <v>109</v>
      </c>
      <c r="Q55" s="99">
        <v>0.39</v>
      </c>
      <c r="R55" s="99">
        <v>0.35</v>
      </c>
      <c r="S55" s="99"/>
      <c r="T55" s="99"/>
      <c r="U55" s="99"/>
      <c r="V55" s="6">
        <v>300</v>
      </c>
      <c r="W55" s="6">
        <v>0</v>
      </c>
      <c r="X55" s="6">
        <v>50</v>
      </c>
    </row>
    <row r="56" spans="1:24" hidden="1" x14ac:dyDescent="0.3">
      <c r="A56" s="1">
        <v>2023</v>
      </c>
      <c r="B56" s="1" t="s">
        <v>144</v>
      </c>
      <c r="C56" s="1" t="s">
        <v>17</v>
      </c>
      <c r="D56" s="1" t="s">
        <v>245</v>
      </c>
      <c r="F56" s="1" t="s">
        <v>142</v>
      </c>
      <c r="G56" s="1" t="s">
        <v>9</v>
      </c>
      <c r="H56" s="1" t="s">
        <v>10</v>
      </c>
      <c r="K56" s="1" t="s">
        <v>79</v>
      </c>
      <c r="L56" s="10" t="s">
        <v>43</v>
      </c>
      <c r="M56" s="1" t="s">
        <v>143</v>
      </c>
      <c r="N56" s="1">
        <v>17.77</v>
      </c>
      <c r="O56" s="41" t="s">
        <v>109</v>
      </c>
      <c r="P56" s="41" t="s">
        <v>109</v>
      </c>
      <c r="Q56" s="99">
        <v>0.77</v>
      </c>
      <c r="R56" s="99">
        <v>0.69</v>
      </c>
      <c r="S56" s="99"/>
      <c r="T56" s="99"/>
      <c r="U56" s="99"/>
      <c r="V56" s="6">
        <v>400</v>
      </c>
      <c r="W56" s="6">
        <v>0</v>
      </c>
      <c r="X56" s="6">
        <v>40</v>
      </c>
    </row>
    <row r="57" spans="1:24" hidden="1" x14ac:dyDescent="0.3">
      <c r="A57" s="1">
        <v>2023</v>
      </c>
      <c r="B57" s="1" t="s">
        <v>159</v>
      </c>
      <c r="C57" s="1" t="s">
        <v>17</v>
      </c>
      <c r="D57" s="1" t="s">
        <v>245</v>
      </c>
      <c r="F57" s="1" t="s">
        <v>160</v>
      </c>
      <c r="G57" s="1" t="s">
        <v>9</v>
      </c>
      <c r="H57" s="1" t="s">
        <v>10</v>
      </c>
      <c r="K57" s="1" t="s">
        <v>79</v>
      </c>
      <c r="L57" s="10" t="s">
        <v>129</v>
      </c>
      <c r="M57" s="1" t="s">
        <v>161</v>
      </c>
      <c r="N57" s="1">
        <v>17.77</v>
      </c>
      <c r="O57" s="41" t="s">
        <v>109</v>
      </c>
      <c r="P57" s="41" t="s">
        <v>109</v>
      </c>
      <c r="Q57" s="99">
        <v>0.94</v>
      </c>
      <c r="R57" s="99">
        <v>0.85499999999999998</v>
      </c>
      <c r="S57" s="99"/>
      <c r="T57" s="99"/>
      <c r="U57" s="99"/>
      <c r="V57" s="6">
        <v>120</v>
      </c>
      <c r="W57" s="6">
        <v>0</v>
      </c>
      <c r="X57" s="6">
        <v>45</v>
      </c>
    </row>
    <row r="58" spans="1:24" hidden="1" x14ac:dyDescent="0.3">
      <c r="A58" s="1">
        <v>2023</v>
      </c>
      <c r="B58" s="1" t="s">
        <v>162</v>
      </c>
      <c r="C58" s="1" t="s">
        <v>17</v>
      </c>
      <c r="D58" s="1" t="s">
        <v>245</v>
      </c>
      <c r="F58" s="1" t="s">
        <v>164</v>
      </c>
      <c r="G58" s="1" t="s">
        <v>9</v>
      </c>
      <c r="H58" s="1" t="s">
        <v>10</v>
      </c>
      <c r="K58" s="1" t="s">
        <v>163</v>
      </c>
      <c r="L58" s="10" t="s">
        <v>129</v>
      </c>
      <c r="M58" s="1" t="s">
        <v>161</v>
      </c>
      <c r="N58" s="1">
        <v>17.77</v>
      </c>
      <c r="O58" s="41" t="s">
        <v>109</v>
      </c>
      <c r="P58" s="41" t="s">
        <v>109</v>
      </c>
      <c r="Q58" s="99">
        <v>0.94</v>
      </c>
      <c r="R58" s="99">
        <v>0.85499999999999998</v>
      </c>
      <c r="S58" s="99"/>
      <c r="T58" s="99"/>
      <c r="U58" s="99"/>
      <c r="V58" s="6">
        <v>120</v>
      </c>
      <c r="W58" s="6">
        <v>0</v>
      </c>
      <c r="X58" s="6">
        <v>45</v>
      </c>
    </row>
    <row r="59" spans="1:24" hidden="1" x14ac:dyDescent="0.3">
      <c r="A59" s="1">
        <v>2023</v>
      </c>
      <c r="B59" s="1" t="s">
        <v>165</v>
      </c>
      <c r="C59" s="1" t="s">
        <v>17</v>
      </c>
      <c r="D59" s="1" t="s">
        <v>245</v>
      </c>
      <c r="F59" s="1" t="s">
        <v>166</v>
      </c>
      <c r="G59" s="1" t="s">
        <v>9</v>
      </c>
      <c r="H59" s="1" t="s">
        <v>10</v>
      </c>
      <c r="K59" s="1" t="s">
        <v>163</v>
      </c>
      <c r="L59" s="10" t="s">
        <v>129</v>
      </c>
      <c r="M59" s="1" t="s">
        <v>161</v>
      </c>
      <c r="N59" s="1">
        <v>17.77</v>
      </c>
      <c r="O59" s="41" t="s">
        <v>109</v>
      </c>
      <c r="P59" s="41" t="s">
        <v>109</v>
      </c>
      <c r="Q59" s="99">
        <v>0.94</v>
      </c>
      <c r="R59" s="99">
        <v>0.85499999999999998</v>
      </c>
      <c r="S59" s="99"/>
      <c r="T59" s="99"/>
      <c r="U59" s="99"/>
      <c r="V59" s="6">
        <v>120</v>
      </c>
      <c r="W59" s="6">
        <v>0</v>
      </c>
      <c r="X59" s="6">
        <v>45</v>
      </c>
    </row>
    <row r="60" spans="1:24" hidden="1" x14ac:dyDescent="0.3">
      <c r="A60" s="1">
        <v>2023</v>
      </c>
      <c r="B60" s="1" t="s">
        <v>167</v>
      </c>
      <c r="C60" s="1" t="s">
        <v>17</v>
      </c>
      <c r="D60" s="1" t="s">
        <v>245</v>
      </c>
      <c r="F60" s="1" t="s">
        <v>168</v>
      </c>
      <c r="G60" s="1" t="s">
        <v>9</v>
      </c>
      <c r="H60" s="1" t="s">
        <v>10</v>
      </c>
      <c r="K60" s="1" t="s">
        <v>163</v>
      </c>
      <c r="L60" s="10" t="s">
        <v>16</v>
      </c>
      <c r="M60" s="1" t="s">
        <v>169</v>
      </c>
      <c r="N60" s="1">
        <v>17.77</v>
      </c>
      <c r="O60" s="41" t="s">
        <v>109</v>
      </c>
      <c r="P60" s="41" t="s">
        <v>109</v>
      </c>
      <c r="Q60" s="99">
        <v>0.94</v>
      </c>
      <c r="R60" s="99">
        <v>0.85499999999999998</v>
      </c>
      <c r="S60" s="99"/>
      <c r="T60" s="99"/>
      <c r="U60" s="99"/>
      <c r="V60" s="6">
        <v>120</v>
      </c>
      <c r="W60" s="6">
        <v>0</v>
      </c>
      <c r="X60" s="6">
        <v>45</v>
      </c>
    </row>
    <row r="61" spans="1:24" hidden="1" x14ac:dyDescent="0.3">
      <c r="A61" s="1">
        <v>2023</v>
      </c>
      <c r="B61" s="1" t="s">
        <v>170</v>
      </c>
      <c r="C61" s="1" t="s">
        <v>17</v>
      </c>
      <c r="D61" s="1" t="s">
        <v>245</v>
      </c>
      <c r="F61" s="1" t="s">
        <v>171</v>
      </c>
      <c r="G61" s="1" t="s">
        <v>9</v>
      </c>
      <c r="H61" s="1" t="s">
        <v>10</v>
      </c>
      <c r="K61" s="1" t="s">
        <v>172</v>
      </c>
      <c r="L61" s="10" t="s">
        <v>16</v>
      </c>
      <c r="M61" s="1" t="s">
        <v>173</v>
      </c>
      <c r="N61" s="1">
        <v>17.77</v>
      </c>
      <c r="O61" s="41" t="s">
        <v>109</v>
      </c>
      <c r="P61" s="41" t="s">
        <v>109</v>
      </c>
      <c r="Q61" s="99">
        <v>0.94</v>
      </c>
      <c r="R61" s="99">
        <v>0.85499999999999998</v>
      </c>
      <c r="S61" s="99"/>
      <c r="T61" s="99"/>
      <c r="U61" s="99"/>
      <c r="V61" s="6">
        <v>120</v>
      </c>
      <c r="W61" s="6">
        <v>0</v>
      </c>
      <c r="X61" s="6">
        <v>45</v>
      </c>
    </row>
    <row r="62" spans="1:24" hidden="1" x14ac:dyDescent="0.3">
      <c r="A62" s="1">
        <v>2023</v>
      </c>
      <c r="B62" s="1" t="s">
        <v>174</v>
      </c>
      <c r="C62" s="1" t="s">
        <v>17</v>
      </c>
      <c r="D62" s="1" t="s">
        <v>245</v>
      </c>
      <c r="F62" s="1" t="s">
        <v>199</v>
      </c>
      <c r="G62" s="1" t="s">
        <v>9</v>
      </c>
      <c r="H62" s="1" t="s">
        <v>10</v>
      </c>
      <c r="K62" s="1" t="s">
        <v>172</v>
      </c>
      <c r="L62" s="10" t="s">
        <v>16</v>
      </c>
      <c r="M62" s="1" t="s">
        <v>175</v>
      </c>
      <c r="N62" s="1">
        <v>17.77</v>
      </c>
      <c r="O62" s="41" t="s">
        <v>109</v>
      </c>
      <c r="P62" s="41" t="s">
        <v>109</v>
      </c>
      <c r="Q62" s="99">
        <v>0.99</v>
      </c>
      <c r="R62" s="99">
        <v>0.89</v>
      </c>
      <c r="S62" s="99"/>
      <c r="T62" s="99"/>
      <c r="U62" s="99"/>
      <c r="V62" s="6">
        <v>120</v>
      </c>
      <c r="W62" s="6">
        <v>0</v>
      </c>
      <c r="X62" s="6">
        <v>45</v>
      </c>
    </row>
    <row r="63" spans="1:24" hidden="1" x14ac:dyDescent="0.3">
      <c r="A63" s="1">
        <v>2023</v>
      </c>
      <c r="B63" s="1" t="s">
        <v>176</v>
      </c>
      <c r="C63" s="1" t="s">
        <v>17</v>
      </c>
      <c r="D63" s="1" t="s">
        <v>245</v>
      </c>
      <c r="F63" s="1" t="s">
        <v>198</v>
      </c>
      <c r="G63" s="1" t="s">
        <v>9</v>
      </c>
      <c r="H63" s="1" t="s">
        <v>10</v>
      </c>
      <c r="K63" s="1" t="s">
        <v>177</v>
      </c>
      <c r="L63" s="10" t="s">
        <v>16</v>
      </c>
      <c r="M63" s="1" t="s">
        <v>178</v>
      </c>
      <c r="N63" s="1">
        <v>17.77</v>
      </c>
      <c r="O63" s="41" t="s">
        <v>109</v>
      </c>
      <c r="P63" s="41" t="s">
        <v>109</v>
      </c>
      <c r="Q63" s="99">
        <v>0.99</v>
      </c>
      <c r="R63" s="99">
        <v>0.89</v>
      </c>
      <c r="S63" s="99"/>
      <c r="T63" s="99"/>
      <c r="U63" s="99"/>
      <c r="V63" s="6">
        <v>120</v>
      </c>
      <c r="W63" s="6">
        <v>0</v>
      </c>
      <c r="X63" s="6">
        <v>45</v>
      </c>
    </row>
    <row r="64" spans="1:24" hidden="1" x14ac:dyDescent="0.3">
      <c r="A64" s="1">
        <v>2023</v>
      </c>
      <c r="B64" s="1" t="s">
        <v>180</v>
      </c>
      <c r="C64" s="1" t="s">
        <v>17</v>
      </c>
      <c r="D64" s="1" t="s">
        <v>245</v>
      </c>
      <c r="F64" s="1" t="s">
        <v>197</v>
      </c>
      <c r="G64" s="1" t="s">
        <v>9</v>
      </c>
      <c r="H64" s="1" t="s">
        <v>10</v>
      </c>
      <c r="K64" s="1" t="s">
        <v>177</v>
      </c>
      <c r="L64" s="10" t="s">
        <v>110</v>
      </c>
      <c r="M64" s="1" t="s">
        <v>179</v>
      </c>
      <c r="N64" s="1">
        <v>17.77</v>
      </c>
      <c r="O64" s="41" t="s">
        <v>109</v>
      </c>
      <c r="P64" s="41" t="s">
        <v>109</v>
      </c>
      <c r="Q64" s="99">
        <v>1.04</v>
      </c>
      <c r="R64" s="99">
        <v>0.94</v>
      </c>
      <c r="S64" s="99"/>
      <c r="T64" s="99"/>
      <c r="U64" s="99"/>
      <c r="V64" s="6">
        <v>120</v>
      </c>
      <c r="W64" s="6">
        <v>0</v>
      </c>
      <c r="X64" s="6">
        <v>45</v>
      </c>
    </row>
    <row r="65" spans="1:24" hidden="1" x14ac:dyDescent="0.3">
      <c r="A65" s="1">
        <v>2023</v>
      </c>
      <c r="B65" s="1" t="s">
        <v>181</v>
      </c>
      <c r="C65" s="1" t="s">
        <v>17</v>
      </c>
      <c r="D65" s="1" t="s">
        <v>245</v>
      </c>
      <c r="F65" s="1" t="s">
        <v>196</v>
      </c>
      <c r="G65" s="1" t="s">
        <v>9</v>
      </c>
      <c r="H65" s="1" t="s">
        <v>10</v>
      </c>
      <c r="K65" s="1" t="s">
        <v>177</v>
      </c>
      <c r="L65" s="10" t="s">
        <v>44</v>
      </c>
      <c r="M65" s="1" t="s">
        <v>182</v>
      </c>
      <c r="N65" s="1">
        <v>17.77</v>
      </c>
      <c r="O65" s="41" t="s">
        <v>109</v>
      </c>
      <c r="P65" s="41" t="s">
        <v>109</v>
      </c>
      <c r="Q65" s="99">
        <v>0.99</v>
      </c>
      <c r="R65" s="99">
        <v>0.89</v>
      </c>
      <c r="S65" s="99"/>
      <c r="T65" s="99"/>
      <c r="U65" s="99"/>
      <c r="V65" s="6">
        <v>100</v>
      </c>
      <c r="W65" s="6">
        <v>0</v>
      </c>
      <c r="X65" s="6">
        <v>60</v>
      </c>
    </row>
    <row r="66" spans="1:24" hidden="1" x14ac:dyDescent="0.3">
      <c r="A66" s="1">
        <v>2023</v>
      </c>
      <c r="B66" s="1" t="s">
        <v>183</v>
      </c>
      <c r="C66" s="1" t="s">
        <v>17</v>
      </c>
      <c r="D66" s="1" t="s">
        <v>245</v>
      </c>
      <c r="F66" s="1" t="s">
        <v>195</v>
      </c>
      <c r="G66" s="1" t="s">
        <v>9</v>
      </c>
      <c r="H66" s="1" t="s">
        <v>10</v>
      </c>
      <c r="K66" s="1" t="s">
        <v>177</v>
      </c>
      <c r="L66" s="10" t="s">
        <v>129</v>
      </c>
      <c r="M66" s="1" t="s">
        <v>185</v>
      </c>
      <c r="N66" s="1">
        <v>17.77</v>
      </c>
      <c r="O66" s="41" t="s">
        <v>109</v>
      </c>
      <c r="P66" s="41" t="s">
        <v>109</v>
      </c>
      <c r="Q66" s="99">
        <v>1.04</v>
      </c>
      <c r="R66" s="99">
        <v>0.94</v>
      </c>
      <c r="S66" s="99"/>
      <c r="T66" s="99"/>
      <c r="U66" s="99"/>
      <c r="V66" s="6">
        <v>100</v>
      </c>
      <c r="W66" s="6">
        <v>0</v>
      </c>
      <c r="X66" s="6">
        <v>60</v>
      </c>
    </row>
    <row r="67" spans="1:24" hidden="1" x14ac:dyDescent="0.3">
      <c r="A67" s="1">
        <v>2023</v>
      </c>
      <c r="B67" s="1" t="s">
        <v>187</v>
      </c>
      <c r="C67" s="1" t="s">
        <v>17</v>
      </c>
      <c r="D67" s="1" t="s">
        <v>245</v>
      </c>
      <c r="F67" s="1" t="s">
        <v>194</v>
      </c>
      <c r="G67" s="1" t="s">
        <v>9</v>
      </c>
      <c r="H67" s="1" t="s">
        <v>10</v>
      </c>
      <c r="K67" s="1" t="s">
        <v>177</v>
      </c>
      <c r="L67" s="10" t="s">
        <v>43</v>
      </c>
      <c r="M67" s="1" t="s">
        <v>189</v>
      </c>
      <c r="N67" s="1">
        <v>17.77</v>
      </c>
      <c r="O67" s="41" t="s">
        <v>109</v>
      </c>
      <c r="P67" s="41" t="s">
        <v>109</v>
      </c>
      <c r="Q67" s="99">
        <v>0.99</v>
      </c>
      <c r="R67" s="99">
        <v>0.89</v>
      </c>
      <c r="S67" s="99"/>
      <c r="T67" s="99"/>
      <c r="U67" s="99"/>
      <c r="V67" s="6">
        <v>90</v>
      </c>
      <c r="W67" s="6">
        <v>0</v>
      </c>
      <c r="X67" s="6">
        <v>70</v>
      </c>
    </row>
    <row r="68" spans="1:24" hidden="1" x14ac:dyDescent="0.3">
      <c r="A68" s="1">
        <v>2023</v>
      </c>
      <c r="B68" s="1" t="s">
        <v>188</v>
      </c>
      <c r="C68" s="1" t="s">
        <v>17</v>
      </c>
      <c r="D68" s="1" t="s">
        <v>245</v>
      </c>
      <c r="F68" s="1" t="s">
        <v>193</v>
      </c>
      <c r="G68" s="1" t="s">
        <v>9</v>
      </c>
      <c r="H68" s="1" t="s">
        <v>10</v>
      </c>
      <c r="K68" s="1" t="s">
        <v>177</v>
      </c>
      <c r="L68" s="10" t="s">
        <v>88</v>
      </c>
      <c r="M68" s="1" t="s">
        <v>190</v>
      </c>
      <c r="N68" s="1">
        <v>17.77</v>
      </c>
      <c r="O68" s="41" t="s">
        <v>109</v>
      </c>
      <c r="P68" s="41" t="s">
        <v>109</v>
      </c>
      <c r="Q68" s="99">
        <v>1.04</v>
      </c>
      <c r="R68" s="99">
        <v>0.94</v>
      </c>
      <c r="S68" s="99"/>
      <c r="T68" s="99"/>
      <c r="U68" s="99"/>
      <c r="V68" s="6">
        <v>90</v>
      </c>
      <c r="W68" s="6">
        <v>0</v>
      </c>
      <c r="X68" s="6">
        <v>70</v>
      </c>
    </row>
    <row r="69" spans="1:24" hidden="1" x14ac:dyDescent="0.3">
      <c r="A69" s="1">
        <v>2023</v>
      </c>
      <c r="B69" s="1" t="s">
        <v>191</v>
      </c>
      <c r="C69" s="1" t="s">
        <v>17</v>
      </c>
      <c r="D69" s="1" t="s">
        <v>245</v>
      </c>
      <c r="F69" s="1" t="s">
        <v>192</v>
      </c>
      <c r="G69" s="1" t="s">
        <v>9</v>
      </c>
      <c r="H69" s="1" t="s">
        <v>10</v>
      </c>
      <c r="K69" s="1" t="s">
        <v>177</v>
      </c>
      <c r="L69" s="10" t="s">
        <v>110</v>
      </c>
      <c r="M69" s="1" t="s">
        <v>202</v>
      </c>
      <c r="N69" s="1">
        <v>17.77</v>
      </c>
      <c r="O69" s="41" t="s">
        <v>109</v>
      </c>
      <c r="P69" s="41" t="s">
        <v>109</v>
      </c>
      <c r="Q69" s="99">
        <v>0.99</v>
      </c>
      <c r="R69" s="99">
        <v>0.89</v>
      </c>
      <c r="S69" s="99"/>
      <c r="T69" s="99"/>
      <c r="U69" s="99"/>
      <c r="V69" s="6">
        <v>100</v>
      </c>
      <c r="W69" s="6">
        <v>0</v>
      </c>
      <c r="X69" s="6">
        <v>80</v>
      </c>
    </row>
    <row r="70" spans="1:24" hidden="1" x14ac:dyDescent="0.3">
      <c r="A70" s="1">
        <v>2023</v>
      </c>
      <c r="B70" s="1" t="s">
        <v>200</v>
      </c>
      <c r="C70" s="1" t="s">
        <v>17</v>
      </c>
      <c r="D70" s="1" t="s">
        <v>245</v>
      </c>
      <c r="F70" s="1" t="s">
        <v>192</v>
      </c>
      <c r="G70" s="1" t="s">
        <v>9</v>
      </c>
      <c r="H70" s="1" t="s">
        <v>10</v>
      </c>
      <c r="K70" s="1" t="s">
        <v>177</v>
      </c>
      <c r="L70" s="10" t="s">
        <v>110</v>
      </c>
      <c r="M70" s="1" t="s">
        <v>201</v>
      </c>
      <c r="N70" s="1">
        <v>17.77</v>
      </c>
      <c r="O70" s="41" t="s">
        <v>109</v>
      </c>
      <c r="P70" s="41" t="s">
        <v>109</v>
      </c>
      <c r="Q70" s="99">
        <v>0.99</v>
      </c>
      <c r="R70" s="99">
        <v>0.89</v>
      </c>
      <c r="S70" s="99"/>
      <c r="T70" s="99"/>
      <c r="U70" s="99"/>
      <c r="V70" s="6">
        <v>100</v>
      </c>
      <c r="W70" s="6">
        <v>0</v>
      </c>
      <c r="X70" s="6">
        <v>75</v>
      </c>
    </row>
    <row r="71" spans="1:24" hidden="1" x14ac:dyDescent="0.3">
      <c r="A71" s="1">
        <v>2023</v>
      </c>
      <c r="B71" s="1" t="s">
        <v>203</v>
      </c>
      <c r="C71" s="1" t="s">
        <v>17</v>
      </c>
      <c r="D71" s="1" t="s">
        <v>245</v>
      </c>
      <c r="F71" s="1" t="s">
        <v>204</v>
      </c>
      <c r="G71" s="1" t="s">
        <v>9</v>
      </c>
      <c r="H71" s="1" t="s">
        <v>10</v>
      </c>
      <c r="K71" s="1" t="s">
        <v>177</v>
      </c>
      <c r="L71" s="10" t="s">
        <v>43</v>
      </c>
      <c r="M71" s="1" t="s">
        <v>205</v>
      </c>
      <c r="N71" s="1">
        <v>16.45</v>
      </c>
      <c r="O71" s="41" t="s">
        <v>109</v>
      </c>
      <c r="P71" s="41" t="s">
        <v>109</v>
      </c>
      <c r="Q71" s="99">
        <v>0.99</v>
      </c>
      <c r="R71" s="99">
        <v>0.89</v>
      </c>
      <c r="S71" s="99"/>
      <c r="T71" s="99"/>
      <c r="U71" s="99"/>
      <c r="V71" s="6">
        <v>100</v>
      </c>
      <c r="W71" s="6">
        <v>0</v>
      </c>
      <c r="X71" s="6">
        <v>75</v>
      </c>
    </row>
    <row r="72" spans="1:24" hidden="1" x14ac:dyDescent="0.3">
      <c r="A72" s="1">
        <v>2023</v>
      </c>
      <c r="B72" s="1" t="s">
        <v>216</v>
      </c>
      <c r="C72" s="1" t="s">
        <v>17</v>
      </c>
      <c r="D72" s="1" t="s">
        <v>245</v>
      </c>
      <c r="F72" s="1" t="s">
        <v>217</v>
      </c>
      <c r="G72" s="1" t="s">
        <v>9</v>
      </c>
      <c r="H72" s="1" t="s">
        <v>10</v>
      </c>
      <c r="K72" s="1" t="s">
        <v>177</v>
      </c>
      <c r="L72" s="10" t="s">
        <v>43</v>
      </c>
      <c r="M72" s="1" t="s">
        <v>218</v>
      </c>
      <c r="N72" s="1">
        <v>16.61</v>
      </c>
      <c r="O72" s="41" t="s">
        <v>109</v>
      </c>
      <c r="P72" s="41" t="s">
        <v>109</v>
      </c>
      <c r="Q72" s="99">
        <v>0.99</v>
      </c>
      <c r="R72" s="99">
        <v>0.89</v>
      </c>
      <c r="S72" s="99"/>
      <c r="T72" s="99"/>
      <c r="U72" s="99"/>
      <c r="V72" s="6">
        <v>100</v>
      </c>
      <c r="W72" s="6">
        <v>0</v>
      </c>
      <c r="X72" s="6">
        <v>75</v>
      </c>
    </row>
    <row r="73" spans="1:24" hidden="1" x14ac:dyDescent="0.3">
      <c r="A73" s="1">
        <v>2023</v>
      </c>
      <c r="B73" s="1" t="s">
        <v>219</v>
      </c>
      <c r="C73" s="1" t="s">
        <v>17</v>
      </c>
      <c r="D73" s="1" t="s">
        <v>245</v>
      </c>
      <c r="F73" s="1" t="s">
        <v>220</v>
      </c>
      <c r="G73" s="1" t="s">
        <v>9</v>
      </c>
      <c r="H73" s="1" t="s">
        <v>10</v>
      </c>
      <c r="K73" s="1" t="s">
        <v>177</v>
      </c>
      <c r="L73" s="10" t="s">
        <v>42</v>
      </c>
      <c r="M73" s="1" t="s">
        <v>221</v>
      </c>
      <c r="N73" s="1">
        <v>16.61</v>
      </c>
      <c r="O73" s="41" t="s">
        <v>109</v>
      </c>
      <c r="P73" s="41" t="s">
        <v>109</v>
      </c>
      <c r="Q73" s="99">
        <v>1.04</v>
      </c>
      <c r="R73" s="99">
        <v>0.94</v>
      </c>
      <c r="S73" s="99"/>
      <c r="T73" s="99"/>
      <c r="U73" s="99"/>
      <c r="V73" s="6">
        <v>100</v>
      </c>
      <c r="W73" s="6">
        <v>0</v>
      </c>
      <c r="X73" s="6">
        <v>75</v>
      </c>
    </row>
    <row r="74" spans="1:24" hidden="1" x14ac:dyDescent="0.3">
      <c r="A74" s="1">
        <v>2023</v>
      </c>
      <c r="B74" s="1" t="s">
        <v>290</v>
      </c>
      <c r="C74" s="1" t="s">
        <v>17</v>
      </c>
      <c r="D74" s="1" t="s">
        <v>245</v>
      </c>
      <c r="F74" s="1" t="s">
        <v>292</v>
      </c>
      <c r="G74" s="1" t="s">
        <v>9</v>
      </c>
      <c r="H74" s="1" t="s">
        <v>10</v>
      </c>
      <c r="K74" s="1" t="s">
        <v>291</v>
      </c>
      <c r="L74" s="10" t="s">
        <v>129</v>
      </c>
      <c r="M74" s="1" t="s">
        <v>293</v>
      </c>
      <c r="N74" s="1">
        <v>16.61</v>
      </c>
      <c r="O74" s="41" t="s">
        <v>109</v>
      </c>
      <c r="P74" s="41" t="s">
        <v>109</v>
      </c>
      <c r="Q74" s="99">
        <v>1.04</v>
      </c>
      <c r="R74" s="99">
        <v>0.94</v>
      </c>
      <c r="S74" s="99"/>
      <c r="T74" s="99"/>
      <c r="U74" s="99"/>
      <c r="V74" s="6">
        <v>100</v>
      </c>
      <c r="W74" s="6">
        <v>0</v>
      </c>
      <c r="X74" s="6">
        <v>75</v>
      </c>
    </row>
    <row r="75" spans="1:24" hidden="1" x14ac:dyDescent="0.3">
      <c r="A75" s="1">
        <v>2023</v>
      </c>
      <c r="B75" s="1" t="s">
        <v>295</v>
      </c>
      <c r="C75" s="1" t="s">
        <v>17</v>
      </c>
      <c r="D75" s="1" t="s">
        <v>245</v>
      </c>
      <c r="E75" s="1" t="s">
        <v>319</v>
      </c>
      <c r="F75" s="1" t="s">
        <v>296</v>
      </c>
      <c r="G75" s="1" t="s">
        <v>9</v>
      </c>
      <c r="H75" s="1" t="s">
        <v>10</v>
      </c>
      <c r="K75" s="1" t="s">
        <v>291</v>
      </c>
      <c r="L75" s="10" t="s">
        <v>129</v>
      </c>
      <c r="M75" s="1" t="s">
        <v>294</v>
      </c>
      <c r="N75" s="1">
        <v>16.21</v>
      </c>
      <c r="O75" s="41" t="s">
        <v>109</v>
      </c>
      <c r="P75" s="41" t="s">
        <v>109</v>
      </c>
      <c r="Q75" s="99">
        <v>1.04</v>
      </c>
      <c r="R75" s="99">
        <v>0.94</v>
      </c>
      <c r="S75" s="99"/>
      <c r="T75" s="99"/>
      <c r="U75" s="99"/>
      <c r="V75" s="6">
        <v>100</v>
      </c>
      <c r="W75" s="6">
        <v>0</v>
      </c>
      <c r="X75" s="6">
        <v>75</v>
      </c>
    </row>
    <row r="76" spans="1:24" hidden="1" x14ac:dyDescent="0.3">
      <c r="A76" s="1">
        <v>2023</v>
      </c>
      <c r="B76" s="1" t="s">
        <v>297</v>
      </c>
      <c r="C76" s="1" t="s">
        <v>17</v>
      </c>
      <c r="D76" s="1" t="s">
        <v>245</v>
      </c>
      <c r="F76" s="1" t="s">
        <v>298</v>
      </c>
      <c r="G76" s="1" t="s">
        <v>9</v>
      </c>
      <c r="H76" s="1" t="s">
        <v>10</v>
      </c>
      <c r="K76" s="1" t="s">
        <v>291</v>
      </c>
      <c r="L76" s="10" t="s">
        <v>42</v>
      </c>
      <c r="M76" s="1" t="s">
        <v>299</v>
      </c>
      <c r="N76" s="1">
        <v>15.16</v>
      </c>
      <c r="O76" s="41" t="s">
        <v>109</v>
      </c>
      <c r="P76" s="41" t="s">
        <v>109</v>
      </c>
      <c r="Q76" s="99">
        <v>1.04</v>
      </c>
      <c r="R76" s="99">
        <v>0.94</v>
      </c>
      <c r="S76" s="99"/>
      <c r="T76" s="99"/>
      <c r="U76" s="99"/>
      <c r="V76" s="6">
        <v>100</v>
      </c>
      <c r="W76" s="6">
        <v>0</v>
      </c>
      <c r="X76" s="6">
        <v>75</v>
      </c>
    </row>
    <row r="77" spans="1:24" hidden="1" x14ac:dyDescent="0.3">
      <c r="A77" s="1">
        <v>2023</v>
      </c>
      <c r="B77" s="1" t="s">
        <v>304</v>
      </c>
      <c r="C77" s="1" t="s">
        <v>17</v>
      </c>
      <c r="D77" s="1" t="s">
        <v>245</v>
      </c>
      <c r="E77" s="1" t="s">
        <v>319</v>
      </c>
      <c r="F77" s="1" t="s">
        <v>308</v>
      </c>
      <c r="G77" s="1" t="s">
        <v>9</v>
      </c>
      <c r="H77" s="1" t="s">
        <v>10</v>
      </c>
      <c r="K77" s="1" t="s">
        <v>291</v>
      </c>
      <c r="L77" s="10" t="s">
        <v>108</v>
      </c>
      <c r="M77" s="1" t="s">
        <v>312</v>
      </c>
      <c r="N77" s="1">
        <v>17.84</v>
      </c>
      <c r="O77" s="41" t="s">
        <v>109</v>
      </c>
      <c r="P77" s="41" t="s">
        <v>109</v>
      </c>
      <c r="Q77" s="99">
        <v>1.04</v>
      </c>
      <c r="R77" s="99">
        <v>0.94</v>
      </c>
      <c r="S77" s="99"/>
      <c r="T77" s="99"/>
      <c r="U77" s="99"/>
      <c r="V77" s="6">
        <v>100</v>
      </c>
      <c r="W77" s="6">
        <v>0</v>
      </c>
      <c r="X77" s="6">
        <v>75</v>
      </c>
    </row>
    <row r="78" spans="1:24" hidden="1" x14ac:dyDescent="0.3">
      <c r="A78" s="1">
        <v>2023</v>
      </c>
      <c r="B78" s="1" t="s">
        <v>305</v>
      </c>
      <c r="C78" s="1" t="s">
        <v>17</v>
      </c>
      <c r="D78" s="1" t="s">
        <v>245</v>
      </c>
      <c r="E78" s="1" t="s">
        <v>319</v>
      </c>
      <c r="F78" s="1" t="s">
        <v>309</v>
      </c>
      <c r="G78" s="1" t="s">
        <v>9</v>
      </c>
      <c r="H78" s="1" t="s">
        <v>10</v>
      </c>
      <c r="K78" s="1" t="s">
        <v>291</v>
      </c>
      <c r="L78" s="10" t="s">
        <v>43</v>
      </c>
      <c r="M78" s="1" t="s">
        <v>312</v>
      </c>
      <c r="N78" s="1">
        <v>19.46</v>
      </c>
      <c r="O78" s="41" t="s">
        <v>109</v>
      </c>
      <c r="P78" s="41" t="s">
        <v>109</v>
      </c>
      <c r="Q78" s="99">
        <v>1.04</v>
      </c>
      <c r="R78" s="99">
        <v>0.94</v>
      </c>
      <c r="S78" s="99"/>
      <c r="T78" s="99"/>
      <c r="U78" s="99"/>
      <c r="V78" s="6">
        <v>100</v>
      </c>
      <c r="W78" s="6">
        <v>0</v>
      </c>
      <c r="X78" s="6">
        <v>75</v>
      </c>
    </row>
    <row r="79" spans="1:24" hidden="1" x14ac:dyDescent="0.3">
      <c r="A79" s="1">
        <v>2023</v>
      </c>
      <c r="B79" s="1" t="s">
        <v>306</v>
      </c>
      <c r="C79" s="1" t="s">
        <v>17</v>
      </c>
      <c r="D79" s="1" t="s">
        <v>245</v>
      </c>
      <c r="E79" s="1" t="s">
        <v>319</v>
      </c>
      <c r="F79" s="1" t="s">
        <v>310</v>
      </c>
      <c r="G79" s="1" t="s">
        <v>9</v>
      </c>
      <c r="H79" s="1" t="s">
        <v>10</v>
      </c>
      <c r="K79" s="1" t="s">
        <v>291</v>
      </c>
      <c r="L79" s="10" t="s">
        <v>108</v>
      </c>
      <c r="M79" s="1" t="s">
        <v>312</v>
      </c>
      <c r="N79" s="1">
        <v>14.59</v>
      </c>
      <c r="O79" s="41" t="s">
        <v>109</v>
      </c>
      <c r="P79" s="41" t="s">
        <v>109</v>
      </c>
      <c r="Q79" s="99">
        <v>1.04</v>
      </c>
      <c r="R79" s="99">
        <v>0.94</v>
      </c>
      <c r="S79" s="99"/>
      <c r="T79" s="99"/>
      <c r="U79" s="99"/>
      <c r="V79" s="6">
        <v>100</v>
      </c>
      <c r="W79" s="6">
        <v>0</v>
      </c>
      <c r="X79" s="6">
        <v>75</v>
      </c>
    </row>
    <row r="80" spans="1:24" hidden="1" x14ac:dyDescent="0.3">
      <c r="A80" s="1">
        <v>2023</v>
      </c>
      <c r="B80" s="1" t="s">
        <v>307</v>
      </c>
      <c r="C80" s="1" t="s">
        <v>17</v>
      </c>
      <c r="D80" s="1" t="s">
        <v>245</v>
      </c>
      <c r="E80" s="1" t="s">
        <v>319</v>
      </c>
      <c r="F80" s="1" t="s">
        <v>311</v>
      </c>
      <c r="G80" s="1" t="s">
        <v>9</v>
      </c>
      <c r="H80" s="1" t="s">
        <v>10</v>
      </c>
      <c r="K80" s="1" t="s">
        <v>291</v>
      </c>
      <c r="L80" s="10" t="s">
        <v>43</v>
      </c>
      <c r="M80" s="1" t="s">
        <v>312</v>
      </c>
      <c r="N80" s="1">
        <v>12.97</v>
      </c>
      <c r="O80" s="41" t="s">
        <v>109</v>
      </c>
      <c r="P80" s="41" t="s">
        <v>109</v>
      </c>
      <c r="Q80" s="99">
        <v>1.04</v>
      </c>
      <c r="R80" s="99">
        <v>0.94</v>
      </c>
      <c r="S80" s="99"/>
      <c r="T80" s="99"/>
      <c r="U80" s="99"/>
      <c r="V80" s="6">
        <v>100</v>
      </c>
      <c r="W80" s="6">
        <v>0</v>
      </c>
      <c r="X80" s="6">
        <v>75</v>
      </c>
    </row>
    <row r="81" spans="1:24" ht="12.45" hidden="1" customHeight="1" x14ac:dyDescent="0.3">
      <c r="A81" s="1">
        <v>2023</v>
      </c>
      <c r="B81" s="1" t="s">
        <v>381</v>
      </c>
      <c r="C81" s="1" t="s">
        <v>17</v>
      </c>
      <c r="D81" s="1" t="s">
        <v>245</v>
      </c>
      <c r="F81" s="1" t="s">
        <v>302</v>
      </c>
      <c r="G81" s="1" t="s">
        <v>9</v>
      </c>
      <c r="H81" s="1" t="s">
        <v>10</v>
      </c>
      <c r="K81" s="1" t="s">
        <v>291</v>
      </c>
      <c r="L81" s="10" t="s">
        <v>108</v>
      </c>
      <c r="M81" s="1" t="s">
        <v>289</v>
      </c>
      <c r="N81" s="1">
        <v>16.61</v>
      </c>
      <c r="O81" s="41" t="s">
        <v>109</v>
      </c>
      <c r="P81" s="41" t="s">
        <v>109</v>
      </c>
      <c r="Q81" s="99">
        <v>1.04</v>
      </c>
      <c r="R81" s="99">
        <v>0.94</v>
      </c>
      <c r="S81" s="99"/>
      <c r="T81" s="99"/>
      <c r="U81" s="99"/>
      <c r="V81" s="6">
        <v>100</v>
      </c>
      <c r="W81" s="6">
        <v>0</v>
      </c>
      <c r="X81" s="6">
        <v>75</v>
      </c>
    </row>
    <row r="82" spans="1:24" ht="12.45" hidden="1" customHeight="1" x14ac:dyDescent="0.3">
      <c r="A82" s="1">
        <v>2023</v>
      </c>
      <c r="B82" s="1" t="s">
        <v>300</v>
      </c>
      <c r="C82" s="1" t="s">
        <v>17</v>
      </c>
      <c r="D82" s="1" t="s">
        <v>245</v>
      </c>
      <c r="F82" s="1" t="s">
        <v>303</v>
      </c>
      <c r="G82" s="1" t="s">
        <v>9</v>
      </c>
      <c r="H82" s="1" t="s">
        <v>10</v>
      </c>
      <c r="K82" s="1" t="s">
        <v>291</v>
      </c>
      <c r="L82" s="10" t="s">
        <v>108</v>
      </c>
      <c r="M82" s="1" t="s">
        <v>301</v>
      </c>
      <c r="N82" s="1">
        <v>15.16</v>
      </c>
      <c r="O82" s="41" t="s">
        <v>109</v>
      </c>
      <c r="P82" s="41" t="s">
        <v>109</v>
      </c>
      <c r="Q82" s="99">
        <v>1.04</v>
      </c>
      <c r="R82" s="99">
        <v>0.94</v>
      </c>
      <c r="S82" s="99"/>
      <c r="T82" s="99"/>
      <c r="U82" s="99"/>
      <c r="V82" s="6">
        <v>100</v>
      </c>
      <c r="W82" s="6">
        <v>0</v>
      </c>
      <c r="X82" s="6">
        <v>75</v>
      </c>
    </row>
    <row r="83" spans="1:24" hidden="1" x14ac:dyDescent="0.3">
      <c r="A83" s="1">
        <v>2023</v>
      </c>
      <c r="B83" s="1" t="s">
        <v>320</v>
      </c>
      <c r="C83" s="1" t="s">
        <v>17</v>
      </c>
      <c r="D83" s="1" t="s">
        <v>245</v>
      </c>
      <c r="F83" s="1" t="s">
        <v>326</v>
      </c>
      <c r="G83" s="1" t="s">
        <v>9</v>
      </c>
      <c r="H83" s="1" t="s">
        <v>10</v>
      </c>
      <c r="K83" s="1" t="s">
        <v>291</v>
      </c>
      <c r="L83" s="10" t="s">
        <v>42</v>
      </c>
      <c r="M83" s="1" t="s">
        <v>325</v>
      </c>
      <c r="N83" s="1">
        <v>16.21</v>
      </c>
      <c r="O83" s="41" t="s">
        <v>109</v>
      </c>
      <c r="P83" s="41" t="s">
        <v>109</v>
      </c>
      <c r="Q83" s="99">
        <v>1.04</v>
      </c>
      <c r="R83" s="99">
        <v>0.94</v>
      </c>
      <c r="S83" s="99"/>
      <c r="T83" s="99"/>
      <c r="U83" s="99"/>
      <c r="V83" s="6">
        <v>90</v>
      </c>
      <c r="W83" s="6">
        <v>0</v>
      </c>
      <c r="X83" s="6">
        <v>75</v>
      </c>
    </row>
    <row r="84" spans="1:24" hidden="1" x14ac:dyDescent="0.3">
      <c r="A84" s="1">
        <v>2023</v>
      </c>
      <c r="B84" s="1" t="s">
        <v>321</v>
      </c>
      <c r="C84" s="1" t="s">
        <v>17</v>
      </c>
      <c r="D84" s="1" t="s">
        <v>245</v>
      </c>
      <c r="F84" s="1" t="s">
        <v>327</v>
      </c>
      <c r="G84" s="1" t="s">
        <v>9</v>
      </c>
      <c r="H84" s="1" t="s">
        <v>10</v>
      </c>
      <c r="K84" s="1" t="s">
        <v>291</v>
      </c>
      <c r="L84" s="10" t="s">
        <v>88</v>
      </c>
      <c r="M84" s="1" t="s">
        <v>324</v>
      </c>
      <c r="N84" s="1">
        <v>16.21</v>
      </c>
      <c r="O84" s="41" t="s">
        <v>109</v>
      </c>
      <c r="P84" s="41" t="s">
        <v>109</v>
      </c>
      <c r="Q84" s="99">
        <v>1.04</v>
      </c>
      <c r="R84" s="99">
        <v>0.94</v>
      </c>
      <c r="S84" s="99"/>
      <c r="T84" s="99"/>
      <c r="U84" s="99"/>
      <c r="V84" s="6">
        <v>80</v>
      </c>
      <c r="W84" s="6">
        <v>0</v>
      </c>
      <c r="X84" s="6">
        <v>75</v>
      </c>
    </row>
    <row r="85" spans="1:24" hidden="1" x14ac:dyDescent="0.3">
      <c r="A85" s="1">
        <v>2023</v>
      </c>
      <c r="B85" s="1" t="s">
        <v>322</v>
      </c>
      <c r="C85" s="1" t="s">
        <v>17</v>
      </c>
      <c r="D85" s="1" t="s">
        <v>245</v>
      </c>
      <c r="F85" s="1" t="s">
        <v>328</v>
      </c>
      <c r="G85" s="1" t="s">
        <v>9</v>
      </c>
      <c r="H85" s="1" t="s">
        <v>10</v>
      </c>
      <c r="K85" s="1" t="s">
        <v>291</v>
      </c>
      <c r="L85" s="10" t="s">
        <v>16</v>
      </c>
      <c r="M85" s="1" t="s">
        <v>323</v>
      </c>
      <c r="N85" s="1">
        <v>16.21</v>
      </c>
      <c r="O85" s="41" t="s">
        <v>109</v>
      </c>
      <c r="P85" s="41" t="s">
        <v>109</v>
      </c>
      <c r="Q85" s="99">
        <v>1.04</v>
      </c>
      <c r="R85" s="99">
        <v>0.94</v>
      </c>
      <c r="S85" s="99"/>
      <c r="T85" s="99"/>
      <c r="U85" s="99"/>
      <c r="V85" s="6">
        <v>70</v>
      </c>
      <c r="W85" s="6">
        <v>0</v>
      </c>
      <c r="X85" s="6">
        <v>75</v>
      </c>
    </row>
    <row r="86" spans="1:24" hidden="1" x14ac:dyDescent="0.3">
      <c r="A86" s="1">
        <v>2023</v>
      </c>
      <c r="B86" s="1" t="s">
        <v>332</v>
      </c>
      <c r="C86" s="1" t="s">
        <v>17</v>
      </c>
      <c r="D86" s="1" t="s">
        <v>245</v>
      </c>
      <c r="F86" s="1" t="s">
        <v>333</v>
      </c>
      <c r="G86" s="1" t="s">
        <v>9</v>
      </c>
      <c r="H86" s="1" t="s">
        <v>10</v>
      </c>
      <c r="K86" s="1" t="s">
        <v>291</v>
      </c>
      <c r="L86" s="10" t="s">
        <v>16</v>
      </c>
      <c r="M86" s="1" t="s">
        <v>334</v>
      </c>
      <c r="N86" s="1">
        <v>16.21</v>
      </c>
      <c r="O86" s="41" t="s">
        <v>109</v>
      </c>
      <c r="P86" s="41" t="s">
        <v>109</v>
      </c>
      <c r="Q86" s="99">
        <v>1.04</v>
      </c>
      <c r="R86" s="99">
        <v>0.94</v>
      </c>
      <c r="S86" s="99"/>
      <c r="T86" s="99"/>
      <c r="U86" s="99"/>
      <c r="V86" s="6">
        <v>83.3</v>
      </c>
      <c r="W86" s="6">
        <v>0</v>
      </c>
      <c r="X86" s="6">
        <v>75</v>
      </c>
    </row>
    <row r="87" spans="1:24" hidden="1" x14ac:dyDescent="0.3">
      <c r="A87" s="1">
        <v>2023</v>
      </c>
      <c r="B87" s="1" t="s">
        <v>335</v>
      </c>
      <c r="C87" s="1" t="s">
        <v>17</v>
      </c>
      <c r="D87" s="1" t="s">
        <v>245</v>
      </c>
      <c r="F87" s="1" t="s">
        <v>336</v>
      </c>
      <c r="G87" s="1" t="s">
        <v>9</v>
      </c>
      <c r="H87" s="1" t="s">
        <v>10</v>
      </c>
      <c r="K87" s="1" t="s">
        <v>291</v>
      </c>
      <c r="L87" s="10" t="s">
        <v>16</v>
      </c>
      <c r="M87" s="1" t="s">
        <v>367</v>
      </c>
      <c r="N87" s="1">
        <v>16.21</v>
      </c>
      <c r="O87" s="41" t="s">
        <v>109</v>
      </c>
      <c r="P87" s="41" t="s">
        <v>109</v>
      </c>
      <c r="Q87" s="99">
        <v>1.04</v>
      </c>
      <c r="R87" s="99">
        <v>0.94</v>
      </c>
      <c r="S87" s="99"/>
      <c r="T87" s="99"/>
      <c r="U87" s="99"/>
      <c r="V87" s="6">
        <v>83.3</v>
      </c>
      <c r="W87" s="6">
        <v>0</v>
      </c>
      <c r="X87" s="6">
        <v>72</v>
      </c>
    </row>
    <row r="88" spans="1:24" hidden="1" x14ac:dyDescent="0.3">
      <c r="A88" s="1">
        <v>2023</v>
      </c>
      <c r="B88" s="1" t="s">
        <v>366</v>
      </c>
      <c r="C88" s="1" t="s">
        <v>17</v>
      </c>
      <c r="D88" s="1" t="s">
        <v>245</v>
      </c>
      <c r="F88" s="1" t="s">
        <v>380</v>
      </c>
      <c r="G88" s="1" t="s">
        <v>9</v>
      </c>
      <c r="H88" s="1" t="s">
        <v>10</v>
      </c>
      <c r="K88" s="1" t="s">
        <v>291</v>
      </c>
      <c r="L88" s="10" t="s">
        <v>44</v>
      </c>
      <c r="M88" s="1" t="s">
        <v>368</v>
      </c>
      <c r="N88" s="1">
        <v>15.28</v>
      </c>
      <c r="O88" s="41" t="s">
        <v>109</v>
      </c>
      <c r="P88" s="41" t="s">
        <v>109</v>
      </c>
      <c r="Q88" s="99">
        <v>1.04</v>
      </c>
      <c r="R88" s="99">
        <v>0.94</v>
      </c>
      <c r="S88" s="99"/>
      <c r="T88" s="99"/>
      <c r="U88" s="99"/>
      <c r="V88" s="6">
        <v>83.3</v>
      </c>
      <c r="W88" s="6">
        <v>0</v>
      </c>
      <c r="X88" s="6">
        <v>72</v>
      </c>
    </row>
    <row r="89" spans="1:24" s="93" customFormat="1" hidden="1" x14ac:dyDescent="0.3">
      <c r="A89" s="93">
        <v>2023</v>
      </c>
      <c r="B89" s="93" t="s">
        <v>495</v>
      </c>
      <c r="C89" s="93" t="s">
        <v>17</v>
      </c>
      <c r="D89" s="93" t="s">
        <v>245</v>
      </c>
      <c r="F89" s="93" t="s">
        <v>498</v>
      </c>
      <c r="G89" s="93" t="s">
        <v>9</v>
      </c>
      <c r="H89" s="93" t="s">
        <v>10</v>
      </c>
      <c r="K89" s="93" t="s">
        <v>496</v>
      </c>
      <c r="L89" s="96" t="s">
        <v>43</v>
      </c>
      <c r="M89" s="93" t="s">
        <v>497</v>
      </c>
      <c r="N89" s="93">
        <v>15.28</v>
      </c>
      <c r="O89" s="97" t="s">
        <v>109</v>
      </c>
      <c r="P89" s="97" t="s">
        <v>109</v>
      </c>
      <c r="Q89" s="100">
        <v>1.04</v>
      </c>
      <c r="R89" s="100">
        <v>0.94</v>
      </c>
      <c r="S89" s="100"/>
      <c r="T89" s="100"/>
      <c r="U89" s="100"/>
      <c r="V89" s="7">
        <v>83.3</v>
      </c>
      <c r="W89" s="7">
        <v>0</v>
      </c>
      <c r="X89" s="7">
        <v>72</v>
      </c>
    </row>
    <row r="90" spans="1:24" s="93" customFormat="1" hidden="1" x14ac:dyDescent="0.3">
      <c r="A90" s="93">
        <v>2023</v>
      </c>
      <c r="B90" s="93" t="s">
        <v>505</v>
      </c>
      <c r="C90" s="93" t="s">
        <v>17</v>
      </c>
      <c r="D90" s="93" t="s">
        <v>245</v>
      </c>
      <c r="F90" s="93" t="s">
        <v>503</v>
      </c>
      <c r="G90" s="93" t="s">
        <v>9</v>
      </c>
      <c r="H90" s="93" t="s">
        <v>10</v>
      </c>
      <c r="K90" s="93" t="s">
        <v>496</v>
      </c>
      <c r="L90" s="96" t="s">
        <v>43</v>
      </c>
      <c r="M90" s="93" t="s">
        <v>506</v>
      </c>
      <c r="N90" s="93">
        <v>15.28</v>
      </c>
      <c r="O90" s="97" t="s">
        <v>109</v>
      </c>
      <c r="P90" s="97" t="s">
        <v>109</v>
      </c>
      <c r="Q90" s="100">
        <v>1.04</v>
      </c>
      <c r="R90" s="100">
        <v>0.94</v>
      </c>
      <c r="S90" s="100"/>
      <c r="T90" s="100"/>
      <c r="U90" s="100"/>
      <c r="V90" s="7">
        <v>83.3</v>
      </c>
      <c r="W90" s="7">
        <v>0</v>
      </c>
      <c r="X90" s="7">
        <v>72</v>
      </c>
    </row>
    <row r="91" spans="1:24" s="93" customFormat="1" hidden="1" x14ac:dyDescent="0.3">
      <c r="A91" s="93">
        <v>2023</v>
      </c>
      <c r="B91" s="93" t="s">
        <v>507</v>
      </c>
      <c r="C91" s="93" t="s">
        <v>17</v>
      </c>
      <c r="D91" s="93" t="s">
        <v>245</v>
      </c>
      <c r="F91" s="93" t="s">
        <v>508</v>
      </c>
      <c r="G91" s="93" t="s">
        <v>9</v>
      </c>
      <c r="H91" s="93" t="s">
        <v>10</v>
      </c>
      <c r="K91" s="93" t="s">
        <v>496</v>
      </c>
      <c r="L91" s="96" t="s">
        <v>43</v>
      </c>
      <c r="M91" s="93" t="s">
        <v>509</v>
      </c>
      <c r="N91" s="93">
        <v>15.28</v>
      </c>
      <c r="O91" s="97" t="s">
        <v>109</v>
      </c>
      <c r="P91" s="97" t="s">
        <v>109</v>
      </c>
      <c r="Q91" s="100">
        <v>0.88</v>
      </c>
      <c r="R91" s="7">
        <v>0.8</v>
      </c>
      <c r="S91" s="7"/>
      <c r="T91" s="7"/>
      <c r="U91" s="7"/>
      <c r="V91" s="7">
        <v>83.3</v>
      </c>
      <c r="W91" s="7">
        <v>0</v>
      </c>
      <c r="X91" s="7">
        <v>72</v>
      </c>
    </row>
    <row r="92" spans="1:24" s="93" customFormat="1" hidden="1" x14ac:dyDescent="0.3">
      <c r="A92" s="93">
        <v>2023</v>
      </c>
      <c r="B92" s="93" t="s">
        <v>513</v>
      </c>
      <c r="C92" s="93" t="s">
        <v>17</v>
      </c>
      <c r="D92" s="93" t="s">
        <v>245</v>
      </c>
      <c r="F92" s="93" t="s">
        <v>515</v>
      </c>
      <c r="G92" s="93" t="s">
        <v>9</v>
      </c>
      <c r="H92" s="93" t="s">
        <v>10</v>
      </c>
      <c r="K92" s="93" t="s">
        <v>496</v>
      </c>
      <c r="L92" s="96" t="s">
        <v>43</v>
      </c>
      <c r="M92" s="93" t="s">
        <v>512</v>
      </c>
      <c r="N92" s="93">
        <v>15.28</v>
      </c>
      <c r="O92" s="97" t="s">
        <v>109</v>
      </c>
      <c r="P92" s="97" t="s">
        <v>109</v>
      </c>
      <c r="Q92" s="100">
        <v>0.88</v>
      </c>
      <c r="R92" s="7">
        <v>0.79</v>
      </c>
      <c r="S92" s="7"/>
      <c r="T92" s="7"/>
      <c r="U92" s="7"/>
      <c r="V92" s="7">
        <v>75</v>
      </c>
      <c r="W92" s="7">
        <v>0</v>
      </c>
      <c r="X92" s="7">
        <v>72</v>
      </c>
    </row>
    <row r="93" spans="1:24" s="93" customFormat="1" hidden="1" x14ac:dyDescent="0.3">
      <c r="A93" s="93">
        <v>2023</v>
      </c>
      <c r="B93" s="93" t="s">
        <v>514</v>
      </c>
      <c r="C93" s="93" t="s">
        <v>17</v>
      </c>
      <c r="D93" s="93" t="s">
        <v>245</v>
      </c>
      <c r="F93" s="93" t="s">
        <v>516</v>
      </c>
      <c r="G93" s="93" t="s">
        <v>9</v>
      </c>
      <c r="H93" s="93" t="s">
        <v>10</v>
      </c>
      <c r="K93" s="93" t="s">
        <v>496</v>
      </c>
      <c r="L93" s="96" t="s">
        <v>43</v>
      </c>
      <c r="M93" s="93" t="s">
        <v>517</v>
      </c>
      <c r="N93" s="93">
        <v>15.28</v>
      </c>
      <c r="O93" s="97" t="s">
        <v>109</v>
      </c>
      <c r="P93" s="97" t="s">
        <v>109</v>
      </c>
      <c r="Q93" s="100">
        <v>0.88</v>
      </c>
      <c r="R93" s="7">
        <v>0.77</v>
      </c>
      <c r="S93" s="7"/>
      <c r="T93" s="7"/>
      <c r="U93" s="7"/>
      <c r="V93" s="7">
        <v>50</v>
      </c>
      <c r="W93" s="7">
        <v>0</v>
      </c>
      <c r="X93" s="7">
        <v>72</v>
      </c>
    </row>
    <row r="94" spans="1:24" s="93" customFormat="1" hidden="1" x14ac:dyDescent="0.3">
      <c r="A94" s="93">
        <v>2023</v>
      </c>
      <c r="B94" s="93" t="s">
        <v>518</v>
      </c>
      <c r="C94" s="93" t="s">
        <v>17</v>
      </c>
      <c r="D94" s="93" t="s">
        <v>245</v>
      </c>
      <c r="F94" s="93" t="s">
        <v>519</v>
      </c>
      <c r="G94" s="93" t="s">
        <v>9</v>
      </c>
      <c r="H94" s="93" t="s">
        <v>10</v>
      </c>
      <c r="K94" s="93" t="s">
        <v>496</v>
      </c>
      <c r="L94" s="96" t="s">
        <v>43</v>
      </c>
      <c r="M94" s="93" t="s">
        <v>520</v>
      </c>
      <c r="N94" s="93">
        <v>15.28</v>
      </c>
      <c r="O94" s="97" t="s">
        <v>109</v>
      </c>
      <c r="P94" s="97" t="s">
        <v>109</v>
      </c>
      <c r="Q94" s="100">
        <v>0.88</v>
      </c>
      <c r="R94" s="7">
        <v>0.77</v>
      </c>
      <c r="S94" s="7"/>
      <c r="T94" s="7"/>
      <c r="U94" s="7"/>
      <c r="V94" s="7">
        <v>50</v>
      </c>
      <c r="W94" s="7">
        <v>0</v>
      </c>
      <c r="X94" s="7">
        <v>60</v>
      </c>
    </row>
    <row r="95" spans="1:24" s="93" customFormat="1" hidden="1" x14ac:dyDescent="0.3">
      <c r="A95" s="93">
        <v>2023</v>
      </c>
      <c r="B95" s="93" t="s">
        <v>521</v>
      </c>
      <c r="C95" s="93" t="s">
        <v>17</v>
      </c>
      <c r="D95" s="93" t="s">
        <v>245</v>
      </c>
      <c r="F95" s="93" t="s">
        <v>522</v>
      </c>
      <c r="G95" s="93" t="s">
        <v>9</v>
      </c>
      <c r="H95" s="93" t="s">
        <v>10</v>
      </c>
      <c r="K95" s="93" t="s">
        <v>496</v>
      </c>
      <c r="L95" s="96" t="s">
        <v>43</v>
      </c>
      <c r="M95" s="93" t="s">
        <v>523</v>
      </c>
      <c r="N95" s="93">
        <v>15.28</v>
      </c>
      <c r="O95" s="97" t="s">
        <v>109</v>
      </c>
      <c r="P95" s="97" t="s">
        <v>109</v>
      </c>
      <c r="Q95" s="100">
        <v>0.88</v>
      </c>
      <c r="R95" s="7">
        <v>0.77</v>
      </c>
      <c r="S95" s="7"/>
      <c r="T95" s="7"/>
      <c r="U95" s="7"/>
      <c r="V95" s="7">
        <v>50</v>
      </c>
      <c r="W95" s="7">
        <v>0</v>
      </c>
      <c r="X95" s="7">
        <v>68</v>
      </c>
    </row>
    <row r="96" spans="1:24" s="93" customFormat="1" hidden="1" x14ac:dyDescent="0.3">
      <c r="A96" s="93">
        <v>2023</v>
      </c>
      <c r="B96" s="93" t="s">
        <v>528</v>
      </c>
      <c r="C96" s="93" t="s">
        <v>17</v>
      </c>
      <c r="D96" s="93" t="s">
        <v>245</v>
      </c>
      <c r="F96" s="93" t="s">
        <v>525</v>
      </c>
      <c r="G96" s="93" t="s">
        <v>9</v>
      </c>
      <c r="H96" s="93" t="s">
        <v>10</v>
      </c>
      <c r="K96" s="93" t="s">
        <v>529</v>
      </c>
      <c r="L96" s="96" t="s">
        <v>43</v>
      </c>
      <c r="M96" s="93" t="s">
        <v>530</v>
      </c>
      <c r="N96" s="93">
        <v>15.28</v>
      </c>
      <c r="O96" s="97" t="s">
        <v>109</v>
      </c>
      <c r="P96" s="97" t="s">
        <v>109</v>
      </c>
      <c r="Q96" s="100">
        <v>0.88</v>
      </c>
      <c r="R96" s="7">
        <v>0.77</v>
      </c>
      <c r="S96" s="7"/>
      <c r="T96" s="7"/>
      <c r="U96" s="7"/>
      <c r="V96" s="7">
        <v>50</v>
      </c>
      <c r="W96" s="7">
        <v>0</v>
      </c>
      <c r="X96" s="7">
        <v>68</v>
      </c>
    </row>
    <row r="97" spans="1:24" s="93" customFormat="1" hidden="1" x14ac:dyDescent="0.3">
      <c r="A97" s="93">
        <v>2023</v>
      </c>
      <c r="B97" s="93" t="s">
        <v>535</v>
      </c>
      <c r="C97" s="93" t="s">
        <v>17</v>
      </c>
      <c r="D97" s="93" t="s">
        <v>245</v>
      </c>
      <c r="F97" s="93" t="s">
        <v>532</v>
      </c>
      <c r="G97" s="93" t="s">
        <v>9</v>
      </c>
      <c r="H97" s="93" t="s">
        <v>10</v>
      </c>
      <c r="K97" s="93" t="s">
        <v>529</v>
      </c>
      <c r="L97" s="96" t="s">
        <v>43</v>
      </c>
      <c r="M97" s="93" t="s">
        <v>536</v>
      </c>
      <c r="N97" s="93">
        <v>15.28</v>
      </c>
      <c r="O97" s="97" t="s">
        <v>109</v>
      </c>
      <c r="P97" s="97" t="s">
        <v>109</v>
      </c>
      <c r="Q97" s="100">
        <v>0.65</v>
      </c>
      <c r="R97" s="7">
        <v>0.5</v>
      </c>
      <c r="S97" s="101">
        <v>8.0000000000000002E-3</v>
      </c>
      <c r="T97" s="101"/>
      <c r="U97" s="101"/>
      <c r="V97" s="7">
        <v>50</v>
      </c>
      <c r="W97" s="7">
        <v>0</v>
      </c>
      <c r="X97" s="7">
        <v>68</v>
      </c>
    </row>
    <row r="98" spans="1:24" s="93" customFormat="1" hidden="1" x14ac:dyDescent="0.3">
      <c r="A98" s="93">
        <v>2023</v>
      </c>
      <c r="B98" s="93" t="s">
        <v>538</v>
      </c>
      <c r="C98" s="93" t="s">
        <v>17</v>
      </c>
      <c r="D98" s="93" t="s">
        <v>245</v>
      </c>
      <c r="F98" s="93" t="s">
        <v>539</v>
      </c>
      <c r="G98" s="93" t="s">
        <v>548</v>
      </c>
      <c r="H98" s="93" t="s">
        <v>10</v>
      </c>
      <c r="K98" s="93" t="s">
        <v>529</v>
      </c>
      <c r="L98" s="96" t="s">
        <v>43</v>
      </c>
      <c r="M98" s="93" t="s">
        <v>540</v>
      </c>
      <c r="N98" s="93">
        <v>15.28</v>
      </c>
      <c r="O98" s="97" t="s">
        <v>109</v>
      </c>
      <c r="P98" s="97" t="s">
        <v>109</v>
      </c>
      <c r="Q98" s="100"/>
      <c r="R98" s="7"/>
      <c r="S98" s="101"/>
      <c r="T98" s="101">
        <v>-0.6</v>
      </c>
      <c r="U98" s="101"/>
      <c r="V98" s="7">
        <v>50</v>
      </c>
      <c r="W98" s="7">
        <v>0</v>
      </c>
      <c r="X98" s="7">
        <v>68</v>
      </c>
    </row>
    <row r="99" spans="1:24" s="93" customFormat="1" hidden="1" x14ac:dyDescent="0.3">
      <c r="A99" s="93">
        <v>2023</v>
      </c>
      <c r="B99" s="93" t="s">
        <v>543</v>
      </c>
      <c r="C99" s="93" t="s">
        <v>17</v>
      </c>
      <c r="D99" s="93" t="s">
        <v>245</v>
      </c>
      <c r="F99" s="93" t="s">
        <v>549</v>
      </c>
      <c r="G99" s="93" t="s">
        <v>548</v>
      </c>
      <c r="H99" s="93" t="s">
        <v>10</v>
      </c>
      <c r="K99" s="93" t="s">
        <v>529</v>
      </c>
      <c r="L99" s="96" t="s">
        <v>43</v>
      </c>
      <c r="M99" s="93" t="s">
        <v>544</v>
      </c>
      <c r="N99" s="93">
        <v>15.28</v>
      </c>
      <c r="O99" s="97" t="s">
        <v>109</v>
      </c>
      <c r="P99" s="97" t="s">
        <v>109</v>
      </c>
      <c r="Q99" s="100"/>
      <c r="R99" s="7"/>
      <c r="S99" s="101"/>
      <c r="T99" s="101">
        <v>-0.53</v>
      </c>
      <c r="U99" s="101"/>
      <c r="V99" s="7">
        <v>50</v>
      </c>
      <c r="W99" s="7">
        <v>0</v>
      </c>
      <c r="X99" s="7">
        <v>68</v>
      </c>
    </row>
    <row r="100" spans="1:24" s="93" customFormat="1" hidden="1" x14ac:dyDescent="0.3">
      <c r="A100" s="93">
        <v>2023</v>
      </c>
      <c r="B100" s="93" t="s">
        <v>545</v>
      </c>
      <c r="C100" s="93" t="s">
        <v>17</v>
      </c>
      <c r="D100" s="93" t="s">
        <v>245</v>
      </c>
      <c r="F100" s="93" t="s">
        <v>550</v>
      </c>
      <c r="G100" s="93" t="s">
        <v>547</v>
      </c>
      <c r="H100" s="93" t="s">
        <v>10</v>
      </c>
      <c r="K100" s="93" t="s">
        <v>529</v>
      </c>
      <c r="L100" s="96" t="s">
        <v>43</v>
      </c>
      <c r="M100" s="93" t="s">
        <v>546</v>
      </c>
      <c r="N100" s="93">
        <v>15.28</v>
      </c>
      <c r="O100" s="97" t="s">
        <v>109</v>
      </c>
      <c r="P100" s="97" t="s">
        <v>109</v>
      </c>
      <c r="Q100" s="100"/>
      <c r="R100" s="7"/>
      <c r="S100" s="101"/>
      <c r="T100" s="101">
        <v>-0.53</v>
      </c>
      <c r="U100" s="101"/>
      <c r="V100" s="7">
        <v>50</v>
      </c>
      <c r="W100" s="7">
        <v>0</v>
      </c>
      <c r="X100" s="7">
        <v>68</v>
      </c>
    </row>
    <row r="101" spans="1:24" s="93" customFormat="1" hidden="1" x14ac:dyDescent="0.3">
      <c r="A101" s="93">
        <v>2023</v>
      </c>
      <c r="B101" s="93" t="s">
        <v>551</v>
      </c>
      <c r="C101" s="93" t="s">
        <v>17</v>
      </c>
      <c r="D101" s="93" t="s">
        <v>245</v>
      </c>
      <c r="F101" s="93" t="s">
        <v>552</v>
      </c>
      <c r="G101" s="93" t="s">
        <v>553</v>
      </c>
      <c r="H101" s="93" t="s">
        <v>10</v>
      </c>
      <c r="K101" s="93" t="s">
        <v>529</v>
      </c>
      <c r="L101" s="96" t="s">
        <v>43</v>
      </c>
      <c r="M101" s="93" t="s">
        <v>554</v>
      </c>
      <c r="N101" s="93">
        <v>15.28</v>
      </c>
      <c r="O101" s="97" t="s">
        <v>109</v>
      </c>
      <c r="P101" s="97" t="s">
        <v>109</v>
      </c>
      <c r="Q101" s="100"/>
      <c r="R101" s="7"/>
      <c r="S101" s="101"/>
      <c r="T101" s="101">
        <v>-0.53</v>
      </c>
      <c r="U101" s="101"/>
      <c r="V101" s="7">
        <v>50</v>
      </c>
      <c r="W101" s="7">
        <v>0</v>
      </c>
      <c r="X101" s="7">
        <v>68</v>
      </c>
    </row>
    <row r="102" spans="1:24" s="93" customFormat="1" hidden="1" x14ac:dyDescent="0.3">
      <c r="A102" s="93">
        <v>2023</v>
      </c>
      <c r="B102" s="93" t="s">
        <v>555</v>
      </c>
      <c r="C102" s="93" t="s">
        <v>17</v>
      </c>
      <c r="D102" s="93" t="s">
        <v>245</v>
      </c>
      <c r="F102" s="93" t="s">
        <v>557</v>
      </c>
      <c r="G102" s="93" t="s">
        <v>559</v>
      </c>
      <c r="H102" s="93" t="s">
        <v>10</v>
      </c>
      <c r="K102" s="93" t="s">
        <v>529</v>
      </c>
      <c r="L102" s="96" t="s">
        <v>43</v>
      </c>
      <c r="M102" s="93" t="s">
        <v>558</v>
      </c>
      <c r="N102" s="93">
        <v>16.28</v>
      </c>
      <c r="O102" s="97" t="s">
        <v>109</v>
      </c>
      <c r="P102" s="97" t="s">
        <v>109</v>
      </c>
      <c r="Q102" s="100"/>
      <c r="R102" s="7"/>
      <c r="S102" s="101"/>
      <c r="T102" s="101">
        <v>-0.53</v>
      </c>
      <c r="U102" s="101"/>
      <c r="V102" s="7">
        <v>50</v>
      </c>
      <c r="W102" s="7">
        <v>0</v>
      </c>
      <c r="X102" s="7">
        <v>68</v>
      </c>
    </row>
    <row r="103" spans="1:24" s="93" customFormat="1" hidden="1" x14ac:dyDescent="0.3">
      <c r="A103" s="93">
        <v>2023</v>
      </c>
      <c r="B103" s="93" t="s">
        <v>556</v>
      </c>
      <c r="C103" s="93" t="s">
        <v>17</v>
      </c>
      <c r="D103" s="93" t="s">
        <v>245</v>
      </c>
      <c r="F103" s="93" t="s">
        <v>560</v>
      </c>
      <c r="G103" s="93" t="s">
        <v>559</v>
      </c>
      <c r="H103" s="93" t="s">
        <v>10</v>
      </c>
      <c r="K103" s="93" t="s">
        <v>561</v>
      </c>
      <c r="L103" s="96" t="s">
        <v>43</v>
      </c>
      <c r="M103" s="93" t="s">
        <v>562</v>
      </c>
      <c r="N103" s="93">
        <v>16.28</v>
      </c>
      <c r="O103" s="97" t="s">
        <v>109</v>
      </c>
      <c r="P103" s="97" t="s">
        <v>109</v>
      </c>
      <c r="Q103" s="100"/>
      <c r="R103" s="7"/>
      <c r="S103" s="101"/>
      <c r="T103" s="101">
        <v>0</v>
      </c>
      <c r="U103" s="101"/>
      <c r="V103" s="7">
        <v>50</v>
      </c>
      <c r="W103" s="7">
        <v>0</v>
      </c>
      <c r="X103" s="7">
        <v>68</v>
      </c>
    </row>
    <row r="104" spans="1:24" s="93" customFormat="1" hidden="1" x14ac:dyDescent="0.3">
      <c r="A104" s="93">
        <v>2023</v>
      </c>
      <c r="B104" s="93" t="s">
        <v>564</v>
      </c>
      <c r="C104" s="93" t="s">
        <v>17</v>
      </c>
      <c r="D104" s="93" t="s">
        <v>245</v>
      </c>
      <c r="F104" s="93" t="s">
        <v>565</v>
      </c>
      <c r="G104" s="93" t="s">
        <v>568</v>
      </c>
      <c r="H104" s="93" t="s">
        <v>10</v>
      </c>
      <c r="K104" s="93" t="s">
        <v>561</v>
      </c>
      <c r="L104" s="96" t="s">
        <v>43</v>
      </c>
      <c r="M104" s="93" t="s">
        <v>569</v>
      </c>
      <c r="N104" s="93">
        <v>16.28</v>
      </c>
      <c r="O104" s="97" t="s">
        <v>109</v>
      </c>
      <c r="P104" s="97" t="s">
        <v>109</v>
      </c>
      <c r="Q104" s="100"/>
      <c r="R104" s="7"/>
      <c r="S104" s="101"/>
      <c r="T104" s="101">
        <v>0</v>
      </c>
      <c r="U104" s="101"/>
      <c r="V104" s="7">
        <v>50</v>
      </c>
      <c r="W104" s="7">
        <v>0</v>
      </c>
      <c r="X104" s="7">
        <v>68</v>
      </c>
    </row>
    <row r="105" spans="1:24" s="93" customFormat="1" hidden="1" x14ac:dyDescent="0.3">
      <c r="A105" s="93">
        <v>2023</v>
      </c>
      <c r="B105" s="93" t="s">
        <v>563</v>
      </c>
      <c r="C105" s="93" t="s">
        <v>17</v>
      </c>
      <c r="D105" s="93" t="s">
        <v>245</v>
      </c>
      <c r="F105" s="93" t="s">
        <v>566</v>
      </c>
      <c r="G105" s="93" t="s">
        <v>567</v>
      </c>
      <c r="H105" s="93" t="s">
        <v>10</v>
      </c>
      <c r="K105" s="93" t="s">
        <v>561</v>
      </c>
      <c r="L105" s="96" t="s">
        <v>43</v>
      </c>
      <c r="M105" s="93" t="s">
        <v>570</v>
      </c>
      <c r="N105" s="93">
        <v>16.28</v>
      </c>
      <c r="O105" s="97" t="s">
        <v>109</v>
      </c>
      <c r="P105" s="97" t="s">
        <v>109</v>
      </c>
      <c r="Q105" s="100"/>
      <c r="R105" s="7"/>
      <c r="S105" s="101"/>
      <c r="T105" s="101">
        <v>0</v>
      </c>
      <c r="U105" s="101"/>
      <c r="V105" s="7">
        <v>50</v>
      </c>
      <c r="W105" s="7">
        <v>0</v>
      </c>
      <c r="X105" s="7">
        <v>68</v>
      </c>
    </row>
    <row r="106" spans="1:24" s="93" customFormat="1" hidden="1" x14ac:dyDescent="0.3">
      <c r="A106" s="93">
        <v>2023</v>
      </c>
      <c r="B106" s="93" t="s">
        <v>571</v>
      </c>
      <c r="C106" s="93" t="s">
        <v>17</v>
      </c>
      <c r="D106" s="93" t="s">
        <v>245</v>
      </c>
      <c r="F106" s="93" t="s">
        <v>572</v>
      </c>
      <c r="G106" s="93" t="s">
        <v>567</v>
      </c>
      <c r="H106" s="93" t="s">
        <v>10</v>
      </c>
      <c r="K106" s="93" t="s">
        <v>561</v>
      </c>
      <c r="L106" s="96" t="s">
        <v>43</v>
      </c>
      <c r="M106" s="93" t="s">
        <v>573</v>
      </c>
      <c r="N106" s="93">
        <v>16.28</v>
      </c>
      <c r="O106" s="97" t="s">
        <v>109</v>
      </c>
      <c r="P106" s="97" t="s">
        <v>109</v>
      </c>
      <c r="Q106" s="100"/>
      <c r="R106" s="7"/>
      <c r="S106" s="101"/>
      <c r="T106" s="101">
        <v>0</v>
      </c>
      <c r="U106" s="101"/>
      <c r="V106" s="7">
        <v>50</v>
      </c>
      <c r="W106" s="7">
        <v>0</v>
      </c>
      <c r="X106" s="7">
        <v>68</v>
      </c>
    </row>
    <row r="107" spans="1:24" s="93" customFormat="1" hidden="1" x14ac:dyDescent="0.3">
      <c r="A107" s="93">
        <v>2023</v>
      </c>
      <c r="B107" s="93" t="s">
        <v>574</v>
      </c>
      <c r="C107" s="93" t="s">
        <v>17</v>
      </c>
      <c r="D107" s="93" t="s">
        <v>245</v>
      </c>
      <c r="F107" s="93" t="s">
        <v>575</v>
      </c>
      <c r="G107" s="93" t="s">
        <v>576</v>
      </c>
      <c r="H107" s="93" t="s">
        <v>10</v>
      </c>
      <c r="K107" s="93" t="s">
        <v>561</v>
      </c>
      <c r="L107" s="96" t="s">
        <v>43</v>
      </c>
      <c r="M107" s="93" t="s">
        <v>577</v>
      </c>
      <c r="N107" s="93">
        <v>16.28</v>
      </c>
      <c r="O107" s="97" t="s">
        <v>109</v>
      </c>
      <c r="P107" s="97" t="s">
        <v>109</v>
      </c>
      <c r="Q107" s="100"/>
      <c r="R107" s="7"/>
      <c r="S107" s="101"/>
      <c r="T107" s="101">
        <v>0</v>
      </c>
      <c r="U107" s="101"/>
      <c r="V107" s="7">
        <v>50</v>
      </c>
      <c r="W107" s="7">
        <v>0</v>
      </c>
      <c r="X107" s="7">
        <v>68</v>
      </c>
    </row>
    <row r="108" spans="1:24" s="93" customFormat="1" hidden="1" x14ac:dyDescent="0.3">
      <c r="A108" s="93">
        <v>2023</v>
      </c>
      <c r="B108" s="93" t="s">
        <v>578</v>
      </c>
      <c r="C108" s="93" t="s">
        <v>17</v>
      </c>
      <c r="D108" s="93" t="s">
        <v>245</v>
      </c>
      <c r="F108" s="93" t="s">
        <v>580</v>
      </c>
      <c r="G108" s="93" t="s">
        <v>576</v>
      </c>
      <c r="H108" s="93" t="s">
        <v>10</v>
      </c>
      <c r="K108" s="93" t="s">
        <v>561</v>
      </c>
      <c r="L108" s="96" t="s">
        <v>43</v>
      </c>
      <c r="M108" s="93" t="s">
        <v>582</v>
      </c>
      <c r="N108" s="93">
        <v>16.28</v>
      </c>
      <c r="O108" s="97" t="s">
        <v>109</v>
      </c>
      <c r="P108" s="97" t="s">
        <v>109</v>
      </c>
      <c r="Q108" s="100"/>
      <c r="R108" s="7"/>
      <c r="S108" s="101"/>
      <c r="T108" s="101">
        <v>0</v>
      </c>
      <c r="U108" s="101">
        <v>1.5</v>
      </c>
      <c r="V108" s="7">
        <v>50</v>
      </c>
      <c r="W108" s="7">
        <v>0</v>
      </c>
      <c r="X108" s="7">
        <v>68</v>
      </c>
    </row>
    <row r="109" spans="1:24" s="93" customFormat="1" hidden="1" x14ac:dyDescent="0.3">
      <c r="A109" s="93">
        <v>2023</v>
      </c>
      <c r="B109" s="93" t="s">
        <v>579</v>
      </c>
      <c r="C109" s="93" t="s">
        <v>17</v>
      </c>
      <c r="D109" s="93" t="s">
        <v>245</v>
      </c>
      <c r="F109" s="93" t="s">
        <v>581</v>
      </c>
      <c r="G109" s="93" t="s">
        <v>576</v>
      </c>
      <c r="H109" s="93" t="s">
        <v>10</v>
      </c>
      <c r="K109" s="93" t="s">
        <v>561</v>
      </c>
      <c r="L109" s="96" t="s">
        <v>43</v>
      </c>
      <c r="M109" s="93" t="s">
        <v>583</v>
      </c>
      <c r="N109" s="93">
        <v>16.28</v>
      </c>
      <c r="O109" s="97" t="s">
        <v>109</v>
      </c>
      <c r="P109" s="97" t="s">
        <v>109</v>
      </c>
      <c r="Q109" s="100"/>
      <c r="R109" s="7"/>
      <c r="S109" s="101"/>
      <c r="T109" s="101">
        <v>0</v>
      </c>
      <c r="U109" s="101">
        <v>10</v>
      </c>
      <c r="V109" s="7">
        <v>50</v>
      </c>
      <c r="W109" s="7">
        <v>0</v>
      </c>
      <c r="X109" s="7">
        <v>68</v>
      </c>
    </row>
    <row r="110" spans="1:24" s="93" customFormat="1" hidden="1" x14ac:dyDescent="0.3">
      <c r="A110" s="93">
        <v>2023</v>
      </c>
      <c r="B110" s="93" t="s">
        <v>585</v>
      </c>
      <c r="C110" s="93" t="s">
        <v>17</v>
      </c>
      <c r="D110" s="93" t="s">
        <v>245</v>
      </c>
      <c r="F110" s="93" t="s">
        <v>587</v>
      </c>
      <c r="G110" s="93" t="s">
        <v>586</v>
      </c>
      <c r="H110" s="93" t="s">
        <v>10</v>
      </c>
      <c r="K110" s="93" t="s">
        <v>561</v>
      </c>
      <c r="L110" s="96" t="s">
        <v>43</v>
      </c>
      <c r="M110" s="93" t="s">
        <v>588</v>
      </c>
      <c r="N110" s="93">
        <v>15.44</v>
      </c>
      <c r="O110" s="97" t="s">
        <v>109</v>
      </c>
      <c r="P110" s="97" t="s">
        <v>109</v>
      </c>
      <c r="Q110" s="100"/>
      <c r="R110" s="7"/>
      <c r="S110" s="101"/>
      <c r="T110" s="101">
        <v>-0.25</v>
      </c>
      <c r="U110" s="101">
        <v>3</v>
      </c>
      <c r="V110" s="7">
        <v>50</v>
      </c>
      <c r="W110" s="7">
        <v>0</v>
      </c>
      <c r="X110" s="7">
        <v>68</v>
      </c>
    </row>
    <row r="111" spans="1:24" s="93" customFormat="1" hidden="1" x14ac:dyDescent="0.3">
      <c r="A111" s="93">
        <v>2023</v>
      </c>
      <c r="B111" s="93" t="s">
        <v>595</v>
      </c>
      <c r="C111" s="93" t="s">
        <v>17</v>
      </c>
      <c r="D111" s="93" t="s">
        <v>245</v>
      </c>
      <c r="F111" s="93" t="s">
        <v>596</v>
      </c>
      <c r="G111" s="93" t="s">
        <v>586</v>
      </c>
      <c r="H111" s="93" t="s">
        <v>10</v>
      </c>
      <c r="K111" s="93" t="s">
        <v>561</v>
      </c>
      <c r="L111" s="96" t="s">
        <v>43</v>
      </c>
      <c r="M111" s="93" t="s">
        <v>597</v>
      </c>
      <c r="N111" s="93">
        <v>15.44</v>
      </c>
      <c r="O111" s="97" t="s">
        <v>109</v>
      </c>
      <c r="P111" s="97" t="s">
        <v>109</v>
      </c>
      <c r="Q111" s="100"/>
      <c r="R111" s="7"/>
      <c r="S111" s="101"/>
      <c r="T111" s="101">
        <v>-0.34200000000000003</v>
      </c>
      <c r="U111" s="101">
        <v>5</v>
      </c>
      <c r="V111" s="7">
        <v>50</v>
      </c>
      <c r="W111" s="7">
        <v>0</v>
      </c>
      <c r="X111" s="7">
        <v>68</v>
      </c>
    </row>
    <row r="112" spans="1:24" s="93" customFormat="1" hidden="1" x14ac:dyDescent="0.3">
      <c r="A112" s="93">
        <v>2023</v>
      </c>
      <c r="B112" s="93" t="s">
        <v>598</v>
      </c>
      <c r="C112" s="93" t="s">
        <v>17</v>
      </c>
      <c r="D112" s="93" t="s">
        <v>245</v>
      </c>
      <c r="F112" s="93" t="s">
        <v>599</v>
      </c>
      <c r="G112" s="93" t="s">
        <v>586</v>
      </c>
      <c r="H112" s="93" t="s">
        <v>10</v>
      </c>
      <c r="K112" s="93" t="s">
        <v>561</v>
      </c>
      <c r="L112" s="96" t="s">
        <v>43</v>
      </c>
      <c r="M112" s="93" t="s">
        <v>600</v>
      </c>
      <c r="N112" s="93">
        <v>15.44</v>
      </c>
      <c r="O112" s="97" t="s">
        <v>109</v>
      </c>
      <c r="P112" s="97" t="s">
        <v>109</v>
      </c>
      <c r="Q112" s="100"/>
      <c r="R112" s="7"/>
      <c r="S112" s="101"/>
      <c r="T112" s="101">
        <v>-0.29199999999999998</v>
      </c>
      <c r="U112" s="101">
        <v>5</v>
      </c>
      <c r="V112" s="7">
        <v>45</v>
      </c>
      <c r="W112" s="7">
        <v>0</v>
      </c>
      <c r="X112" s="7">
        <v>68</v>
      </c>
    </row>
    <row r="113" spans="1:26" s="93" customFormat="1" hidden="1" x14ac:dyDescent="0.3">
      <c r="A113" s="93">
        <v>2023</v>
      </c>
      <c r="B113" s="93" t="s">
        <v>601</v>
      </c>
      <c r="C113" s="93" t="s">
        <v>17</v>
      </c>
      <c r="D113" s="93" t="s">
        <v>245</v>
      </c>
      <c r="F113" s="93" t="s">
        <v>604</v>
      </c>
      <c r="G113" s="93" t="s">
        <v>586</v>
      </c>
      <c r="H113" s="93" t="s">
        <v>10</v>
      </c>
      <c r="K113" s="93" t="s">
        <v>561</v>
      </c>
      <c r="L113" s="96" t="s">
        <v>43</v>
      </c>
      <c r="M113" s="93" t="s">
        <v>602</v>
      </c>
      <c r="N113" s="93">
        <v>15.44</v>
      </c>
      <c r="O113" s="97" t="s">
        <v>109</v>
      </c>
      <c r="P113" s="97" t="s">
        <v>109</v>
      </c>
      <c r="Q113" s="100"/>
      <c r="R113" s="7"/>
      <c r="S113" s="101"/>
      <c r="T113" s="101">
        <v>-0.317</v>
      </c>
      <c r="U113" s="101">
        <v>7.5</v>
      </c>
      <c r="V113" s="7">
        <v>40</v>
      </c>
      <c r="W113" s="7">
        <v>0</v>
      </c>
      <c r="X113" s="7">
        <v>68</v>
      </c>
    </row>
    <row r="114" spans="1:26" s="93" customFormat="1" hidden="1" x14ac:dyDescent="0.3">
      <c r="A114" s="93">
        <v>2023</v>
      </c>
      <c r="B114" s="93" t="s">
        <v>603</v>
      </c>
      <c r="C114" s="93" t="s">
        <v>17</v>
      </c>
      <c r="D114" s="93" t="s">
        <v>245</v>
      </c>
      <c r="F114" s="93" t="s">
        <v>604</v>
      </c>
      <c r="G114" s="93" t="s">
        <v>586</v>
      </c>
      <c r="H114" s="93" t="s">
        <v>10</v>
      </c>
      <c r="K114" s="93" t="s">
        <v>561</v>
      </c>
      <c r="L114" s="96" t="s">
        <v>43</v>
      </c>
      <c r="M114" s="93" t="s">
        <v>605</v>
      </c>
      <c r="N114" s="93">
        <v>15.44</v>
      </c>
      <c r="O114" s="97" t="s">
        <v>109</v>
      </c>
      <c r="P114" s="97" t="s">
        <v>109</v>
      </c>
      <c r="Q114" s="100"/>
      <c r="R114" s="7"/>
      <c r="S114" s="101"/>
      <c r="T114" s="101">
        <v>-0.317</v>
      </c>
      <c r="U114" s="101">
        <v>5</v>
      </c>
      <c r="V114" s="7">
        <v>30</v>
      </c>
      <c r="W114" s="7">
        <v>0</v>
      </c>
      <c r="X114" s="7">
        <v>68</v>
      </c>
    </row>
    <row r="115" spans="1:26" s="93" customFormat="1" hidden="1" x14ac:dyDescent="0.3">
      <c r="A115" s="93">
        <v>2023</v>
      </c>
      <c r="B115" s="93" t="s">
        <v>616</v>
      </c>
      <c r="C115" s="93" t="s">
        <v>17</v>
      </c>
      <c r="D115" s="93" t="s">
        <v>245</v>
      </c>
      <c r="F115" s="93" t="s">
        <v>617</v>
      </c>
      <c r="G115" s="93" t="s">
        <v>618</v>
      </c>
      <c r="H115" s="93" t="s">
        <v>10</v>
      </c>
      <c r="K115" s="93" t="s">
        <v>561</v>
      </c>
      <c r="L115" s="96" t="s">
        <v>43</v>
      </c>
      <c r="M115" s="93" t="s">
        <v>619</v>
      </c>
      <c r="N115" s="93">
        <v>15.44</v>
      </c>
      <c r="O115" s="97" t="s">
        <v>109</v>
      </c>
      <c r="P115" s="97" t="s">
        <v>109</v>
      </c>
      <c r="Q115" s="100"/>
      <c r="R115" s="7"/>
      <c r="S115" s="101"/>
      <c r="T115" s="101">
        <v>-0.317</v>
      </c>
      <c r="U115" s="101">
        <v>5</v>
      </c>
      <c r="V115" s="7">
        <v>30</v>
      </c>
      <c r="W115" s="7">
        <v>0</v>
      </c>
      <c r="X115" s="7">
        <v>68</v>
      </c>
    </row>
    <row r="116" spans="1:26" s="93" customFormat="1" hidden="1" x14ac:dyDescent="0.3">
      <c r="A116" s="93">
        <v>2023</v>
      </c>
      <c r="B116" s="93" t="s">
        <v>631</v>
      </c>
      <c r="C116" s="93" t="s">
        <v>17</v>
      </c>
      <c r="D116" s="93" t="s">
        <v>245</v>
      </c>
      <c r="F116" s="93" t="s">
        <v>630</v>
      </c>
      <c r="G116" s="93" t="s">
        <v>618</v>
      </c>
      <c r="H116" s="93" t="s">
        <v>10</v>
      </c>
      <c r="K116" s="93" t="s">
        <v>561</v>
      </c>
      <c r="L116" s="96" t="s">
        <v>43</v>
      </c>
      <c r="M116" s="93" t="s">
        <v>632</v>
      </c>
      <c r="N116" s="93">
        <v>15.44</v>
      </c>
      <c r="O116" s="97" t="s">
        <v>109</v>
      </c>
      <c r="P116" s="97" t="s">
        <v>109</v>
      </c>
      <c r="Q116" s="100"/>
      <c r="R116" s="7"/>
      <c r="S116" s="101"/>
      <c r="T116" s="101">
        <v>-0.34699999999999998</v>
      </c>
      <c r="U116" s="101">
        <v>5</v>
      </c>
      <c r="V116" s="7">
        <v>30</v>
      </c>
      <c r="W116" s="7">
        <v>0</v>
      </c>
      <c r="X116" s="7">
        <v>68</v>
      </c>
    </row>
    <row r="117" spans="1:26" s="93" customFormat="1" hidden="1" x14ac:dyDescent="0.3">
      <c r="A117" s="93">
        <v>2023</v>
      </c>
      <c r="B117" s="93" t="s">
        <v>639</v>
      </c>
      <c r="C117" s="93" t="s">
        <v>17</v>
      </c>
      <c r="D117" s="93" t="s">
        <v>245</v>
      </c>
      <c r="F117" s="93" t="s">
        <v>636</v>
      </c>
      <c r="G117" s="93" t="s">
        <v>637</v>
      </c>
      <c r="H117" s="93" t="s">
        <v>10</v>
      </c>
      <c r="K117" s="93" t="s">
        <v>561</v>
      </c>
      <c r="L117" s="96" t="s">
        <v>43</v>
      </c>
      <c r="M117" s="93" t="s">
        <v>638</v>
      </c>
      <c r="N117" s="93">
        <v>15.44</v>
      </c>
      <c r="O117" s="97" t="s">
        <v>109</v>
      </c>
      <c r="P117" s="97" t="s">
        <v>109</v>
      </c>
      <c r="Q117" s="100"/>
      <c r="R117" s="7"/>
      <c r="S117" s="101"/>
      <c r="T117" s="101">
        <v>-0.33500000000000002</v>
      </c>
      <c r="U117" s="101">
        <v>5</v>
      </c>
      <c r="V117" s="7">
        <v>32</v>
      </c>
      <c r="W117" s="7">
        <v>0</v>
      </c>
      <c r="X117" s="7">
        <v>70</v>
      </c>
    </row>
    <row r="118" spans="1:26" s="93" customFormat="1" hidden="1" x14ac:dyDescent="0.3">
      <c r="A118" s="93">
        <v>2023</v>
      </c>
      <c r="B118" s="93" t="s">
        <v>640</v>
      </c>
      <c r="C118" s="93" t="s">
        <v>17</v>
      </c>
      <c r="D118" s="93" t="s">
        <v>245</v>
      </c>
      <c r="F118" s="93" t="s">
        <v>641</v>
      </c>
      <c r="G118" s="93" t="s">
        <v>637</v>
      </c>
      <c r="H118" s="93" t="s">
        <v>10</v>
      </c>
      <c r="K118" s="93" t="s">
        <v>561</v>
      </c>
      <c r="L118" s="96" t="s">
        <v>43</v>
      </c>
      <c r="M118" s="93" t="s">
        <v>642</v>
      </c>
      <c r="N118" s="93">
        <v>15.44</v>
      </c>
      <c r="O118" s="97" t="s">
        <v>109</v>
      </c>
      <c r="P118" s="97" t="s">
        <v>109</v>
      </c>
      <c r="Q118" s="100"/>
      <c r="R118" s="7"/>
      <c r="S118" s="101"/>
      <c r="T118" s="101">
        <v>-0.33500000000000002</v>
      </c>
      <c r="U118" s="101">
        <v>5</v>
      </c>
      <c r="V118" s="7">
        <v>32</v>
      </c>
      <c r="W118" s="7">
        <v>0</v>
      </c>
      <c r="X118" s="7">
        <v>80</v>
      </c>
    </row>
    <row r="119" spans="1:26" s="93" customFormat="1" hidden="1" x14ac:dyDescent="0.3">
      <c r="A119" s="93">
        <v>2023</v>
      </c>
      <c r="B119" s="93" t="s">
        <v>649</v>
      </c>
      <c r="C119" s="93" t="s">
        <v>17</v>
      </c>
      <c r="D119" s="93" t="s">
        <v>245</v>
      </c>
      <c r="F119" s="93" t="s">
        <v>641</v>
      </c>
      <c r="G119" s="93" t="s">
        <v>637</v>
      </c>
      <c r="H119" s="93" t="s">
        <v>10</v>
      </c>
      <c r="K119" s="93" t="s">
        <v>561</v>
      </c>
      <c r="L119" s="96" t="s">
        <v>43</v>
      </c>
      <c r="M119" s="93" t="s">
        <v>650</v>
      </c>
      <c r="N119" s="93">
        <v>15.44</v>
      </c>
      <c r="O119" s="97" t="s">
        <v>109</v>
      </c>
      <c r="P119" s="97" t="s">
        <v>109</v>
      </c>
      <c r="Q119" s="100"/>
      <c r="R119" s="7"/>
      <c r="S119" s="101"/>
      <c r="T119" s="101">
        <v>-0.34</v>
      </c>
      <c r="U119" s="101">
        <v>5</v>
      </c>
      <c r="V119" s="7">
        <v>34</v>
      </c>
      <c r="W119" s="7">
        <v>0</v>
      </c>
      <c r="X119" s="7">
        <v>80</v>
      </c>
    </row>
    <row r="120" spans="1:26" s="93" customFormat="1" hidden="1" x14ac:dyDescent="0.3">
      <c r="A120" s="93">
        <v>2023</v>
      </c>
      <c r="B120" s="93" t="s">
        <v>656</v>
      </c>
      <c r="C120" s="93" t="s">
        <v>17</v>
      </c>
      <c r="D120" s="93" t="s">
        <v>245</v>
      </c>
      <c r="F120" s="93" t="s">
        <v>657</v>
      </c>
      <c r="G120" s="93" t="s">
        <v>637</v>
      </c>
      <c r="H120" s="93" t="s">
        <v>10</v>
      </c>
      <c r="K120" s="93" t="s">
        <v>658</v>
      </c>
      <c r="L120" s="96" t="s">
        <v>43</v>
      </c>
      <c r="M120" s="93" t="s">
        <v>659</v>
      </c>
      <c r="N120" s="93">
        <v>15.44</v>
      </c>
      <c r="O120" s="97" t="s">
        <v>109</v>
      </c>
      <c r="P120" s="97" t="s">
        <v>109</v>
      </c>
      <c r="Q120" s="100"/>
      <c r="R120" s="7"/>
      <c r="S120" s="101"/>
      <c r="T120" s="101">
        <v>-0.34</v>
      </c>
      <c r="U120" s="101">
        <v>5</v>
      </c>
      <c r="V120" s="7">
        <v>34</v>
      </c>
      <c r="W120" s="7">
        <v>0</v>
      </c>
      <c r="X120" s="7">
        <v>85</v>
      </c>
      <c r="Y120" s="133"/>
    </row>
    <row r="121" spans="1:26" s="93" customFormat="1" hidden="1" x14ac:dyDescent="0.3">
      <c r="A121" s="93">
        <v>2023</v>
      </c>
      <c r="B121" s="93" t="s">
        <v>730</v>
      </c>
      <c r="C121" s="93" t="s">
        <v>17</v>
      </c>
      <c r="D121" s="93" t="s">
        <v>245</v>
      </c>
      <c r="F121" s="93" t="s">
        <v>731</v>
      </c>
      <c r="G121" s="93" t="s">
        <v>637</v>
      </c>
      <c r="H121" s="93" t="s">
        <v>10</v>
      </c>
      <c r="K121" s="93" t="s">
        <v>732</v>
      </c>
      <c r="L121" s="96" t="s">
        <v>16</v>
      </c>
      <c r="M121" s="93" t="s">
        <v>733</v>
      </c>
      <c r="N121" s="93">
        <v>15.44</v>
      </c>
      <c r="O121" s="97" t="s">
        <v>109</v>
      </c>
      <c r="P121" s="97" t="s">
        <v>109</v>
      </c>
      <c r="Q121" s="100"/>
      <c r="R121" s="7"/>
      <c r="S121" s="101"/>
      <c r="T121" s="101">
        <v>-0.34</v>
      </c>
      <c r="U121" s="101">
        <v>5</v>
      </c>
      <c r="V121" s="7">
        <v>34</v>
      </c>
      <c r="W121" s="7">
        <v>0</v>
      </c>
      <c r="X121" s="7">
        <v>85</v>
      </c>
      <c r="Y121" s="133"/>
    </row>
    <row r="122" spans="1:26" s="93" customFormat="1" hidden="1" x14ac:dyDescent="0.3">
      <c r="A122" s="93">
        <v>2023</v>
      </c>
      <c r="B122" s="93" t="s">
        <v>761</v>
      </c>
      <c r="C122" s="93" t="s">
        <v>17</v>
      </c>
      <c r="D122" s="93" t="s">
        <v>245</v>
      </c>
      <c r="F122" s="93" t="s">
        <v>762</v>
      </c>
      <c r="G122" s="93" t="s">
        <v>637</v>
      </c>
      <c r="H122" s="93" t="s">
        <v>10</v>
      </c>
      <c r="K122" s="93" t="s">
        <v>763</v>
      </c>
      <c r="L122" s="96" t="s">
        <v>42</v>
      </c>
      <c r="M122" s="93" t="s">
        <v>764</v>
      </c>
      <c r="N122" s="93">
        <v>15.44</v>
      </c>
      <c r="O122" s="97" t="s">
        <v>109</v>
      </c>
      <c r="P122" s="97" t="s">
        <v>109</v>
      </c>
      <c r="Q122" s="100"/>
      <c r="R122" s="7"/>
      <c r="S122" s="101"/>
      <c r="T122" s="101">
        <v>-0.34</v>
      </c>
      <c r="U122" s="101">
        <v>5</v>
      </c>
      <c r="V122" s="7">
        <v>40</v>
      </c>
      <c r="W122" s="7">
        <v>0</v>
      </c>
      <c r="X122" s="7">
        <v>85</v>
      </c>
      <c r="Y122" s="133"/>
    </row>
    <row r="123" spans="1:26" s="93" customFormat="1" hidden="1" x14ac:dyDescent="0.3">
      <c r="A123" s="93">
        <v>2023</v>
      </c>
      <c r="B123" s="93" t="s">
        <v>769</v>
      </c>
      <c r="C123" s="93" t="s">
        <v>17</v>
      </c>
      <c r="D123" s="93" t="s">
        <v>245</v>
      </c>
      <c r="F123" s="93" t="s">
        <v>770</v>
      </c>
      <c r="G123" s="93" t="s">
        <v>637</v>
      </c>
      <c r="H123" s="93" t="s">
        <v>10</v>
      </c>
      <c r="K123" s="93" t="s">
        <v>763</v>
      </c>
      <c r="L123" s="96" t="s">
        <v>42</v>
      </c>
      <c r="M123" s="93" t="s">
        <v>772</v>
      </c>
      <c r="N123" s="93">
        <v>15.44</v>
      </c>
      <c r="O123" s="97" t="s">
        <v>109</v>
      </c>
      <c r="P123" s="97" t="s">
        <v>109</v>
      </c>
      <c r="Q123" s="100"/>
      <c r="R123" s="7"/>
      <c r="S123" s="101"/>
      <c r="T123" s="101">
        <v>-0.34</v>
      </c>
      <c r="U123" s="101">
        <v>5</v>
      </c>
      <c r="V123" s="7">
        <v>55</v>
      </c>
      <c r="W123" s="7">
        <v>0</v>
      </c>
      <c r="X123" s="7">
        <v>85</v>
      </c>
      <c r="Y123" s="133"/>
    </row>
    <row r="124" spans="1:26" s="93" customFormat="1" hidden="1" x14ac:dyDescent="0.3">
      <c r="A124" s="93">
        <v>2023</v>
      </c>
      <c r="B124" s="93" t="s">
        <v>777</v>
      </c>
      <c r="C124" s="93" t="s">
        <v>17</v>
      </c>
      <c r="D124" s="93" t="s">
        <v>245</v>
      </c>
      <c r="F124" s="93" t="s">
        <v>779</v>
      </c>
      <c r="G124" s="93" t="s">
        <v>637</v>
      </c>
      <c r="H124" s="93" t="s">
        <v>10</v>
      </c>
      <c r="K124" s="93" t="s">
        <v>763</v>
      </c>
      <c r="L124" s="96" t="s">
        <v>42</v>
      </c>
      <c r="M124" s="93" t="s">
        <v>778</v>
      </c>
      <c r="N124" s="93">
        <v>15.44</v>
      </c>
      <c r="O124" s="97" t="s">
        <v>109</v>
      </c>
      <c r="P124" s="97" t="s">
        <v>109</v>
      </c>
      <c r="Q124" s="100"/>
      <c r="R124" s="7"/>
      <c r="S124" s="101"/>
      <c r="T124" s="101">
        <v>-0.34</v>
      </c>
      <c r="U124" s="101">
        <v>5</v>
      </c>
      <c r="V124" s="7">
        <v>55</v>
      </c>
      <c r="W124" s="7">
        <v>0</v>
      </c>
      <c r="X124" s="7">
        <v>95</v>
      </c>
    </row>
    <row r="125" spans="1:26" s="93" customFormat="1" x14ac:dyDescent="0.3">
      <c r="A125" s="93">
        <v>2023</v>
      </c>
      <c r="B125" s="93" t="s">
        <v>780</v>
      </c>
      <c r="C125" s="93" t="s">
        <v>17</v>
      </c>
      <c r="D125" s="93" t="s">
        <v>245</v>
      </c>
      <c r="F125" s="93" t="s">
        <v>779</v>
      </c>
      <c r="G125" s="93" t="s">
        <v>637</v>
      </c>
      <c r="H125" s="93" t="s">
        <v>10</v>
      </c>
      <c r="I125" s="71" t="s">
        <v>11</v>
      </c>
      <c r="K125" s="93" t="s">
        <v>763</v>
      </c>
      <c r="L125" s="96" t="s">
        <v>42</v>
      </c>
      <c r="M125" s="93" t="s">
        <v>782</v>
      </c>
      <c r="N125" s="93">
        <v>15.44</v>
      </c>
      <c r="O125" s="97" t="s">
        <v>109</v>
      </c>
      <c r="P125" s="97" t="s">
        <v>109</v>
      </c>
      <c r="Q125" s="100"/>
      <c r="R125" s="7"/>
      <c r="S125" s="101"/>
      <c r="T125" s="101">
        <v>-0.34</v>
      </c>
      <c r="U125" s="101">
        <v>5</v>
      </c>
      <c r="V125" s="7">
        <v>55</v>
      </c>
      <c r="W125" s="7">
        <v>0</v>
      </c>
      <c r="X125" s="7">
        <v>108</v>
      </c>
      <c r="Y125" s="133" t="s">
        <v>359</v>
      </c>
      <c r="Z125" s="93">
        <v>2023</v>
      </c>
    </row>
    <row r="126" spans="1:26" s="93" customFormat="1" hidden="1" x14ac:dyDescent="0.3">
      <c r="A126" s="93">
        <v>2023</v>
      </c>
      <c r="B126" s="93" t="s">
        <v>783</v>
      </c>
      <c r="C126" s="93" t="s">
        <v>17</v>
      </c>
      <c r="D126" s="93" t="s">
        <v>245</v>
      </c>
      <c r="F126" s="93" t="s">
        <v>784</v>
      </c>
      <c r="G126" s="93" t="s">
        <v>637</v>
      </c>
      <c r="H126" s="93" t="s">
        <v>10</v>
      </c>
      <c r="K126" s="93" t="s">
        <v>763</v>
      </c>
      <c r="L126" s="96" t="s">
        <v>42</v>
      </c>
      <c r="M126" s="93" t="s">
        <v>785</v>
      </c>
      <c r="N126" s="93">
        <v>15.44</v>
      </c>
      <c r="O126" s="97" t="s">
        <v>109</v>
      </c>
      <c r="P126" s="97" t="s">
        <v>109</v>
      </c>
      <c r="Q126" s="100"/>
      <c r="R126" s="7"/>
      <c r="S126" s="101"/>
      <c r="T126" s="101">
        <v>-0.34</v>
      </c>
      <c r="U126" s="101">
        <v>5</v>
      </c>
      <c r="V126" s="7">
        <v>41.25</v>
      </c>
      <c r="W126" s="7">
        <v>0</v>
      </c>
      <c r="X126" s="7">
        <v>74.5</v>
      </c>
      <c r="Y126" s="133"/>
    </row>
    <row r="127" spans="1:26" s="93" customFormat="1" hidden="1" x14ac:dyDescent="0.3">
      <c r="A127" s="93">
        <v>2023</v>
      </c>
      <c r="B127" s="93" t="s">
        <v>789</v>
      </c>
      <c r="C127" s="93" t="s">
        <v>17</v>
      </c>
      <c r="D127" s="93" t="s">
        <v>245</v>
      </c>
      <c r="F127" s="93" t="s">
        <v>795</v>
      </c>
      <c r="G127" s="93" t="s">
        <v>637</v>
      </c>
      <c r="H127" s="93" t="s">
        <v>10</v>
      </c>
      <c r="K127" s="93" t="s">
        <v>763</v>
      </c>
      <c r="L127" s="96" t="s">
        <v>42</v>
      </c>
      <c r="M127" s="93" t="s">
        <v>796</v>
      </c>
      <c r="N127" s="93">
        <v>15.44</v>
      </c>
      <c r="O127" s="97" t="s">
        <v>109</v>
      </c>
      <c r="P127" s="97" t="s">
        <v>109</v>
      </c>
      <c r="Q127" s="100"/>
      <c r="R127" s="7"/>
      <c r="S127" s="101"/>
      <c r="T127" s="101">
        <v>-0.34</v>
      </c>
      <c r="U127" s="101">
        <v>5</v>
      </c>
      <c r="V127" s="7">
        <v>19</v>
      </c>
      <c r="W127" s="7">
        <v>0</v>
      </c>
      <c r="X127" s="7">
        <v>74.5</v>
      </c>
      <c r="Y127" s="133"/>
    </row>
    <row r="128" spans="1:26" s="93" customFormat="1" hidden="1" x14ac:dyDescent="0.3">
      <c r="A128" s="93">
        <v>2023</v>
      </c>
      <c r="B128" s="93" t="s">
        <v>797</v>
      </c>
      <c r="C128" s="93" t="s">
        <v>17</v>
      </c>
      <c r="D128" s="93" t="s">
        <v>245</v>
      </c>
      <c r="F128" s="93" t="s">
        <v>798</v>
      </c>
      <c r="G128" s="93" t="s">
        <v>637</v>
      </c>
      <c r="H128" s="93" t="s">
        <v>10</v>
      </c>
      <c r="K128" s="93" t="s">
        <v>763</v>
      </c>
      <c r="L128" s="96" t="s">
        <v>42</v>
      </c>
      <c r="M128" s="93" t="s">
        <v>799</v>
      </c>
      <c r="N128" s="93">
        <v>15.44</v>
      </c>
      <c r="O128" s="97" t="s">
        <v>109</v>
      </c>
      <c r="P128" s="97" t="s">
        <v>109</v>
      </c>
      <c r="Q128" s="100"/>
      <c r="R128" s="7"/>
      <c r="S128" s="101"/>
      <c r="T128" s="101">
        <v>-0.34</v>
      </c>
      <c r="U128" s="101">
        <v>5</v>
      </c>
      <c r="V128" s="7">
        <v>25</v>
      </c>
      <c r="W128" s="7">
        <v>0</v>
      </c>
      <c r="X128" s="7">
        <v>80</v>
      </c>
      <c r="Y128" s="133"/>
    </row>
    <row r="129" spans="1:25" s="93" customFormat="1" hidden="1" x14ac:dyDescent="0.3">
      <c r="A129" s="93">
        <v>2023</v>
      </c>
      <c r="B129" s="93" t="s">
        <v>800</v>
      </c>
      <c r="C129" s="93" t="s">
        <v>17</v>
      </c>
      <c r="D129" s="93" t="s">
        <v>245</v>
      </c>
      <c r="F129" s="93" t="s">
        <v>802</v>
      </c>
      <c r="G129" s="93" t="s">
        <v>637</v>
      </c>
      <c r="H129" s="93" t="s">
        <v>10</v>
      </c>
      <c r="K129" s="93" t="s">
        <v>763</v>
      </c>
      <c r="L129" s="96" t="s">
        <v>42</v>
      </c>
      <c r="M129" s="93" t="s">
        <v>803</v>
      </c>
      <c r="N129" s="93">
        <v>15.44</v>
      </c>
      <c r="O129" s="97" t="s">
        <v>109</v>
      </c>
      <c r="P129" s="97" t="s">
        <v>109</v>
      </c>
      <c r="Q129" s="100"/>
      <c r="R129" s="7"/>
      <c r="S129" s="101"/>
      <c r="T129" s="101">
        <v>-0.34</v>
      </c>
      <c r="U129" s="101">
        <v>5</v>
      </c>
      <c r="V129" s="7">
        <v>27</v>
      </c>
      <c r="W129" s="7">
        <v>0</v>
      </c>
      <c r="X129" s="7">
        <v>60</v>
      </c>
      <c r="Y129" s="133"/>
    </row>
    <row r="130" spans="1:25" s="93" customFormat="1" hidden="1" x14ac:dyDescent="0.3">
      <c r="A130" s="93">
        <v>2023</v>
      </c>
      <c r="B130" s="93" t="s">
        <v>806</v>
      </c>
      <c r="C130" s="93" t="s">
        <v>17</v>
      </c>
      <c r="D130" s="93" t="s">
        <v>245</v>
      </c>
      <c r="F130" s="93" t="s">
        <v>808</v>
      </c>
      <c r="G130" s="93" t="s">
        <v>637</v>
      </c>
      <c r="H130" s="93" t="s">
        <v>10</v>
      </c>
      <c r="K130" s="93" t="s">
        <v>763</v>
      </c>
      <c r="L130" s="96" t="s">
        <v>42</v>
      </c>
      <c r="M130" s="93" t="s">
        <v>807</v>
      </c>
      <c r="N130" s="93">
        <v>15.44</v>
      </c>
      <c r="O130" s="97" t="s">
        <v>109</v>
      </c>
      <c r="P130" s="97" t="s">
        <v>109</v>
      </c>
      <c r="Q130" s="100"/>
      <c r="R130" s="7"/>
      <c r="S130" s="101"/>
      <c r="T130" s="101">
        <v>-0.34</v>
      </c>
      <c r="U130" s="101">
        <v>5</v>
      </c>
      <c r="V130" s="7">
        <v>0</v>
      </c>
      <c r="W130" s="7">
        <v>0</v>
      </c>
      <c r="X130" s="7">
        <v>74.5</v>
      </c>
      <c r="Y130" s="133"/>
    </row>
    <row r="131" spans="1:25" s="93" customFormat="1" hidden="1" x14ac:dyDescent="0.3">
      <c r="A131" s="93">
        <v>2023</v>
      </c>
      <c r="B131" s="93" t="s">
        <v>809</v>
      </c>
      <c r="C131" s="93" t="s">
        <v>17</v>
      </c>
      <c r="D131" s="93" t="s">
        <v>245</v>
      </c>
      <c r="F131" s="93" t="s">
        <v>810</v>
      </c>
      <c r="G131" s="93" t="s">
        <v>637</v>
      </c>
      <c r="H131" s="93" t="s">
        <v>10</v>
      </c>
      <c r="K131" s="93" t="s">
        <v>763</v>
      </c>
      <c r="L131" s="96" t="s">
        <v>42</v>
      </c>
      <c r="M131" s="93" t="s">
        <v>811</v>
      </c>
      <c r="N131" s="93">
        <v>15.44</v>
      </c>
      <c r="O131" s="97" t="s">
        <v>109</v>
      </c>
      <c r="P131" s="97" t="s">
        <v>109</v>
      </c>
      <c r="Q131" s="100"/>
      <c r="R131" s="7"/>
      <c r="S131" s="101"/>
      <c r="T131" s="101">
        <v>-0.34</v>
      </c>
      <c r="U131" s="101">
        <v>5</v>
      </c>
      <c r="V131" s="7">
        <v>0</v>
      </c>
      <c r="W131" s="7">
        <v>0</v>
      </c>
      <c r="X131" s="7">
        <v>90</v>
      </c>
      <c r="Y131" s="133"/>
    </row>
    <row r="132" spans="1:25" s="93" customFormat="1" hidden="1" x14ac:dyDescent="0.3">
      <c r="A132" s="93">
        <v>2023</v>
      </c>
      <c r="B132" s="93" t="s">
        <v>812</v>
      </c>
      <c r="C132" s="93" t="s">
        <v>17</v>
      </c>
      <c r="D132" s="93" t="s">
        <v>245</v>
      </c>
      <c r="F132" s="93" t="s">
        <v>813</v>
      </c>
      <c r="G132" s="93" t="s">
        <v>637</v>
      </c>
      <c r="H132" s="93" t="s">
        <v>10</v>
      </c>
      <c r="K132" s="93" t="s">
        <v>763</v>
      </c>
      <c r="L132" s="96" t="s">
        <v>42</v>
      </c>
      <c r="M132" s="93" t="s">
        <v>814</v>
      </c>
      <c r="N132" s="93">
        <v>15.44</v>
      </c>
      <c r="O132" s="97" t="s">
        <v>109</v>
      </c>
      <c r="P132" s="97" t="s">
        <v>109</v>
      </c>
      <c r="Q132" s="100"/>
      <c r="R132" s="7"/>
      <c r="S132" s="101"/>
      <c r="T132" s="101">
        <v>-0.34</v>
      </c>
      <c r="U132" s="101">
        <v>5</v>
      </c>
      <c r="V132" s="7">
        <v>0</v>
      </c>
      <c r="W132" s="7">
        <v>0</v>
      </c>
      <c r="X132" s="7">
        <v>85</v>
      </c>
      <c r="Y132" s="133"/>
    </row>
    <row r="133" spans="1:25" s="93" customFormat="1" hidden="1" x14ac:dyDescent="0.3">
      <c r="A133" s="93">
        <v>2023</v>
      </c>
      <c r="B133" s="93" t="s">
        <v>916</v>
      </c>
      <c r="C133" s="93" t="s">
        <v>923</v>
      </c>
      <c r="D133" s="93" t="s">
        <v>245</v>
      </c>
      <c r="E133" s="93" t="s">
        <v>952</v>
      </c>
      <c r="F133" s="93" t="s">
        <v>919</v>
      </c>
      <c r="G133" s="93" t="s">
        <v>637</v>
      </c>
      <c r="H133" s="93" t="s">
        <v>10</v>
      </c>
      <c r="I133" s="93" t="s">
        <v>917</v>
      </c>
      <c r="K133" s="93" t="s">
        <v>763</v>
      </c>
      <c r="L133" s="96" t="s">
        <v>42</v>
      </c>
      <c r="M133" s="93" t="s">
        <v>921</v>
      </c>
      <c r="N133" s="93">
        <v>15.44</v>
      </c>
      <c r="O133" s="97" t="s">
        <v>109</v>
      </c>
      <c r="P133" s="97" t="s">
        <v>109</v>
      </c>
      <c r="Q133" s="100"/>
      <c r="R133" s="7"/>
      <c r="S133" s="101"/>
      <c r="T133" s="101">
        <v>-7.6999999999999999E-2</v>
      </c>
      <c r="U133" s="101">
        <v>5</v>
      </c>
      <c r="V133" s="7">
        <v>55</v>
      </c>
      <c r="W133" s="7">
        <v>0</v>
      </c>
      <c r="X133" s="7">
        <v>108</v>
      </c>
      <c r="Y133" s="133" t="s">
        <v>967</v>
      </c>
    </row>
    <row r="134" spans="1:25" s="93" customFormat="1" hidden="1" x14ac:dyDescent="0.3">
      <c r="A134" s="93">
        <v>2023</v>
      </c>
      <c r="B134" s="93" t="s">
        <v>918</v>
      </c>
      <c r="C134" s="93" t="s">
        <v>923</v>
      </c>
      <c r="D134" s="93" t="s">
        <v>245</v>
      </c>
      <c r="E134" s="93" t="s">
        <v>952</v>
      </c>
      <c r="F134" s="93" t="s">
        <v>920</v>
      </c>
      <c r="G134" s="93" t="s">
        <v>637</v>
      </c>
      <c r="H134" s="93" t="s">
        <v>10</v>
      </c>
      <c r="I134" s="93" t="s">
        <v>917</v>
      </c>
      <c r="K134" s="93" t="s">
        <v>763</v>
      </c>
      <c r="L134" s="96" t="s">
        <v>43</v>
      </c>
      <c r="M134" s="93" t="s">
        <v>922</v>
      </c>
      <c r="N134" s="93">
        <v>15.44</v>
      </c>
      <c r="O134" s="97" t="s">
        <v>109</v>
      </c>
      <c r="P134" s="97" t="s">
        <v>109</v>
      </c>
      <c r="Q134" s="100"/>
      <c r="R134" s="7"/>
      <c r="S134" s="101"/>
      <c r="T134" s="101">
        <v>-0.67700000000000005</v>
      </c>
      <c r="U134" s="101">
        <v>5</v>
      </c>
      <c r="V134" s="7">
        <v>55</v>
      </c>
      <c r="W134" s="7">
        <v>0</v>
      </c>
      <c r="X134" s="7">
        <v>108</v>
      </c>
      <c r="Y134" s="133" t="s">
        <v>968</v>
      </c>
    </row>
    <row r="135" spans="1:25" s="93" customFormat="1" hidden="1" x14ac:dyDescent="0.3">
      <c r="A135" s="93">
        <v>2023</v>
      </c>
      <c r="B135" s="93" t="s">
        <v>929</v>
      </c>
      <c r="C135" s="93" t="s">
        <v>923</v>
      </c>
      <c r="D135" s="93" t="s">
        <v>245</v>
      </c>
      <c r="E135" s="93" t="s">
        <v>952</v>
      </c>
      <c r="F135" s="93" t="s">
        <v>935</v>
      </c>
      <c r="G135" s="93" t="s">
        <v>637</v>
      </c>
      <c r="H135" s="93" t="s">
        <v>10</v>
      </c>
      <c r="I135" s="93" t="s">
        <v>917</v>
      </c>
      <c r="K135" s="93" t="s">
        <v>763</v>
      </c>
      <c r="L135" s="96" t="s">
        <v>44</v>
      </c>
      <c r="M135" s="93" t="s">
        <v>937</v>
      </c>
      <c r="N135" s="93">
        <v>15.44</v>
      </c>
      <c r="O135" s="97" t="s">
        <v>109</v>
      </c>
      <c r="P135" s="97" t="s">
        <v>109</v>
      </c>
      <c r="Q135" s="100"/>
      <c r="R135" s="7"/>
      <c r="S135" s="101"/>
      <c r="T135" s="101">
        <v>-9.5000000000000001E-2</v>
      </c>
      <c r="U135" s="101">
        <v>5</v>
      </c>
      <c r="V135" s="7">
        <v>55</v>
      </c>
      <c r="W135" s="7">
        <v>0</v>
      </c>
      <c r="X135" s="7">
        <v>108</v>
      </c>
      <c r="Y135" s="133" t="s">
        <v>967</v>
      </c>
    </row>
    <row r="136" spans="1:25" s="93" customFormat="1" hidden="1" x14ac:dyDescent="0.3">
      <c r="A136" s="93">
        <v>2023</v>
      </c>
      <c r="B136" s="93" t="s">
        <v>928</v>
      </c>
      <c r="C136" s="93" t="s">
        <v>923</v>
      </c>
      <c r="D136" s="93" t="s">
        <v>245</v>
      </c>
      <c r="E136" s="93" t="s">
        <v>952</v>
      </c>
      <c r="F136" s="93" t="s">
        <v>936</v>
      </c>
      <c r="G136" s="93" t="s">
        <v>637</v>
      </c>
      <c r="H136" s="93" t="s">
        <v>10</v>
      </c>
      <c r="I136" s="93" t="s">
        <v>917</v>
      </c>
      <c r="K136" s="93" t="s">
        <v>763</v>
      </c>
      <c r="L136" s="96" t="s">
        <v>43</v>
      </c>
      <c r="M136" s="93" t="s">
        <v>938</v>
      </c>
      <c r="N136" s="93">
        <v>15.44</v>
      </c>
      <c r="O136" s="97" t="s">
        <v>109</v>
      </c>
      <c r="P136" s="97" t="s">
        <v>109</v>
      </c>
      <c r="Q136" s="100"/>
      <c r="R136" s="7"/>
      <c r="S136" s="101"/>
      <c r="T136" s="101">
        <v>-0.6</v>
      </c>
      <c r="U136" s="101">
        <v>5</v>
      </c>
      <c r="V136" s="7">
        <v>55</v>
      </c>
      <c r="W136" s="7">
        <v>0</v>
      </c>
      <c r="X136" s="7">
        <v>108</v>
      </c>
      <c r="Y136" s="133" t="s">
        <v>968</v>
      </c>
    </row>
    <row r="137" spans="1:25" s="93" customFormat="1" hidden="1" x14ac:dyDescent="0.3">
      <c r="A137" s="93">
        <v>2023</v>
      </c>
      <c r="B137" s="93" t="s">
        <v>939</v>
      </c>
      <c r="C137" s="93" t="s">
        <v>923</v>
      </c>
      <c r="D137" s="93" t="s">
        <v>245</v>
      </c>
      <c r="E137" s="93" t="s">
        <v>953</v>
      </c>
      <c r="F137" s="93" t="s">
        <v>943</v>
      </c>
      <c r="G137" s="93" t="s">
        <v>637</v>
      </c>
      <c r="H137" s="93" t="s">
        <v>10</v>
      </c>
      <c r="I137" s="93" t="s">
        <v>917</v>
      </c>
      <c r="K137" s="93" t="s">
        <v>763</v>
      </c>
      <c r="L137" s="96" t="s">
        <v>44</v>
      </c>
      <c r="M137" s="93" t="s">
        <v>941</v>
      </c>
      <c r="N137" s="93">
        <v>15.44</v>
      </c>
      <c r="O137" s="97" t="s">
        <v>109</v>
      </c>
      <c r="P137" s="97" t="s">
        <v>109</v>
      </c>
      <c r="Q137" s="100"/>
      <c r="R137" s="7"/>
      <c r="S137" s="101"/>
      <c r="T137" s="101">
        <v>-0.34</v>
      </c>
      <c r="U137" s="101">
        <v>5</v>
      </c>
      <c r="V137" s="7">
        <v>-20</v>
      </c>
      <c r="W137" s="7">
        <v>0</v>
      </c>
      <c r="X137" s="7">
        <v>70</v>
      </c>
      <c r="Y137" s="133" t="s">
        <v>970</v>
      </c>
    </row>
    <row r="138" spans="1:25" s="93" customFormat="1" hidden="1" x14ac:dyDescent="0.3">
      <c r="A138" s="93">
        <v>2023</v>
      </c>
      <c r="B138" s="93" t="s">
        <v>940</v>
      </c>
      <c r="C138" s="93" t="s">
        <v>923</v>
      </c>
      <c r="D138" s="93" t="s">
        <v>245</v>
      </c>
      <c r="E138" s="93" t="s">
        <v>953</v>
      </c>
      <c r="F138" s="93" t="s">
        <v>944</v>
      </c>
      <c r="G138" s="93" t="s">
        <v>637</v>
      </c>
      <c r="H138" s="93" t="s">
        <v>10</v>
      </c>
      <c r="I138" s="93" t="s">
        <v>917</v>
      </c>
      <c r="K138" s="93" t="s">
        <v>763</v>
      </c>
      <c r="L138" s="96" t="s">
        <v>16</v>
      </c>
      <c r="M138" s="93" t="s">
        <v>942</v>
      </c>
      <c r="N138" s="93">
        <v>15.44</v>
      </c>
      <c r="O138" s="97" t="s">
        <v>109</v>
      </c>
      <c r="P138" s="97" t="s">
        <v>109</v>
      </c>
      <c r="Q138" s="100"/>
      <c r="R138" s="7"/>
      <c r="S138" s="101"/>
      <c r="T138" s="101">
        <v>-0.34</v>
      </c>
      <c r="U138" s="101">
        <v>5</v>
      </c>
      <c r="V138" s="7">
        <v>25</v>
      </c>
      <c r="W138" s="7">
        <v>0</v>
      </c>
      <c r="X138" s="7">
        <v>95</v>
      </c>
      <c r="Y138" s="133" t="s">
        <v>969</v>
      </c>
    </row>
    <row r="139" spans="1:25" s="93" customFormat="1" hidden="1" x14ac:dyDescent="0.3">
      <c r="A139" s="93">
        <v>2023</v>
      </c>
      <c r="B139" s="93" t="s">
        <v>957</v>
      </c>
      <c r="C139" s="93" t="s">
        <v>923</v>
      </c>
      <c r="D139" s="93" t="s">
        <v>245</v>
      </c>
      <c r="E139" s="93" t="s">
        <v>953</v>
      </c>
      <c r="F139" s="93" t="s">
        <v>958</v>
      </c>
      <c r="G139" s="93" t="s">
        <v>637</v>
      </c>
      <c r="H139" s="93" t="s">
        <v>10</v>
      </c>
      <c r="I139" s="93" t="s">
        <v>917</v>
      </c>
      <c r="K139" s="93" t="s">
        <v>763</v>
      </c>
      <c r="L139" s="96" t="s">
        <v>44</v>
      </c>
      <c r="M139" s="93" t="s">
        <v>959</v>
      </c>
      <c r="N139" s="93">
        <v>15.44</v>
      </c>
      <c r="O139" s="97" t="s">
        <v>109</v>
      </c>
      <c r="P139" s="97" t="s">
        <v>109</v>
      </c>
      <c r="Q139" s="100"/>
      <c r="R139" s="7"/>
      <c r="S139" s="101"/>
      <c r="T139" s="101">
        <v>-0.34</v>
      </c>
      <c r="U139" s="101">
        <v>5</v>
      </c>
      <c r="V139" s="7">
        <v>-25</v>
      </c>
      <c r="W139" s="7">
        <v>0</v>
      </c>
      <c r="X139" s="7">
        <v>65</v>
      </c>
      <c r="Y139" s="133" t="s">
        <v>970</v>
      </c>
    </row>
    <row r="140" spans="1:25" s="93" customFormat="1" hidden="1" x14ac:dyDescent="0.3">
      <c r="A140" s="93">
        <v>2023</v>
      </c>
      <c r="B140" s="93" t="s">
        <v>960</v>
      </c>
      <c r="C140" s="93" t="s">
        <v>923</v>
      </c>
      <c r="D140" s="93" t="s">
        <v>245</v>
      </c>
      <c r="E140" s="93" t="s">
        <v>953</v>
      </c>
      <c r="F140" s="93" t="s">
        <v>962</v>
      </c>
      <c r="G140" s="93" t="s">
        <v>637</v>
      </c>
      <c r="H140" s="93" t="s">
        <v>10</v>
      </c>
      <c r="I140" s="93" t="s">
        <v>917</v>
      </c>
      <c r="K140" s="93" t="s">
        <v>763</v>
      </c>
      <c r="L140" s="96" t="s">
        <v>16</v>
      </c>
      <c r="M140" s="93" t="s">
        <v>961</v>
      </c>
      <c r="N140" s="93">
        <v>15.44</v>
      </c>
      <c r="O140" s="97" t="s">
        <v>109</v>
      </c>
      <c r="P140" s="97" t="s">
        <v>109</v>
      </c>
      <c r="Q140" s="100"/>
      <c r="R140" s="7"/>
      <c r="S140" s="101"/>
      <c r="T140" s="101">
        <v>-0.34</v>
      </c>
      <c r="U140" s="101">
        <v>5</v>
      </c>
      <c r="V140" s="7">
        <v>-30</v>
      </c>
      <c r="W140" s="7">
        <v>0</v>
      </c>
      <c r="X140" s="7">
        <v>75</v>
      </c>
      <c r="Y140" s="133" t="s">
        <v>970</v>
      </c>
    </row>
    <row r="141" spans="1:25" s="93" customFormat="1" hidden="1" x14ac:dyDescent="0.3">
      <c r="A141" s="93">
        <v>2023</v>
      </c>
      <c r="B141" s="93" t="s">
        <v>964</v>
      </c>
      <c r="C141" s="93" t="s">
        <v>923</v>
      </c>
      <c r="D141" s="93" t="s">
        <v>245</v>
      </c>
      <c r="E141" s="93" t="s">
        <v>953</v>
      </c>
      <c r="F141" s="93" t="s">
        <v>965</v>
      </c>
      <c r="G141" s="93" t="s">
        <v>637</v>
      </c>
      <c r="H141" s="93" t="s">
        <v>10</v>
      </c>
      <c r="I141" s="93" t="s">
        <v>917</v>
      </c>
      <c r="K141" s="93" t="s">
        <v>763</v>
      </c>
      <c r="L141" s="96" t="s">
        <v>16</v>
      </c>
      <c r="M141" s="93" t="s">
        <v>966</v>
      </c>
      <c r="N141" s="93">
        <v>15.44</v>
      </c>
      <c r="O141" s="97" t="s">
        <v>109</v>
      </c>
      <c r="P141" s="97" t="s">
        <v>109</v>
      </c>
      <c r="Q141" s="100"/>
      <c r="R141" s="7"/>
      <c r="S141" s="101"/>
      <c r="T141" s="101">
        <v>-0.34</v>
      </c>
      <c r="U141" s="101">
        <v>5</v>
      </c>
      <c r="V141" s="7">
        <v>-26</v>
      </c>
      <c r="W141" s="7">
        <v>0</v>
      </c>
      <c r="X141" s="7">
        <v>73</v>
      </c>
      <c r="Y141" s="133" t="s">
        <v>970</v>
      </c>
    </row>
    <row r="142" spans="1:25" s="93" customFormat="1" hidden="1" x14ac:dyDescent="0.3">
      <c r="A142" s="93">
        <v>2023</v>
      </c>
      <c r="B142" s="93" t="s">
        <v>977</v>
      </c>
      <c r="C142" s="93" t="s">
        <v>923</v>
      </c>
      <c r="D142" s="93" t="s">
        <v>245</v>
      </c>
      <c r="E142" s="93" t="s">
        <v>990</v>
      </c>
      <c r="F142" s="93" t="s">
        <v>973</v>
      </c>
      <c r="G142" s="93" t="s">
        <v>637</v>
      </c>
      <c r="H142" s="93" t="s">
        <v>10</v>
      </c>
      <c r="I142" s="93" t="s">
        <v>917</v>
      </c>
      <c r="K142" s="93" t="s">
        <v>989</v>
      </c>
      <c r="L142" s="96" t="s">
        <v>16</v>
      </c>
      <c r="M142" s="93" t="s">
        <v>976</v>
      </c>
      <c r="N142" s="93">
        <v>15.44</v>
      </c>
      <c r="O142" s="97" t="s">
        <v>109</v>
      </c>
      <c r="P142" s="97" t="s">
        <v>109</v>
      </c>
      <c r="Q142" s="100"/>
      <c r="R142" s="7"/>
      <c r="S142" s="101"/>
      <c r="T142" s="101">
        <v>-0.34</v>
      </c>
      <c r="U142" s="101">
        <v>5</v>
      </c>
      <c r="V142" s="7">
        <v>55</v>
      </c>
      <c r="W142" s="7">
        <v>0</v>
      </c>
      <c r="X142" s="7">
        <v>108</v>
      </c>
      <c r="Y142" s="133" t="s">
        <v>982</v>
      </c>
    </row>
    <row r="143" spans="1:25" s="93" customFormat="1" hidden="1" x14ac:dyDescent="0.3">
      <c r="A143" s="93">
        <v>2023</v>
      </c>
      <c r="B143" s="93" t="s">
        <v>978</v>
      </c>
      <c r="C143" s="93" t="s">
        <v>923</v>
      </c>
      <c r="D143" s="93" t="s">
        <v>245</v>
      </c>
      <c r="E143" s="93" t="s">
        <v>990</v>
      </c>
      <c r="F143" s="93" t="s">
        <v>991</v>
      </c>
      <c r="G143" s="93" t="s">
        <v>637</v>
      </c>
      <c r="H143" s="93" t="s">
        <v>10</v>
      </c>
      <c r="I143" s="93" t="s">
        <v>917</v>
      </c>
      <c r="K143" s="93" t="s">
        <v>988</v>
      </c>
      <c r="L143" s="96" t="s">
        <v>44</v>
      </c>
      <c r="M143" s="93" t="s">
        <v>975</v>
      </c>
      <c r="N143" s="93">
        <v>15.44</v>
      </c>
      <c r="O143" s="97" t="s">
        <v>109</v>
      </c>
      <c r="P143" s="97" t="s">
        <v>109</v>
      </c>
      <c r="Q143" s="100"/>
      <c r="R143" s="7"/>
      <c r="S143" s="101"/>
      <c r="T143" s="101">
        <v>-0.34</v>
      </c>
      <c r="U143" s="101">
        <v>5</v>
      </c>
      <c r="V143" s="7">
        <v>55</v>
      </c>
      <c r="W143" s="7">
        <v>0</v>
      </c>
      <c r="X143" s="7">
        <v>108</v>
      </c>
      <c r="Y143" s="133" t="s">
        <v>983</v>
      </c>
    </row>
    <row r="144" spans="1:25" s="93" customFormat="1" hidden="1" x14ac:dyDescent="0.3">
      <c r="A144" s="93">
        <v>2023</v>
      </c>
      <c r="B144" s="93" t="s">
        <v>979</v>
      </c>
      <c r="C144" s="93" t="s">
        <v>923</v>
      </c>
      <c r="D144" s="93" t="s">
        <v>245</v>
      </c>
      <c r="E144" s="93" t="s">
        <v>990</v>
      </c>
      <c r="F144" s="93" t="s">
        <v>992</v>
      </c>
      <c r="G144" s="93" t="s">
        <v>637</v>
      </c>
      <c r="H144" s="93" t="s">
        <v>10</v>
      </c>
      <c r="I144" s="93" t="s">
        <v>917</v>
      </c>
      <c r="K144" s="93" t="s">
        <v>987</v>
      </c>
      <c r="L144" s="96" t="s">
        <v>129</v>
      </c>
      <c r="M144" s="93" t="s">
        <v>974</v>
      </c>
      <c r="N144" s="93">
        <v>15.44</v>
      </c>
      <c r="O144" s="97" t="s">
        <v>109</v>
      </c>
      <c r="P144" s="97" t="s">
        <v>109</v>
      </c>
      <c r="Q144" s="100"/>
      <c r="R144" s="7"/>
      <c r="S144" s="101"/>
      <c r="T144" s="101">
        <v>-0.34</v>
      </c>
      <c r="U144" s="101">
        <v>5</v>
      </c>
      <c r="V144" s="7">
        <v>55</v>
      </c>
      <c r="W144" s="7">
        <v>0</v>
      </c>
      <c r="X144" s="7">
        <v>108</v>
      </c>
      <c r="Y144" s="133" t="s">
        <v>984</v>
      </c>
    </row>
    <row r="145" spans="1:26" s="93" customFormat="1" hidden="1" x14ac:dyDescent="0.3">
      <c r="A145" s="93">
        <v>2023</v>
      </c>
      <c r="B145" s="93" t="s">
        <v>980</v>
      </c>
      <c r="C145" s="93" t="s">
        <v>923</v>
      </c>
      <c r="D145" s="93" t="s">
        <v>245</v>
      </c>
      <c r="E145" s="93" t="s">
        <v>990</v>
      </c>
      <c r="F145" s="93" t="s">
        <v>993</v>
      </c>
      <c r="G145" s="93" t="s">
        <v>637</v>
      </c>
      <c r="H145" s="93" t="s">
        <v>10</v>
      </c>
      <c r="I145" s="93" t="s">
        <v>917</v>
      </c>
      <c r="K145" s="93" t="s">
        <v>986</v>
      </c>
      <c r="L145" s="96" t="s">
        <v>110</v>
      </c>
      <c r="M145" s="93" t="s">
        <v>981</v>
      </c>
      <c r="N145" s="93">
        <v>15.44</v>
      </c>
      <c r="O145" s="97" t="s">
        <v>109</v>
      </c>
      <c r="P145" s="97" t="s">
        <v>109</v>
      </c>
      <c r="Q145" s="100"/>
      <c r="R145" s="7"/>
      <c r="S145" s="101"/>
      <c r="T145" s="101">
        <v>-0.34</v>
      </c>
      <c r="U145" s="101">
        <v>5</v>
      </c>
      <c r="V145" s="7">
        <v>55</v>
      </c>
      <c r="W145" s="7">
        <v>0</v>
      </c>
      <c r="X145" s="7">
        <v>108</v>
      </c>
      <c r="Y145" s="133" t="s">
        <v>985</v>
      </c>
    </row>
    <row r="146" spans="1:26" s="93" customFormat="1" hidden="1" x14ac:dyDescent="0.3">
      <c r="A146" s="93">
        <v>2023</v>
      </c>
      <c r="B146" s="93" t="s">
        <v>1109</v>
      </c>
      <c r="C146" s="93" t="s">
        <v>923</v>
      </c>
      <c r="D146" s="93" t="s">
        <v>245</v>
      </c>
      <c r="E146" s="93" t="s">
        <v>990</v>
      </c>
      <c r="F146" s="93" t="s">
        <v>1107</v>
      </c>
      <c r="G146" s="93" t="s">
        <v>637</v>
      </c>
      <c r="H146" s="93" t="s">
        <v>10</v>
      </c>
      <c r="I146" s="93" t="s">
        <v>917</v>
      </c>
      <c r="K146" s="93" t="s">
        <v>1111</v>
      </c>
      <c r="L146" s="96" t="s">
        <v>16</v>
      </c>
      <c r="M146" s="93" t="s">
        <v>1112</v>
      </c>
      <c r="N146" s="93">
        <v>15.44</v>
      </c>
      <c r="O146" s="97" t="s">
        <v>109</v>
      </c>
      <c r="P146" s="97" t="s">
        <v>109</v>
      </c>
      <c r="Q146" s="100"/>
      <c r="R146" s="7"/>
      <c r="S146" s="101"/>
      <c r="T146" s="101">
        <v>-0.34</v>
      </c>
      <c r="U146" s="101">
        <v>5</v>
      </c>
      <c r="V146" s="7">
        <v>55</v>
      </c>
      <c r="W146" s="7">
        <v>0</v>
      </c>
      <c r="X146" s="7">
        <v>108</v>
      </c>
      <c r="Y146" s="133" t="s">
        <v>1115</v>
      </c>
    </row>
    <row r="147" spans="1:26" s="93" customFormat="1" hidden="1" x14ac:dyDescent="0.3">
      <c r="A147" s="93">
        <v>2023</v>
      </c>
      <c r="B147" s="93" t="s">
        <v>1110</v>
      </c>
      <c r="C147" s="93" t="s">
        <v>923</v>
      </c>
      <c r="D147" s="93" t="s">
        <v>245</v>
      </c>
      <c r="E147" s="93" t="s">
        <v>990</v>
      </c>
      <c r="F147" s="93" t="s">
        <v>1108</v>
      </c>
      <c r="G147" s="93" t="s">
        <v>637</v>
      </c>
      <c r="H147" s="93" t="s">
        <v>10</v>
      </c>
      <c r="I147" s="93" t="s">
        <v>917</v>
      </c>
      <c r="K147" s="93" t="s">
        <v>1114</v>
      </c>
      <c r="L147" s="96" t="s">
        <v>110</v>
      </c>
      <c r="M147" s="93" t="s">
        <v>1113</v>
      </c>
      <c r="N147" s="93">
        <v>15.44</v>
      </c>
      <c r="O147" s="97" t="s">
        <v>109</v>
      </c>
      <c r="P147" s="97" t="s">
        <v>109</v>
      </c>
      <c r="Q147" s="100"/>
      <c r="R147" s="7"/>
      <c r="S147" s="101"/>
      <c r="T147" s="101">
        <v>-0.34</v>
      </c>
      <c r="U147" s="101">
        <v>5</v>
      </c>
      <c r="V147" s="7">
        <v>55</v>
      </c>
      <c r="W147" s="7">
        <v>0</v>
      </c>
      <c r="X147" s="7">
        <v>108</v>
      </c>
      <c r="Y147" s="133" t="s">
        <v>1116</v>
      </c>
    </row>
    <row r="148" spans="1:26" s="107" customFormat="1" hidden="1" x14ac:dyDescent="0.3">
      <c r="A148" s="107">
        <v>2025</v>
      </c>
      <c r="B148" s="107" t="s">
        <v>611</v>
      </c>
      <c r="C148" s="107" t="s">
        <v>17</v>
      </c>
      <c r="D148" s="107" t="s">
        <v>244</v>
      </c>
      <c r="F148" s="107" t="s">
        <v>463</v>
      </c>
      <c r="L148" s="108"/>
      <c r="O148" s="109"/>
      <c r="P148" s="109"/>
      <c r="Q148" s="110"/>
      <c r="R148" s="111"/>
      <c r="S148" s="112"/>
      <c r="T148" s="112"/>
      <c r="U148" s="112"/>
      <c r="V148" s="111"/>
      <c r="W148" s="111"/>
      <c r="X148" s="111"/>
    </row>
    <row r="149" spans="1:26" s="25" customFormat="1" hidden="1" x14ac:dyDescent="0.3">
      <c r="A149" s="25">
        <v>2025</v>
      </c>
      <c r="B149" s="25" t="s">
        <v>130</v>
      </c>
      <c r="C149" s="25" t="s">
        <v>113</v>
      </c>
      <c r="D149" s="25" t="s">
        <v>244</v>
      </c>
      <c r="F149" s="25" t="s">
        <v>131</v>
      </c>
      <c r="K149" s="25" t="s">
        <v>132</v>
      </c>
      <c r="L149" s="26" t="s">
        <v>16</v>
      </c>
      <c r="O149" s="42"/>
      <c r="P149" s="42"/>
      <c r="V149" s="27"/>
      <c r="W149" s="27"/>
      <c r="X149" s="27"/>
    </row>
    <row r="150" spans="1:26" s="107" customFormat="1" hidden="1" x14ac:dyDescent="0.3">
      <c r="A150" s="107">
        <v>2030</v>
      </c>
      <c r="B150" s="107" t="s">
        <v>612</v>
      </c>
      <c r="C150" s="107" t="s">
        <v>17</v>
      </c>
      <c r="D150" s="107" t="s">
        <v>244</v>
      </c>
      <c r="F150" s="107" t="s">
        <v>463</v>
      </c>
      <c r="L150" s="108"/>
      <c r="O150" s="109"/>
      <c r="P150" s="109"/>
      <c r="V150" s="111"/>
      <c r="W150" s="111"/>
      <c r="X150" s="111"/>
    </row>
    <row r="151" spans="1:26" s="25" customFormat="1" hidden="1" x14ac:dyDescent="0.3">
      <c r="A151" s="25">
        <v>2030</v>
      </c>
      <c r="B151" s="25" t="s">
        <v>608</v>
      </c>
      <c r="C151" s="25" t="s">
        <v>113</v>
      </c>
      <c r="D151" s="25" t="s">
        <v>244</v>
      </c>
      <c r="F151" s="25" t="s">
        <v>609</v>
      </c>
      <c r="L151" s="26"/>
      <c r="O151" s="42"/>
      <c r="P151" s="42"/>
      <c r="V151" s="27"/>
      <c r="W151" s="27"/>
      <c r="X151" s="27"/>
    </row>
    <row r="152" spans="1:26" s="176" customFormat="1" x14ac:dyDescent="0.3">
      <c r="A152" s="176">
        <v>2030</v>
      </c>
      <c r="B152" s="176" t="s">
        <v>903</v>
      </c>
      <c r="C152" s="176" t="s">
        <v>338</v>
      </c>
      <c r="D152" s="176" t="s">
        <v>621</v>
      </c>
      <c r="F152" s="176" t="s">
        <v>904</v>
      </c>
      <c r="G152" s="176" t="s">
        <v>905</v>
      </c>
      <c r="H152" s="176" t="s">
        <v>906</v>
      </c>
      <c r="I152" s="72" t="s">
        <v>11</v>
      </c>
      <c r="J152" s="176" t="s">
        <v>621</v>
      </c>
      <c r="K152" s="176" t="s">
        <v>907</v>
      </c>
      <c r="L152" s="177" t="s">
        <v>42</v>
      </c>
      <c r="M152" s="181" t="s">
        <v>908</v>
      </c>
      <c r="N152" s="176">
        <v>15</v>
      </c>
      <c r="O152" s="178" t="s">
        <v>109</v>
      </c>
      <c r="P152" s="178" t="s">
        <v>109</v>
      </c>
      <c r="T152" s="180">
        <v>-0.45500000000000002</v>
      </c>
      <c r="U152" s="180">
        <v>5</v>
      </c>
      <c r="V152" s="179">
        <v>0</v>
      </c>
      <c r="W152" s="179">
        <v>0</v>
      </c>
      <c r="X152" s="179">
        <v>85</v>
      </c>
      <c r="Y152" s="176" t="s">
        <v>909</v>
      </c>
      <c r="Z152" s="176" t="s">
        <v>909</v>
      </c>
    </row>
    <row r="153" spans="1:26" s="73" customFormat="1" hidden="1" x14ac:dyDescent="0.3">
      <c r="A153" s="73">
        <v>2035</v>
      </c>
      <c r="B153" s="73" t="s">
        <v>462</v>
      </c>
      <c r="C153" s="73" t="s">
        <v>113</v>
      </c>
      <c r="D153" s="73" t="s">
        <v>244</v>
      </c>
      <c r="F153" s="73" t="s">
        <v>463</v>
      </c>
      <c r="G153" s="73" t="s">
        <v>464</v>
      </c>
      <c r="H153" s="74" t="s">
        <v>465</v>
      </c>
      <c r="I153" s="73" t="s">
        <v>11</v>
      </c>
      <c r="K153" s="73" t="s">
        <v>466</v>
      </c>
      <c r="L153" s="74" t="s">
        <v>129</v>
      </c>
      <c r="M153" s="73" t="s">
        <v>109</v>
      </c>
      <c r="N153" s="73">
        <v>15.85</v>
      </c>
      <c r="O153" s="75">
        <v>-0.27</v>
      </c>
      <c r="P153" s="75">
        <v>0</v>
      </c>
      <c r="Q153" s="73" t="s">
        <v>109</v>
      </c>
      <c r="R153" s="73" t="s">
        <v>109</v>
      </c>
      <c r="V153" s="76" t="s">
        <v>109</v>
      </c>
      <c r="W153" s="76" t="s">
        <v>109</v>
      </c>
      <c r="X153" s="76" t="s">
        <v>109</v>
      </c>
    </row>
    <row r="154" spans="1:26" s="15" customFormat="1" hidden="1" x14ac:dyDescent="0.3">
      <c r="A154" s="15">
        <v>2035</v>
      </c>
      <c r="B154" s="15" t="s">
        <v>112</v>
      </c>
      <c r="C154" s="15" t="s">
        <v>113</v>
      </c>
      <c r="D154" s="15" t="s">
        <v>244</v>
      </c>
      <c r="F154" s="15" t="s">
        <v>114</v>
      </c>
      <c r="G154" s="15" t="s">
        <v>117</v>
      </c>
      <c r="H154" s="16" t="s">
        <v>116</v>
      </c>
      <c r="I154" s="15" t="s">
        <v>11</v>
      </c>
      <c r="K154" s="15" t="s">
        <v>115</v>
      </c>
      <c r="L154" s="16" t="s">
        <v>16</v>
      </c>
      <c r="M154" s="15" t="s">
        <v>109</v>
      </c>
      <c r="N154" s="15">
        <v>15.85</v>
      </c>
      <c r="O154" s="43">
        <v>-0.27</v>
      </c>
      <c r="P154" s="43">
        <v>0</v>
      </c>
      <c r="Q154" s="15" t="s">
        <v>109</v>
      </c>
      <c r="R154" s="15" t="s">
        <v>109</v>
      </c>
      <c r="V154" s="17" t="s">
        <v>109</v>
      </c>
      <c r="W154" s="17" t="s">
        <v>109</v>
      </c>
      <c r="X154" s="17" t="s">
        <v>109</v>
      </c>
    </row>
    <row r="155" spans="1:26" s="12" customFormat="1" hidden="1" x14ac:dyDescent="0.3">
      <c r="A155" s="12">
        <v>2035</v>
      </c>
      <c r="B155" s="12" t="s">
        <v>99</v>
      </c>
      <c r="C155" s="12" t="s">
        <v>17</v>
      </c>
      <c r="D155" s="12" t="s">
        <v>243</v>
      </c>
      <c r="F155" s="12" t="s">
        <v>104</v>
      </c>
      <c r="G155" s="12" t="s">
        <v>9</v>
      </c>
      <c r="H155" s="12" t="s">
        <v>10</v>
      </c>
      <c r="K155" s="12" t="s">
        <v>103</v>
      </c>
      <c r="L155" s="13" t="s">
        <v>43</v>
      </c>
      <c r="M155" s="12" t="s">
        <v>102</v>
      </c>
      <c r="N155" s="12">
        <v>15.85</v>
      </c>
      <c r="O155" s="44" t="s">
        <v>109</v>
      </c>
      <c r="P155" s="44" t="s">
        <v>109</v>
      </c>
      <c r="Q155" s="14">
        <v>1.27</v>
      </c>
      <c r="R155" s="14">
        <v>1.1499999999999999</v>
      </c>
      <c r="S155" s="14"/>
      <c r="T155" s="14"/>
      <c r="U155" s="14"/>
      <c r="V155" s="14">
        <v>120</v>
      </c>
      <c r="W155" s="14">
        <v>0</v>
      </c>
      <c r="X155" s="14">
        <v>45</v>
      </c>
    </row>
    <row r="156" spans="1:26" s="12" customFormat="1" hidden="1" x14ac:dyDescent="0.3">
      <c r="A156" s="12">
        <v>2035</v>
      </c>
      <c r="B156" s="12" t="s">
        <v>100</v>
      </c>
      <c r="C156" s="12" t="s">
        <v>17</v>
      </c>
      <c r="D156" s="12" t="s">
        <v>243</v>
      </c>
      <c r="F156" s="12" t="s">
        <v>105</v>
      </c>
      <c r="G156" s="12" t="s">
        <v>9</v>
      </c>
      <c r="H156" s="12" t="s">
        <v>10</v>
      </c>
      <c r="K156" s="12" t="s">
        <v>103</v>
      </c>
      <c r="L156" s="13" t="s">
        <v>108</v>
      </c>
      <c r="M156" s="12" t="s">
        <v>107</v>
      </c>
      <c r="N156" s="12">
        <v>18.64</v>
      </c>
      <c r="O156" s="44" t="s">
        <v>109</v>
      </c>
      <c r="P156" s="44" t="s">
        <v>109</v>
      </c>
      <c r="Q156" s="14">
        <v>1.27</v>
      </c>
      <c r="R156" s="14">
        <v>1.1499999999999999</v>
      </c>
      <c r="S156" s="14"/>
      <c r="T156" s="14"/>
      <c r="U156" s="14"/>
      <c r="V156" s="14">
        <v>120</v>
      </c>
      <c r="W156" s="14">
        <v>0</v>
      </c>
      <c r="X156" s="14">
        <v>45</v>
      </c>
    </row>
    <row r="157" spans="1:26" s="12" customFormat="1" hidden="1" x14ac:dyDescent="0.3">
      <c r="A157" s="12">
        <v>2035</v>
      </c>
      <c r="B157" s="12" t="s">
        <v>101</v>
      </c>
      <c r="C157" s="12" t="s">
        <v>17</v>
      </c>
      <c r="D157" s="12" t="s">
        <v>243</v>
      </c>
      <c r="F157" s="12" t="s">
        <v>106</v>
      </c>
      <c r="G157" s="12" t="s">
        <v>9</v>
      </c>
      <c r="H157" s="12" t="s">
        <v>10</v>
      </c>
      <c r="K157" s="12" t="s">
        <v>103</v>
      </c>
      <c r="L157" s="13" t="s">
        <v>110</v>
      </c>
      <c r="M157" s="12" t="s">
        <v>111</v>
      </c>
      <c r="N157" s="12">
        <v>18.64</v>
      </c>
      <c r="O157" s="44" t="s">
        <v>109</v>
      </c>
      <c r="P157" s="44" t="s">
        <v>109</v>
      </c>
      <c r="Q157" s="14">
        <v>1.27</v>
      </c>
      <c r="R157" s="14">
        <v>1.1499999999999999</v>
      </c>
      <c r="S157" s="14"/>
      <c r="T157" s="14"/>
      <c r="U157" s="14"/>
      <c r="V157" s="14">
        <v>0</v>
      </c>
      <c r="W157" s="14">
        <v>0</v>
      </c>
      <c r="X157" s="14">
        <v>0</v>
      </c>
    </row>
    <row r="158" spans="1:26" s="12" customFormat="1" hidden="1" x14ac:dyDescent="0.3">
      <c r="A158" s="12">
        <v>2035</v>
      </c>
      <c r="B158" s="12" t="s">
        <v>119</v>
      </c>
      <c r="C158" s="12" t="s">
        <v>17</v>
      </c>
      <c r="D158" s="12" t="s">
        <v>243</v>
      </c>
      <c r="F158" s="12" t="s">
        <v>121</v>
      </c>
      <c r="G158" s="12" t="s">
        <v>9</v>
      </c>
      <c r="H158" s="12" t="s">
        <v>10</v>
      </c>
      <c r="K158" s="12" t="s">
        <v>103</v>
      </c>
      <c r="L158" s="13" t="s">
        <v>108</v>
      </c>
      <c r="M158" s="12" t="s">
        <v>124</v>
      </c>
      <c r="N158" s="12">
        <v>18.64</v>
      </c>
      <c r="O158" s="44" t="s">
        <v>109</v>
      </c>
      <c r="P158" s="44" t="s">
        <v>109</v>
      </c>
      <c r="Q158" s="12">
        <v>0.95</v>
      </c>
      <c r="R158" s="12">
        <v>0.86</v>
      </c>
      <c r="V158" s="14">
        <v>120</v>
      </c>
      <c r="W158" s="14">
        <v>0</v>
      </c>
      <c r="X158" s="14">
        <v>45</v>
      </c>
    </row>
    <row r="159" spans="1:26" s="12" customFormat="1" hidden="1" x14ac:dyDescent="0.3">
      <c r="A159" s="12">
        <v>2035</v>
      </c>
      <c r="B159" s="12" t="s">
        <v>120</v>
      </c>
      <c r="C159" s="12" t="s">
        <v>17</v>
      </c>
      <c r="D159" s="12" t="s">
        <v>243</v>
      </c>
      <c r="F159" s="12" t="s">
        <v>122</v>
      </c>
      <c r="G159" s="12" t="s">
        <v>9</v>
      </c>
      <c r="H159" s="12" t="s">
        <v>10</v>
      </c>
      <c r="K159" s="12" t="s">
        <v>103</v>
      </c>
      <c r="L159" s="13" t="s">
        <v>42</v>
      </c>
      <c r="M159" s="12" t="s">
        <v>123</v>
      </c>
      <c r="N159" s="12">
        <v>18.64</v>
      </c>
      <c r="O159" s="44" t="s">
        <v>109</v>
      </c>
      <c r="P159" s="44" t="s">
        <v>109</v>
      </c>
      <c r="Q159" s="12">
        <v>0.95</v>
      </c>
      <c r="R159" s="12">
        <v>0.86</v>
      </c>
      <c r="V159" s="14">
        <v>0</v>
      </c>
      <c r="W159" s="14">
        <v>0</v>
      </c>
      <c r="X159" s="14">
        <v>0</v>
      </c>
    </row>
    <row r="160" spans="1:26" s="12" customFormat="1" hidden="1" x14ac:dyDescent="0.3">
      <c r="A160" s="12">
        <v>2035</v>
      </c>
      <c r="B160" s="12" t="s">
        <v>184</v>
      </c>
      <c r="C160" s="12" t="s">
        <v>17</v>
      </c>
      <c r="D160" s="12" t="s">
        <v>243</v>
      </c>
      <c r="F160" s="12" t="s">
        <v>209</v>
      </c>
      <c r="G160" s="12" t="s">
        <v>9</v>
      </c>
      <c r="H160" s="12" t="s">
        <v>10</v>
      </c>
      <c r="K160" s="12" t="s">
        <v>103</v>
      </c>
      <c r="L160" s="13" t="s">
        <v>108</v>
      </c>
      <c r="M160" s="12" t="s">
        <v>186</v>
      </c>
      <c r="N160" s="12">
        <v>18.64</v>
      </c>
      <c r="O160" s="44" t="s">
        <v>109</v>
      </c>
      <c r="P160" s="44" t="s">
        <v>109</v>
      </c>
      <c r="Q160" s="12">
        <v>0.95</v>
      </c>
      <c r="R160" s="12">
        <v>0.86</v>
      </c>
      <c r="V160" s="14">
        <v>0</v>
      </c>
      <c r="W160" s="14">
        <v>0</v>
      </c>
      <c r="X160" s="14">
        <v>0</v>
      </c>
    </row>
    <row r="161" spans="1:24" s="12" customFormat="1" hidden="1" x14ac:dyDescent="0.3">
      <c r="A161" s="12">
        <v>2035</v>
      </c>
      <c r="B161" s="12" t="s">
        <v>207</v>
      </c>
      <c r="C161" s="12" t="s">
        <v>17</v>
      </c>
      <c r="D161" s="12" t="s">
        <v>243</v>
      </c>
      <c r="F161" s="12" t="s">
        <v>210</v>
      </c>
      <c r="G161" s="12" t="s">
        <v>9</v>
      </c>
      <c r="H161" s="12" t="s">
        <v>10</v>
      </c>
      <c r="K161" s="12" t="s">
        <v>103</v>
      </c>
      <c r="L161" s="13" t="s">
        <v>44</v>
      </c>
      <c r="M161" s="12" t="s">
        <v>186</v>
      </c>
      <c r="N161" s="12">
        <v>18.64</v>
      </c>
      <c r="O161" s="44" t="s">
        <v>109</v>
      </c>
      <c r="P161" s="44" t="s">
        <v>109</v>
      </c>
      <c r="Q161" s="12">
        <v>0.95</v>
      </c>
      <c r="R161" s="12">
        <v>0.86</v>
      </c>
      <c r="V161" s="14">
        <v>0</v>
      </c>
      <c r="W161" s="14">
        <v>0</v>
      </c>
      <c r="X161" s="14">
        <v>0</v>
      </c>
    </row>
    <row r="162" spans="1:24" s="12" customFormat="1" hidden="1" x14ac:dyDescent="0.3">
      <c r="A162" s="12">
        <v>2035</v>
      </c>
      <c r="B162" s="12" t="s">
        <v>206</v>
      </c>
      <c r="C162" s="12" t="s">
        <v>17</v>
      </c>
      <c r="D162" s="12" t="s">
        <v>243</v>
      </c>
      <c r="F162" s="12" t="s">
        <v>208</v>
      </c>
      <c r="G162" s="12" t="s">
        <v>211</v>
      </c>
      <c r="H162" s="12" t="s">
        <v>116</v>
      </c>
      <c r="K162" s="12" t="s">
        <v>103</v>
      </c>
      <c r="L162" s="13" t="s">
        <v>44</v>
      </c>
      <c r="M162" s="12" t="s">
        <v>212</v>
      </c>
      <c r="N162" s="12">
        <v>18.64</v>
      </c>
      <c r="O162" s="44" t="s">
        <v>109</v>
      </c>
      <c r="P162" s="44" t="s">
        <v>109</v>
      </c>
      <c r="Q162" s="12">
        <v>0.95</v>
      </c>
      <c r="R162" s="12">
        <v>0.86</v>
      </c>
      <c r="V162" s="14">
        <v>100</v>
      </c>
      <c r="W162" s="14">
        <v>0</v>
      </c>
      <c r="X162" s="14">
        <v>41.25</v>
      </c>
    </row>
    <row r="163" spans="1:24" s="12" customFormat="1" hidden="1" x14ac:dyDescent="0.3">
      <c r="A163" s="12">
        <v>2035</v>
      </c>
      <c r="B163" s="12" t="s">
        <v>228</v>
      </c>
      <c r="C163" s="12" t="s">
        <v>17</v>
      </c>
      <c r="D163" s="12" t="s">
        <v>243</v>
      </c>
      <c r="F163" s="12" t="s">
        <v>226</v>
      </c>
      <c r="G163" s="12" t="s">
        <v>211</v>
      </c>
      <c r="H163" s="12" t="s">
        <v>116</v>
      </c>
      <c r="K163" s="12" t="s">
        <v>103</v>
      </c>
      <c r="L163" s="13" t="s">
        <v>42</v>
      </c>
      <c r="M163" s="12" t="s">
        <v>227</v>
      </c>
      <c r="N163" s="12">
        <v>20.55</v>
      </c>
      <c r="O163" s="44" t="s">
        <v>109</v>
      </c>
      <c r="P163" s="44" t="s">
        <v>109</v>
      </c>
      <c r="Q163" s="12">
        <v>0.99</v>
      </c>
      <c r="R163" s="12">
        <v>0.89</v>
      </c>
      <c r="V163" s="14">
        <v>100</v>
      </c>
      <c r="W163" s="14">
        <v>0</v>
      </c>
      <c r="X163" s="14">
        <v>75</v>
      </c>
    </row>
    <row r="164" spans="1:24" s="12" customFormat="1" hidden="1" x14ac:dyDescent="0.3">
      <c r="A164" s="12">
        <v>2035</v>
      </c>
      <c r="B164" s="12" t="s">
        <v>229</v>
      </c>
      <c r="C164" s="12" t="s">
        <v>17</v>
      </c>
      <c r="D164" s="12" t="s">
        <v>243</v>
      </c>
      <c r="F164" s="12" t="s">
        <v>269</v>
      </c>
      <c r="G164" s="12" t="s">
        <v>211</v>
      </c>
      <c r="H164" s="12" t="s">
        <v>116</v>
      </c>
      <c r="K164" s="12" t="s">
        <v>103</v>
      </c>
      <c r="L164" s="13" t="s">
        <v>43</v>
      </c>
      <c r="M164" s="12" t="s">
        <v>230</v>
      </c>
      <c r="N164" s="12">
        <v>20.55</v>
      </c>
      <c r="O164" s="44" t="s">
        <v>109</v>
      </c>
      <c r="P164" s="44" t="s">
        <v>109</v>
      </c>
      <c r="Q164" s="12">
        <v>0.99</v>
      </c>
      <c r="R164" s="12">
        <v>0.89</v>
      </c>
      <c r="V164" s="14">
        <v>100</v>
      </c>
      <c r="W164" s="14">
        <v>0</v>
      </c>
      <c r="X164" s="14">
        <v>75</v>
      </c>
    </row>
    <row r="165" spans="1:24" s="12" customFormat="1" hidden="1" x14ac:dyDescent="0.3">
      <c r="A165" s="12">
        <v>2035</v>
      </c>
      <c r="B165" s="12" t="s">
        <v>231</v>
      </c>
      <c r="C165" s="12" t="s">
        <v>17</v>
      </c>
      <c r="D165" s="12" t="s">
        <v>243</v>
      </c>
      <c r="F165" s="12" t="s">
        <v>270</v>
      </c>
      <c r="G165" s="49" t="s">
        <v>232</v>
      </c>
      <c r="H165" s="12" t="s">
        <v>233</v>
      </c>
      <c r="K165" s="12" t="s">
        <v>103</v>
      </c>
      <c r="L165" s="13" t="s">
        <v>44</v>
      </c>
      <c r="M165" s="12" t="s">
        <v>234</v>
      </c>
      <c r="N165" s="12">
        <v>20.55</v>
      </c>
      <c r="O165" s="44" t="s">
        <v>109</v>
      </c>
      <c r="P165" s="44" t="s">
        <v>109</v>
      </c>
      <c r="Q165" s="12">
        <v>0.99</v>
      </c>
      <c r="R165" s="12">
        <v>0.89</v>
      </c>
      <c r="V165" s="14">
        <v>100</v>
      </c>
      <c r="W165" s="14">
        <v>0</v>
      </c>
      <c r="X165" s="14">
        <v>75</v>
      </c>
    </row>
    <row r="166" spans="1:24" s="12" customFormat="1" hidden="1" x14ac:dyDescent="0.3">
      <c r="A166" s="12">
        <v>2035</v>
      </c>
      <c r="B166" s="12" t="s">
        <v>235</v>
      </c>
      <c r="C166" s="12" t="s">
        <v>17</v>
      </c>
      <c r="D166" s="12" t="s">
        <v>243</v>
      </c>
      <c r="F166" s="12" t="s">
        <v>271</v>
      </c>
      <c r="G166" s="12" t="s">
        <v>211</v>
      </c>
      <c r="H166" s="12" t="s">
        <v>116</v>
      </c>
      <c r="K166" s="12" t="s">
        <v>103</v>
      </c>
      <c r="L166" s="13" t="s">
        <v>16</v>
      </c>
      <c r="M166" s="12" t="s">
        <v>236</v>
      </c>
      <c r="N166" s="49">
        <v>15.85</v>
      </c>
      <c r="O166" s="44" t="s">
        <v>109</v>
      </c>
      <c r="P166" s="44" t="s">
        <v>109</v>
      </c>
      <c r="Q166" s="12">
        <v>0.99</v>
      </c>
      <c r="R166" s="12">
        <v>0.89</v>
      </c>
      <c r="V166" s="14">
        <v>100</v>
      </c>
      <c r="W166" s="14">
        <v>0</v>
      </c>
      <c r="X166" s="14">
        <v>75</v>
      </c>
    </row>
    <row r="167" spans="1:24" s="12" customFormat="1" hidden="1" x14ac:dyDescent="0.3">
      <c r="A167" s="12">
        <v>2035</v>
      </c>
      <c r="B167" s="12" t="s">
        <v>241</v>
      </c>
      <c r="C167" s="12" t="s">
        <v>17</v>
      </c>
      <c r="D167" s="12" t="s">
        <v>243</v>
      </c>
      <c r="F167" s="12" t="s">
        <v>272</v>
      </c>
      <c r="G167" s="12" t="s">
        <v>211</v>
      </c>
      <c r="H167" s="12" t="s">
        <v>116</v>
      </c>
      <c r="K167" s="12" t="s">
        <v>103</v>
      </c>
      <c r="L167" s="13" t="s">
        <v>110</v>
      </c>
      <c r="M167" s="12" t="s">
        <v>242</v>
      </c>
      <c r="N167" s="12">
        <v>20.55</v>
      </c>
      <c r="O167" s="44" t="s">
        <v>109</v>
      </c>
      <c r="P167" s="44" t="s">
        <v>109</v>
      </c>
      <c r="Q167" s="12">
        <v>0.99</v>
      </c>
      <c r="R167" s="12">
        <v>0.89</v>
      </c>
      <c r="V167" s="48">
        <v>0</v>
      </c>
      <c r="W167" s="48">
        <v>0</v>
      </c>
      <c r="X167" s="48">
        <v>0</v>
      </c>
    </row>
    <row r="168" spans="1:24" s="12" customFormat="1" hidden="1" x14ac:dyDescent="0.3">
      <c r="A168" s="12">
        <v>2035</v>
      </c>
      <c r="B168" s="12" t="s">
        <v>237</v>
      </c>
      <c r="C168" s="12" t="s">
        <v>17</v>
      </c>
      <c r="D168" s="12" t="s">
        <v>243</v>
      </c>
      <c r="F168" s="12" t="s">
        <v>273</v>
      </c>
      <c r="G168" s="12" t="s">
        <v>211</v>
      </c>
      <c r="H168" s="12" t="s">
        <v>116</v>
      </c>
      <c r="K168" s="12" t="s">
        <v>103</v>
      </c>
      <c r="L168" s="13" t="s">
        <v>129</v>
      </c>
      <c r="M168" s="12" t="s">
        <v>238</v>
      </c>
      <c r="N168" s="12">
        <v>20.55</v>
      </c>
      <c r="O168" s="44" t="s">
        <v>109</v>
      </c>
      <c r="P168" s="44" t="s">
        <v>109</v>
      </c>
      <c r="Q168" s="12">
        <v>0.99</v>
      </c>
      <c r="R168" s="12">
        <v>0.89</v>
      </c>
      <c r="V168" s="14">
        <v>100</v>
      </c>
      <c r="W168" s="14">
        <v>0</v>
      </c>
      <c r="X168" s="14">
        <v>75</v>
      </c>
    </row>
    <row r="169" spans="1:24" s="12" customFormat="1" hidden="1" x14ac:dyDescent="0.3">
      <c r="A169" s="12">
        <v>2035</v>
      </c>
      <c r="B169" s="12" t="s">
        <v>248</v>
      </c>
      <c r="C169" s="12" t="s">
        <v>17</v>
      </c>
      <c r="D169" s="12" t="s">
        <v>243</v>
      </c>
      <c r="F169" s="12" t="s">
        <v>249</v>
      </c>
      <c r="G169" s="12" t="s">
        <v>211</v>
      </c>
      <c r="H169" s="12" t="s">
        <v>116</v>
      </c>
      <c r="K169" s="12" t="s">
        <v>103</v>
      </c>
      <c r="L169" s="13" t="s">
        <v>43</v>
      </c>
      <c r="M169" s="12" t="s">
        <v>250</v>
      </c>
      <c r="N169" s="12">
        <v>20.55</v>
      </c>
      <c r="O169" s="44" t="s">
        <v>109</v>
      </c>
      <c r="P169" s="44" t="s">
        <v>109</v>
      </c>
      <c r="Q169" s="12">
        <v>0.87</v>
      </c>
      <c r="R169" s="12">
        <v>0.78</v>
      </c>
      <c r="V169" s="14">
        <v>100</v>
      </c>
      <c r="W169" s="14">
        <v>0</v>
      </c>
      <c r="X169" s="14">
        <v>75</v>
      </c>
    </row>
    <row r="170" spans="1:24" s="12" customFormat="1" hidden="1" x14ac:dyDescent="0.3">
      <c r="A170" s="12">
        <v>2035</v>
      </c>
      <c r="B170" s="12" t="s">
        <v>251</v>
      </c>
      <c r="C170" s="12" t="s">
        <v>17</v>
      </c>
      <c r="D170" s="12" t="s">
        <v>243</v>
      </c>
      <c r="F170" s="12" t="s">
        <v>252</v>
      </c>
      <c r="G170" s="12" t="s">
        <v>211</v>
      </c>
      <c r="H170" s="12" t="s">
        <v>116</v>
      </c>
      <c r="K170" s="12" t="s">
        <v>103</v>
      </c>
      <c r="L170" s="13" t="s">
        <v>43</v>
      </c>
      <c r="M170" s="12" t="s">
        <v>253</v>
      </c>
      <c r="N170" s="12">
        <v>20.55</v>
      </c>
      <c r="O170" s="44" t="s">
        <v>109</v>
      </c>
      <c r="P170" s="44" t="s">
        <v>109</v>
      </c>
      <c r="Q170" s="12">
        <v>0.87</v>
      </c>
      <c r="R170" s="12">
        <v>0.78</v>
      </c>
      <c r="V170" s="14">
        <v>100</v>
      </c>
      <c r="W170" s="14">
        <v>0</v>
      </c>
      <c r="X170" s="14">
        <v>75</v>
      </c>
    </row>
    <row r="171" spans="1:24" s="12" customFormat="1" hidden="1" x14ac:dyDescent="0.3">
      <c r="A171" s="12">
        <v>2035</v>
      </c>
      <c r="B171" s="12" t="s">
        <v>257</v>
      </c>
      <c r="C171" s="12" t="s">
        <v>17</v>
      </c>
      <c r="D171" s="12" t="s">
        <v>243</v>
      </c>
      <c r="F171" s="12" t="s">
        <v>239</v>
      </c>
      <c r="G171" s="12" t="s">
        <v>211</v>
      </c>
      <c r="H171" s="12" t="s">
        <v>116</v>
      </c>
      <c r="K171" s="12" t="s">
        <v>103</v>
      </c>
      <c r="L171" s="13" t="s">
        <v>108</v>
      </c>
      <c r="M171" s="12" t="s">
        <v>240</v>
      </c>
      <c r="N171" s="12">
        <v>20.55</v>
      </c>
      <c r="O171" s="44" t="s">
        <v>109</v>
      </c>
      <c r="P171" s="44" t="s">
        <v>109</v>
      </c>
      <c r="Q171" s="49">
        <v>0.84</v>
      </c>
      <c r="R171" s="49">
        <v>1.59</v>
      </c>
      <c r="S171" s="49"/>
      <c r="T171" s="49"/>
      <c r="U171" s="49"/>
      <c r="V171" s="14">
        <v>100</v>
      </c>
      <c r="W171" s="14">
        <v>0</v>
      </c>
      <c r="X171" s="14">
        <v>75</v>
      </c>
    </row>
    <row r="172" spans="1:24" s="12" customFormat="1" hidden="1" x14ac:dyDescent="0.3">
      <c r="A172" s="12">
        <v>2035</v>
      </c>
      <c r="B172" s="12" t="s">
        <v>254</v>
      </c>
      <c r="C172" s="12" t="s">
        <v>17</v>
      </c>
      <c r="D172" s="12" t="s">
        <v>243</v>
      </c>
      <c r="F172" s="12" t="s">
        <v>255</v>
      </c>
      <c r="G172" s="12" t="s">
        <v>211</v>
      </c>
      <c r="H172" s="12" t="s">
        <v>116</v>
      </c>
      <c r="K172" s="12" t="s">
        <v>103</v>
      </c>
      <c r="L172" s="13" t="s">
        <v>43</v>
      </c>
      <c r="M172" s="12" t="s">
        <v>256</v>
      </c>
      <c r="N172" s="12">
        <v>20.55</v>
      </c>
      <c r="O172" s="44" t="s">
        <v>109</v>
      </c>
      <c r="P172" s="44" t="s">
        <v>109</v>
      </c>
      <c r="Q172" s="12">
        <v>0.87</v>
      </c>
      <c r="R172" s="12">
        <v>0.78</v>
      </c>
      <c r="V172" s="14">
        <v>100</v>
      </c>
      <c r="W172" s="14">
        <v>0</v>
      </c>
      <c r="X172" s="14">
        <v>75</v>
      </c>
    </row>
    <row r="173" spans="1:24" s="12" customFormat="1" hidden="1" x14ac:dyDescent="0.3">
      <c r="A173" s="12">
        <v>2035</v>
      </c>
      <c r="B173" s="12" t="s">
        <v>261</v>
      </c>
      <c r="C173" s="12" t="s">
        <v>17</v>
      </c>
      <c r="D173" s="12" t="s">
        <v>243</v>
      </c>
      <c r="F173" s="12" t="s">
        <v>262</v>
      </c>
      <c r="G173" s="12" t="s">
        <v>211</v>
      </c>
      <c r="H173" s="12" t="s">
        <v>116</v>
      </c>
      <c r="K173" s="49" t="s">
        <v>263</v>
      </c>
      <c r="L173" s="13" t="s">
        <v>42</v>
      </c>
      <c r="M173" s="12" t="s">
        <v>264</v>
      </c>
      <c r="N173" s="12">
        <v>20.55</v>
      </c>
      <c r="O173" s="44" t="s">
        <v>109</v>
      </c>
      <c r="P173" s="44" t="s">
        <v>109</v>
      </c>
      <c r="Q173" s="12">
        <v>0.87</v>
      </c>
      <c r="R173" s="12">
        <v>0.78</v>
      </c>
      <c r="V173" s="14">
        <v>100</v>
      </c>
      <c r="W173" s="14">
        <v>0</v>
      </c>
      <c r="X173" s="14">
        <v>75</v>
      </c>
    </row>
    <row r="174" spans="1:24" s="12" customFormat="1" hidden="1" x14ac:dyDescent="0.3">
      <c r="A174" s="12">
        <v>2035</v>
      </c>
      <c r="B174" s="12" t="s">
        <v>258</v>
      </c>
      <c r="C174" s="12" t="s">
        <v>17</v>
      </c>
      <c r="D174" s="12" t="s">
        <v>243</v>
      </c>
      <c r="F174" s="12" t="s">
        <v>259</v>
      </c>
      <c r="G174" s="12" t="s">
        <v>211</v>
      </c>
      <c r="H174" s="12" t="s">
        <v>116</v>
      </c>
      <c r="K174" s="12" t="s">
        <v>103</v>
      </c>
      <c r="L174" s="13" t="s">
        <v>129</v>
      </c>
      <c r="M174" s="12" t="s">
        <v>260</v>
      </c>
      <c r="N174" s="12">
        <v>20.55</v>
      </c>
      <c r="O174" s="44" t="s">
        <v>109</v>
      </c>
      <c r="P174" s="44" t="s">
        <v>109</v>
      </c>
      <c r="Q174" s="12">
        <v>0.87</v>
      </c>
      <c r="R174" s="12">
        <v>0.78</v>
      </c>
      <c r="V174" s="14">
        <v>100</v>
      </c>
      <c r="W174" s="14">
        <v>0</v>
      </c>
      <c r="X174" s="14">
        <v>75</v>
      </c>
    </row>
    <row r="175" spans="1:24" s="12" customFormat="1" hidden="1" x14ac:dyDescent="0.3">
      <c r="A175" s="12">
        <v>2035</v>
      </c>
      <c r="B175" s="12" t="s">
        <v>274</v>
      </c>
      <c r="C175" s="12" t="s">
        <v>17</v>
      </c>
      <c r="D175" s="12" t="s">
        <v>243</v>
      </c>
      <c r="F175" s="12" t="s">
        <v>275</v>
      </c>
      <c r="G175" s="12" t="s">
        <v>211</v>
      </c>
      <c r="H175" s="12" t="s">
        <v>116</v>
      </c>
      <c r="K175" s="12" t="s">
        <v>103</v>
      </c>
      <c r="L175" s="13" t="s">
        <v>43</v>
      </c>
      <c r="M175" s="12" t="s">
        <v>276</v>
      </c>
      <c r="N175" s="49">
        <v>13.68</v>
      </c>
      <c r="O175" s="44" t="s">
        <v>109</v>
      </c>
      <c r="P175" s="44" t="s">
        <v>109</v>
      </c>
      <c r="Q175" s="12">
        <v>0.87</v>
      </c>
      <c r="R175" s="12">
        <v>0.78</v>
      </c>
      <c r="V175" s="14">
        <v>100</v>
      </c>
      <c r="W175" s="14">
        <v>0</v>
      </c>
      <c r="X175" s="14">
        <v>75</v>
      </c>
    </row>
    <row r="176" spans="1:24" s="12" customFormat="1" hidden="1" x14ac:dyDescent="0.3">
      <c r="A176" s="12">
        <v>2035</v>
      </c>
      <c r="B176" s="12" t="s">
        <v>282</v>
      </c>
      <c r="C176" s="12" t="s">
        <v>17</v>
      </c>
      <c r="D176" s="12" t="s">
        <v>243</v>
      </c>
      <c r="F176" s="12" t="s">
        <v>280</v>
      </c>
      <c r="G176" s="12" t="s">
        <v>211</v>
      </c>
      <c r="H176" s="12" t="s">
        <v>116</v>
      </c>
      <c r="K176" s="12" t="s">
        <v>103</v>
      </c>
      <c r="L176" s="13" t="s">
        <v>43</v>
      </c>
      <c r="M176" s="12" t="s">
        <v>281</v>
      </c>
      <c r="N176" s="49">
        <v>14.55</v>
      </c>
      <c r="O176" s="44" t="s">
        <v>109</v>
      </c>
      <c r="P176" s="44" t="s">
        <v>109</v>
      </c>
      <c r="Q176" s="12">
        <v>0.87</v>
      </c>
      <c r="R176" s="12">
        <v>0.78</v>
      </c>
      <c r="V176" s="14">
        <v>100</v>
      </c>
      <c r="W176" s="14">
        <v>0</v>
      </c>
      <c r="X176" s="14">
        <v>75</v>
      </c>
    </row>
    <row r="177" spans="1:25" s="12" customFormat="1" x14ac:dyDescent="0.3">
      <c r="A177" s="12">
        <v>2035</v>
      </c>
      <c r="B177" s="12" t="s">
        <v>284</v>
      </c>
      <c r="C177" s="12" t="s">
        <v>17</v>
      </c>
      <c r="D177" s="12" t="s">
        <v>243</v>
      </c>
      <c r="F177" s="12" t="s">
        <v>283</v>
      </c>
      <c r="G177" s="12" t="s">
        <v>211</v>
      </c>
      <c r="H177" s="12" t="s">
        <v>116</v>
      </c>
      <c r="I177" s="71" t="s">
        <v>11</v>
      </c>
      <c r="J177" s="12" t="s">
        <v>339</v>
      </c>
      <c r="K177" s="12" t="s">
        <v>103</v>
      </c>
      <c r="L177" s="13" t="s">
        <v>43</v>
      </c>
      <c r="M177" s="12" t="s">
        <v>286</v>
      </c>
      <c r="N177" s="49">
        <v>17.579999999999998</v>
      </c>
      <c r="O177" s="44" t="s">
        <v>109</v>
      </c>
      <c r="P177" s="44" t="s">
        <v>109</v>
      </c>
      <c r="Q177" s="12">
        <v>0.87</v>
      </c>
      <c r="R177" s="12">
        <v>0.78</v>
      </c>
      <c r="V177" s="14">
        <v>100</v>
      </c>
      <c r="W177" s="14">
        <v>0</v>
      </c>
      <c r="X177" s="14">
        <v>75</v>
      </c>
    </row>
    <row r="178" spans="1:25" s="12" customFormat="1" hidden="1" x14ac:dyDescent="0.3">
      <c r="A178" s="12">
        <v>2035</v>
      </c>
      <c r="B178" s="12" t="s">
        <v>285</v>
      </c>
      <c r="C178" s="12" t="s">
        <v>17</v>
      </c>
      <c r="D178" s="12" t="s">
        <v>243</v>
      </c>
      <c r="F178" s="12" t="s">
        <v>287</v>
      </c>
      <c r="G178" s="12" t="s">
        <v>211</v>
      </c>
      <c r="H178" s="12" t="s">
        <v>116</v>
      </c>
      <c r="K178" s="12" t="s">
        <v>103</v>
      </c>
      <c r="L178" s="13" t="s">
        <v>42</v>
      </c>
      <c r="M178" s="12" t="s">
        <v>288</v>
      </c>
      <c r="N178" s="49">
        <v>15.06</v>
      </c>
      <c r="O178" s="44" t="s">
        <v>109</v>
      </c>
      <c r="P178" s="44" t="s">
        <v>109</v>
      </c>
      <c r="Q178" s="12">
        <v>0.87</v>
      </c>
      <c r="R178" s="12">
        <v>0.78</v>
      </c>
      <c r="V178" s="14">
        <v>100</v>
      </c>
      <c r="W178" s="14">
        <v>0</v>
      </c>
      <c r="X178" s="14">
        <v>75</v>
      </c>
    </row>
    <row r="179" spans="1:25" s="12" customFormat="1" hidden="1" x14ac:dyDescent="0.3">
      <c r="A179" s="12">
        <v>2035</v>
      </c>
      <c r="B179" s="12" t="s">
        <v>369</v>
      </c>
      <c r="C179" s="12" t="s">
        <v>17</v>
      </c>
      <c r="D179" s="12" t="s">
        <v>243</v>
      </c>
      <c r="F179" s="12" t="s">
        <v>370</v>
      </c>
      <c r="G179" s="12" t="s">
        <v>211</v>
      </c>
      <c r="H179" s="12" t="s">
        <v>116</v>
      </c>
      <c r="J179" s="12" t="s">
        <v>339</v>
      </c>
      <c r="K179" s="12" t="s">
        <v>103</v>
      </c>
      <c r="L179" s="13" t="s">
        <v>42</v>
      </c>
      <c r="M179" s="12" t="s">
        <v>371</v>
      </c>
      <c r="N179" s="49">
        <v>16.82</v>
      </c>
      <c r="O179" s="44" t="s">
        <v>109</v>
      </c>
      <c r="P179" s="44" t="s">
        <v>109</v>
      </c>
      <c r="Q179" s="12">
        <v>0.87</v>
      </c>
      <c r="R179" s="12">
        <v>0.78</v>
      </c>
      <c r="V179" s="14">
        <v>100</v>
      </c>
      <c r="W179" s="14">
        <v>0</v>
      </c>
      <c r="X179" s="14">
        <v>75</v>
      </c>
    </row>
    <row r="180" spans="1:25" s="122" customFormat="1" x14ac:dyDescent="0.3">
      <c r="A180" s="122">
        <v>2035</v>
      </c>
      <c r="B180" s="122" t="s">
        <v>667</v>
      </c>
      <c r="C180" s="122" t="s">
        <v>17</v>
      </c>
      <c r="D180" s="122" t="s">
        <v>243</v>
      </c>
      <c r="F180" s="122" t="s">
        <v>668</v>
      </c>
      <c r="G180" s="122" t="s">
        <v>211</v>
      </c>
      <c r="H180" s="122" t="s">
        <v>116</v>
      </c>
      <c r="I180" s="71" t="s">
        <v>11</v>
      </c>
      <c r="J180" s="122" t="s">
        <v>729</v>
      </c>
      <c r="K180" s="122" t="s">
        <v>103</v>
      </c>
      <c r="L180" s="124" t="s">
        <v>110</v>
      </c>
      <c r="M180" s="122" t="s">
        <v>669</v>
      </c>
      <c r="N180" s="117">
        <v>15.66</v>
      </c>
      <c r="O180" s="119" t="s">
        <v>109</v>
      </c>
      <c r="P180" s="119" t="s">
        <v>109</v>
      </c>
      <c r="T180" s="121">
        <v>-0.45500000000000002</v>
      </c>
      <c r="U180" s="121">
        <v>5</v>
      </c>
      <c r="V180" s="120">
        <v>34</v>
      </c>
      <c r="W180" s="120">
        <v>0</v>
      </c>
      <c r="X180" s="120">
        <v>85</v>
      </c>
      <c r="Y180" s="122" t="s">
        <v>331</v>
      </c>
    </row>
    <row r="181" spans="1:25" s="56" customFormat="1" hidden="1" x14ac:dyDescent="0.3">
      <c r="A181" s="56">
        <v>2035</v>
      </c>
      <c r="B181" s="56" t="s">
        <v>337</v>
      </c>
      <c r="C181" s="56" t="s">
        <v>338</v>
      </c>
      <c r="D181" s="56" t="s">
        <v>339</v>
      </c>
      <c r="F181" s="56" t="s">
        <v>340</v>
      </c>
      <c r="G181" s="56" t="s">
        <v>342</v>
      </c>
      <c r="H181" s="56" t="s">
        <v>343</v>
      </c>
      <c r="K181" s="56" t="s">
        <v>344</v>
      </c>
      <c r="L181" s="57" t="s">
        <v>110</v>
      </c>
      <c r="M181" s="56" t="s">
        <v>341</v>
      </c>
      <c r="N181" s="56">
        <v>17.579999999999998</v>
      </c>
      <c r="O181" s="58" t="s">
        <v>109</v>
      </c>
      <c r="P181" s="58" t="s">
        <v>109</v>
      </c>
      <c r="Q181" s="56">
        <v>0.87</v>
      </c>
      <c r="R181" s="56">
        <v>0.78</v>
      </c>
      <c r="V181" s="59">
        <v>83.3</v>
      </c>
      <c r="W181" s="59">
        <v>0</v>
      </c>
      <c r="X181" s="59">
        <v>72</v>
      </c>
    </row>
    <row r="182" spans="1:25" s="56" customFormat="1" hidden="1" x14ac:dyDescent="0.3">
      <c r="A182" s="56">
        <v>2035</v>
      </c>
      <c r="B182" s="56" t="s">
        <v>372</v>
      </c>
      <c r="C182" s="56" t="s">
        <v>338</v>
      </c>
      <c r="D182" s="56" t="s">
        <v>339</v>
      </c>
      <c r="F182" s="56" t="s">
        <v>373</v>
      </c>
      <c r="G182" s="56" t="s">
        <v>342</v>
      </c>
      <c r="H182" s="56" t="s">
        <v>343</v>
      </c>
      <c r="K182" s="56" t="s">
        <v>344</v>
      </c>
      <c r="L182" s="57" t="s">
        <v>110</v>
      </c>
      <c r="M182" s="56" t="s">
        <v>374</v>
      </c>
      <c r="N182" s="56">
        <v>16.82</v>
      </c>
      <c r="O182" s="58" t="s">
        <v>109</v>
      </c>
      <c r="P182" s="58" t="s">
        <v>109</v>
      </c>
      <c r="Q182" s="56">
        <v>0.87</v>
      </c>
      <c r="R182" s="56">
        <v>0.78</v>
      </c>
      <c r="V182" s="59">
        <v>83.3</v>
      </c>
      <c r="W182" s="59">
        <v>0</v>
      </c>
      <c r="X182" s="59">
        <v>72</v>
      </c>
    </row>
    <row r="183" spans="1:25" s="56" customFormat="1" hidden="1" x14ac:dyDescent="0.3">
      <c r="A183" s="56">
        <v>2035</v>
      </c>
      <c r="B183" s="56" t="s">
        <v>382</v>
      </c>
      <c r="C183" s="56" t="s">
        <v>338</v>
      </c>
      <c r="D183" s="56" t="s">
        <v>339</v>
      </c>
      <c r="F183" s="56" t="s">
        <v>383</v>
      </c>
      <c r="G183" s="56" t="s">
        <v>384</v>
      </c>
      <c r="H183" s="56" t="s">
        <v>389</v>
      </c>
      <c r="K183" s="56" t="s">
        <v>391</v>
      </c>
      <c r="L183" s="57" t="s">
        <v>110</v>
      </c>
      <c r="M183" s="56" t="s">
        <v>396</v>
      </c>
      <c r="N183" s="56">
        <v>16.82</v>
      </c>
      <c r="O183" s="58" t="s">
        <v>109</v>
      </c>
      <c r="P183" s="58" t="s">
        <v>109</v>
      </c>
      <c r="Q183" s="56">
        <v>0.87</v>
      </c>
      <c r="R183" s="56">
        <v>0.78</v>
      </c>
      <c r="V183" s="59">
        <v>83.3</v>
      </c>
      <c r="W183" s="59">
        <v>0</v>
      </c>
      <c r="X183" s="59">
        <v>72</v>
      </c>
    </row>
    <row r="184" spans="1:25" s="56" customFormat="1" hidden="1" x14ac:dyDescent="0.3">
      <c r="A184" s="56">
        <v>2035</v>
      </c>
      <c r="B184" s="56" t="s">
        <v>399</v>
      </c>
      <c r="C184" s="56" t="s">
        <v>338</v>
      </c>
      <c r="D184" s="56" t="s">
        <v>339</v>
      </c>
      <c r="F184" s="56" t="s">
        <v>383</v>
      </c>
      <c r="G184" s="56" t="s">
        <v>403</v>
      </c>
      <c r="H184" s="56" t="s">
        <v>402</v>
      </c>
      <c r="J184" s="56" t="s">
        <v>339</v>
      </c>
      <c r="K184" s="56" t="s">
        <v>400</v>
      </c>
      <c r="L184" s="57" t="s">
        <v>43</v>
      </c>
      <c r="M184" s="56" t="s">
        <v>401</v>
      </c>
      <c r="N184" s="56">
        <v>16.82</v>
      </c>
      <c r="O184" s="58" t="s">
        <v>109</v>
      </c>
      <c r="P184" s="58" t="s">
        <v>109</v>
      </c>
      <c r="Q184" s="56">
        <v>0.87</v>
      </c>
      <c r="R184" s="56">
        <v>0.78</v>
      </c>
      <c r="V184" s="59">
        <v>83.3</v>
      </c>
      <c r="W184" s="59">
        <v>0</v>
      </c>
      <c r="X184" s="59">
        <v>72</v>
      </c>
    </row>
    <row r="185" spans="1:25" s="56" customFormat="1" hidden="1" x14ac:dyDescent="0.3">
      <c r="A185" s="56">
        <v>2035</v>
      </c>
      <c r="B185" s="56" t="s">
        <v>416</v>
      </c>
      <c r="C185" s="56" t="s">
        <v>338</v>
      </c>
      <c r="D185" s="56" t="s">
        <v>339</v>
      </c>
      <c r="F185" s="56" t="s">
        <v>417</v>
      </c>
      <c r="G185" s="56" t="s">
        <v>418</v>
      </c>
      <c r="H185" s="56" t="s">
        <v>419</v>
      </c>
      <c r="J185" s="56" t="s">
        <v>339</v>
      </c>
      <c r="K185" s="56" t="s">
        <v>400</v>
      </c>
      <c r="L185" s="57" t="s">
        <v>43</v>
      </c>
      <c r="M185" s="56" t="s">
        <v>420</v>
      </c>
      <c r="N185" s="56">
        <v>16.82</v>
      </c>
      <c r="O185" s="58" t="s">
        <v>109</v>
      </c>
      <c r="P185" s="58" t="s">
        <v>109</v>
      </c>
      <c r="Q185" s="56">
        <v>0.87</v>
      </c>
      <c r="R185" s="56">
        <v>0.78</v>
      </c>
      <c r="V185" s="59">
        <v>83.3</v>
      </c>
      <c r="W185" s="59">
        <v>0</v>
      </c>
      <c r="X185" s="59">
        <v>72</v>
      </c>
    </row>
    <row r="186" spans="1:25" s="56" customFormat="1" hidden="1" x14ac:dyDescent="0.3">
      <c r="A186" s="56">
        <v>2035</v>
      </c>
      <c r="B186" s="56" t="s">
        <v>430</v>
      </c>
      <c r="C186" s="56" t="s">
        <v>338</v>
      </c>
      <c r="D186" s="56" t="s">
        <v>339</v>
      </c>
      <c r="F186" s="56" t="s">
        <v>431</v>
      </c>
      <c r="G186" s="56" t="s">
        <v>418</v>
      </c>
      <c r="H186" s="56" t="s">
        <v>419</v>
      </c>
      <c r="J186" s="56" t="s">
        <v>339</v>
      </c>
      <c r="K186" s="56" t="s">
        <v>400</v>
      </c>
      <c r="L186" s="57" t="s">
        <v>110</v>
      </c>
      <c r="M186" s="56" t="s">
        <v>432</v>
      </c>
      <c r="N186" s="56">
        <v>17.579999999999998</v>
      </c>
      <c r="O186" s="58" t="s">
        <v>109</v>
      </c>
      <c r="P186" s="58" t="s">
        <v>109</v>
      </c>
      <c r="Q186" s="56">
        <v>0.87</v>
      </c>
      <c r="R186" s="56">
        <v>0.78</v>
      </c>
      <c r="V186" s="59">
        <v>83.3</v>
      </c>
      <c r="W186" s="59">
        <v>0</v>
      </c>
      <c r="X186" s="59">
        <v>72</v>
      </c>
    </row>
    <row r="187" spans="1:25" s="56" customFormat="1" x14ac:dyDescent="0.3">
      <c r="A187" s="56">
        <v>2035</v>
      </c>
      <c r="B187" s="56" t="s">
        <v>447</v>
      </c>
      <c r="C187" s="56" t="s">
        <v>338</v>
      </c>
      <c r="D187" s="56" t="s">
        <v>339</v>
      </c>
      <c r="F187" s="56" t="s">
        <v>448</v>
      </c>
      <c r="G187" s="56" t="s">
        <v>449</v>
      </c>
      <c r="H187" s="56" t="s">
        <v>450</v>
      </c>
      <c r="I187" s="72" t="s">
        <v>11</v>
      </c>
      <c r="J187" s="56" t="s">
        <v>339</v>
      </c>
      <c r="K187" s="56" t="s">
        <v>400</v>
      </c>
      <c r="L187" s="57" t="s">
        <v>43</v>
      </c>
      <c r="M187" s="56" t="s">
        <v>451</v>
      </c>
      <c r="N187" s="56">
        <v>17.579999999999998</v>
      </c>
      <c r="O187" s="58" t="s">
        <v>109</v>
      </c>
      <c r="P187" s="58" t="s">
        <v>109</v>
      </c>
      <c r="Q187" s="56">
        <v>0.87</v>
      </c>
      <c r="R187" s="56">
        <v>0.78</v>
      </c>
      <c r="V187" s="59">
        <v>83.3</v>
      </c>
      <c r="W187" s="59">
        <v>0</v>
      </c>
      <c r="X187" s="59">
        <v>72</v>
      </c>
    </row>
    <row r="188" spans="1:25" s="117" customFormat="1" ht="14.4" hidden="1" x14ac:dyDescent="0.3">
      <c r="A188" s="117">
        <v>2035</v>
      </c>
      <c r="B188" s="117" t="s">
        <v>620</v>
      </c>
      <c r="C188" s="117" t="s">
        <v>338</v>
      </c>
      <c r="D188" s="117" t="s">
        <v>621</v>
      </c>
      <c r="F188" s="117" t="s">
        <v>19</v>
      </c>
      <c r="G188" s="117" t="s">
        <v>622</v>
      </c>
      <c r="H188" s="117" t="s">
        <v>623</v>
      </c>
      <c r="K188" s="117" t="s">
        <v>627</v>
      </c>
      <c r="L188" s="118" t="s">
        <v>42</v>
      </c>
      <c r="M188" s="123" t="s">
        <v>625</v>
      </c>
      <c r="N188" s="117">
        <v>15.66</v>
      </c>
      <c r="O188" s="119" t="s">
        <v>109</v>
      </c>
      <c r="P188" s="119" t="s">
        <v>109</v>
      </c>
      <c r="T188" s="121">
        <v>-0.41699999999999998</v>
      </c>
      <c r="U188" s="121">
        <v>5</v>
      </c>
      <c r="V188" s="120">
        <v>30</v>
      </c>
      <c r="W188" s="120">
        <v>0</v>
      </c>
      <c r="X188" s="120">
        <v>68</v>
      </c>
    </row>
    <row r="189" spans="1:25" s="117" customFormat="1" ht="14.4" hidden="1" x14ac:dyDescent="0.3">
      <c r="A189" s="117">
        <v>2035</v>
      </c>
      <c r="B189" s="117" t="s">
        <v>633</v>
      </c>
      <c r="C189" s="117" t="s">
        <v>338</v>
      </c>
      <c r="D189" s="117" t="s">
        <v>621</v>
      </c>
      <c r="F189" s="117" t="s">
        <v>552</v>
      </c>
      <c r="G189" s="117" t="s">
        <v>666</v>
      </c>
      <c r="H189" s="117" t="s">
        <v>634</v>
      </c>
      <c r="K189" s="117" t="s">
        <v>627</v>
      </c>
      <c r="L189" s="118" t="s">
        <v>42</v>
      </c>
      <c r="M189" s="123" t="s">
        <v>635</v>
      </c>
      <c r="N189" s="117">
        <v>15.66</v>
      </c>
      <c r="O189" s="119" t="s">
        <v>109</v>
      </c>
      <c r="P189" s="119" t="s">
        <v>109</v>
      </c>
      <c r="T189" s="121">
        <v>-0.41699999999999998</v>
      </c>
      <c r="U189" s="121">
        <v>5</v>
      </c>
      <c r="V189" s="120">
        <v>30</v>
      </c>
      <c r="W189" s="120">
        <v>0</v>
      </c>
      <c r="X189" s="120">
        <v>68</v>
      </c>
    </row>
    <row r="190" spans="1:25" s="117" customFormat="1" ht="14.4" hidden="1" x14ac:dyDescent="0.3">
      <c r="A190" s="117">
        <v>2035</v>
      </c>
      <c r="B190" s="117" t="s">
        <v>643</v>
      </c>
      <c r="C190" s="117" t="s">
        <v>338</v>
      </c>
      <c r="D190" s="117" t="s">
        <v>621</v>
      </c>
      <c r="F190" s="117" t="s">
        <v>644</v>
      </c>
      <c r="G190" s="117" t="s">
        <v>666</v>
      </c>
      <c r="H190" s="117" t="s">
        <v>634</v>
      </c>
      <c r="K190" s="117" t="s">
        <v>627</v>
      </c>
      <c r="L190" s="118" t="s">
        <v>42</v>
      </c>
      <c r="M190" s="123" t="s">
        <v>647</v>
      </c>
      <c r="N190" s="117">
        <v>15.66</v>
      </c>
      <c r="O190" s="119" t="s">
        <v>109</v>
      </c>
      <c r="P190" s="119" t="s">
        <v>109</v>
      </c>
      <c r="T190" s="121">
        <v>-0.45500000000000002</v>
      </c>
      <c r="U190" s="121">
        <v>5</v>
      </c>
      <c r="V190" s="120">
        <v>30</v>
      </c>
      <c r="W190" s="120">
        <v>0</v>
      </c>
      <c r="X190" s="120">
        <v>68</v>
      </c>
    </row>
    <row r="191" spans="1:25" s="117" customFormat="1" ht="14.4" hidden="1" x14ac:dyDescent="0.3">
      <c r="A191" s="117">
        <v>2035</v>
      </c>
      <c r="B191" s="117" t="s">
        <v>645</v>
      </c>
      <c r="C191" s="117" t="s">
        <v>338</v>
      </c>
      <c r="D191" s="117" t="s">
        <v>621</v>
      </c>
      <c r="F191" s="117" t="s">
        <v>646</v>
      </c>
      <c r="G191" s="117" t="s">
        <v>666</v>
      </c>
      <c r="H191" s="117" t="s">
        <v>634</v>
      </c>
      <c r="K191" s="117" t="s">
        <v>627</v>
      </c>
      <c r="L191" s="118" t="s">
        <v>110</v>
      </c>
      <c r="M191" s="123" t="s">
        <v>648</v>
      </c>
      <c r="N191" s="117">
        <v>15.66</v>
      </c>
      <c r="O191" s="119" t="s">
        <v>109</v>
      </c>
      <c r="P191" s="119" t="s">
        <v>109</v>
      </c>
      <c r="T191" s="121">
        <v>-0.45500000000000002</v>
      </c>
      <c r="U191" s="121">
        <v>5</v>
      </c>
      <c r="V191" s="120">
        <v>30</v>
      </c>
      <c r="W191" s="120">
        <v>0</v>
      </c>
      <c r="X191" s="120">
        <v>68</v>
      </c>
    </row>
    <row r="192" spans="1:25" s="117" customFormat="1" ht="14.4" hidden="1" x14ac:dyDescent="0.3">
      <c r="A192" s="117">
        <v>2035</v>
      </c>
      <c r="B192" s="117" t="s">
        <v>653</v>
      </c>
      <c r="C192" s="117" t="s">
        <v>338</v>
      </c>
      <c r="D192" s="117" t="s">
        <v>621</v>
      </c>
      <c r="F192" s="117" t="s">
        <v>654</v>
      </c>
      <c r="G192" s="117" t="s">
        <v>666</v>
      </c>
      <c r="H192" s="117" t="s">
        <v>634</v>
      </c>
      <c r="K192" s="117" t="s">
        <v>655</v>
      </c>
      <c r="L192" s="118" t="s">
        <v>110</v>
      </c>
      <c r="M192" s="123" t="s">
        <v>660</v>
      </c>
      <c r="N192" s="117">
        <v>15.66</v>
      </c>
      <c r="O192" s="119" t="s">
        <v>109</v>
      </c>
      <c r="P192" s="119" t="s">
        <v>109</v>
      </c>
      <c r="T192" s="121">
        <v>-0.45500000000000002</v>
      </c>
      <c r="U192" s="121">
        <v>5</v>
      </c>
      <c r="V192" s="120">
        <v>34</v>
      </c>
      <c r="W192" s="120">
        <v>0</v>
      </c>
      <c r="X192" s="120">
        <v>85</v>
      </c>
    </row>
    <row r="193" spans="1:26" s="117" customFormat="1" ht="14.4" x14ac:dyDescent="0.3">
      <c r="A193" s="117">
        <v>2035</v>
      </c>
      <c r="B193" s="117" t="s">
        <v>683</v>
      </c>
      <c r="C193" s="117" t="s">
        <v>338</v>
      </c>
      <c r="D193" s="117" t="s">
        <v>621</v>
      </c>
      <c r="F193" s="117" t="s">
        <v>684</v>
      </c>
      <c r="G193" s="117" t="s">
        <v>666</v>
      </c>
      <c r="H193" s="117" t="s">
        <v>634</v>
      </c>
      <c r="I193" s="72" t="s">
        <v>11</v>
      </c>
      <c r="K193" s="117" t="s">
        <v>685</v>
      </c>
      <c r="L193" s="118" t="s">
        <v>42</v>
      </c>
      <c r="M193" s="123" t="s">
        <v>687</v>
      </c>
      <c r="N193" s="117">
        <v>15.66</v>
      </c>
      <c r="O193" s="119" t="s">
        <v>109</v>
      </c>
      <c r="P193" s="119" t="s">
        <v>109</v>
      </c>
      <c r="T193" s="121">
        <v>-0.45500000000000002</v>
      </c>
      <c r="U193" s="121">
        <v>5</v>
      </c>
      <c r="V193" s="120">
        <v>34</v>
      </c>
      <c r="W193" s="120">
        <v>0</v>
      </c>
      <c r="X193" s="120">
        <v>85</v>
      </c>
      <c r="Y193" s="117" t="s">
        <v>860</v>
      </c>
    </row>
    <row r="194" spans="1:26" s="117" customFormat="1" ht="14.4" hidden="1" x14ac:dyDescent="0.3">
      <c r="A194" s="117">
        <v>2035</v>
      </c>
      <c r="B194" s="117" t="s">
        <v>742</v>
      </c>
      <c r="C194" s="117" t="s">
        <v>338</v>
      </c>
      <c r="D194" s="117" t="s">
        <v>621</v>
      </c>
      <c r="F194" s="117" t="s">
        <v>743</v>
      </c>
      <c r="G194" s="117" t="s">
        <v>744</v>
      </c>
      <c r="H194" s="117" t="s">
        <v>745</v>
      </c>
      <c r="K194" s="117" t="s">
        <v>746</v>
      </c>
      <c r="L194" s="118" t="s">
        <v>42</v>
      </c>
      <c r="M194" s="123" t="s">
        <v>747</v>
      </c>
      <c r="N194" s="117">
        <v>15.66</v>
      </c>
      <c r="O194" s="119" t="s">
        <v>109</v>
      </c>
      <c r="P194" s="119" t="s">
        <v>109</v>
      </c>
      <c r="T194" s="121">
        <v>-0.45500000000000002</v>
      </c>
      <c r="U194" s="121">
        <v>5</v>
      </c>
      <c r="V194" s="120">
        <v>34</v>
      </c>
      <c r="W194" s="120">
        <v>0</v>
      </c>
      <c r="X194" s="120">
        <v>85</v>
      </c>
    </row>
    <row r="195" spans="1:26" s="117" customFormat="1" ht="14.4" hidden="1" x14ac:dyDescent="0.3">
      <c r="A195" s="117">
        <v>2035</v>
      </c>
      <c r="B195" s="117" t="s">
        <v>815</v>
      </c>
      <c r="C195" s="117" t="s">
        <v>338</v>
      </c>
      <c r="D195" s="117" t="s">
        <v>621</v>
      </c>
      <c r="F195" s="117" t="s">
        <v>820</v>
      </c>
      <c r="G195" s="117" t="s">
        <v>819</v>
      </c>
      <c r="H195" s="117" t="s">
        <v>818</v>
      </c>
      <c r="K195" s="117" t="s">
        <v>817</v>
      </c>
      <c r="L195" s="118" t="s">
        <v>108</v>
      </c>
      <c r="M195" s="123" t="s">
        <v>816</v>
      </c>
      <c r="N195" s="117">
        <v>15.66</v>
      </c>
      <c r="O195" s="119" t="s">
        <v>109</v>
      </c>
      <c r="P195" s="119" t="s">
        <v>109</v>
      </c>
      <c r="T195" s="121">
        <v>-0.45500000000000002</v>
      </c>
      <c r="U195" s="121">
        <v>5</v>
      </c>
      <c r="V195" s="120">
        <v>55</v>
      </c>
      <c r="W195" s="120">
        <v>0</v>
      </c>
      <c r="X195" s="120">
        <v>108</v>
      </c>
    </row>
    <row r="196" spans="1:26" s="117" customFormat="1" ht="14.4" hidden="1" x14ac:dyDescent="0.3">
      <c r="A196" s="117">
        <v>2035</v>
      </c>
      <c r="B196" s="117" t="s">
        <v>840</v>
      </c>
      <c r="C196" s="117" t="s">
        <v>338</v>
      </c>
      <c r="D196" s="117" t="s">
        <v>621</v>
      </c>
      <c r="F196" s="117" t="s">
        <v>841</v>
      </c>
      <c r="G196" s="117" t="s">
        <v>842</v>
      </c>
      <c r="H196" s="117" t="s">
        <v>843</v>
      </c>
      <c r="K196" s="117" t="s">
        <v>844</v>
      </c>
      <c r="L196" s="118" t="s">
        <v>110</v>
      </c>
      <c r="M196" s="123" t="s">
        <v>845</v>
      </c>
      <c r="N196" s="117">
        <v>15.66</v>
      </c>
      <c r="O196" s="119" t="s">
        <v>109</v>
      </c>
      <c r="P196" s="119" t="s">
        <v>109</v>
      </c>
      <c r="T196" s="121">
        <v>-0.45500000000000002</v>
      </c>
      <c r="U196" s="121">
        <v>5</v>
      </c>
      <c r="V196" s="120">
        <v>55</v>
      </c>
      <c r="W196" s="120">
        <v>0</v>
      </c>
      <c r="X196" s="120">
        <v>108</v>
      </c>
    </row>
    <row r="197" spans="1:26" s="117" customFormat="1" ht="14.4" x14ac:dyDescent="0.3">
      <c r="A197" s="117">
        <v>2035</v>
      </c>
      <c r="B197" s="117" t="s">
        <v>868</v>
      </c>
      <c r="C197" s="117" t="s">
        <v>338</v>
      </c>
      <c r="D197" s="117" t="s">
        <v>621</v>
      </c>
      <c r="F197" s="117" t="s">
        <v>862</v>
      </c>
      <c r="G197" s="117" t="s">
        <v>842</v>
      </c>
      <c r="H197" s="117" t="s">
        <v>843</v>
      </c>
      <c r="I197" s="72" t="s">
        <v>11</v>
      </c>
      <c r="K197" s="117" t="s">
        <v>869</v>
      </c>
      <c r="L197" s="118" t="s">
        <v>110</v>
      </c>
      <c r="M197" s="123" t="s">
        <v>870</v>
      </c>
      <c r="N197" s="117">
        <v>15.66</v>
      </c>
      <c r="O197" s="119" t="s">
        <v>109</v>
      </c>
      <c r="P197" s="119" t="s">
        <v>109</v>
      </c>
      <c r="T197" s="121">
        <v>-0.45500000000000002</v>
      </c>
      <c r="U197" s="121">
        <v>5</v>
      </c>
      <c r="V197" s="120">
        <v>55</v>
      </c>
      <c r="W197" s="120">
        <v>0</v>
      </c>
      <c r="X197" s="120">
        <v>108</v>
      </c>
      <c r="Y197" s="117" t="s">
        <v>694</v>
      </c>
      <c r="Z197" s="117" t="s">
        <v>694</v>
      </c>
    </row>
    <row r="198" spans="1:26" s="81" customFormat="1" hidden="1" x14ac:dyDescent="0.3">
      <c r="A198" s="81">
        <v>2035</v>
      </c>
      <c r="B198" s="81" t="s">
        <v>469</v>
      </c>
      <c r="C198" s="81" t="s">
        <v>338</v>
      </c>
      <c r="D198" s="81" t="s">
        <v>339</v>
      </c>
      <c r="F198" s="81" t="s">
        <v>470</v>
      </c>
      <c r="G198" s="81" t="s">
        <v>456</v>
      </c>
      <c r="H198" s="81" t="s">
        <v>457</v>
      </c>
      <c r="K198" s="81" t="s">
        <v>400</v>
      </c>
      <c r="L198" s="82" t="s">
        <v>43</v>
      </c>
      <c r="M198" s="83" t="s">
        <v>471</v>
      </c>
      <c r="N198" s="81">
        <v>17.579999999999998</v>
      </c>
      <c r="O198" s="84" t="s">
        <v>109</v>
      </c>
      <c r="P198" s="84" t="s">
        <v>109</v>
      </c>
      <c r="Q198" s="81">
        <v>0.87</v>
      </c>
      <c r="R198" s="81">
        <v>0.78</v>
      </c>
      <c r="V198" s="85">
        <v>83.3</v>
      </c>
      <c r="W198" s="85">
        <v>0</v>
      </c>
      <c r="X198" s="85">
        <v>72</v>
      </c>
    </row>
    <row r="199" spans="1:26" s="81" customFormat="1" hidden="1" x14ac:dyDescent="0.3">
      <c r="A199" s="81">
        <v>2035</v>
      </c>
      <c r="B199" s="81" t="s">
        <v>474</v>
      </c>
      <c r="C199" s="81" t="s">
        <v>338</v>
      </c>
      <c r="D199" s="81" t="s">
        <v>339</v>
      </c>
      <c r="F199" s="81" t="s">
        <v>475</v>
      </c>
      <c r="G199" s="81" t="s">
        <v>476</v>
      </c>
      <c r="H199" s="81" t="s">
        <v>477</v>
      </c>
      <c r="J199" s="81" t="s">
        <v>339</v>
      </c>
      <c r="K199" s="81" t="s">
        <v>400</v>
      </c>
      <c r="L199" s="82" t="s">
        <v>43</v>
      </c>
      <c r="M199" s="83" t="s">
        <v>479</v>
      </c>
      <c r="N199" s="81">
        <v>17.579999999999998</v>
      </c>
      <c r="O199" s="84" t="s">
        <v>109</v>
      </c>
      <c r="P199" s="84" t="s">
        <v>109</v>
      </c>
      <c r="Q199" s="81">
        <v>0.87</v>
      </c>
      <c r="R199" s="81">
        <v>0.78</v>
      </c>
      <c r="V199" s="85">
        <v>83.3</v>
      </c>
      <c r="W199" s="85">
        <v>0</v>
      </c>
      <c r="X199" s="85">
        <v>72</v>
      </c>
    </row>
    <row r="200" spans="1:26" s="60" customFormat="1" hidden="1" x14ac:dyDescent="0.3">
      <c r="A200" s="60">
        <v>2035</v>
      </c>
      <c r="B200" s="60" t="s">
        <v>345</v>
      </c>
      <c r="C200" s="61" t="s">
        <v>338</v>
      </c>
      <c r="D200" s="60" t="s">
        <v>339</v>
      </c>
      <c r="F200" s="60" t="s">
        <v>346</v>
      </c>
      <c r="G200" s="60" t="s">
        <v>347</v>
      </c>
      <c r="H200" s="60" t="s">
        <v>348</v>
      </c>
      <c r="K200" s="60" t="s">
        <v>349</v>
      </c>
      <c r="L200" s="62" t="s">
        <v>129</v>
      </c>
      <c r="M200" s="61" t="s">
        <v>350</v>
      </c>
      <c r="N200" s="60">
        <v>17.579999999999998</v>
      </c>
      <c r="O200" s="63" t="s">
        <v>109</v>
      </c>
      <c r="P200" s="63" t="s">
        <v>109</v>
      </c>
      <c r="Q200" s="60">
        <v>0.87</v>
      </c>
      <c r="R200" s="60">
        <v>0.78</v>
      </c>
      <c r="V200" s="64">
        <v>83.3</v>
      </c>
      <c r="W200" s="64">
        <v>0</v>
      </c>
      <c r="X200" s="64">
        <v>72</v>
      </c>
    </row>
    <row r="201" spans="1:26" s="60" customFormat="1" hidden="1" x14ac:dyDescent="0.3">
      <c r="A201" s="60">
        <v>2035</v>
      </c>
      <c r="B201" s="60" t="s">
        <v>375</v>
      </c>
      <c r="C201" s="61" t="s">
        <v>338</v>
      </c>
      <c r="D201" s="60" t="s">
        <v>339</v>
      </c>
      <c r="F201" s="60" t="s">
        <v>373</v>
      </c>
      <c r="G201" s="60" t="s">
        <v>347</v>
      </c>
      <c r="H201" s="60" t="s">
        <v>348</v>
      </c>
      <c r="K201" s="60" t="s">
        <v>349</v>
      </c>
      <c r="L201" s="62" t="s">
        <v>129</v>
      </c>
      <c r="M201" s="61" t="s">
        <v>376</v>
      </c>
      <c r="N201" s="60">
        <v>16.82</v>
      </c>
      <c r="O201" s="63" t="s">
        <v>109</v>
      </c>
      <c r="P201" s="63" t="s">
        <v>109</v>
      </c>
      <c r="Q201" s="60">
        <v>0.87</v>
      </c>
      <c r="R201" s="60">
        <v>0.78</v>
      </c>
      <c r="V201" s="64">
        <v>83.3</v>
      </c>
      <c r="W201" s="64">
        <v>0</v>
      </c>
      <c r="X201" s="64">
        <v>72</v>
      </c>
    </row>
    <row r="202" spans="1:26" s="60" customFormat="1" hidden="1" x14ac:dyDescent="0.3">
      <c r="A202" s="60">
        <v>2035</v>
      </c>
      <c r="B202" s="60" t="s">
        <v>387</v>
      </c>
      <c r="C202" s="61" t="s">
        <v>338</v>
      </c>
      <c r="D202" s="60" t="s">
        <v>339</v>
      </c>
      <c r="F202" s="60" t="s">
        <v>383</v>
      </c>
      <c r="G202" s="60" t="s">
        <v>388</v>
      </c>
      <c r="H202" s="60" t="s">
        <v>390</v>
      </c>
      <c r="K202" s="60" t="s">
        <v>393</v>
      </c>
      <c r="L202" s="62" t="s">
        <v>129</v>
      </c>
      <c r="M202" s="61" t="s">
        <v>394</v>
      </c>
      <c r="N202" s="60">
        <v>16.82</v>
      </c>
      <c r="O202" s="63" t="s">
        <v>109</v>
      </c>
      <c r="P202" s="63" t="s">
        <v>109</v>
      </c>
      <c r="Q202" s="60">
        <v>0.87</v>
      </c>
      <c r="R202" s="60">
        <v>0.78</v>
      </c>
      <c r="V202" s="64">
        <v>83.3</v>
      </c>
      <c r="W202" s="64">
        <v>0</v>
      </c>
      <c r="X202" s="64">
        <v>72</v>
      </c>
    </row>
    <row r="203" spans="1:26" s="60" customFormat="1" hidden="1" x14ac:dyDescent="0.3">
      <c r="A203" s="60">
        <v>2035</v>
      </c>
      <c r="B203" s="60" t="s">
        <v>404</v>
      </c>
      <c r="C203" s="61" t="s">
        <v>338</v>
      </c>
      <c r="D203" s="60" t="s">
        <v>339</v>
      </c>
      <c r="F203" s="60" t="s">
        <v>405</v>
      </c>
      <c r="G203" s="60" t="s">
        <v>406</v>
      </c>
      <c r="H203" s="60" t="s">
        <v>407</v>
      </c>
      <c r="J203" s="60" t="s">
        <v>339</v>
      </c>
      <c r="K203" s="60" t="s">
        <v>408</v>
      </c>
      <c r="L203" s="62" t="s">
        <v>43</v>
      </c>
      <c r="M203" s="61" t="s">
        <v>409</v>
      </c>
      <c r="N203" s="60">
        <v>16.82</v>
      </c>
      <c r="O203" s="63" t="s">
        <v>109</v>
      </c>
      <c r="P203" s="63" t="s">
        <v>109</v>
      </c>
      <c r="Q203" s="60">
        <v>0.87</v>
      </c>
      <c r="R203" s="60">
        <v>0.78</v>
      </c>
      <c r="V203" s="64">
        <v>83.3</v>
      </c>
      <c r="W203" s="64">
        <v>0</v>
      </c>
      <c r="X203" s="64">
        <v>72</v>
      </c>
    </row>
    <row r="204" spans="1:26" s="60" customFormat="1" hidden="1" x14ac:dyDescent="0.3">
      <c r="A204" s="60">
        <v>2035</v>
      </c>
      <c r="B204" s="60" t="s">
        <v>421</v>
      </c>
      <c r="C204" s="61" t="s">
        <v>338</v>
      </c>
      <c r="D204" s="60" t="s">
        <v>339</v>
      </c>
      <c r="F204" s="60" t="s">
        <v>422</v>
      </c>
      <c r="G204" s="60" t="s">
        <v>424</v>
      </c>
      <c r="H204" s="60" t="s">
        <v>423</v>
      </c>
      <c r="J204" s="60" t="s">
        <v>339</v>
      </c>
      <c r="K204" s="60" t="s">
        <v>408</v>
      </c>
      <c r="L204" s="62" t="s">
        <v>43</v>
      </c>
      <c r="M204" s="61" t="s">
        <v>425</v>
      </c>
      <c r="N204" s="60">
        <v>16.82</v>
      </c>
      <c r="O204" s="63" t="s">
        <v>109</v>
      </c>
      <c r="P204" s="63" t="s">
        <v>109</v>
      </c>
      <c r="Q204" s="60">
        <v>0.87</v>
      </c>
      <c r="R204" s="60">
        <v>0.78</v>
      </c>
      <c r="V204" s="64">
        <v>83.3</v>
      </c>
      <c r="W204" s="64">
        <v>0</v>
      </c>
      <c r="X204" s="64">
        <v>72</v>
      </c>
    </row>
    <row r="205" spans="1:26" s="60" customFormat="1" hidden="1" x14ac:dyDescent="0.3">
      <c r="A205" s="60">
        <v>2035</v>
      </c>
      <c r="B205" s="60" t="s">
        <v>437</v>
      </c>
      <c r="C205" s="61" t="s">
        <v>338</v>
      </c>
      <c r="D205" s="60" t="s">
        <v>339</v>
      </c>
      <c r="F205" s="60" t="s">
        <v>442</v>
      </c>
      <c r="G205" s="60" t="s">
        <v>441</v>
      </c>
      <c r="H205" s="60" t="s">
        <v>440</v>
      </c>
      <c r="J205" s="60" t="s">
        <v>339</v>
      </c>
      <c r="K205" s="60" t="s">
        <v>408</v>
      </c>
      <c r="L205" s="62" t="s">
        <v>43</v>
      </c>
      <c r="M205" s="61" t="s">
        <v>439</v>
      </c>
      <c r="N205" s="60">
        <v>16.82</v>
      </c>
      <c r="O205" s="63" t="s">
        <v>109</v>
      </c>
      <c r="P205" s="63" t="s">
        <v>109</v>
      </c>
      <c r="Q205" s="60">
        <v>0.87</v>
      </c>
      <c r="R205" s="60">
        <v>0.78</v>
      </c>
      <c r="V205" s="64">
        <v>83.3</v>
      </c>
      <c r="W205" s="64">
        <v>0</v>
      </c>
      <c r="X205" s="64">
        <v>72</v>
      </c>
    </row>
    <row r="206" spans="1:26" s="60" customFormat="1" hidden="1" x14ac:dyDescent="0.3">
      <c r="A206" s="60">
        <v>2035</v>
      </c>
      <c r="B206" s="60" t="s">
        <v>438</v>
      </c>
      <c r="C206" s="61" t="s">
        <v>338</v>
      </c>
      <c r="D206" s="60" t="s">
        <v>339</v>
      </c>
      <c r="F206" s="60" t="s">
        <v>443</v>
      </c>
      <c r="G206" s="60" t="s">
        <v>441</v>
      </c>
      <c r="H206" s="60" t="s">
        <v>440</v>
      </c>
      <c r="J206" s="60" t="s">
        <v>339</v>
      </c>
      <c r="K206" s="60" t="s">
        <v>408</v>
      </c>
      <c r="L206" s="62" t="s">
        <v>43</v>
      </c>
      <c r="M206" s="61" t="s">
        <v>433</v>
      </c>
      <c r="N206" s="60">
        <v>18.03</v>
      </c>
      <c r="O206" s="63" t="s">
        <v>109</v>
      </c>
      <c r="P206" s="63" t="s">
        <v>109</v>
      </c>
      <c r="Q206" s="60">
        <v>0.87</v>
      </c>
      <c r="R206" s="60">
        <v>0.78</v>
      </c>
      <c r="V206" s="64">
        <v>83.3</v>
      </c>
      <c r="W206" s="64">
        <v>0</v>
      </c>
      <c r="X206" s="64">
        <v>72</v>
      </c>
    </row>
    <row r="207" spans="1:26" s="60" customFormat="1" hidden="1" x14ac:dyDescent="0.3">
      <c r="A207" s="60">
        <v>2035</v>
      </c>
      <c r="B207" s="60" t="s">
        <v>454</v>
      </c>
      <c r="C207" s="61" t="s">
        <v>338</v>
      </c>
      <c r="D207" s="60" t="s">
        <v>339</v>
      </c>
      <c r="F207" s="60" t="s">
        <v>455</v>
      </c>
      <c r="G207" s="60" t="s">
        <v>456</v>
      </c>
      <c r="H207" s="60" t="s">
        <v>457</v>
      </c>
      <c r="J207" s="60" t="s">
        <v>339</v>
      </c>
      <c r="K207" s="60" t="s">
        <v>408</v>
      </c>
      <c r="L207" s="62" t="s">
        <v>16</v>
      </c>
      <c r="M207" s="61" t="s">
        <v>458</v>
      </c>
      <c r="N207" s="60">
        <v>18.03</v>
      </c>
      <c r="O207" s="63" t="s">
        <v>109</v>
      </c>
      <c r="P207" s="63" t="s">
        <v>109</v>
      </c>
      <c r="Q207" s="60">
        <v>0.87</v>
      </c>
      <c r="R207" s="60">
        <v>0.78</v>
      </c>
      <c r="V207" s="64">
        <v>83.3</v>
      </c>
      <c r="W207" s="64">
        <v>0</v>
      </c>
      <c r="X207" s="64">
        <v>72</v>
      </c>
    </row>
    <row r="208" spans="1:26" s="60" customFormat="1" x14ac:dyDescent="0.3">
      <c r="A208" s="60">
        <v>2035</v>
      </c>
      <c r="B208" s="60" t="s">
        <v>478</v>
      </c>
      <c r="C208" s="61" t="s">
        <v>338</v>
      </c>
      <c r="D208" s="60" t="s">
        <v>339</v>
      </c>
      <c r="F208" s="60" t="s">
        <v>475</v>
      </c>
      <c r="G208" s="60" t="s">
        <v>476</v>
      </c>
      <c r="H208" s="60" t="s">
        <v>477</v>
      </c>
      <c r="I208" s="72" t="s">
        <v>11</v>
      </c>
      <c r="J208" s="60" t="s">
        <v>339</v>
      </c>
      <c r="K208" s="60" t="s">
        <v>408</v>
      </c>
      <c r="L208" s="62" t="s">
        <v>16</v>
      </c>
      <c r="M208" s="61" t="s">
        <v>480</v>
      </c>
      <c r="N208" s="60">
        <v>18.03</v>
      </c>
      <c r="O208" s="63" t="s">
        <v>109</v>
      </c>
      <c r="P208" s="63" t="s">
        <v>109</v>
      </c>
      <c r="Q208" s="60">
        <v>0.87</v>
      </c>
      <c r="R208" s="60">
        <v>0.78</v>
      </c>
      <c r="V208" s="64">
        <v>83.3</v>
      </c>
      <c r="W208" s="64">
        <v>0</v>
      </c>
      <c r="X208" s="64">
        <v>72</v>
      </c>
      <c r="Y208" s="60" t="s">
        <v>674</v>
      </c>
    </row>
    <row r="209" spans="1:26" s="117" customFormat="1" x14ac:dyDescent="0.3">
      <c r="A209" s="117">
        <v>2035</v>
      </c>
      <c r="B209" s="117" t="s">
        <v>715</v>
      </c>
      <c r="C209" s="122" t="s">
        <v>338</v>
      </c>
      <c r="D209" s="117" t="s">
        <v>339</v>
      </c>
      <c r="F209" s="117" t="s">
        <v>716</v>
      </c>
      <c r="G209" s="117" t="s">
        <v>476</v>
      </c>
      <c r="H209" s="117" t="s">
        <v>477</v>
      </c>
      <c r="I209" s="72" t="s">
        <v>11</v>
      </c>
      <c r="J209" s="117" t="s">
        <v>339</v>
      </c>
      <c r="K209" s="117" t="s">
        <v>408</v>
      </c>
      <c r="L209" s="118" t="s">
        <v>43</v>
      </c>
      <c r="M209" s="117" t="s">
        <v>717</v>
      </c>
      <c r="N209" s="117">
        <v>15.66</v>
      </c>
      <c r="O209" s="119" t="s">
        <v>109</v>
      </c>
      <c r="P209" s="119" t="s">
        <v>109</v>
      </c>
      <c r="T209" s="121">
        <v>-0.45500000000000002</v>
      </c>
      <c r="U209" s="121">
        <v>5</v>
      </c>
      <c r="V209" s="120">
        <v>34</v>
      </c>
      <c r="W209" s="120">
        <v>0</v>
      </c>
      <c r="X209" s="120">
        <v>85</v>
      </c>
      <c r="Y209" s="117" t="s">
        <v>718</v>
      </c>
    </row>
    <row r="210" spans="1:26" s="60" customFormat="1" hidden="1" x14ac:dyDescent="0.3">
      <c r="A210" s="60">
        <v>2035</v>
      </c>
      <c r="B210" s="60" t="s">
        <v>485</v>
      </c>
      <c r="C210" s="61" t="s">
        <v>338</v>
      </c>
      <c r="D210" s="60" t="s">
        <v>339</v>
      </c>
      <c r="F210" s="60" t="s">
        <v>488</v>
      </c>
      <c r="G210" s="60" t="s">
        <v>476</v>
      </c>
      <c r="K210" s="60" t="s">
        <v>408</v>
      </c>
      <c r="L210" s="62" t="s">
        <v>16</v>
      </c>
      <c r="M210" s="61" t="s">
        <v>491</v>
      </c>
      <c r="N210" s="60">
        <v>18.03</v>
      </c>
      <c r="O210" s="63" t="s">
        <v>109</v>
      </c>
      <c r="P210" s="63" t="s">
        <v>109</v>
      </c>
      <c r="Q210" s="60">
        <v>0.87</v>
      </c>
      <c r="R210" s="60">
        <v>0.78</v>
      </c>
      <c r="V210" s="92">
        <v>0</v>
      </c>
      <c r="W210" s="92">
        <v>0</v>
      </c>
      <c r="X210" s="92">
        <v>0</v>
      </c>
    </row>
    <row r="211" spans="1:26" s="60" customFormat="1" hidden="1" x14ac:dyDescent="0.3">
      <c r="A211" s="60">
        <v>2035</v>
      </c>
      <c r="B211" s="60" t="s">
        <v>486</v>
      </c>
      <c r="C211" s="61" t="s">
        <v>338</v>
      </c>
      <c r="D211" s="60" t="s">
        <v>339</v>
      </c>
      <c r="F211" s="60" t="s">
        <v>489</v>
      </c>
      <c r="G211" s="60" t="s">
        <v>476</v>
      </c>
      <c r="K211" s="93" t="s">
        <v>115</v>
      </c>
      <c r="L211" s="62" t="s">
        <v>129</v>
      </c>
      <c r="M211" s="61" t="s">
        <v>491</v>
      </c>
      <c r="N211" s="60">
        <v>18.03</v>
      </c>
      <c r="O211" s="63" t="s">
        <v>109</v>
      </c>
      <c r="P211" s="63" t="s">
        <v>109</v>
      </c>
      <c r="Q211" s="60">
        <v>0.87</v>
      </c>
      <c r="R211" s="60">
        <v>0.78</v>
      </c>
      <c r="V211" s="64">
        <v>83.3</v>
      </c>
      <c r="W211" s="64">
        <v>0</v>
      </c>
      <c r="X211" s="64">
        <v>72</v>
      </c>
    </row>
    <row r="212" spans="1:26" s="60" customFormat="1" hidden="1" x14ac:dyDescent="0.3">
      <c r="A212" s="60">
        <v>2035</v>
      </c>
      <c r="B212" s="60" t="s">
        <v>487</v>
      </c>
      <c r="C212" s="61" t="s">
        <v>338</v>
      </c>
      <c r="D212" s="60" t="s">
        <v>339</v>
      </c>
      <c r="F212" s="60" t="s">
        <v>490</v>
      </c>
      <c r="G212" s="94" t="s">
        <v>464</v>
      </c>
      <c r="H212" s="94" t="s">
        <v>116</v>
      </c>
      <c r="K212" s="60" t="s">
        <v>408</v>
      </c>
      <c r="L212" s="62" t="s">
        <v>16</v>
      </c>
      <c r="M212" s="61" t="s">
        <v>491</v>
      </c>
      <c r="N212" s="60">
        <v>18.03</v>
      </c>
      <c r="O212" s="63" t="s">
        <v>109</v>
      </c>
      <c r="P212" s="63" t="s">
        <v>109</v>
      </c>
      <c r="Q212" s="60">
        <v>0.87</v>
      </c>
      <c r="R212" s="60">
        <v>0.78</v>
      </c>
      <c r="V212" s="64">
        <v>83.3</v>
      </c>
      <c r="W212" s="64">
        <v>0</v>
      </c>
      <c r="X212" s="64">
        <v>72</v>
      </c>
    </row>
    <row r="213" spans="1:26" s="117" customFormat="1" ht="14.4" hidden="1" x14ac:dyDescent="0.3">
      <c r="A213" s="117">
        <v>2035</v>
      </c>
      <c r="B213" s="117" t="s">
        <v>626</v>
      </c>
      <c r="C213" s="122" t="s">
        <v>338</v>
      </c>
      <c r="D213" s="117" t="s">
        <v>621</v>
      </c>
      <c r="F213" s="117" t="s">
        <v>19</v>
      </c>
      <c r="G213" s="117" t="s">
        <v>665</v>
      </c>
      <c r="H213" s="117" t="s">
        <v>628</v>
      </c>
      <c r="K213" s="117" t="s">
        <v>624</v>
      </c>
      <c r="L213" s="118" t="s">
        <v>43</v>
      </c>
      <c r="M213" s="123" t="s">
        <v>629</v>
      </c>
      <c r="N213" s="117">
        <v>15.66</v>
      </c>
      <c r="O213" s="119" t="s">
        <v>109</v>
      </c>
      <c r="P213" s="119" t="s">
        <v>109</v>
      </c>
      <c r="T213" s="121">
        <v>-0.41699999999999998</v>
      </c>
      <c r="U213" s="121">
        <v>5</v>
      </c>
      <c r="V213" s="120">
        <v>30</v>
      </c>
      <c r="W213" s="120">
        <v>0</v>
      </c>
      <c r="X213" s="120">
        <v>68</v>
      </c>
    </row>
    <row r="214" spans="1:26" s="117" customFormat="1" ht="14.4" hidden="1" x14ac:dyDescent="0.3">
      <c r="A214" s="117">
        <v>2035</v>
      </c>
      <c r="B214" s="117" t="s">
        <v>661</v>
      </c>
      <c r="C214" s="122" t="s">
        <v>338</v>
      </c>
      <c r="D214" s="117" t="s">
        <v>621</v>
      </c>
      <c r="F214" s="117" t="s">
        <v>651</v>
      </c>
      <c r="G214" s="117" t="s">
        <v>664</v>
      </c>
      <c r="H214" s="117" t="s">
        <v>663</v>
      </c>
      <c r="K214" s="117" t="s">
        <v>652</v>
      </c>
      <c r="L214" s="118" t="s">
        <v>108</v>
      </c>
      <c r="M214" s="123" t="s">
        <v>662</v>
      </c>
      <c r="N214" s="117">
        <v>15.66</v>
      </c>
      <c r="O214" s="119" t="s">
        <v>109</v>
      </c>
      <c r="P214" s="119" t="s">
        <v>109</v>
      </c>
      <c r="T214" s="121">
        <v>-0.45500000000000002</v>
      </c>
      <c r="U214" s="121">
        <v>5</v>
      </c>
      <c r="V214" s="120">
        <v>34</v>
      </c>
      <c r="W214" s="120">
        <v>0</v>
      </c>
      <c r="X214" s="120">
        <v>85</v>
      </c>
    </row>
    <row r="215" spans="1:26" s="117" customFormat="1" ht="14.4" hidden="1" x14ac:dyDescent="0.3">
      <c r="A215" s="117">
        <v>2035</v>
      </c>
      <c r="B215" s="117" t="s">
        <v>675</v>
      </c>
      <c r="C215" s="122" t="s">
        <v>338</v>
      </c>
      <c r="D215" s="117" t="s">
        <v>621</v>
      </c>
      <c r="F215" s="117" t="s">
        <v>681</v>
      </c>
      <c r="G215" s="117" t="s">
        <v>664</v>
      </c>
      <c r="H215" s="117" t="s">
        <v>663</v>
      </c>
      <c r="K215" s="117" t="s">
        <v>676</v>
      </c>
      <c r="L215" s="118" t="s">
        <v>108</v>
      </c>
      <c r="M215" s="123" t="s">
        <v>677</v>
      </c>
      <c r="N215" s="117">
        <v>15.66</v>
      </c>
      <c r="O215" s="119" t="s">
        <v>109</v>
      </c>
      <c r="P215" s="119" t="s">
        <v>109</v>
      </c>
      <c r="T215" s="121">
        <v>-0.45500000000000002</v>
      </c>
      <c r="U215" s="121">
        <v>5</v>
      </c>
      <c r="V215" s="120">
        <v>34</v>
      </c>
      <c r="W215" s="120">
        <v>0</v>
      </c>
      <c r="X215" s="120">
        <v>85</v>
      </c>
    </row>
    <row r="216" spans="1:26" s="117" customFormat="1" ht="14.4" hidden="1" x14ac:dyDescent="0.3">
      <c r="A216" s="117">
        <v>2035</v>
      </c>
      <c r="B216" s="117" t="s">
        <v>678</v>
      </c>
      <c r="C216" s="122" t="s">
        <v>338</v>
      </c>
      <c r="D216" s="117" t="s">
        <v>621</v>
      </c>
      <c r="F216" s="117" t="s">
        <v>682</v>
      </c>
      <c r="G216" s="117" t="s">
        <v>664</v>
      </c>
      <c r="H216" s="117" t="s">
        <v>663</v>
      </c>
      <c r="K216" s="117" t="s">
        <v>679</v>
      </c>
      <c r="L216" s="118" t="s">
        <v>108</v>
      </c>
      <c r="M216" s="123" t="s">
        <v>680</v>
      </c>
      <c r="N216" s="117">
        <v>15.66</v>
      </c>
      <c r="O216" s="119" t="s">
        <v>109</v>
      </c>
      <c r="P216" s="119" t="s">
        <v>109</v>
      </c>
      <c r="T216" s="121">
        <v>-0.45500000000000002</v>
      </c>
      <c r="U216" s="121">
        <v>5</v>
      </c>
      <c r="V216" s="120">
        <v>34</v>
      </c>
      <c r="W216" s="120">
        <v>0</v>
      </c>
      <c r="X216" s="120">
        <v>85</v>
      </c>
    </row>
    <row r="217" spans="1:26" s="117" customFormat="1" hidden="1" x14ac:dyDescent="0.3">
      <c r="A217" s="117">
        <v>2035</v>
      </c>
      <c r="B217" s="117" t="s">
        <v>688</v>
      </c>
      <c r="C217" s="122" t="s">
        <v>338</v>
      </c>
      <c r="D217" s="117" t="s">
        <v>621</v>
      </c>
      <c r="F217" s="117" t="s">
        <v>684</v>
      </c>
      <c r="G217" s="117" t="s">
        <v>664</v>
      </c>
      <c r="H217" s="117" t="s">
        <v>663</v>
      </c>
      <c r="K217" s="117" t="s">
        <v>689</v>
      </c>
      <c r="L217" s="118" t="s">
        <v>110</v>
      </c>
      <c r="M217" s="117" t="s">
        <v>693</v>
      </c>
      <c r="N217" s="117">
        <v>15.66</v>
      </c>
      <c r="O217" s="119" t="s">
        <v>109</v>
      </c>
      <c r="P217" s="119" t="s">
        <v>109</v>
      </c>
      <c r="T217" s="121">
        <v>-0.45500000000000002</v>
      </c>
      <c r="U217" s="121">
        <v>5</v>
      </c>
      <c r="V217" s="120">
        <v>34</v>
      </c>
      <c r="W217" s="120">
        <v>0</v>
      </c>
      <c r="X217" s="120">
        <v>85</v>
      </c>
    </row>
    <row r="218" spans="1:26" s="117" customFormat="1" hidden="1" x14ac:dyDescent="0.3">
      <c r="A218" s="117">
        <v>2035</v>
      </c>
      <c r="B218" s="117" t="s">
        <v>705</v>
      </c>
      <c r="C218" s="122" t="s">
        <v>338</v>
      </c>
      <c r="D218" s="117" t="s">
        <v>621</v>
      </c>
      <c r="F218" s="117" t="s">
        <v>706</v>
      </c>
      <c r="G218" s="117" t="s">
        <v>707</v>
      </c>
      <c r="H218" s="117" t="s">
        <v>708</v>
      </c>
      <c r="K218" s="117" t="s">
        <v>709</v>
      </c>
      <c r="L218" s="118" t="s">
        <v>42</v>
      </c>
      <c r="M218" s="117" t="s">
        <v>710</v>
      </c>
      <c r="N218" s="117">
        <v>15.66</v>
      </c>
      <c r="O218" s="119" t="s">
        <v>109</v>
      </c>
      <c r="P218" s="119" t="s">
        <v>109</v>
      </c>
      <c r="T218" s="121">
        <v>-0.45500000000000002</v>
      </c>
      <c r="U218" s="121">
        <v>5</v>
      </c>
      <c r="V218" s="120">
        <v>34</v>
      </c>
      <c r="W218" s="120">
        <v>0</v>
      </c>
      <c r="X218" s="120">
        <v>85</v>
      </c>
    </row>
    <row r="219" spans="1:26" s="117" customFormat="1" hidden="1" x14ac:dyDescent="0.3">
      <c r="A219" s="117">
        <v>2035</v>
      </c>
      <c r="B219" s="117" t="s">
        <v>719</v>
      </c>
      <c r="C219" s="122" t="s">
        <v>338</v>
      </c>
      <c r="D219" s="117" t="s">
        <v>621</v>
      </c>
      <c r="F219" s="117" t="s">
        <v>720</v>
      </c>
      <c r="G219" s="117" t="s">
        <v>721</v>
      </c>
      <c r="H219" s="117" t="s">
        <v>722</v>
      </c>
      <c r="K219" s="117" t="s">
        <v>723</v>
      </c>
      <c r="L219" s="118" t="s">
        <v>42</v>
      </c>
      <c r="M219" s="117" t="s">
        <v>724</v>
      </c>
      <c r="N219" s="117">
        <v>15.66</v>
      </c>
      <c r="O219" s="119" t="s">
        <v>109</v>
      </c>
      <c r="P219" s="119" t="s">
        <v>109</v>
      </c>
      <c r="T219" s="121">
        <v>-0.45500000000000002</v>
      </c>
      <c r="U219" s="121">
        <v>5</v>
      </c>
      <c r="V219" s="120">
        <v>34</v>
      </c>
      <c r="W219" s="120">
        <v>0</v>
      </c>
      <c r="X219" s="120">
        <v>85</v>
      </c>
    </row>
    <row r="220" spans="1:26" s="117" customFormat="1" hidden="1" x14ac:dyDescent="0.3">
      <c r="A220" s="117">
        <v>2035</v>
      </c>
      <c r="B220" s="117" t="s">
        <v>734</v>
      </c>
      <c r="C220" s="122" t="s">
        <v>338</v>
      </c>
      <c r="D220" s="117" t="s">
        <v>621</v>
      </c>
      <c r="F220" s="117" t="s">
        <v>735</v>
      </c>
      <c r="G220" s="117" t="s">
        <v>721</v>
      </c>
      <c r="H220" s="117" t="s">
        <v>722</v>
      </c>
      <c r="K220" s="117" t="s">
        <v>736</v>
      </c>
      <c r="L220" s="118" t="s">
        <v>42</v>
      </c>
      <c r="M220" s="117" t="s">
        <v>737</v>
      </c>
      <c r="N220" s="117">
        <v>15.66</v>
      </c>
      <c r="O220" s="119" t="s">
        <v>109</v>
      </c>
      <c r="P220" s="119" t="s">
        <v>109</v>
      </c>
      <c r="T220" s="121">
        <v>-0.45500000000000002</v>
      </c>
      <c r="U220" s="121">
        <v>5</v>
      </c>
      <c r="V220" s="120">
        <v>34</v>
      </c>
      <c r="W220" s="120">
        <v>0</v>
      </c>
      <c r="X220" s="120">
        <v>85</v>
      </c>
    </row>
    <row r="221" spans="1:26" s="117" customFormat="1" hidden="1" x14ac:dyDescent="0.3">
      <c r="A221" s="117">
        <v>2035</v>
      </c>
      <c r="B221" s="117" t="s">
        <v>752</v>
      </c>
      <c r="C221" s="122" t="s">
        <v>338</v>
      </c>
      <c r="D221" s="117" t="s">
        <v>621</v>
      </c>
      <c r="F221" s="117" t="s">
        <v>753</v>
      </c>
      <c r="G221" s="117" t="s">
        <v>754</v>
      </c>
      <c r="H221" s="117" t="s">
        <v>755</v>
      </c>
      <c r="K221" s="117" t="s">
        <v>756</v>
      </c>
      <c r="L221" s="118" t="s">
        <v>16</v>
      </c>
      <c r="M221" s="117" t="s">
        <v>757</v>
      </c>
      <c r="N221" s="117">
        <v>15.66</v>
      </c>
      <c r="O221" s="119" t="s">
        <v>109</v>
      </c>
      <c r="P221" s="119" t="s">
        <v>109</v>
      </c>
      <c r="T221" s="121">
        <v>-0.45500000000000002</v>
      </c>
      <c r="U221" s="121">
        <v>5</v>
      </c>
      <c r="V221" s="120">
        <v>34</v>
      </c>
      <c r="W221" s="120">
        <v>0</v>
      </c>
      <c r="X221" s="120">
        <v>85</v>
      </c>
    </row>
    <row r="222" spans="1:26" s="117" customFormat="1" hidden="1" x14ac:dyDescent="0.3">
      <c r="A222" s="117">
        <v>2035</v>
      </c>
      <c r="B222" s="117" t="s">
        <v>821</v>
      </c>
      <c r="C222" s="122" t="s">
        <v>338</v>
      </c>
      <c r="D222" s="117" t="s">
        <v>621</v>
      </c>
      <c r="F222" s="117" t="s">
        <v>822</v>
      </c>
      <c r="G222" s="117" t="s">
        <v>754</v>
      </c>
      <c r="H222" s="117" t="s">
        <v>755</v>
      </c>
      <c r="K222" s="117" t="s">
        <v>823</v>
      </c>
      <c r="L222" s="118" t="s">
        <v>43</v>
      </c>
      <c r="M222" s="117" t="s">
        <v>824</v>
      </c>
      <c r="N222" s="117">
        <v>15.66</v>
      </c>
      <c r="O222" s="119" t="s">
        <v>109</v>
      </c>
      <c r="P222" s="119" t="s">
        <v>109</v>
      </c>
      <c r="T222" s="121">
        <v>-0.45500000000000002</v>
      </c>
      <c r="U222" s="121">
        <v>5</v>
      </c>
      <c r="V222" s="120">
        <v>27</v>
      </c>
      <c r="W222" s="120">
        <v>0</v>
      </c>
      <c r="X222" s="120">
        <v>60</v>
      </c>
    </row>
    <row r="223" spans="1:26" s="117" customFormat="1" hidden="1" x14ac:dyDescent="0.3">
      <c r="A223" s="117">
        <v>2035</v>
      </c>
      <c r="B223" s="117" t="s">
        <v>846</v>
      </c>
      <c r="C223" s="122" t="s">
        <v>338</v>
      </c>
      <c r="D223" s="117" t="s">
        <v>621</v>
      </c>
      <c r="F223" s="117" t="s">
        <v>847</v>
      </c>
      <c r="G223" s="117" t="s">
        <v>848</v>
      </c>
      <c r="H223" s="117" t="s">
        <v>849</v>
      </c>
      <c r="J223" s="117" t="s">
        <v>621</v>
      </c>
      <c r="K223" s="117" t="s">
        <v>850</v>
      </c>
      <c r="L223" s="118" t="s">
        <v>42</v>
      </c>
      <c r="M223" s="117" t="s">
        <v>851</v>
      </c>
      <c r="N223" s="117">
        <v>15.66</v>
      </c>
      <c r="O223" s="119" t="s">
        <v>109</v>
      </c>
      <c r="P223" s="119" t="s">
        <v>109</v>
      </c>
      <c r="T223" s="121">
        <v>-0.45500000000000002</v>
      </c>
      <c r="U223" s="121">
        <v>5</v>
      </c>
      <c r="V223" s="120">
        <v>0</v>
      </c>
      <c r="W223" s="120">
        <v>0</v>
      </c>
      <c r="X223" s="120">
        <v>85</v>
      </c>
    </row>
    <row r="224" spans="1:26" s="117" customFormat="1" x14ac:dyDescent="0.3">
      <c r="A224" s="117">
        <v>2035</v>
      </c>
      <c r="B224" s="117" t="s">
        <v>861</v>
      </c>
      <c r="C224" s="122" t="s">
        <v>338</v>
      </c>
      <c r="D224" s="117" t="s">
        <v>621</v>
      </c>
      <c r="F224" s="117" t="s">
        <v>862</v>
      </c>
      <c r="G224" s="117" t="s">
        <v>848</v>
      </c>
      <c r="H224" s="117" t="s">
        <v>849</v>
      </c>
      <c r="I224" s="72" t="s">
        <v>11</v>
      </c>
      <c r="J224" s="117" t="s">
        <v>621</v>
      </c>
      <c r="K224" s="117" t="s">
        <v>863</v>
      </c>
      <c r="L224" s="118" t="s">
        <v>42</v>
      </c>
      <c r="M224" s="117" t="s">
        <v>864</v>
      </c>
      <c r="N224" s="117">
        <v>15.66</v>
      </c>
      <c r="O224" s="119" t="s">
        <v>109</v>
      </c>
      <c r="P224" s="119" t="s">
        <v>109</v>
      </c>
      <c r="T224" s="121">
        <v>-0.45500000000000002</v>
      </c>
      <c r="U224" s="121">
        <v>5</v>
      </c>
      <c r="V224" s="120">
        <v>0</v>
      </c>
      <c r="W224" s="120">
        <v>0</v>
      </c>
      <c r="X224" s="120">
        <v>85</v>
      </c>
      <c r="Y224" s="117" t="s">
        <v>358</v>
      </c>
      <c r="Z224" s="117" t="s">
        <v>358</v>
      </c>
    </row>
    <row r="225" spans="1:26" s="81" customFormat="1" hidden="1" x14ac:dyDescent="0.3">
      <c r="A225" s="81">
        <v>2035</v>
      </c>
      <c r="B225" s="81" t="s">
        <v>877</v>
      </c>
      <c r="C225" s="81" t="s">
        <v>338</v>
      </c>
      <c r="D225" s="81" t="s">
        <v>878</v>
      </c>
      <c r="F225" s="81" t="s">
        <v>888</v>
      </c>
      <c r="G225" s="81" t="s">
        <v>848</v>
      </c>
      <c r="H225" s="81" t="s">
        <v>849</v>
      </c>
      <c r="J225" s="81" t="s">
        <v>621</v>
      </c>
      <c r="K225" s="81" t="s">
        <v>863</v>
      </c>
      <c r="L225" s="82" t="s">
        <v>129</v>
      </c>
      <c r="M225" s="81" t="s">
        <v>880</v>
      </c>
      <c r="N225" s="81">
        <v>15.66</v>
      </c>
      <c r="O225" s="84" t="s">
        <v>109</v>
      </c>
      <c r="P225" s="84" t="s">
        <v>109</v>
      </c>
      <c r="T225" s="167">
        <v>-0.45500000000000002</v>
      </c>
      <c r="U225" s="167">
        <v>5</v>
      </c>
      <c r="V225" s="85">
        <v>0</v>
      </c>
      <c r="W225" s="85">
        <v>0</v>
      </c>
      <c r="X225" s="85">
        <v>85</v>
      </c>
    </row>
    <row r="226" spans="1:26" s="81" customFormat="1" x14ac:dyDescent="0.3">
      <c r="A226" s="81">
        <v>2035</v>
      </c>
      <c r="B226" s="81" t="s">
        <v>885</v>
      </c>
      <c r="C226" s="81" t="s">
        <v>338</v>
      </c>
      <c r="D226" s="81" t="s">
        <v>878</v>
      </c>
      <c r="F226" s="81" t="s">
        <v>887</v>
      </c>
      <c r="G226" s="81" t="s">
        <v>848</v>
      </c>
      <c r="H226" s="81" t="s">
        <v>849</v>
      </c>
      <c r="I226" s="72" t="s">
        <v>11</v>
      </c>
      <c r="J226" s="81" t="s">
        <v>621</v>
      </c>
      <c r="K226" s="81" t="s">
        <v>899</v>
      </c>
      <c r="L226" s="82" t="s">
        <v>129</v>
      </c>
      <c r="M226" s="81" t="s">
        <v>894</v>
      </c>
      <c r="N226" s="81">
        <v>15.66</v>
      </c>
      <c r="O226" s="84" t="s">
        <v>109</v>
      </c>
      <c r="P226" s="84" t="s">
        <v>109</v>
      </c>
      <c r="T226" s="167">
        <v>-0.45500000000000002</v>
      </c>
      <c r="U226" s="167">
        <v>5</v>
      </c>
      <c r="V226" s="85">
        <v>0</v>
      </c>
      <c r="W226" s="85">
        <v>0</v>
      </c>
      <c r="X226" s="85">
        <v>85</v>
      </c>
      <c r="Y226" s="81" t="s">
        <v>881</v>
      </c>
      <c r="Z226" s="81" t="s">
        <v>881</v>
      </c>
    </row>
    <row r="227" spans="1:26" s="162" customFormat="1" x14ac:dyDescent="0.3">
      <c r="A227" s="162">
        <v>2035</v>
      </c>
      <c r="B227" s="162" t="s">
        <v>886</v>
      </c>
      <c r="C227" s="162" t="s">
        <v>338</v>
      </c>
      <c r="D227" s="162" t="s">
        <v>878</v>
      </c>
      <c r="F227" s="162" t="s">
        <v>889</v>
      </c>
      <c r="G227" s="162" t="s">
        <v>890</v>
      </c>
      <c r="H227" s="162" t="s">
        <v>891</v>
      </c>
      <c r="I227" s="72" t="s">
        <v>11</v>
      </c>
      <c r="J227" s="162" t="s">
        <v>621</v>
      </c>
      <c r="K227" s="162" t="s">
        <v>863</v>
      </c>
      <c r="L227" s="163" t="s">
        <v>42</v>
      </c>
      <c r="M227" s="162" t="s">
        <v>893</v>
      </c>
      <c r="N227" s="162">
        <v>15.66</v>
      </c>
      <c r="O227" s="164" t="s">
        <v>109</v>
      </c>
      <c r="P227" s="164" t="s">
        <v>109</v>
      </c>
      <c r="T227" s="165">
        <v>-0.45500000000000002</v>
      </c>
      <c r="U227" s="165">
        <v>5</v>
      </c>
      <c r="V227" s="166">
        <v>0</v>
      </c>
      <c r="W227" s="166">
        <v>0</v>
      </c>
      <c r="X227" s="166">
        <v>85</v>
      </c>
      <c r="Y227" s="162" t="s">
        <v>895</v>
      </c>
      <c r="Z227" s="162" t="s">
        <v>895</v>
      </c>
    </row>
    <row r="228" spans="1:26" s="236" customFormat="1" hidden="1" x14ac:dyDescent="0.3">
      <c r="A228" s="236">
        <v>2035</v>
      </c>
      <c r="B228" s="236" t="s">
        <v>994</v>
      </c>
      <c r="C228" s="236" t="s">
        <v>923</v>
      </c>
      <c r="D228" s="236" t="s">
        <v>621</v>
      </c>
      <c r="E228" s="236" t="s">
        <v>1104</v>
      </c>
      <c r="F228" s="236" t="s">
        <v>1093</v>
      </c>
      <c r="G228" s="236" t="s">
        <v>995</v>
      </c>
      <c r="H228" s="236" t="s">
        <v>996</v>
      </c>
      <c r="I228" s="236" t="s">
        <v>1022</v>
      </c>
      <c r="K228" s="236" t="s">
        <v>869</v>
      </c>
      <c r="L228" s="237" t="s">
        <v>43</v>
      </c>
      <c r="M228" s="238" t="s">
        <v>997</v>
      </c>
      <c r="N228" s="236">
        <v>15.66</v>
      </c>
      <c r="O228" s="239" t="s">
        <v>109</v>
      </c>
      <c r="P228" s="239" t="s">
        <v>109</v>
      </c>
      <c r="T228" s="240">
        <v>-0.45500000000000002</v>
      </c>
      <c r="U228" s="240">
        <v>5</v>
      </c>
      <c r="V228" s="241">
        <v>55</v>
      </c>
      <c r="W228" s="241">
        <v>0</v>
      </c>
      <c r="X228" s="241">
        <v>108</v>
      </c>
      <c r="Y228" s="236" t="s">
        <v>1066</v>
      </c>
    </row>
    <row r="229" spans="1:26" s="236" customFormat="1" hidden="1" x14ac:dyDescent="0.3">
      <c r="A229" s="236">
        <v>2035</v>
      </c>
      <c r="B229" s="236" t="s">
        <v>1057</v>
      </c>
      <c r="C229" s="236" t="s">
        <v>923</v>
      </c>
      <c r="D229" s="236" t="s">
        <v>621</v>
      </c>
      <c r="E229" s="236" t="s">
        <v>1105</v>
      </c>
      <c r="F229" s="236" t="s">
        <v>1094</v>
      </c>
      <c r="G229" s="236" t="s">
        <v>1061</v>
      </c>
      <c r="H229" s="236" t="s">
        <v>1060</v>
      </c>
      <c r="I229" s="236" t="s">
        <v>1022</v>
      </c>
      <c r="K229" s="236" t="s">
        <v>869</v>
      </c>
      <c r="L229" s="237" t="s">
        <v>43</v>
      </c>
      <c r="M229" s="238" t="s">
        <v>1058</v>
      </c>
      <c r="N229" s="236">
        <v>15.66</v>
      </c>
      <c r="O229" s="239" t="s">
        <v>109</v>
      </c>
      <c r="P229" s="239" t="s">
        <v>109</v>
      </c>
      <c r="T229" s="240">
        <v>-0.45500000000000002</v>
      </c>
      <c r="U229" s="240">
        <v>5</v>
      </c>
      <c r="V229" s="241">
        <v>55</v>
      </c>
      <c r="W229" s="241">
        <v>0</v>
      </c>
      <c r="X229" s="241">
        <v>108</v>
      </c>
      <c r="Y229" s="236" t="s">
        <v>1059</v>
      </c>
    </row>
    <row r="230" spans="1:26" s="236" customFormat="1" hidden="1" x14ac:dyDescent="0.3">
      <c r="A230" s="236">
        <v>2035</v>
      </c>
      <c r="B230" s="236" t="s">
        <v>998</v>
      </c>
      <c r="C230" s="236" t="s">
        <v>923</v>
      </c>
      <c r="D230" s="236" t="s">
        <v>621</v>
      </c>
      <c r="E230" s="236" t="s">
        <v>1103</v>
      </c>
      <c r="F230" s="236" t="s">
        <v>999</v>
      </c>
      <c r="G230" s="236" t="s">
        <v>995</v>
      </c>
      <c r="H230" s="236" t="s">
        <v>996</v>
      </c>
      <c r="I230" s="236" t="s">
        <v>1022</v>
      </c>
      <c r="K230" s="236" t="s">
        <v>1002</v>
      </c>
      <c r="L230" s="237" t="s">
        <v>16</v>
      </c>
      <c r="M230" s="238" t="s">
        <v>1004</v>
      </c>
      <c r="N230" s="236">
        <v>15.66</v>
      </c>
      <c r="O230" s="239" t="s">
        <v>109</v>
      </c>
      <c r="P230" s="239" t="s">
        <v>109</v>
      </c>
      <c r="T230" s="240">
        <v>-0.45500000000000002</v>
      </c>
      <c r="U230" s="240">
        <v>5</v>
      </c>
      <c r="V230" s="241">
        <v>55</v>
      </c>
      <c r="W230" s="241">
        <v>0</v>
      </c>
      <c r="X230" s="241">
        <v>108</v>
      </c>
      <c r="Y230" s="236" t="s">
        <v>999</v>
      </c>
    </row>
    <row r="231" spans="1:26" s="236" customFormat="1" hidden="1" x14ac:dyDescent="0.3">
      <c r="A231" s="236">
        <v>2035</v>
      </c>
      <c r="B231" s="236" t="s">
        <v>1000</v>
      </c>
      <c r="C231" s="236" t="s">
        <v>923</v>
      </c>
      <c r="D231" s="236" t="s">
        <v>621</v>
      </c>
      <c r="E231" s="236" t="s">
        <v>1103</v>
      </c>
      <c r="F231" s="236" t="s">
        <v>1001</v>
      </c>
      <c r="G231" s="236" t="s">
        <v>995</v>
      </c>
      <c r="H231" s="236" t="s">
        <v>996</v>
      </c>
      <c r="I231" s="236" t="s">
        <v>1022</v>
      </c>
      <c r="K231" s="236" t="s">
        <v>1003</v>
      </c>
      <c r="L231" s="237" t="s">
        <v>129</v>
      </c>
      <c r="M231" s="238" t="s">
        <v>1005</v>
      </c>
      <c r="N231" s="236">
        <v>15.66</v>
      </c>
      <c r="O231" s="239" t="s">
        <v>109</v>
      </c>
      <c r="P231" s="239" t="s">
        <v>109</v>
      </c>
      <c r="T231" s="240">
        <v>-0.45500000000000002</v>
      </c>
      <c r="U231" s="240">
        <v>5</v>
      </c>
      <c r="V231" s="241">
        <v>55</v>
      </c>
      <c r="W231" s="241">
        <v>0</v>
      </c>
      <c r="X231" s="241">
        <v>108</v>
      </c>
      <c r="Y231" s="236" t="s">
        <v>1001</v>
      </c>
    </row>
    <row r="232" spans="1:26" s="236" customFormat="1" hidden="1" x14ac:dyDescent="0.3">
      <c r="A232" s="236">
        <v>2035</v>
      </c>
      <c r="B232" s="236" t="s">
        <v>1006</v>
      </c>
      <c r="C232" s="236" t="s">
        <v>923</v>
      </c>
      <c r="D232" s="236" t="s">
        <v>621</v>
      </c>
      <c r="E232" s="236" t="s">
        <v>1103</v>
      </c>
      <c r="F232" s="236" t="s">
        <v>1010</v>
      </c>
      <c r="G232" s="236" t="s">
        <v>995</v>
      </c>
      <c r="H232" s="236" t="s">
        <v>996</v>
      </c>
      <c r="I232" s="236" t="s">
        <v>1022</v>
      </c>
      <c r="K232" s="236" t="s">
        <v>1017</v>
      </c>
      <c r="L232" s="237" t="s">
        <v>16</v>
      </c>
      <c r="M232" s="238" t="s">
        <v>1018</v>
      </c>
      <c r="N232" s="236">
        <v>15.66</v>
      </c>
      <c r="O232" s="239" t="s">
        <v>109</v>
      </c>
      <c r="P232" s="239" t="s">
        <v>109</v>
      </c>
      <c r="T232" s="240">
        <v>-0.45500000000000002</v>
      </c>
      <c r="U232" s="240">
        <v>5</v>
      </c>
      <c r="V232" s="241">
        <v>55</v>
      </c>
      <c r="W232" s="241">
        <v>0</v>
      </c>
      <c r="X232" s="241">
        <v>108</v>
      </c>
      <c r="Y232" s="236" t="s">
        <v>1010</v>
      </c>
    </row>
    <row r="233" spans="1:26" s="236" customFormat="1" hidden="1" x14ac:dyDescent="0.3">
      <c r="A233" s="236">
        <v>2035</v>
      </c>
      <c r="B233" s="236" t="s">
        <v>1007</v>
      </c>
      <c r="C233" s="236" t="s">
        <v>923</v>
      </c>
      <c r="D233" s="236" t="s">
        <v>621</v>
      </c>
      <c r="E233" s="236" t="s">
        <v>1103</v>
      </c>
      <c r="F233" s="236" t="s">
        <v>1011</v>
      </c>
      <c r="G233" s="236" t="s">
        <v>995</v>
      </c>
      <c r="H233" s="236" t="s">
        <v>996</v>
      </c>
      <c r="I233" s="236" t="s">
        <v>1022</v>
      </c>
      <c r="K233" s="236" t="s">
        <v>1016</v>
      </c>
      <c r="L233" s="237" t="s">
        <v>129</v>
      </c>
      <c r="M233" s="238" t="s">
        <v>1019</v>
      </c>
      <c r="N233" s="236">
        <v>15.66</v>
      </c>
      <c r="O233" s="239" t="s">
        <v>109</v>
      </c>
      <c r="P233" s="239" t="s">
        <v>109</v>
      </c>
      <c r="T233" s="240">
        <v>-0.45500000000000002</v>
      </c>
      <c r="U233" s="240">
        <v>5</v>
      </c>
      <c r="V233" s="241">
        <v>55</v>
      </c>
      <c r="W233" s="241">
        <v>0</v>
      </c>
      <c r="X233" s="241">
        <v>108</v>
      </c>
      <c r="Y233" s="236" t="s">
        <v>1011</v>
      </c>
    </row>
    <row r="234" spans="1:26" s="236" customFormat="1" hidden="1" x14ac:dyDescent="0.3">
      <c r="A234" s="236">
        <v>2035</v>
      </c>
      <c r="B234" s="236" t="s">
        <v>1008</v>
      </c>
      <c r="C234" s="236" t="s">
        <v>923</v>
      </c>
      <c r="D234" s="236" t="s">
        <v>621</v>
      </c>
      <c r="E234" s="236" t="s">
        <v>1103</v>
      </c>
      <c r="F234" s="236" t="s">
        <v>1012</v>
      </c>
      <c r="G234" s="236" t="s">
        <v>995</v>
      </c>
      <c r="H234" s="236" t="s">
        <v>996</v>
      </c>
      <c r="I234" s="236" t="s">
        <v>1022</v>
      </c>
      <c r="K234" s="236" t="s">
        <v>1015</v>
      </c>
      <c r="L234" s="237" t="s">
        <v>42</v>
      </c>
      <c r="M234" s="238" t="s">
        <v>1020</v>
      </c>
      <c r="N234" s="236">
        <v>15.66</v>
      </c>
      <c r="O234" s="239" t="s">
        <v>109</v>
      </c>
      <c r="P234" s="239" t="s">
        <v>109</v>
      </c>
      <c r="T234" s="240">
        <v>-0.45500000000000002</v>
      </c>
      <c r="U234" s="240">
        <v>5</v>
      </c>
      <c r="V234" s="241">
        <v>55</v>
      </c>
      <c r="W234" s="241">
        <v>0</v>
      </c>
      <c r="X234" s="241">
        <v>108</v>
      </c>
      <c r="Y234" s="236" t="s">
        <v>1012</v>
      </c>
    </row>
    <row r="235" spans="1:26" s="236" customFormat="1" hidden="1" x14ac:dyDescent="0.3">
      <c r="A235" s="236">
        <v>2035</v>
      </c>
      <c r="B235" s="236" t="s">
        <v>1009</v>
      </c>
      <c r="C235" s="236" t="s">
        <v>923</v>
      </c>
      <c r="D235" s="236" t="s">
        <v>621</v>
      </c>
      <c r="E235" s="236" t="s">
        <v>1103</v>
      </c>
      <c r="F235" s="236" t="s">
        <v>1013</v>
      </c>
      <c r="G235" s="236" t="s">
        <v>995</v>
      </c>
      <c r="H235" s="236" t="s">
        <v>996</v>
      </c>
      <c r="I235" s="236" t="s">
        <v>1022</v>
      </c>
      <c r="K235" s="236" t="s">
        <v>1014</v>
      </c>
      <c r="L235" s="237" t="s">
        <v>43</v>
      </c>
      <c r="M235" s="238" t="s">
        <v>1021</v>
      </c>
      <c r="N235" s="236">
        <v>15.66</v>
      </c>
      <c r="O235" s="239" t="s">
        <v>109</v>
      </c>
      <c r="P235" s="239" t="s">
        <v>109</v>
      </c>
      <c r="T235" s="240">
        <v>-0.45500000000000002</v>
      </c>
      <c r="U235" s="240">
        <v>5</v>
      </c>
      <c r="V235" s="241">
        <v>55</v>
      </c>
      <c r="W235" s="241">
        <v>0</v>
      </c>
      <c r="X235" s="241">
        <v>108</v>
      </c>
      <c r="Y235" s="236" t="s">
        <v>1013</v>
      </c>
    </row>
    <row r="236" spans="1:26" s="236" customFormat="1" hidden="1" x14ac:dyDescent="0.3">
      <c r="A236" s="236">
        <v>2035</v>
      </c>
      <c r="B236" s="236" t="s">
        <v>1023</v>
      </c>
      <c r="C236" s="236" t="s">
        <v>923</v>
      </c>
      <c r="D236" s="236" t="s">
        <v>621</v>
      </c>
      <c r="E236" s="236" t="s">
        <v>1104</v>
      </c>
      <c r="F236" s="236" t="s">
        <v>1095</v>
      </c>
      <c r="G236" s="236" t="s">
        <v>995</v>
      </c>
      <c r="H236" s="236" t="s">
        <v>996</v>
      </c>
      <c r="I236" s="236" t="s">
        <v>1022</v>
      </c>
      <c r="K236" s="236" t="s">
        <v>1024</v>
      </c>
      <c r="L236" s="237" t="s">
        <v>43</v>
      </c>
      <c r="M236" s="238" t="s">
        <v>1025</v>
      </c>
      <c r="N236" s="236">
        <v>15.66</v>
      </c>
      <c r="O236" s="239" t="s">
        <v>109</v>
      </c>
      <c r="P236" s="239" t="s">
        <v>109</v>
      </c>
      <c r="T236" s="240">
        <v>-0.45500000000000002</v>
      </c>
      <c r="U236" s="240">
        <v>5</v>
      </c>
      <c r="V236" s="241">
        <v>55</v>
      </c>
      <c r="W236" s="241">
        <v>0</v>
      </c>
      <c r="X236" s="241">
        <v>108</v>
      </c>
      <c r="Y236" s="236" t="s">
        <v>1067</v>
      </c>
    </row>
    <row r="237" spans="1:26" s="236" customFormat="1" hidden="1" x14ac:dyDescent="0.3">
      <c r="A237" s="236">
        <v>2035</v>
      </c>
      <c r="B237" s="236" t="s">
        <v>1026</v>
      </c>
      <c r="C237" s="236" t="s">
        <v>923</v>
      </c>
      <c r="D237" s="236" t="s">
        <v>621</v>
      </c>
      <c r="E237" s="236" t="s">
        <v>1104</v>
      </c>
      <c r="F237" s="236" t="s">
        <v>1096</v>
      </c>
      <c r="G237" s="236" t="s">
        <v>995</v>
      </c>
      <c r="H237" s="236" t="s">
        <v>996</v>
      </c>
      <c r="I237" s="236" t="s">
        <v>1022</v>
      </c>
      <c r="K237" s="236" t="s">
        <v>1027</v>
      </c>
      <c r="L237" s="237" t="s">
        <v>16</v>
      </c>
      <c r="M237" s="238" t="s">
        <v>1028</v>
      </c>
      <c r="N237" s="236">
        <v>15.66</v>
      </c>
      <c r="O237" s="239" t="s">
        <v>109</v>
      </c>
      <c r="P237" s="239" t="s">
        <v>109</v>
      </c>
      <c r="T237" s="240">
        <v>-0.45500000000000002</v>
      </c>
      <c r="U237" s="240">
        <v>5</v>
      </c>
      <c r="V237" s="241">
        <v>55</v>
      </c>
      <c r="W237" s="241">
        <v>0</v>
      </c>
      <c r="X237" s="241">
        <v>108</v>
      </c>
      <c r="Y237" s="236" t="s">
        <v>1068</v>
      </c>
    </row>
    <row r="238" spans="1:26" s="236" customFormat="1" hidden="1" x14ac:dyDescent="0.3">
      <c r="A238" s="236">
        <v>2035</v>
      </c>
      <c r="B238" s="236" t="s">
        <v>1029</v>
      </c>
      <c r="C238" s="236" t="s">
        <v>923</v>
      </c>
      <c r="D238" s="236" t="s">
        <v>621</v>
      </c>
      <c r="E238" s="236" t="s">
        <v>1104</v>
      </c>
      <c r="F238" s="236" t="s">
        <v>1097</v>
      </c>
      <c r="G238" s="236" t="s">
        <v>995</v>
      </c>
      <c r="H238" s="236" t="s">
        <v>996</v>
      </c>
      <c r="I238" s="236" t="s">
        <v>1022</v>
      </c>
      <c r="K238" s="236" t="s">
        <v>1030</v>
      </c>
      <c r="L238" s="237" t="s">
        <v>129</v>
      </c>
      <c r="M238" s="238" t="s">
        <v>1031</v>
      </c>
      <c r="N238" s="236">
        <v>15.66</v>
      </c>
      <c r="O238" s="239" t="s">
        <v>109</v>
      </c>
      <c r="P238" s="239" t="s">
        <v>109</v>
      </c>
      <c r="T238" s="240">
        <v>-0.45500000000000002</v>
      </c>
      <c r="U238" s="240">
        <v>5</v>
      </c>
      <c r="V238" s="241">
        <v>55</v>
      </c>
      <c r="W238" s="241">
        <v>0</v>
      </c>
      <c r="X238" s="241">
        <v>108</v>
      </c>
      <c r="Y238" s="236" t="s">
        <v>1069</v>
      </c>
    </row>
    <row r="239" spans="1:26" s="236" customFormat="1" hidden="1" x14ac:dyDescent="0.3">
      <c r="A239" s="236">
        <v>2035</v>
      </c>
      <c r="B239" s="236" t="s">
        <v>1032</v>
      </c>
      <c r="C239" s="236" t="s">
        <v>923</v>
      </c>
      <c r="D239" s="236" t="s">
        <v>621</v>
      </c>
      <c r="E239" s="236" t="s">
        <v>1104</v>
      </c>
      <c r="F239" s="236" t="s">
        <v>1098</v>
      </c>
      <c r="G239" s="236" t="s">
        <v>995</v>
      </c>
      <c r="H239" s="236" t="s">
        <v>996</v>
      </c>
      <c r="I239" s="236" t="s">
        <v>1022</v>
      </c>
      <c r="K239" s="236" t="s">
        <v>1033</v>
      </c>
      <c r="L239" s="237" t="s">
        <v>42</v>
      </c>
      <c r="M239" s="238" t="s">
        <v>1034</v>
      </c>
      <c r="N239" s="236">
        <v>15.66</v>
      </c>
      <c r="O239" s="239" t="s">
        <v>109</v>
      </c>
      <c r="P239" s="239" t="s">
        <v>109</v>
      </c>
      <c r="T239" s="240">
        <v>-0.45500000000000002</v>
      </c>
      <c r="U239" s="240">
        <v>5</v>
      </c>
      <c r="V239" s="241">
        <v>55</v>
      </c>
      <c r="W239" s="241">
        <v>0</v>
      </c>
      <c r="X239" s="241">
        <v>108</v>
      </c>
      <c r="Y239" s="236" t="s">
        <v>1070</v>
      </c>
    </row>
    <row r="240" spans="1:26" s="236" customFormat="1" hidden="1" x14ac:dyDescent="0.3">
      <c r="A240" s="236">
        <v>2035</v>
      </c>
      <c r="B240" s="236" t="s">
        <v>1062</v>
      </c>
      <c r="C240" s="236" t="s">
        <v>923</v>
      </c>
      <c r="D240" s="236" t="s">
        <v>621</v>
      </c>
      <c r="E240" s="236" t="s">
        <v>1105</v>
      </c>
      <c r="F240" s="236" t="s">
        <v>1099</v>
      </c>
      <c r="G240" s="236" t="s">
        <v>1063</v>
      </c>
      <c r="H240" s="236" t="s">
        <v>1064</v>
      </c>
      <c r="I240" s="236" t="s">
        <v>1022</v>
      </c>
      <c r="K240" s="236" t="s">
        <v>1024</v>
      </c>
      <c r="L240" s="237" t="s">
        <v>42</v>
      </c>
      <c r="M240" s="238" t="s">
        <v>1065</v>
      </c>
      <c r="N240" s="236">
        <v>15.66</v>
      </c>
      <c r="O240" s="239" t="s">
        <v>109</v>
      </c>
      <c r="P240" s="239" t="s">
        <v>109</v>
      </c>
      <c r="T240" s="240">
        <v>-0.45500000000000002</v>
      </c>
      <c r="U240" s="240">
        <v>5</v>
      </c>
      <c r="V240" s="241">
        <v>55</v>
      </c>
      <c r="W240" s="241">
        <v>0</v>
      </c>
      <c r="X240" s="241">
        <v>108</v>
      </c>
      <c r="Y240" s="236" t="s">
        <v>1071</v>
      </c>
    </row>
    <row r="241" spans="1:26" s="236" customFormat="1" hidden="1" x14ac:dyDescent="0.3">
      <c r="A241" s="236">
        <v>2035</v>
      </c>
      <c r="B241" s="236" t="s">
        <v>1078</v>
      </c>
      <c r="C241" s="236" t="s">
        <v>923</v>
      </c>
      <c r="D241" s="236" t="s">
        <v>621</v>
      </c>
      <c r="E241" s="236" t="s">
        <v>1105</v>
      </c>
      <c r="F241" s="236" t="s">
        <v>1100</v>
      </c>
      <c r="G241" s="236" t="s">
        <v>1083</v>
      </c>
      <c r="H241" s="236" t="s">
        <v>1082</v>
      </c>
      <c r="I241" s="236" t="s">
        <v>1022</v>
      </c>
      <c r="K241" s="236" t="s">
        <v>1027</v>
      </c>
      <c r="L241" s="237" t="s">
        <v>129</v>
      </c>
      <c r="M241" s="238" t="s">
        <v>1081</v>
      </c>
      <c r="N241" s="236">
        <v>15.66</v>
      </c>
      <c r="O241" s="239" t="s">
        <v>109</v>
      </c>
      <c r="P241" s="239" t="s">
        <v>109</v>
      </c>
      <c r="T241" s="240">
        <v>-0.45500000000000002</v>
      </c>
      <c r="U241" s="240">
        <v>5</v>
      </c>
      <c r="V241" s="241">
        <v>55</v>
      </c>
      <c r="W241" s="241">
        <v>0</v>
      </c>
      <c r="X241" s="241">
        <v>108</v>
      </c>
      <c r="Y241" s="236" t="s">
        <v>1084</v>
      </c>
    </row>
    <row r="242" spans="1:26" s="236" customFormat="1" hidden="1" x14ac:dyDescent="0.3">
      <c r="A242" s="236">
        <v>2035</v>
      </c>
      <c r="B242" s="236" t="s">
        <v>1079</v>
      </c>
      <c r="C242" s="236" t="s">
        <v>923</v>
      </c>
      <c r="D242" s="236" t="s">
        <v>621</v>
      </c>
      <c r="E242" s="236" t="s">
        <v>1105</v>
      </c>
      <c r="F242" s="236" t="s">
        <v>1101</v>
      </c>
      <c r="G242" s="236" t="s">
        <v>1089</v>
      </c>
      <c r="H242" s="236" t="s">
        <v>1088</v>
      </c>
      <c r="I242" s="236" t="s">
        <v>1022</v>
      </c>
      <c r="K242" s="236" t="s">
        <v>1030</v>
      </c>
      <c r="L242" s="237" t="s">
        <v>110</v>
      </c>
      <c r="M242" s="238" t="s">
        <v>1087</v>
      </c>
      <c r="N242" s="236">
        <v>15.66</v>
      </c>
      <c r="O242" s="239" t="s">
        <v>109</v>
      </c>
      <c r="P242" s="239" t="s">
        <v>109</v>
      </c>
      <c r="T242" s="240">
        <v>-0.45500000000000002</v>
      </c>
      <c r="U242" s="240">
        <v>5</v>
      </c>
      <c r="V242" s="241">
        <v>55</v>
      </c>
      <c r="W242" s="241">
        <v>0</v>
      </c>
      <c r="X242" s="241">
        <v>108</v>
      </c>
      <c r="Y242" s="236" t="s">
        <v>1085</v>
      </c>
    </row>
    <row r="243" spans="1:26" s="236" customFormat="1" hidden="1" x14ac:dyDescent="0.3">
      <c r="A243" s="236">
        <v>2035</v>
      </c>
      <c r="B243" s="236" t="s">
        <v>1080</v>
      </c>
      <c r="C243" s="236" t="s">
        <v>923</v>
      </c>
      <c r="D243" s="236" t="s">
        <v>621</v>
      </c>
      <c r="E243" s="236" t="s">
        <v>1105</v>
      </c>
      <c r="F243" s="236" t="s">
        <v>1102</v>
      </c>
      <c r="G243" s="236" t="s">
        <v>1090</v>
      </c>
      <c r="H243" s="236" t="s">
        <v>1092</v>
      </c>
      <c r="I243" s="236" t="s">
        <v>1022</v>
      </c>
      <c r="K243" s="236" t="s">
        <v>1033</v>
      </c>
      <c r="L243" s="237" t="s">
        <v>16</v>
      </c>
      <c r="M243" s="238" t="s">
        <v>1091</v>
      </c>
      <c r="N243" s="236">
        <v>15.66</v>
      </c>
      <c r="O243" s="239" t="s">
        <v>109</v>
      </c>
      <c r="P243" s="239" t="s">
        <v>109</v>
      </c>
      <c r="T243" s="240">
        <v>-0.45500000000000002</v>
      </c>
      <c r="U243" s="240">
        <v>5</v>
      </c>
      <c r="V243" s="241">
        <v>55</v>
      </c>
      <c r="W243" s="241">
        <v>0</v>
      </c>
      <c r="X243" s="241">
        <v>108</v>
      </c>
      <c r="Y243" s="236" t="s">
        <v>1086</v>
      </c>
    </row>
    <row r="244" spans="1:26" s="242" customFormat="1" hidden="1" x14ac:dyDescent="0.3">
      <c r="A244" s="242">
        <v>2035</v>
      </c>
      <c r="B244" s="242" t="s">
        <v>1050</v>
      </c>
      <c r="C244" s="242" t="s">
        <v>1055</v>
      </c>
      <c r="D244" s="242" t="s">
        <v>621</v>
      </c>
      <c r="F244" s="242" t="s">
        <v>1051</v>
      </c>
      <c r="G244" s="242" t="s">
        <v>1052</v>
      </c>
      <c r="H244" s="242" t="s">
        <v>849</v>
      </c>
      <c r="I244" s="242" t="s">
        <v>1053</v>
      </c>
      <c r="J244" s="242" t="s">
        <v>621</v>
      </c>
      <c r="K244" s="242" t="s">
        <v>863</v>
      </c>
      <c r="L244" s="243" t="s">
        <v>16</v>
      </c>
      <c r="M244" s="244" t="s">
        <v>1056</v>
      </c>
      <c r="N244" s="242">
        <v>15.66</v>
      </c>
      <c r="O244" s="245" t="s">
        <v>109</v>
      </c>
      <c r="P244" s="245" t="s">
        <v>109</v>
      </c>
      <c r="T244" s="246">
        <v>-0.45500000000000002</v>
      </c>
      <c r="U244" s="246">
        <v>5</v>
      </c>
      <c r="V244" s="247">
        <v>0</v>
      </c>
      <c r="W244" s="247">
        <v>0</v>
      </c>
      <c r="X244" s="247">
        <v>85</v>
      </c>
      <c r="Y244" s="242" t="s">
        <v>1054</v>
      </c>
    </row>
    <row r="245" spans="1:26" s="248" customFormat="1" hidden="1" x14ac:dyDescent="0.3">
      <c r="A245" s="248">
        <v>2035</v>
      </c>
      <c r="B245" s="248" t="s">
        <v>1072</v>
      </c>
      <c r="C245" s="248" t="s">
        <v>923</v>
      </c>
      <c r="D245" s="248" t="s">
        <v>621</v>
      </c>
      <c r="E245" s="248" t="s">
        <v>1076</v>
      </c>
      <c r="F245" s="248" t="s">
        <v>1077</v>
      </c>
      <c r="G245" s="248" t="s">
        <v>1073</v>
      </c>
      <c r="H245" s="248" t="s">
        <v>1074</v>
      </c>
      <c r="I245" s="248" t="s">
        <v>917</v>
      </c>
      <c r="K245" s="248" t="s">
        <v>863</v>
      </c>
      <c r="L245" s="249" t="s">
        <v>110</v>
      </c>
      <c r="M245" s="250" t="s">
        <v>1075</v>
      </c>
      <c r="N245" s="248">
        <v>15.66</v>
      </c>
      <c r="O245" s="251" t="s">
        <v>109</v>
      </c>
      <c r="P245" s="251" t="s">
        <v>109</v>
      </c>
      <c r="T245" s="252">
        <v>-0.45500000000000002</v>
      </c>
      <c r="U245" s="252">
        <v>5</v>
      </c>
      <c r="V245" s="253">
        <v>0</v>
      </c>
      <c r="W245" s="253">
        <v>0</v>
      </c>
      <c r="X245" s="253">
        <v>85</v>
      </c>
      <c r="Y245" s="248" t="s">
        <v>1076</v>
      </c>
    </row>
    <row r="246" spans="1:26" s="248" customFormat="1" hidden="1" x14ac:dyDescent="0.3">
      <c r="A246" s="248">
        <v>2035</v>
      </c>
      <c r="B246" s="248" t="s">
        <v>1117</v>
      </c>
      <c r="C246" s="248" t="s">
        <v>1118</v>
      </c>
      <c r="D246" s="248" t="s">
        <v>621</v>
      </c>
      <c r="F246" s="248" t="s">
        <v>1119</v>
      </c>
      <c r="H246" s="248" t="s">
        <v>849</v>
      </c>
      <c r="I246" s="248" t="s">
        <v>1120</v>
      </c>
      <c r="J246" s="248" t="s">
        <v>621</v>
      </c>
      <c r="K246" s="248" t="s">
        <v>1121</v>
      </c>
      <c r="L246" s="249" t="s">
        <v>16</v>
      </c>
      <c r="M246" s="250" t="s">
        <v>1122</v>
      </c>
      <c r="N246" s="248">
        <v>15.66</v>
      </c>
      <c r="O246" s="251" t="s">
        <v>109</v>
      </c>
      <c r="P246" s="251" t="s">
        <v>109</v>
      </c>
      <c r="T246" s="252">
        <v>-0.45500000000000002</v>
      </c>
      <c r="U246" s="252">
        <v>5</v>
      </c>
      <c r="V246" s="253">
        <v>0</v>
      </c>
      <c r="W246" s="253">
        <v>0</v>
      </c>
      <c r="X246" s="253">
        <v>85</v>
      </c>
      <c r="Y246" s="248" t="s">
        <v>1123</v>
      </c>
    </row>
    <row r="247" spans="1:26" s="103" customFormat="1" hidden="1" x14ac:dyDescent="0.3">
      <c r="A247" s="103">
        <v>2040</v>
      </c>
      <c r="B247" s="103" t="s">
        <v>613</v>
      </c>
      <c r="C247" s="20" t="s">
        <v>113</v>
      </c>
      <c r="D247" s="20" t="s">
        <v>244</v>
      </c>
      <c r="F247" s="20" t="s">
        <v>463</v>
      </c>
      <c r="L247" s="104"/>
      <c r="M247" s="20"/>
      <c r="O247" s="105"/>
      <c r="P247" s="105"/>
      <c r="V247" s="106"/>
      <c r="W247" s="106"/>
      <c r="X247" s="106"/>
    </row>
    <row r="248" spans="1:26" s="113" customFormat="1" hidden="1" x14ac:dyDescent="0.3">
      <c r="A248" s="113">
        <v>2040</v>
      </c>
      <c r="B248" s="113" t="s">
        <v>610</v>
      </c>
      <c r="C248" s="113" t="s">
        <v>113</v>
      </c>
      <c r="D248" s="113" t="s">
        <v>244</v>
      </c>
      <c r="F248" s="25" t="s">
        <v>114</v>
      </c>
      <c r="L248" s="114"/>
      <c r="M248" s="25"/>
      <c r="O248" s="115"/>
      <c r="P248" s="115"/>
      <c r="V248" s="116"/>
      <c r="W248" s="116"/>
      <c r="X248" s="116"/>
    </row>
    <row r="249" spans="1:26" s="176" customFormat="1" x14ac:dyDescent="0.3">
      <c r="A249" s="176">
        <v>2040</v>
      </c>
      <c r="B249" s="176" t="s">
        <v>910</v>
      </c>
      <c r="C249" s="176" t="s">
        <v>338</v>
      </c>
      <c r="D249" s="176" t="s">
        <v>621</v>
      </c>
      <c r="F249" s="176" t="s">
        <v>911</v>
      </c>
      <c r="G249" s="176" t="s">
        <v>912</v>
      </c>
      <c r="H249" s="176" t="s">
        <v>906</v>
      </c>
      <c r="I249" s="72" t="s">
        <v>11</v>
      </c>
      <c r="J249" s="176" t="s">
        <v>621</v>
      </c>
      <c r="K249" s="176" t="s">
        <v>913</v>
      </c>
      <c r="L249" s="177" t="s">
        <v>43</v>
      </c>
      <c r="M249" s="176" t="s">
        <v>914</v>
      </c>
      <c r="N249" s="182">
        <v>15.7</v>
      </c>
      <c r="O249" s="178" t="s">
        <v>109</v>
      </c>
      <c r="P249" s="178" t="s">
        <v>109</v>
      </c>
      <c r="T249" s="180">
        <v>-0.45500000000000002</v>
      </c>
      <c r="U249" s="180">
        <v>5</v>
      </c>
      <c r="V249" s="179">
        <v>0</v>
      </c>
      <c r="W249" s="179">
        <v>0</v>
      </c>
      <c r="X249" s="179">
        <v>85</v>
      </c>
      <c r="Y249" s="176" t="s">
        <v>915</v>
      </c>
      <c r="Z249" s="176" t="s">
        <v>915</v>
      </c>
    </row>
    <row r="250" spans="1:26" s="77" customFormat="1" hidden="1" x14ac:dyDescent="0.3">
      <c r="A250" s="77">
        <v>2050</v>
      </c>
      <c r="B250" s="77" t="s">
        <v>467</v>
      </c>
      <c r="C250" s="77" t="s">
        <v>113</v>
      </c>
      <c r="D250" s="77" t="s">
        <v>244</v>
      </c>
      <c r="F250" s="77" t="s">
        <v>463</v>
      </c>
      <c r="G250" s="77" t="s">
        <v>464</v>
      </c>
      <c r="H250" s="78" t="s">
        <v>465</v>
      </c>
      <c r="I250" s="72" t="s">
        <v>11</v>
      </c>
      <c r="K250" s="77" t="s">
        <v>468</v>
      </c>
      <c r="L250" s="78" t="s">
        <v>110</v>
      </c>
      <c r="M250" s="77" t="s">
        <v>109</v>
      </c>
      <c r="N250" s="77">
        <v>17.440000000000001</v>
      </c>
      <c r="O250" s="79">
        <v>-0.33</v>
      </c>
      <c r="P250" s="79">
        <v>0</v>
      </c>
      <c r="Q250" s="79" t="s">
        <v>109</v>
      </c>
      <c r="R250" s="79" t="s">
        <v>109</v>
      </c>
      <c r="S250" s="79"/>
      <c r="T250" s="79"/>
      <c r="U250" s="79"/>
      <c r="V250" s="80" t="s">
        <v>109</v>
      </c>
      <c r="W250" s="80" t="s">
        <v>109</v>
      </c>
      <c r="X250" s="80" t="s">
        <v>109</v>
      </c>
    </row>
    <row r="251" spans="1:26" s="23" customFormat="1" hidden="1" x14ac:dyDescent="0.3">
      <c r="A251" s="23">
        <v>2050</v>
      </c>
      <c r="B251" s="23" t="s">
        <v>127</v>
      </c>
      <c r="C251" s="23" t="s">
        <v>113</v>
      </c>
      <c r="D251" s="23" t="s">
        <v>244</v>
      </c>
      <c r="F251" s="23" t="s">
        <v>114</v>
      </c>
      <c r="G251" s="23" t="s">
        <v>117</v>
      </c>
      <c r="H251" s="24" t="s">
        <v>116</v>
      </c>
      <c r="I251" s="72" t="s">
        <v>11</v>
      </c>
      <c r="K251" s="23" t="s">
        <v>128</v>
      </c>
      <c r="L251" s="24" t="s">
        <v>129</v>
      </c>
      <c r="M251" s="23" t="s">
        <v>109</v>
      </c>
      <c r="N251" s="23">
        <v>17.440000000000001</v>
      </c>
      <c r="O251" s="45">
        <v>-0.33</v>
      </c>
      <c r="P251" s="45">
        <v>0</v>
      </c>
      <c r="Q251" s="45" t="s">
        <v>109</v>
      </c>
      <c r="R251" s="45" t="s">
        <v>109</v>
      </c>
      <c r="S251" s="45"/>
      <c r="T251" s="45"/>
      <c r="U251" s="45"/>
      <c r="V251" s="70" t="s">
        <v>109</v>
      </c>
      <c r="W251" s="70" t="s">
        <v>109</v>
      </c>
      <c r="X251" s="70" t="s">
        <v>109</v>
      </c>
    </row>
    <row r="252" spans="1:26" s="51" customFormat="1" hidden="1" x14ac:dyDescent="0.3">
      <c r="A252" s="51">
        <v>2050</v>
      </c>
      <c r="B252" s="51" t="s">
        <v>351</v>
      </c>
      <c r="C252" s="51" t="s">
        <v>338</v>
      </c>
      <c r="D252" s="51" t="s">
        <v>339</v>
      </c>
      <c r="F252" s="51" t="s">
        <v>353</v>
      </c>
      <c r="G252" s="51" t="s">
        <v>342</v>
      </c>
      <c r="H252" s="142" t="s">
        <v>343</v>
      </c>
      <c r="K252" s="51" t="s">
        <v>344</v>
      </c>
      <c r="L252" s="50" t="s">
        <v>16</v>
      </c>
      <c r="M252" s="51" t="s">
        <v>356</v>
      </c>
      <c r="N252" s="51">
        <v>19.13</v>
      </c>
      <c r="O252" s="65" t="s">
        <v>109</v>
      </c>
      <c r="P252" s="65" t="s">
        <v>109</v>
      </c>
      <c r="Q252" s="51">
        <v>0.87</v>
      </c>
      <c r="R252" s="51">
        <v>0.78</v>
      </c>
      <c r="V252" s="54">
        <v>83.3</v>
      </c>
      <c r="W252" s="54">
        <v>0</v>
      </c>
      <c r="X252" s="54">
        <v>72</v>
      </c>
    </row>
    <row r="253" spans="1:26" s="51" customFormat="1" hidden="1" x14ac:dyDescent="0.3">
      <c r="A253" s="51">
        <v>2050</v>
      </c>
      <c r="B253" s="51" t="s">
        <v>377</v>
      </c>
      <c r="C253" s="51" t="s">
        <v>338</v>
      </c>
      <c r="D253" s="51" t="s">
        <v>339</v>
      </c>
      <c r="F253" s="51" t="s">
        <v>373</v>
      </c>
      <c r="G253" s="51" t="s">
        <v>342</v>
      </c>
      <c r="H253" s="142" t="s">
        <v>343</v>
      </c>
      <c r="K253" s="51" t="s">
        <v>344</v>
      </c>
      <c r="L253" s="50" t="s">
        <v>16</v>
      </c>
      <c r="M253" s="51" t="s">
        <v>378</v>
      </c>
      <c r="N253" s="51">
        <v>18.420000000000002</v>
      </c>
      <c r="O253" s="65" t="s">
        <v>109</v>
      </c>
      <c r="P253" s="65" t="s">
        <v>109</v>
      </c>
      <c r="Q253" s="51">
        <v>0.87</v>
      </c>
      <c r="R253" s="51">
        <v>0.78</v>
      </c>
      <c r="V253" s="54">
        <v>83.3</v>
      </c>
      <c r="W253" s="54">
        <v>0</v>
      </c>
      <c r="X253" s="54">
        <v>72</v>
      </c>
    </row>
    <row r="254" spans="1:26" s="51" customFormat="1" hidden="1" x14ac:dyDescent="0.3">
      <c r="A254" s="51">
        <v>2050</v>
      </c>
      <c r="B254" s="51" t="s">
        <v>385</v>
      </c>
      <c r="C254" s="51" t="s">
        <v>338</v>
      </c>
      <c r="D254" s="51" t="s">
        <v>339</v>
      </c>
      <c r="F254" s="51" t="s">
        <v>383</v>
      </c>
      <c r="G254" s="51" t="s">
        <v>384</v>
      </c>
      <c r="H254" s="142" t="s">
        <v>389</v>
      </c>
      <c r="K254" s="51" t="s">
        <v>391</v>
      </c>
      <c r="L254" s="50" t="s">
        <v>16</v>
      </c>
      <c r="M254" s="51" t="s">
        <v>397</v>
      </c>
      <c r="N254" s="51">
        <v>18.420000000000002</v>
      </c>
      <c r="O254" s="65" t="s">
        <v>109</v>
      </c>
      <c r="P254" s="65" t="s">
        <v>109</v>
      </c>
      <c r="Q254" s="51">
        <v>0.87</v>
      </c>
      <c r="R254" s="51">
        <v>0.78</v>
      </c>
      <c r="V254" s="54">
        <v>83.3</v>
      </c>
      <c r="W254" s="54">
        <v>0</v>
      </c>
      <c r="X254" s="54">
        <v>72</v>
      </c>
    </row>
    <row r="255" spans="1:26" s="51" customFormat="1" hidden="1" x14ac:dyDescent="0.3">
      <c r="A255" s="51">
        <v>2050</v>
      </c>
      <c r="B255" s="51" t="s">
        <v>410</v>
      </c>
      <c r="C255" s="51" t="s">
        <v>338</v>
      </c>
      <c r="D255" s="51" t="s">
        <v>339</v>
      </c>
      <c r="F255" s="51" t="s">
        <v>383</v>
      </c>
      <c r="G255" s="51" t="s">
        <v>403</v>
      </c>
      <c r="H255" s="142" t="s">
        <v>402</v>
      </c>
      <c r="J255" s="51" t="s">
        <v>339</v>
      </c>
      <c r="K255" s="51" t="s">
        <v>400</v>
      </c>
      <c r="L255" s="50" t="s">
        <v>42</v>
      </c>
      <c r="M255" s="51" t="s">
        <v>414</v>
      </c>
      <c r="N255" s="51">
        <v>18.420000000000002</v>
      </c>
      <c r="O255" s="65" t="s">
        <v>109</v>
      </c>
      <c r="P255" s="65" t="s">
        <v>109</v>
      </c>
      <c r="Q255" s="51">
        <v>0.87</v>
      </c>
      <c r="R255" s="51">
        <v>0.78</v>
      </c>
      <c r="V255" s="54">
        <v>83.3</v>
      </c>
      <c r="W255" s="54">
        <v>0</v>
      </c>
      <c r="X255" s="54">
        <v>72</v>
      </c>
    </row>
    <row r="256" spans="1:26" s="51" customFormat="1" hidden="1" x14ac:dyDescent="0.3">
      <c r="A256" s="51">
        <v>2050</v>
      </c>
      <c r="B256" s="51" t="s">
        <v>426</v>
      </c>
      <c r="C256" s="51" t="s">
        <v>338</v>
      </c>
      <c r="D256" s="51" t="s">
        <v>339</v>
      </c>
      <c r="F256" s="51" t="s">
        <v>422</v>
      </c>
      <c r="G256" s="51" t="s">
        <v>424</v>
      </c>
      <c r="H256" s="142" t="s">
        <v>423</v>
      </c>
      <c r="J256" s="51" t="s">
        <v>339</v>
      </c>
      <c r="K256" s="51" t="s">
        <v>400</v>
      </c>
      <c r="L256" s="50" t="s">
        <v>42</v>
      </c>
      <c r="M256" s="51" t="s">
        <v>427</v>
      </c>
      <c r="N256" s="51">
        <v>18.420000000000002</v>
      </c>
      <c r="O256" s="65" t="s">
        <v>109</v>
      </c>
      <c r="P256" s="65" t="s">
        <v>109</v>
      </c>
      <c r="Q256" s="51">
        <v>0.87</v>
      </c>
      <c r="R256" s="51">
        <v>0.78</v>
      </c>
      <c r="V256" s="54">
        <v>83.3</v>
      </c>
      <c r="W256" s="54">
        <v>0</v>
      </c>
      <c r="X256" s="54">
        <v>72</v>
      </c>
    </row>
    <row r="257" spans="1:26" s="51" customFormat="1" hidden="1" x14ac:dyDescent="0.3">
      <c r="A257" s="51">
        <v>2050</v>
      </c>
      <c r="B257" s="51" t="s">
        <v>434</v>
      </c>
      <c r="C257" s="51" t="s">
        <v>338</v>
      </c>
      <c r="D257" s="51" t="s">
        <v>339</v>
      </c>
      <c r="F257" s="51" t="s">
        <v>443</v>
      </c>
      <c r="G257" s="51" t="s">
        <v>424</v>
      </c>
      <c r="H257" s="142" t="s">
        <v>423</v>
      </c>
      <c r="J257" s="51" t="s">
        <v>339</v>
      </c>
      <c r="K257" s="51" t="s">
        <v>400</v>
      </c>
      <c r="L257" s="50" t="s">
        <v>88</v>
      </c>
      <c r="M257" s="51" t="s">
        <v>435</v>
      </c>
      <c r="N257" s="51">
        <v>19.13</v>
      </c>
      <c r="O257" s="65" t="s">
        <v>109</v>
      </c>
      <c r="P257" s="65" t="s">
        <v>109</v>
      </c>
      <c r="Q257" s="51">
        <v>0.87</v>
      </c>
      <c r="R257" s="51">
        <v>0.78</v>
      </c>
      <c r="V257" s="54">
        <v>83.3</v>
      </c>
      <c r="W257" s="54">
        <v>0</v>
      </c>
      <c r="X257" s="54">
        <v>72</v>
      </c>
    </row>
    <row r="258" spans="1:26" s="51" customFormat="1" x14ac:dyDescent="0.3">
      <c r="A258" s="51">
        <v>2050</v>
      </c>
      <c r="B258" s="51" t="s">
        <v>452</v>
      </c>
      <c r="C258" s="51" t="s">
        <v>338</v>
      </c>
      <c r="D258" s="51" t="s">
        <v>339</v>
      </c>
      <c r="F258" s="51" t="s">
        <v>448</v>
      </c>
      <c r="G258" s="51" t="s">
        <v>449</v>
      </c>
      <c r="H258" s="142" t="s">
        <v>450</v>
      </c>
      <c r="I258" s="71" t="s">
        <v>11</v>
      </c>
      <c r="J258" s="51" t="s">
        <v>339</v>
      </c>
      <c r="K258" s="51" t="s">
        <v>400</v>
      </c>
      <c r="L258" s="50" t="s">
        <v>42</v>
      </c>
      <c r="M258" s="51" t="s">
        <v>453</v>
      </c>
      <c r="N258" s="51">
        <v>19.13</v>
      </c>
      <c r="O258" s="65" t="s">
        <v>109</v>
      </c>
      <c r="P258" s="65" t="s">
        <v>109</v>
      </c>
      <c r="Q258" s="51">
        <v>0.87</v>
      </c>
      <c r="R258" s="51">
        <v>0.78</v>
      </c>
      <c r="V258" s="54">
        <v>83.3</v>
      </c>
      <c r="W258" s="54">
        <v>0</v>
      </c>
      <c r="X258" s="54">
        <v>72</v>
      </c>
    </row>
    <row r="259" spans="1:26" s="86" customFormat="1" hidden="1" x14ac:dyDescent="0.3">
      <c r="A259" s="87">
        <v>2050</v>
      </c>
      <c r="B259" s="87" t="s">
        <v>472</v>
      </c>
      <c r="C259" s="87" t="s">
        <v>338</v>
      </c>
      <c r="D259" s="87" t="s">
        <v>339</v>
      </c>
      <c r="E259" s="87"/>
      <c r="F259" s="87" t="s">
        <v>470</v>
      </c>
      <c r="G259" s="87" t="s">
        <v>456</v>
      </c>
      <c r="H259" s="91" t="s">
        <v>457</v>
      </c>
      <c r="I259" s="87"/>
      <c r="J259" s="87"/>
      <c r="K259" s="87" t="s">
        <v>400</v>
      </c>
      <c r="L259" s="88" t="s">
        <v>42</v>
      </c>
      <c r="M259" s="91" t="s">
        <v>473</v>
      </c>
      <c r="N259" s="87">
        <v>19.13</v>
      </c>
      <c r="O259" s="89" t="s">
        <v>109</v>
      </c>
      <c r="P259" s="89" t="s">
        <v>109</v>
      </c>
      <c r="Q259" s="87">
        <v>0.87</v>
      </c>
      <c r="R259" s="87">
        <v>0.78</v>
      </c>
      <c r="S259" s="87"/>
      <c r="T259" s="87"/>
      <c r="U259" s="87"/>
      <c r="V259" s="90">
        <v>83.3</v>
      </c>
      <c r="W259" s="90">
        <v>0</v>
      </c>
      <c r="X259" s="90">
        <v>72</v>
      </c>
      <c r="Y259" s="87"/>
    </row>
    <row r="260" spans="1:26" s="86" customFormat="1" hidden="1" x14ac:dyDescent="0.3">
      <c r="A260" s="87">
        <v>2050</v>
      </c>
      <c r="B260" s="87" t="s">
        <v>481</v>
      </c>
      <c r="C260" s="87" t="s">
        <v>338</v>
      </c>
      <c r="D260" s="87" t="s">
        <v>339</v>
      </c>
      <c r="E260" s="87"/>
      <c r="F260" s="87" t="s">
        <v>475</v>
      </c>
      <c r="G260" s="87" t="s">
        <v>476</v>
      </c>
      <c r="H260" s="91" t="s">
        <v>477</v>
      </c>
      <c r="I260" s="87"/>
      <c r="J260" s="87" t="s">
        <v>339</v>
      </c>
      <c r="K260" s="87" t="s">
        <v>400</v>
      </c>
      <c r="L260" s="88" t="s">
        <v>42</v>
      </c>
      <c r="M260" s="91" t="s">
        <v>482</v>
      </c>
      <c r="N260" s="87">
        <v>19.13</v>
      </c>
      <c r="O260" s="89" t="s">
        <v>109</v>
      </c>
      <c r="P260" s="89" t="s">
        <v>109</v>
      </c>
      <c r="Q260" s="87">
        <v>0.87</v>
      </c>
      <c r="R260" s="87">
        <v>0.78</v>
      </c>
      <c r="S260" s="87"/>
      <c r="T260" s="87"/>
      <c r="U260" s="87"/>
      <c r="V260" s="90">
        <v>83.3</v>
      </c>
      <c r="W260" s="90">
        <v>0</v>
      </c>
      <c r="X260" s="90">
        <v>72</v>
      </c>
      <c r="Y260" s="87"/>
    </row>
    <row r="261" spans="1:26" s="138" customFormat="1" hidden="1" x14ac:dyDescent="0.3">
      <c r="A261" s="134">
        <v>2050</v>
      </c>
      <c r="B261" s="134" t="s">
        <v>690</v>
      </c>
      <c r="C261" s="134" t="s">
        <v>338</v>
      </c>
      <c r="D261" s="134" t="s">
        <v>621</v>
      </c>
      <c r="E261" s="134"/>
      <c r="F261" s="134" t="s">
        <v>353</v>
      </c>
      <c r="G261" s="134" t="s">
        <v>691</v>
      </c>
      <c r="H261" s="141"/>
      <c r="I261" s="134"/>
      <c r="J261" s="134"/>
      <c r="K261" s="134" t="s">
        <v>692</v>
      </c>
      <c r="L261" s="135" t="s">
        <v>43</v>
      </c>
      <c r="M261" s="141" t="s">
        <v>686</v>
      </c>
      <c r="N261" s="134">
        <v>19.13</v>
      </c>
      <c r="O261" s="136" t="s">
        <v>109</v>
      </c>
      <c r="P261" s="136" t="s">
        <v>109</v>
      </c>
      <c r="Q261" s="134"/>
      <c r="R261" s="134"/>
      <c r="S261" s="134"/>
      <c r="T261" s="134">
        <v>-0.45500000000000002</v>
      </c>
      <c r="U261" s="140">
        <v>5</v>
      </c>
      <c r="V261" s="137">
        <v>34</v>
      </c>
      <c r="W261" s="137">
        <v>0</v>
      </c>
      <c r="X261" s="137">
        <v>85</v>
      </c>
      <c r="Y261" s="134"/>
    </row>
    <row r="262" spans="1:26" s="138" customFormat="1" hidden="1" x14ac:dyDescent="0.3">
      <c r="A262" s="134">
        <v>2050</v>
      </c>
      <c r="B262" s="134" t="s">
        <v>748</v>
      </c>
      <c r="C262" s="134" t="s">
        <v>338</v>
      </c>
      <c r="D262" s="134" t="s">
        <v>621</v>
      </c>
      <c r="E262" s="134"/>
      <c r="F262" s="134" t="s">
        <v>743</v>
      </c>
      <c r="G262" s="134" t="s">
        <v>749</v>
      </c>
      <c r="H262" s="141" t="s">
        <v>745</v>
      </c>
      <c r="I262" s="134"/>
      <c r="J262" s="134"/>
      <c r="K262" s="134" t="s">
        <v>750</v>
      </c>
      <c r="L262" s="135" t="s">
        <v>43</v>
      </c>
      <c r="M262" s="141" t="s">
        <v>751</v>
      </c>
      <c r="N262" s="134">
        <v>19.13</v>
      </c>
      <c r="O262" s="136" t="s">
        <v>109</v>
      </c>
      <c r="P262" s="136" t="s">
        <v>109</v>
      </c>
      <c r="Q262" s="134"/>
      <c r="R262" s="134"/>
      <c r="S262" s="134"/>
      <c r="T262" s="134">
        <v>-0.45500000000000002</v>
      </c>
      <c r="U262" s="140">
        <v>5</v>
      </c>
      <c r="V262" s="137">
        <v>34</v>
      </c>
      <c r="W262" s="137">
        <v>0</v>
      </c>
      <c r="X262" s="137">
        <v>85</v>
      </c>
      <c r="Y262" s="134"/>
    </row>
    <row r="263" spans="1:26" s="138" customFormat="1" hidden="1" x14ac:dyDescent="0.3">
      <c r="A263" s="134">
        <v>2050</v>
      </c>
      <c r="B263" s="134" t="s">
        <v>825</v>
      </c>
      <c r="C263" s="134" t="s">
        <v>338</v>
      </c>
      <c r="D263" s="134" t="s">
        <v>621</v>
      </c>
      <c r="E263" s="134"/>
      <c r="F263" s="134" t="s">
        <v>838</v>
      </c>
      <c r="G263" s="134" t="s">
        <v>837</v>
      </c>
      <c r="H263" s="141" t="s">
        <v>818</v>
      </c>
      <c r="I263" s="134"/>
      <c r="J263" s="134"/>
      <c r="K263" s="134" t="s">
        <v>836</v>
      </c>
      <c r="L263" s="135" t="s">
        <v>108</v>
      </c>
      <c r="M263" s="141" t="s">
        <v>835</v>
      </c>
      <c r="N263" s="134">
        <v>19.13</v>
      </c>
      <c r="O263" s="136" t="s">
        <v>109</v>
      </c>
      <c r="P263" s="136" t="s">
        <v>109</v>
      </c>
      <c r="Q263" s="134"/>
      <c r="R263" s="134"/>
      <c r="S263" s="134"/>
      <c r="T263" s="134">
        <v>-0.45500000000000002</v>
      </c>
      <c r="U263" s="140">
        <v>5</v>
      </c>
      <c r="V263" s="137">
        <v>55</v>
      </c>
      <c r="W263" s="137">
        <v>0</v>
      </c>
      <c r="X263" s="137">
        <v>108</v>
      </c>
    </row>
    <row r="264" spans="1:26" s="138" customFormat="1" hidden="1" x14ac:dyDescent="0.3">
      <c r="A264" s="134">
        <v>2050</v>
      </c>
      <c r="B264" s="134" t="s">
        <v>826</v>
      </c>
      <c r="C264" s="134" t="s">
        <v>338</v>
      </c>
      <c r="D264" s="134" t="s">
        <v>621</v>
      </c>
      <c r="E264" s="134"/>
      <c r="F264" s="134" t="s">
        <v>830</v>
      </c>
      <c r="G264" s="134" t="s">
        <v>837</v>
      </c>
      <c r="H264" s="141" t="s">
        <v>818</v>
      </c>
      <c r="I264" s="134"/>
      <c r="J264" s="134"/>
      <c r="K264" s="134" t="s">
        <v>836</v>
      </c>
      <c r="L264" s="135" t="s">
        <v>108</v>
      </c>
      <c r="M264" s="141" t="s">
        <v>839</v>
      </c>
      <c r="N264" s="134">
        <v>16.47</v>
      </c>
      <c r="O264" s="136" t="s">
        <v>109</v>
      </c>
      <c r="P264" s="136" t="s">
        <v>109</v>
      </c>
      <c r="Q264" s="134"/>
      <c r="R264" s="134"/>
      <c r="S264" s="134"/>
      <c r="T264" s="134">
        <v>-0.45500000000000002</v>
      </c>
      <c r="U264" s="140">
        <v>5</v>
      </c>
      <c r="V264" s="137">
        <v>55</v>
      </c>
      <c r="W264" s="137">
        <v>0</v>
      </c>
      <c r="X264" s="137">
        <v>108</v>
      </c>
    </row>
    <row r="265" spans="1:26" s="138" customFormat="1" hidden="1" x14ac:dyDescent="0.3">
      <c r="A265" s="134">
        <v>2050</v>
      </c>
      <c r="B265" s="134" t="s">
        <v>852</v>
      </c>
      <c r="C265" s="134" t="s">
        <v>338</v>
      </c>
      <c r="D265" s="134" t="s">
        <v>621</v>
      </c>
      <c r="E265" s="134"/>
      <c r="F265" s="134" t="s">
        <v>841</v>
      </c>
      <c r="G265" s="134" t="s">
        <v>853</v>
      </c>
      <c r="H265" s="141" t="s">
        <v>843</v>
      </c>
      <c r="I265" s="134"/>
      <c r="J265" s="134"/>
      <c r="K265" s="134" t="s">
        <v>854</v>
      </c>
      <c r="L265" s="135" t="s">
        <v>108</v>
      </c>
      <c r="M265" s="141" t="s">
        <v>855</v>
      </c>
      <c r="N265" s="134">
        <v>16.47</v>
      </c>
      <c r="O265" s="136" t="s">
        <v>109</v>
      </c>
      <c r="P265" s="136" t="s">
        <v>109</v>
      </c>
      <c r="Q265" s="134"/>
      <c r="R265" s="134"/>
      <c r="S265" s="134"/>
      <c r="T265" s="134">
        <v>-0.45500000000000002</v>
      </c>
      <c r="U265" s="140">
        <v>5</v>
      </c>
      <c r="V265" s="137">
        <v>55</v>
      </c>
      <c r="W265" s="137">
        <v>0</v>
      </c>
      <c r="X265" s="137">
        <v>108</v>
      </c>
    </row>
    <row r="266" spans="1:26" s="138" customFormat="1" hidden="1" x14ac:dyDescent="0.3">
      <c r="A266" s="134">
        <v>2050</v>
      </c>
      <c r="B266" s="134" t="s">
        <v>871</v>
      </c>
      <c r="C266" s="134" t="s">
        <v>338</v>
      </c>
      <c r="D266" s="134" t="s">
        <v>621</v>
      </c>
      <c r="E266" s="134"/>
      <c r="F266" s="134" t="s">
        <v>862</v>
      </c>
      <c r="G266" s="134" t="s">
        <v>853</v>
      </c>
      <c r="H266" s="141" t="s">
        <v>843</v>
      </c>
      <c r="I266" s="134"/>
      <c r="J266" s="134"/>
      <c r="K266" s="134" t="s">
        <v>873</v>
      </c>
      <c r="L266" s="135" t="s">
        <v>42</v>
      </c>
      <c r="M266" s="141" t="s">
        <v>872</v>
      </c>
      <c r="N266" s="134">
        <v>16.47</v>
      </c>
      <c r="O266" s="136" t="s">
        <v>109</v>
      </c>
      <c r="P266" s="136" t="s">
        <v>109</v>
      </c>
      <c r="Q266" s="134"/>
      <c r="R266" s="134"/>
      <c r="S266" s="134"/>
      <c r="T266" s="134">
        <v>-0.45500000000000002</v>
      </c>
      <c r="U266" s="140">
        <v>5</v>
      </c>
      <c r="V266" s="137">
        <v>55</v>
      </c>
      <c r="W266" s="137">
        <v>0</v>
      </c>
      <c r="X266" s="137">
        <v>108</v>
      </c>
    </row>
    <row r="267" spans="1:26" s="138" customFormat="1" x14ac:dyDescent="0.3">
      <c r="A267" s="134">
        <v>2050</v>
      </c>
      <c r="B267" s="134" t="s">
        <v>882</v>
      </c>
      <c r="C267" s="134" t="s">
        <v>338</v>
      </c>
      <c r="D267" s="134" t="s">
        <v>621</v>
      </c>
      <c r="E267" s="134"/>
      <c r="F267" s="134" t="s">
        <v>883</v>
      </c>
      <c r="G267" s="134" t="s">
        <v>853</v>
      </c>
      <c r="H267" s="141" t="s">
        <v>843</v>
      </c>
      <c r="I267" s="72" t="s">
        <v>11</v>
      </c>
      <c r="J267" s="134"/>
      <c r="K267" s="134" t="s">
        <v>873</v>
      </c>
      <c r="L267" s="135" t="s">
        <v>43</v>
      </c>
      <c r="M267" s="141" t="s">
        <v>884</v>
      </c>
      <c r="N267" s="134">
        <v>16.47</v>
      </c>
      <c r="O267" s="136" t="s">
        <v>109</v>
      </c>
      <c r="P267" s="136" t="s">
        <v>109</v>
      </c>
      <c r="Q267" s="134"/>
      <c r="R267" s="134"/>
      <c r="S267" s="134"/>
      <c r="T267" s="134">
        <v>-0.45500000000000002</v>
      </c>
      <c r="U267" s="140">
        <v>5</v>
      </c>
      <c r="V267" s="137">
        <v>55</v>
      </c>
      <c r="W267" s="137">
        <v>0</v>
      </c>
      <c r="X267" s="137">
        <v>108</v>
      </c>
      <c r="Y267" s="134" t="s">
        <v>700</v>
      </c>
      <c r="Z267" s="134" t="s">
        <v>700</v>
      </c>
    </row>
    <row r="268" spans="1:26" s="66" customFormat="1" hidden="1" x14ac:dyDescent="0.3">
      <c r="A268" s="66">
        <v>2050</v>
      </c>
      <c r="B268" s="66" t="s">
        <v>352</v>
      </c>
      <c r="C268" s="66" t="s">
        <v>338</v>
      </c>
      <c r="D268" s="66" t="s">
        <v>339</v>
      </c>
      <c r="F268" s="66" t="s">
        <v>354</v>
      </c>
      <c r="G268" s="66" t="s">
        <v>347</v>
      </c>
      <c r="H268" s="67" t="s">
        <v>348</v>
      </c>
      <c r="K268" s="66" t="s">
        <v>355</v>
      </c>
      <c r="L268" s="67" t="s">
        <v>44</v>
      </c>
      <c r="M268" s="66" t="s">
        <v>357</v>
      </c>
      <c r="N268" s="66">
        <v>19.13</v>
      </c>
      <c r="O268" s="68" t="s">
        <v>109</v>
      </c>
      <c r="P268" s="68" t="s">
        <v>109</v>
      </c>
      <c r="Q268" s="66">
        <v>0.87</v>
      </c>
      <c r="R268" s="66">
        <v>0.78</v>
      </c>
      <c r="V268" s="69">
        <v>83.3</v>
      </c>
      <c r="W268" s="69">
        <v>0</v>
      </c>
      <c r="X268" s="69">
        <v>72</v>
      </c>
    </row>
    <row r="269" spans="1:26" s="66" customFormat="1" hidden="1" x14ac:dyDescent="0.3">
      <c r="A269" s="66">
        <v>2050</v>
      </c>
      <c r="B269" s="66" t="s">
        <v>379</v>
      </c>
      <c r="C269" s="66" t="s">
        <v>338</v>
      </c>
      <c r="D269" s="66" t="s">
        <v>339</v>
      </c>
      <c r="F269" s="66" t="s">
        <v>354</v>
      </c>
      <c r="G269" s="66" t="s">
        <v>347</v>
      </c>
      <c r="H269" s="67" t="s">
        <v>348</v>
      </c>
      <c r="K269" s="66" t="s">
        <v>355</v>
      </c>
      <c r="L269" s="67" t="s">
        <v>44</v>
      </c>
      <c r="M269" s="66" t="s">
        <v>357</v>
      </c>
      <c r="N269" s="66">
        <v>18.420000000000002</v>
      </c>
      <c r="O269" s="68" t="s">
        <v>109</v>
      </c>
      <c r="P269" s="68" t="s">
        <v>109</v>
      </c>
      <c r="Q269" s="66">
        <v>0.87</v>
      </c>
      <c r="R269" s="66">
        <v>0.78</v>
      </c>
      <c r="V269" s="69">
        <v>83.3</v>
      </c>
      <c r="W269" s="69">
        <v>0</v>
      </c>
      <c r="X269" s="69">
        <v>72</v>
      </c>
    </row>
    <row r="270" spans="1:26" s="66" customFormat="1" hidden="1" x14ac:dyDescent="0.3">
      <c r="A270" s="66">
        <v>2050</v>
      </c>
      <c r="B270" s="66" t="s">
        <v>386</v>
      </c>
      <c r="C270" s="66" t="s">
        <v>338</v>
      </c>
      <c r="D270" s="66" t="s">
        <v>339</v>
      </c>
      <c r="F270" s="66" t="s">
        <v>383</v>
      </c>
      <c r="G270" s="66" t="s">
        <v>388</v>
      </c>
      <c r="H270" s="67" t="s">
        <v>390</v>
      </c>
      <c r="K270" s="66" t="s">
        <v>392</v>
      </c>
      <c r="L270" s="67" t="s">
        <v>44</v>
      </c>
      <c r="M270" s="66" t="s">
        <v>395</v>
      </c>
      <c r="N270" s="66">
        <v>18.420000000000002</v>
      </c>
      <c r="O270" s="68" t="s">
        <v>109</v>
      </c>
      <c r="P270" s="68" t="s">
        <v>109</v>
      </c>
      <c r="Q270" s="66">
        <v>0.87</v>
      </c>
      <c r="R270" s="66">
        <v>0.78</v>
      </c>
      <c r="V270" s="69">
        <v>83.3</v>
      </c>
      <c r="W270" s="69">
        <v>0</v>
      </c>
      <c r="X270" s="69">
        <v>72</v>
      </c>
    </row>
    <row r="271" spans="1:26" s="66" customFormat="1" hidden="1" x14ac:dyDescent="0.3">
      <c r="A271" s="66">
        <v>2050</v>
      </c>
      <c r="B271" s="66" t="s">
        <v>411</v>
      </c>
      <c r="C271" s="66" t="s">
        <v>338</v>
      </c>
      <c r="D271" s="66" t="s">
        <v>339</v>
      </c>
      <c r="F271" s="66" t="s">
        <v>383</v>
      </c>
      <c r="G271" s="66" t="s">
        <v>406</v>
      </c>
      <c r="H271" s="67" t="s">
        <v>407</v>
      </c>
      <c r="J271" s="66" t="s">
        <v>339</v>
      </c>
      <c r="K271" s="66" t="s">
        <v>412</v>
      </c>
      <c r="L271" s="67" t="s">
        <v>42</v>
      </c>
      <c r="M271" s="66" t="s">
        <v>413</v>
      </c>
      <c r="N271" s="66">
        <v>18.420000000000002</v>
      </c>
      <c r="O271" s="68" t="s">
        <v>109</v>
      </c>
      <c r="P271" s="68" t="s">
        <v>109</v>
      </c>
      <c r="Q271" s="66">
        <v>0.87</v>
      </c>
      <c r="R271" s="66">
        <v>0.78</v>
      </c>
      <c r="V271" s="69">
        <v>83.3</v>
      </c>
      <c r="W271" s="69">
        <v>0</v>
      </c>
      <c r="X271" s="69">
        <v>72</v>
      </c>
    </row>
    <row r="272" spans="1:26" s="66" customFormat="1" hidden="1" x14ac:dyDescent="0.3">
      <c r="A272" s="66">
        <v>2050</v>
      </c>
      <c r="B272" s="66" t="s">
        <v>428</v>
      </c>
      <c r="C272" s="66" t="s">
        <v>338</v>
      </c>
      <c r="D272" s="66" t="s">
        <v>339</v>
      </c>
      <c r="F272" s="66" t="s">
        <v>422</v>
      </c>
      <c r="G272" s="66" t="s">
        <v>424</v>
      </c>
      <c r="H272" s="67" t="s">
        <v>423</v>
      </c>
      <c r="J272" s="66" t="s">
        <v>339</v>
      </c>
      <c r="K272" s="66" t="s">
        <v>412</v>
      </c>
      <c r="L272" s="67" t="s">
        <v>42</v>
      </c>
      <c r="M272" s="66" t="s">
        <v>429</v>
      </c>
      <c r="N272" s="66">
        <v>18.420000000000002</v>
      </c>
      <c r="O272" s="68" t="s">
        <v>109</v>
      </c>
      <c r="P272" s="68" t="s">
        <v>109</v>
      </c>
      <c r="Q272" s="66">
        <v>0.87</v>
      </c>
      <c r="R272" s="66">
        <v>0.78</v>
      </c>
      <c r="V272" s="69">
        <v>83.3</v>
      </c>
      <c r="W272" s="69">
        <v>0</v>
      </c>
      <c r="X272" s="69">
        <v>72</v>
      </c>
    </row>
    <row r="273" spans="1:26" s="66" customFormat="1" hidden="1" x14ac:dyDescent="0.3">
      <c r="A273" s="66">
        <v>2050</v>
      </c>
      <c r="B273" s="66" t="s">
        <v>444</v>
      </c>
      <c r="C273" s="66" t="s">
        <v>338</v>
      </c>
      <c r="D273" s="66" t="s">
        <v>339</v>
      </c>
      <c r="F273" s="66" t="s">
        <v>442</v>
      </c>
      <c r="G273" s="66" t="s">
        <v>441</v>
      </c>
      <c r="H273" s="67" t="s">
        <v>440</v>
      </c>
      <c r="J273" s="66" t="s">
        <v>339</v>
      </c>
      <c r="K273" s="66" t="s">
        <v>412</v>
      </c>
      <c r="L273" s="67" t="s">
        <v>42</v>
      </c>
      <c r="M273" s="66" t="s">
        <v>446</v>
      </c>
      <c r="N273" s="66">
        <v>18.420000000000002</v>
      </c>
      <c r="O273" s="68" t="s">
        <v>109</v>
      </c>
      <c r="P273" s="68" t="s">
        <v>109</v>
      </c>
      <c r="Q273" s="66">
        <v>0.87</v>
      </c>
      <c r="R273" s="66">
        <v>0.78</v>
      </c>
      <c r="V273" s="69">
        <v>83.3</v>
      </c>
      <c r="W273" s="69">
        <v>0</v>
      </c>
      <c r="X273" s="69">
        <v>72</v>
      </c>
    </row>
    <row r="274" spans="1:26" s="66" customFormat="1" hidden="1" x14ac:dyDescent="0.3">
      <c r="A274" s="66">
        <v>2050</v>
      </c>
      <c r="B274" s="66" t="s">
        <v>445</v>
      </c>
      <c r="C274" s="66" t="s">
        <v>338</v>
      </c>
      <c r="D274" s="66" t="s">
        <v>339</v>
      </c>
      <c r="F274" s="66" t="s">
        <v>443</v>
      </c>
      <c r="G274" s="66" t="s">
        <v>441</v>
      </c>
      <c r="H274" s="67" t="s">
        <v>440</v>
      </c>
      <c r="J274" s="66" t="s">
        <v>339</v>
      </c>
      <c r="K274" s="66" t="s">
        <v>412</v>
      </c>
      <c r="L274" s="67" t="s">
        <v>42</v>
      </c>
      <c r="M274" s="66" t="s">
        <v>436</v>
      </c>
      <c r="N274" s="66">
        <v>19.57</v>
      </c>
      <c r="O274" s="68" t="s">
        <v>109</v>
      </c>
      <c r="P274" s="68" t="s">
        <v>109</v>
      </c>
      <c r="Q274" s="66">
        <v>0.87</v>
      </c>
      <c r="R274" s="66">
        <v>0.78</v>
      </c>
      <c r="V274" s="69">
        <v>83.3</v>
      </c>
      <c r="W274" s="69">
        <v>0</v>
      </c>
      <c r="X274" s="69">
        <v>72</v>
      </c>
    </row>
    <row r="275" spans="1:26" s="66" customFormat="1" hidden="1" x14ac:dyDescent="0.3">
      <c r="A275" s="66">
        <v>2050</v>
      </c>
      <c r="B275" s="66" t="s">
        <v>459</v>
      </c>
      <c r="C275" s="66" t="s">
        <v>338</v>
      </c>
      <c r="D275" s="66" t="s">
        <v>339</v>
      </c>
      <c r="F275" s="66" t="s">
        <v>460</v>
      </c>
      <c r="G275" s="66" t="s">
        <v>456</v>
      </c>
      <c r="H275" s="67" t="s">
        <v>457</v>
      </c>
      <c r="J275" s="66" t="s">
        <v>339</v>
      </c>
      <c r="K275" s="66" t="s">
        <v>412</v>
      </c>
      <c r="L275" s="67" t="s">
        <v>110</v>
      </c>
      <c r="M275" s="66" t="s">
        <v>461</v>
      </c>
      <c r="N275" s="66">
        <v>19.57</v>
      </c>
      <c r="O275" s="68" t="s">
        <v>109</v>
      </c>
      <c r="P275" s="68" t="s">
        <v>109</v>
      </c>
      <c r="Q275" s="66">
        <v>0.87</v>
      </c>
      <c r="R275" s="66">
        <v>0.78</v>
      </c>
      <c r="V275" s="69">
        <v>83.3</v>
      </c>
      <c r="W275" s="69">
        <v>0</v>
      </c>
      <c r="X275" s="69">
        <v>72</v>
      </c>
    </row>
    <row r="276" spans="1:26" s="66" customFormat="1" x14ac:dyDescent="0.3">
      <c r="A276" s="66">
        <v>2050</v>
      </c>
      <c r="B276" s="66" t="s">
        <v>483</v>
      </c>
      <c r="C276" s="66" t="s">
        <v>338</v>
      </c>
      <c r="D276" s="66" t="s">
        <v>339</v>
      </c>
      <c r="F276" s="66" t="s">
        <v>475</v>
      </c>
      <c r="G276" s="66" t="s">
        <v>476</v>
      </c>
      <c r="H276" s="67" t="s">
        <v>477</v>
      </c>
      <c r="I276" s="71" t="s">
        <v>11</v>
      </c>
      <c r="J276" s="66" t="s">
        <v>339</v>
      </c>
      <c r="K276" s="66" t="s">
        <v>412</v>
      </c>
      <c r="L276" s="67" t="s">
        <v>110</v>
      </c>
      <c r="M276" s="66" t="s">
        <v>484</v>
      </c>
      <c r="N276" s="66">
        <v>19.57</v>
      </c>
      <c r="O276" s="68" t="s">
        <v>109</v>
      </c>
      <c r="P276" s="68" t="s">
        <v>109</v>
      </c>
      <c r="Q276" s="66">
        <v>0.87</v>
      </c>
      <c r="R276" s="66">
        <v>0.78</v>
      </c>
      <c r="V276" s="69">
        <v>83.3</v>
      </c>
      <c r="W276" s="69">
        <v>0</v>
      </c>
      <c r="X276" s="69">
        <v>72</v>
      </c>
      <c r="Y276" s="66" t="s">
        <v>673</v>
      </c>
      <c r="Z276" s="66" t="s">
        <v>673</v>
      </c>
    </row>
    <row r="277" spans="1:26" s="66" customFormat="1" hidden="1" x14ac:dyDescent="0.3">
      <c r="A277" s="66">
        <v>2050</v>
      </c>
      <c r="B277" s="66" t="s">
        <v>492</v>
      </c>
      <c r="C277" s="66" t="s">
        <v>338</v>
      </c>
      <c r="D277" s="66" t="s">
        <v>339</v>
      </c>
      <c r="F277" s="95" t="s">
        <v>488</v>
      </c>
      <c r="G277" s="66" t="s">
        <v>476</v>
      </c>
      <c r="H277" s="67" t="s">
        <v>477</v>
      </c>
      <c r="K277" s="66" t="s">
        <v>412</v>
      </c>
      <c r="L277" s="67" t="s">
        <v>110</v>
      </c>
      <c r="M277" s="66" t="s">
        <v>491</v>
      </c>
      <c r="N277" s="66">
        <v>19.57</v>
      </c>
      <c r="O277" s="68" t="s">
        <v>109</v>
      </c>
      <c r="P277" s="68" t="s">
        <v>109</v>
      </c>
      <c r="Q277" s="66">
        <v>0.87</v>
      </c>
      <c r="R277" s="66">
        <v>0.78</v>
      </c>
      <c r="V277" s="7">
        <v>0</v>
      </c>
      <c r="W277" s="7">
        <v>0</v>
      </c>
      <c r="X277" s="7">
        <v>0</v>
      </c>
    </row>
    <row r="278" spans="1:26" s="66" customFormat="1" hidden="1" x14ac:dyDescent="0.3">
      <c r="A278" s="66">
        <v>2050</v>
      </c>
      <c r="B278" s="66" t="s">
        <v>493</v>
      </c>
      <c r="C278" s="66" t="s">
        <v>338</v>
      </c>
      <c r="D278" s="66" t="s">
        <v>339</v>
      </c>
      <c r="F278" s="95" t="s">
        <v>489</v>
      </c>
      <c r="G278" s="66" t="s">
        <v>476</v>
      </c>
      <c r="H278" s="67" t="s">
        <v>477</v>
      </c>
      <c r="K278" s="93" t="s">
        <v>740</v>
      </c>
      <c r="L278" s="67" t="s">
        <v>44</v>
      </c>
      <c r="M278" s="66" t="s">
        <v>491</v>
      </c>
      <c r="N278" s="66">
        <v>19.57</v>
      </c>
      <c r="O278" s="68" t="s">
        <v>109</v>
      </c>
      <c r="P278" s="68" t="s">
        <v>109</v>
      </c>
      <c r="Q278" s="66">
        <v>0.87</v>
      </c>
      <c r="R278" s="66">
        <v>0.78</v>
      </c>
      <c r="V278" s="69">
        <v>83.3</v>
      </c>
      <c r="W278" s="69">
        <v>0</v>
      </c>
      <c r="X278" s="69">
        <v>72</v>
      </c>
    </row>
    <row r="279" spans="1:26" s="66" customFormat="1" hidden="1" x14ac:dyDescent="0.3">
      <c r="A279" s="66">
        <v>2050</v>
      </c>
      <c r="B279" s="66" t="s">
        <v>494</v>
      </c>
      <c r="C279" s="66" t="s">
        <v>338</v>
      </c>
      <c r="D279" s="66" t="s">
        <v>339</v>
      </c>
      <c r="F279" s="95" t="s">
        <v>490</v>
      </c>
      <c r="G279" s="93" t="s">
        <v>117</v>
      </c>
      <c r="H279" s="96" t="s">
        <v>116</v>
      </c>
      <c r="K279" s="66" t="s">
        <v>412</v>
      </c>
      <c r="L279" s="67" t="s">
        <v>110</v>
      </c>
      <c r="M279" s="66" t="s">
        <v>491</v>
      </c>
      <c r="N279" s="66">
        <v>19.57</v>
      </c>
      <c r="O279" s="68" t="s">
        <v>109</v>
      </c>
      <c r="P279" s="68" t="s">
        <v>109</v>
      </c>
      <c r="Q279" s="66">
        <v>0.87</v>
      </c>
      <c r="R279" s="66">
        <v>0.78</v>
      </c>
      <c r="V279" s="69">
        <v>83.3</v>
      </c>
      <c r="W279" s="69">
        <v>0</v>
      </c>
      <c r="X279" s="69">
        <v>72</v>
      </c>
    </row>
    <row r="280" spans="1:26" s="134" customFormat="1" hidden="1" x14ac:dyDescent="0.3">
      <c r="A280" s="134">
        <v>2050</v>
      </c>
      <c r="B280" s="134" t="s">
        <v>695</v>
      </c>
      <c r="C280" s="134" t="s">
        <v>338</v>
      </c>
      <c r="D280" s="134" t="s">
        <v>621</v>
      </c>
      <c r="F280" s="134" t="s">
        <v>354</v>
      </c>
      <c r="G280" s="134" t="s">
        <v>696</v>
      </c>
      <c r="H280" s="134" t="s">
        <v>663</v>
      </c>
      <c r="K280" s="134" t="s">
        <v>697</v>
      </c>
      <c r="L280" s="135" t="s">
        <v>108</v>
      </c>
      <c r="M280" s="134" t="s">
        <v>698</v>
      </c>
      <c r="N280" s="134">
        <v>19.57</v>
      </c>
      <c r="O280" s="136" t="s">
        <v>109</v>
      </c>
      <c r="P280" s="136" t="s">
        <v>109</v>
      </c>
      <c r="T280" s="134">
        <v>-0.45500000000000002</v>
      </c>
      <c r="U280" s="140">
        <v>5</v>
      </c>
      <c r="V280" s="139">
        <v>34</v>
      </c>
      <c r="W280" s="139">
        <v>0</v>
      </c>
      <c r="X280" s="139">
        <v>85</v>
      </c>
    </row>
    <row r="281" spans="1:26" s="134" customFormat="1" hidden="1" x14ac:dyDescent="0.3">
      <c r="A281" s="134">
        <v>2050</v>
      </c>
      <c r="B281" s="134" t="s">
        <v>701</v>
      </c>
      <c r="C281" s="134" t="s">
        <v>338</v>
      </c>
      <c r="D281" s="134" t="s">
        <v>621</v>
      </c>
      <c r="F281" s="134" t="s">
        <v>702</v>
      </c>
      <c r="G281" s="134" t="s">
        <v>696</v>
      </c>
      <c r="H281" s="134" t="s">
        <v>663</v>
      </c>
      <c r="K281" s="134" t="s">
        <v>697</v>
      </c>
      <c r="L281" s="135" t="s">
        <v>43</v>
      </c>
      <c r="M281" s="134" t="s">
        <v>703</v>
      </c>
      <c r="N281" s="134">
        <v>19.57</v>
      </c>
      <c r="O281" s="136" t="s">
        <v>109</v>
      </c>
      <c r="P281" s="136" t="s">
        <v>109</v>
      </c>
      <c r="T281" s="134">
        <v>-0.45500000000000002</v>
      </c>
      <c r="U281" s="140">
        <v>5</v>
      </c>
      <c r="V281" s="139">
        <v>34</v>
      </c>
      <c r="W281" s="139">
        <v>0</v>
      </c>
      <c r="X281" s="139">
        <v>85</v>
      </c>
    </row>
    <row r="282" spans="1:26" s="138" customFormat="1" hidden="1" x14ac:dyDescent="0.3">
      <c r="A282" s="134">
        <v>2050</v>
      </c>
      <c r="B282" s="134" t="s">
        <v>711</v>
      </c>
      <c r="C282" s="134" t="s">
        <v>338</v>
      </c>
      <c r="D282" s="134" t="s">
        <v>621</v>
      </c>
      <c r="E282" s="134"/>
      <c r="F282" s="134" t="s">
        <v>706</v>
      </c>
      <c r="G282" s="134" t="s">
        <v>712</v>
      </c>
      <c r="H282" s="134" t="s">
        <v>708</v>
      </c>
      <c r="I282" s="134"/>
      <c r="J282" s="134"/>
      <c r="K282" s="134" t="s">
        <v>713</v>
      </c>
      <c r="L282" s="135" t="s">
        <v>43</v>
      </c>
      <c r="M282" s="134" t="s">
        <v>714</v>
      </c>
      <c r="N282" s="134">
        <v>19.57</v>
      </c>
      <c r="O282" s="136" t="s">
        <v>109</v>
      </c>
      <c r="P282" s="136" t="s">
        <v>109</v>
      </c>
      <c r="Q282" s="134"/>
      <c r="R282" s="134"/>
      <c r="S282" s="134"/>
      <c r="T282" s="134">
        <v>-0.45500000000000002</v>
      </c>
      <c r="U282" s="140">
        <v>5</v>
      </c>
      <c r="V282" s="139">
        <v>34</v>
      </c>
      <c r="W282" s="139">
        <v>0</v>
      </c>
      <c r="X282" s="139">
        <v>85</v>
      </c>
      <c r="Y282" s="134"/>
    </row>
    <row r="283" spans="1:26" s="138" customFormat="1" hidden="1" x14ac:dyDescent="0.3">
      <c r="A283" s="134">
        <v>2050</v>
      </c>
      <c r="B283" s="134" t="s">
        <v>725</v>
      </c>
      <c r="C283" s="134" t="s">
        <v>338</v>
      </c>
      <c r="D283" s="134" t="s">
        <v>621</v>
      </c>
      <c r="E283" s="134"/>
      <c r="F283" s="134" t="s">
        <v>720</v>
      </c>
      <c r="G283" s="134" t="s">
        <v>726</v>
      </c>
      <c r="H283" s="134" t="s">
        <v>722</v>
      </c>
      <c r="I283" s="134"/>
      <c r="J283" s="134"/>
      <c r="K283" s="134" t="s">
        <v>727</v>
      </c>
      <c r="L283" s="135" t="s">
        <v>43</v>
      </c>
      <c r="M283" s="134" t="s">
        <v>728</v>
      </c>
      <c r="N283" s="134">
        <v>19.57</v>
      </c>
      <c r="O283" s="136" t="s">
        <v>109</v>
      </c>
      <c r="P283" s="136" t="s">
        <v>109</v>
      </c>
      <c r="Q283" s="134"/>
      <c r="R283" s="134"/>
      <c r="S283" s="134"/>
      <c r="T283" s="134">
        <v>-0.45500000000000002</v>
      </c>
      <c r="U283" s="140">
        <v>5</v>
      </c>
      <c r="V283" s="139">
        <v>34</v>
      </c>
      <c r="W283" s="139">
        <v>0</v>
      </c>
      <c r="X283" s="139">
        <v>85</v>
      </c>
      <c r="Y283" s="134"/>
    </row>
    <row r="284" spans="1:26" s="138" customFormat="1" hidden="1" x14ac:dyDescent="0.3">
      <c r="A284" s="134">
        <v>2050</v>
      </c>
      <c r="B284" s="134" t="s">
        <v>738</v>
      </c>
      <c r="C284" s="134" t="s">
        <v>338</v>
      </c>
      <c r="D284" s="134" t="s">
        <v>621</v>
      </c>
      <c r="E284" s="134"/>
      <c r="F284" s="134" t="s">
        <v>735</v>
      </c>
      <c r="G284" s="134" t="s">
        <v>726</v>
      </c>
      <c r="H284" s="134" t="s">
        <v>722</v>
      </c>
      <c r="I284" s="134"/>
      <c r="J284" s="134"/>
      <c r="K284" s="134" t="s">
        <v>739</v>
      </c>
      <c r="L284" s="135" t="s">
        <v>43</v>
      </c>
      <c r="M284" s="134" t="s">
        <v>741</v>
      </c>
      <c r="N284" s="134">
        <v>19.57</v>
      </c>
      <c r="O284" s="136" t="s">
        <v>109</v>
      </c>
      <c r="P284" s="136" t="s">
        <v>109</v>
      </c>
      <c r="Q284" s="134"/>
      <c r="R284" s="134"/>
      <c r="S284" s="134"/>
      <c r="T284" s="134">
        <v>-0.45500000000000002</v>
      </c>
      <c r="U284" s="140">
        <v>5</v>
      </c>
      <c r="V284" s="139">
        <v>34</v>
      </c>
      <c r="W284" s="139">
        <v>0</v>
      </c>
      <c r="X284" s="139">
        <v>85</v>
      </c>
      <c r="Y284" s="134"/>
    </row>
    <row r="285" spans="1:26" s="138" customFormat="1" hidden="1" x14ac:dyDescent="0.3">
      <c r="A285" s="134">
        <v>2050</v>
      </c>
      <c r="B285" s="134" t="s">
        <v>758</v>
      </c>
      <c r="C285" s="134" t="s">
        <v>338</v>
      </c>
      <c r="D285" s="134" t="s">
        <v>621</v>
      </c>
      <c r="E285" s="134"/>
      <c r="F285" s="134" t="s">
        <v>753</v>
      </c>
      <c r="G285" s="134" t="s">
        <v>759</v>
      </c>
      <c r="H285" s="134" t="s">
        <v>755</v>
      </c>
      <c r="I285" s="134"/>
      <c r="J285" s="134"/>
      <c r="K285" s="134" t="s">
        <v>760</v>
      </c>
      <c r="L285" s="135" t="s">
        <v>16</v>
      </c>
      <c r="M285" s="134" t="s">
        <v>757</v>
      </c>
      <c r="N285" s="134">
        <v>19.57</v>
      </c>
      <c r="O285" s="136" t="s">
        <v>109</v>
      </c>
      <c r="P285" s="136" t="s">
        <v>109</v>
      </c>
      <c r="Q285" s="134"/>
      <c r="R285" s="134"/>
      <c r="S285" s="134"/>
      <c r="T285" s="134">
        <v>-0.45500000000000002</v>
      </c>
      <c r="U285" s="140">
        <v>5</v>
      </c>
      <c r="V285" s="139">
        <v>34</v>
      </c>
      <c r="W285" s="139">
        <v>0</v>
      </c>
      <c r="X285" s="139">
        <v>85</v>
      </c>
      <c r="Y285" s="134"/>
    </row>
    <row r="286" spans="1:26" s="138" customFormat="1" hidden="1" x14ac:dyDescent="0.3">
      <c r="A286" s="134">
        <v>2050</v>
      </c>
      <c r="B286" s="134" t="s">
        <v>827</v>
      </c>
      <c r="C286" s="134" t="s">
        <v>338</v>
      </c>
      <c r="D286" s="134" t="s">
        <v>621</v>
      </c>
      <c r="E286" s="134"/>
      <c r="F286" s="134" t="s">
        <v>829</v>
      </c>
      <c r="G286" s="134" t="s">
        <v>831</v>
      </c>
      <c r="H286" s="134" t="s">
        <v>755</v>
      </c>
      <c r="I286" s="134"/>
      <c r="J286" s="134"/>
      <c r="K286" s="134" t="s">
        <v>832</v>
      </c>
      <c r="L286" s="135" t="s">
        <v>110</v>
      </c>
      <c r="M286" s="134" t="s">
        <v>833</v>
      </c>
      <c r="N286" s="134">
        <v>19.57</v>
      </c>
      <c r="O286" s="136" t="s">
        <v>109</v>
      </c>
      <c r="P286" s="136" t="s">
        <v>109</v>
      </c>
      <c r="Q286" s="134"/>
      <c r="R286" s="134"/>
      <c r="S286" s="134"/>
      <c r="T286" s="134">
        <v>-0.45500000000000002</v>
      </c>
      <c r="U286" s="140">
        <v>5</v>
      </c>
      <c r="V286" s="139">
        <v>0</v>
      </c>
      <c r="W286" s="139">
        <v>0</v>
      </c>
      <c r="X286" s="139">
        <v>85</v>
      </c>
      <c r="Y286" s="134"/>
    </row>
    <row r="287" spans="1:26" s="138" customFormat="1" hidden="1" x14ac:dyDescent="0.3">
      <c r="A287" s="134">
        <v>2050</v>
      </c>
      <c r="B287" s="134" t="s">
        <v>828</v>
      </c>
      <c r="C287" s="134" t="s">
        <v>338</v>
      </c>
      <c r="D287" s="134" t="s">
        <v>621</v>
      </c>
      <c r="E287" s="134"/>
      <c r="F287" s="134" t="s">
        <v>830</v>
      </c>
      <c r="G287" s="134" t="s">
        <v>831</v>
      </c>
      <c r="H287" s="134" t="s">
        <v>755</v>
      </c>
      <c r="I287" s="134"/>
      <c r="J287" s="134"/>
      <c r="K287" s="134" t="s">
        <v>832</v>
      </c>
      <c r="L287" s="135" t="s">
        <v>43</v>
      </c>
      <c r="M287" s="134" t="s">
        <v>834</v>
      </c>
      <c r="N287" s="134">
        <v>16.47</v>
      </c>
      <c r="O287" s="136" t="s">
        <v>109</v>
      </c>
      <c r="P287" s="136" t="s">
        <v>109</v>
      </c>
      <c r="Q287" s="134"/>
      <c r="R287" s="134"/>
      <c r="S287" s="134"/>
      <c r="T287" s="134">
        <v>-0.45500000000000002</v>
      </c>
      <c r="U287" s="140">
        <v>5</v>
      </c>
      <c r="V287" s="139">
        <v>0</v>
      </c>
      <c r="W287" s="139">
        <v>0</v>
      </c>
      <c r="X287" s="139">
        <v>85</v>
      </c>
      <c r="Y287" s="134"/>
    </row>
    <row r="288" spans="1:26" s="138" customFormat="1" hidden="1" x14ac:dyDescent="0.3">
      <c r="A288" s="134">
        <v>2050</v>
      </c>
      <c r="B288" s="134" t="s">
        <v>856</v>
      </c>
      <c r="C288" s="134" t="s">
        <v>338</v>
      </c>
      <c r="D288" s="134" t="s">
        <v>621</v>
      </c>
      <c r="E288" s="134"/>
      <c r="F288" s="134" t="s">
        <v>847</v>
      </c>
      <c r="G288" s="134" t="s">
        <v>857</v>
      </c>
      <c r="H288" s="134" t="s">
        <v>849</v>
      </c>
      <c r="I288" s="134"/>
      <c r="J288" s="134" t="s">
        <v>621</v>
      </c>
      <c r="K288" s="134" t="s">
        <v>858</v>
      </c>
      <c r="L288" s="135" t="s">
        <v>43</v>
      </c>
      <c r="M288" s="134" t="s">
        <v>859</v>
      </c>
      <c r="N288" s="134">
        <v>16.47</v>
      </c>
      <c r="O288" s="136" t="s">
        <v>109</v>
      </c>
      <c r="P288" s="136" t="s">
        <v>109</v>
      </c>
      <c r="Q288" s="134"/>
      <c r="R288" s="134"/>
      <c r="S288" s="134"/>
      <c r="T288" s="134">
        <v>-0.45500000000000002</v>
      </c>
      <c r="U288" s="140">
        <v>5</v>
      </c>
      <c r="V288" s="139">
        <v>0</v>
      </c>
      <c r="W288" s="139">
        <v>0</v>
      </c>
      <c r="X288" s="139">
        <v>85</v>
      </c>
      <c r="Y288" s="134"/>
    </row>
    <row r="289" spans="1:26" s="138" customFormat="1" x14ac:dyDescent="0.3">
      <c r="A289" s="134">
        <v>2050</v>
      </c>
      <c r="B289" s="134" t="s">
        <v>865</v>
      </c>
      <c r="C289" s="134" t="s">
        <v>338</v>
      </c>
      <c r="D289" s="134" t="s">
        <v>621</v>
      </c>
      <c r="E289" s="134"/>
      <c r="F289" s="134" t="s">
        <v>862</v>
      </c>
      <c r="G289" s="134" t="s">
        <v>857</v>
      </c>
      <c r="H289" s="134" t="s">
        <v>849</v>
      </c>
      <c r="I289" s="72" t="s">
        <v>11</v>
      </c>
      <c r="J289" s="134" t="s">
        <v>621</v>
      </c>
      <c r="K289" s="134" t="s">
        <v>866</v>
      </c>
      <c r="L289" s="135" t="s">
        <v>43</v>
      </c>
      <c r="M289" s="134" t="s">
        <v>867</v>
      </c>
      <c r="N289" s="134">
        <v>16.47</v>
      </c>
      <c r="O289" s="136" t="s">
        <v>109</v>
      </c>
      <c r="P289" s="136" t="s">
        <v>109</v>
      </c>
      <c r="Q289" s="134"/>
      <c r="R289" s="134"/>
      <c r="S289" s="134"/>
      <c r="T289" s="134">
        <v>-0.45500000000000002</v>
      </c>
      <c r="U289" s="140">
        <v>5</v>
      </c>
      <c r="V289" s="139">
        <v>0</v>
      </c>
      <c r="W289" s="139">
        <v>0</v>
      </c>
      <c r="X289" s="139">
        <v>85</v>
      </c>
      <c r="Y289" s="134" t="s">
        <v>699</v>
      </c>
      <c r="Z289" s="134" t="s">
        <v>699</v>
      </c>
    </row>
    <row r="290" spans="1:26" s="173" customFormat="1" hidden="1" x14ac:dyDescent="0.3">
      <c r="A290" s="168">
        <v>2050</v>
      </c>
      <c r="B290" s="168" t="s">
        <v>874</v>
      </c>
      <c r="C290" s="168" t="s">
        <v>338</v>
      </c>
      <c r="D290" s="168" t="s">
        <v>878</v>
      </c>
      <c r="E290" s="168"/>
      <c r="F290" s="168" t="s">
        <v>879</v>
      </c>
      <c r="G290" s="168" t="s">
        <v>857</v>
      </c>
      <c r="H290" s="168" t="s">
        <v>849</v>
      </c>
      <c r="I290" s="168"/>
      <c r="J290" s="168" t="s">
        <v>621</v>
      </c>
      <c r="K290" s="168" t="s">
        <v>866</v>
      </c>
      <c r="L290" s="169" t="s">
        <v>108</v>
      </c>
      <c r="M290" s="168" t="s">
        <v>875</v>
      </c>
      <c r="N290" s="168">
        <v>16.47</v>
      </c>
      <c r="O290" s="170" t="s">
        <v>109</v>
      </c>
      <c r="P290" s="170" t="s">
        <v>109</v>
      </c>
      <c r="Q290" s="168"/>
      <c r="R290" s="168"/>
      <c r="S290" s="168"/>
      <c r="T290" s="168">
        <v>-0.45500000000000002</v>
      </c>
      <c r="U290" s="171">
        <v>5</v>
      </c>
      <c r="V290" s="172">
        <v>0</v>
      </c>
      <c r="W290" s="172">
        <v>0</v>
      </c>
      <c r="X290" s="172">
        <v>85</v>
      </c>
      <c r="Y290" s="168"/>
    </row>
    <row r="291" spans="1:26" s="173" customFormat="1" x14ac:dyDescent="0.3">
      <c r="A291" s="168">
        <v>2050</v>
      </c>
      <c r="B291" s="168" t="s">
        <v>896</v>
      </c>
      <c r="C291" s="168" t="s">
        <v>338</v>
      </c>
      <c r="D291" s="168" t="s">
        <v>878</v>
      </c>
      <c r="E291" s="168"/>
      <c r="F291" s="168" t="s">
        <v>887</v>
      </c>
      <c r="G291" s="168" t="s">
        <v>857</v>
      </c>
      <c r="H291" s="168" t="s">
        <v>849</v>
      </c>
      <c r="I291" s="72" t="s">
        <v>11</v>
      </c>
      <c r="J291" s="168" t="s">
        <v>621</v>
      </c>
      <c r="K291" s="168" t="s">
        <v>892</v>
      </c>
      <c r="L291" s="169" t="s">
        <v>108</v>
      </c>
      <c r="M291" s="174" t="s">
        <v>900</v>
      </c>
      <c r="N291" s="168">
        <v>16.47</v>
      </c>
      <c r="O291" s="170" t="s">
        <v>109</v>
      </c>
      <c r="P291" s="170" t="s">
        <v>109</v>
      </c>
      <c r="Q291" s="168"/>
      <c r="R291" s="168"/>
      <c r="S291" s="168"/>
      <c r="T291" s="168">
        <v>-0.45500000000000002</v>
      </c>
      <c r="U291" s="171">
        <v>5</v>
      </c>
      <c r="V291" s="172">
        <v>0</v>
      </c>
      <c r="W291" s="172">
        <v>0</v>
      </c>
      <c r="X291" s="172">
        <v>85</v>
      </c>
      <c r="Y291" s="168" t="s">
        <v>876</v>
      </c>
      <c r="Z291" s="168" t="s">
        <v>876</v>
      </c>
    </row>
    <row r="292" spans="1:26" s="161" customFormat="1" x14ac:dyDescent="0.3">
      <c r="A292" s="156">
        <v>2050</v>
      </c>
      <c r="B292" s="156" t="s">
        <v>897</v>
      </c>
      <c r="C292" s="156" t="s">
        <v>338</v>
      </c>
      <c r="D292" s="156" t="s">
        <v>878</v>
      </c>
      <c r="E292" s="156"/>
      <c r="F292" s="156" t="s">
        <v>889</v>
      </c>
      <c r="G292" s="156" t="s">
        <v>898</v>
      </c>
      <c r="H292" s="156" t="s">
        <v>891</v>
      </c>
      <c r="I292" s="72" t="s">
        <v>11</v>
      </c>
      <c r="J292" s="156" t="s">
        <v>621</v>
      </c>
      <c r="K292" s="156" t="s">
        <v>866</v>
      </c>
      <c r="L292" s="157" t="s">
        <v>43</v>
      </c>
      <c r="M292" s="175" t="s">
        <v>901</v>
      </c>
      <c r="N292" s="156">
        <v>16.47</v>
      </c>
      <c r="O292" s="158" t="s">
        <v>109</v>
      </c>
      <c r="P292" s="158" t="s">
        <v>109</v>
      </c>
      <c r="Q292" s="156"/>
      <c r="R292" s="156"/>
      <c r="S292" s="156"/>
      <c r="T292" s="156">
        <v>-0.45500000000000002</v>
      </c>
      <c r="U292" s="159">
        <v>5</v>
      </c>
      <c r="V292" s="160">
        <v>0</v>
      </c>
      <c r="W292" s="160">
        <v>0</v>
      </c>
      <c r="X292" s="160">
        <v>85</v>
      </c>
      <c r="Y292" s="156" t="s">
        <v>902</v>
      </c>
      <c r="Z292" s="156" t="s">
        <v>902</v>
      </c>
    </row>
    <row r="293" spans="1:26" s="236" customFormat="1" hidden="1" x14ac:dyDescent="0.3">
      <c r="A293" s="236">
        <v>2050</v>
      </c>
      <c r="B293" s="236" t="s">
        <v>1035</v>
      </c>
      <c r="C293" s="236" t="s">
        <v>923</v>
      </c>
      <c r="D293" s="236" t="s">
        <v>621</v>
      </c>
      <c r="E293" s="236" t="s">
        <v>1104</v>
      </c>
      <c r="F293" s="236" t="s">
        <v>1106</v>
      </c>
      <c r="G293" s="236" t="s">
        <v>1037</v>
      </c>
      <c r="H293" s="236" t="s">
        <v>996</v>
      </c>
      <c r="I293" s="236" t="s">
        <v>1022</v>
      </c>
      <c r="K293" s="236" t="s">
        <v>873</v>
      </c>
      <c r="L293" s="237" t="s">
        <v>42</v>
      </c>
      <c r="M293" s="238" t="s">
        <v>1036</v>
      </c>
      <c r="N293" s="236">
        <v>16.47</v>
      </c>
      <c r="O293" s="239" t="s">
        <v>109</v>
      </c>
      <c r="P293" s="239" t="s">
        <v>109</v>
      </c>
      <c r="T293" s="240">
        <v>-0.45500000000000002</v>
      </c>
      <c r="U293" s="240">
        <v>5</v>
      </c>
      <c r="V293" s="241">
        <v>55</v>
      </c>
      <c r="W293" s="241">
        <v>0</v>
      </c>
      <c r="X293" s="241">
        <v>108</v>
      </c>
      <c r="Y293" s="236" t="s">
        <v>1066</v>
      </c>
    </row>
    <row r="294" spans="1:26" s="236" customFormat="1" hidden="1" x14ac:dyDescent="0.3">
      <c r="A294" s="236">
        <v>2050</v>
      </c>
      <c r="B294" s="236" t="s">
        <v>1038</v>
      </c>
      <c r="C294" s="236" t="s">
        <v>923</v>
      </c>
      <c r="D294" s="236" t="s">
        <v>621</v>
      </c>
      <c r="E294" s="236" t="s">
        <v>1104</v>
      </c>
      <c r="F294" s="236" t="s">
        <v>1095</v>
      </c>
      <c r="G294" s="236" t="s">
        <v>1037</v>
      </c>
      <c r="H294" s="236" t="s">
        <v>996</v>
      </c>
      <c r="I294" s="236" t="s">
        <v>1022</v>
      </c>
      <c r="K294" s="236" t="s">
        <v>1042</v>
      </c>
      <c r="L294" s="237" t="s">
        <v>42</v>
      </c>
      <c r="M294" s="238" t="s">
        <v>1043</v>
      </c>
      <c r="N294" s="236">
        <v>16.47</v>
      </c>
      <c r="O294" s="239" t="s">
        <v>109</v>
      </c>
      <c r="P294" s="239" t="s">
        <v>109</v>
      </c>
      <c r="T294" s="240">
        <v>-0.45500000000000002</v>
      </c>
      <c r="U294" s="240">
        <v>5</v>
      </c>
      <c r="V294" s="241">
        <v>55</v>
      </c>
      <c r="W294" s="241">
        <v>0</v>
      </c>
      <c r="X294" s="241">
        <v>108</v>
      </c>
      <c r="Y294" s="236" t="s">
        <v>1067</v>
      </c>
    </row>
    <row r="295" spans="1:26" s="254" customFormat="1" hidden="1" x14ac:dyDescent="0.3">
      <c r="A295" s="236">
        <v>2050</v>
      </c>
      <c r="B295" s="236" t="s">
        <v>1039</v>
      </c>
      <c r="C295" s="236" t="s">
        <v>923</v>
      </c>
      <c r="D295" s="236" t="s">
        <v>621</v>
      </c>
      <c r="E295" s="236" t="s">
        <v>1104</v>
      </c>
      <c r="F295" s="236" t="s">
        <v>1096</v>
      </c>
      <c r="G295" s="236" t="s">
        <v>1037</v>
      </c>
      <c r="H295" s="236" t="s">
        <v>996</v>
      </c>
      <c r="I295" s="236" t="s">
        <v>1022</v>
      </c>
      <c r="J295" s="236"/>
      <c r="K295" s="236" t="s">
        <v>1045</v>
      </c>
      <c r="L295" s="237" t="s">
        <v>43</v>
      </c>
      <c r="M295" s="238" t="s">
        <v>1044</v>
      </c>
      <c r="N295" s="236">
        <v>16.47</v>
      </c>
      <c r="O295" s="239" t="s">
        <v>109</v>
      </c>
      <c r="P295" s="239" t="s">
        <v>109</v>
      </c>
      <c r="Q295" s="236"/>
      <c r="R295" s="236"/>
      <c r="S295" s="236"/>
      <c r="T295" s="240">
        <v>-0.45500000000000002</v>
      </c>
      <c r="U295" s="240">
        <v>5</v>
      </c>
      <c r="V295" s="241">
        <v>55</v>
      </c>
      <c r="W295" s="241">
        <v>0</v>
      </c>
      <c r="X295" s="241">
        <v>108</v>
      </c>
      <c r="Y295" s="236" t="s">
        <v>1068</v>
      </c>
    </row>
    <row r="296" spans="1:26" s="254" customFormat="1" hidden="1" x14ac:dyDescent="0.3">
      <c r="A296" s="236">
        <v>2050</v>
      </c>
      <c r="B296" s="236" t="s">
        <v>1040</v>
      </c>
      <c r="C296" s="236" t="s">
        <v>923</v>
      </c>
      <c r="D296" s="236" t="s">
        <v>621</v>
      </c>
      <c r="E296" s="236" t="s">
        <v>1104</v>
      </c>
      <c r="F296" s="236" t="s">
        <v>1097</v>
      </c>
      <c r="G296" s="236" t="s">
        <v>1037</v>
      </c>
      <c r="H296" s="236" t="s">
        <v>996</v>
      </c>
      <c r="I296" s="236" t="s">
        <v>1022</v>
      </c>
      <c r="J296" s="236"/>
      <c r="K296" s="236" t="s">
        <v>1047</v>
      </c>
      <c r="L296" s="237" t="s">
        <v>110</v>
      </c>
      <c r="M296" s="238" t="s">
        <v>1046</v>
      </c>
      <c r="N296" s="236">
        <v>16.47</v>
      </c>
      <c r="O296" s="239" t="s">
        <v>109</v>
      </c>
      <c r="P296" s="239" t="s">
        <v>109</v>
      </c>
      <c r="Q296" s="236"/>
      <c r="R296" s="236"/>
      <c r="S296" s="236"/>
      <c r="T296" s="240">
        <v>-0.45500000000000002</v>
      </c>
      <c r="U296" s="240">
        <v>5</v>
      </c>
      <c r="V296" s="241">
        <v>55</v>
      </c>
      <c r="W296" s="241">
        <v>0</v>
      </c>
      <c r="X296" s="241">
        <v>108</v>
      </c>
      <c r="Y296" s="236" t="s">
        <v>1069</v>
      </c>
    </row>
    <row r="297" spans="1:26" s="254" customFormat="1" hidden="1" x14ac:dyDescent="0.3">
      <c r="A297" s="236">
        <v>2050</v>
      </c>
      <c r="B297" s="236" t="s">
        <v>1041</v>
      </c>
      <c r="C297" s="236" t="s">
        <v>923</v>
      </c>
      <c r="D297" s="236" t="s">
        <v>621</v>
      </c>
      <c r="E297" s="236" t="s">
        <v>1104</v>
      </c>
      <c r="F297" s="236" t="s">
        <v>1098</v>
      </c>
      <c r="G297" s="236" t="s">
        <v>1037</v>
      </c>
      <c r="H297" s="236" t="s">
        <v>996</v>
      </c>
      <c r="I297" s="236" t="s">
        <v>1022</v>
      </c>
      <c r="J297" s="236"/>
      <c r="K297" s="236" t="s">
        <v>1049</v>
      </c>
      <c r="L297" s="237" t="s">
        <v>110</v>
      </c>
      <c r="M297" s="238" t="s">
        <v>1048</v>
      </c>
      <c r="N297" s="236">
        <v>16.47</v>
      </c>
      <c r="O297" s="239" t="s">
        <v>109</v>
      </c>
      <c r="P297" s="239" t="s">
        <v>109</v>
      </c>
      <c r="Q297" s="236"/>
      <c r="R297" s="236"/>
      <c r="S297" s="236"/>
      <c r="T297" s="240">
        <v>-0.45500000000000002</v>
      </c>
      <c r="U297" s="240">
        <v>5</v>
      </c>
      <c r="V297" s="241">
        <v>55</v>
      </c>
      <c r="W297" s="241">
        <v>0</v>
      </c>
      <c r="X297" s="241">
        <v>108</v>
      </c>
      <c r="Y297" s="236" t="s">
        <v>1070</v>
      </c>
    </row>
    <row r="298" spans="1:26" s="254" customFormat="1" hidden="1" x14ac:dyDescent="0.3">
      <c r="A298" s="254">
        <v>2050</v>
      </c>
      <c r="B298" s="254" t="s">
        <v>1124</v>
      </c>
      <c r="C298" s="254" t="s">
        <v>1118</v>
      </c>
      <c r="D298" s="254" t="s">
        <v>621</v>
      </c>
      <c r="F298" s="254" t="s">
        <v>1125</v>
      </c>
      <c r="H298" s="254" t="s">
        <v>849</v>
      </c>
      <c r="I298" s="254" t="s">
        <v>1120</v>
      </c>
      <c r="J298" s="254" t="s">
        <v>621</v>
      </c>
      <c r="K298" s="254" t="s">
        <v>1126</v>
      </c>
      <c r="L298" s="255" t="s">
        <v>110</v>
      </c>
      <c r="M298" s="238" t="s">
        <v>1127</v>
      </c>
      <c r="N298" s="254">
        <v>16.47</v>
      </c>
      <c r="O298" s="256" t="s">
        <v>109</v>
      </c>
      <c r="P298" s="256" t="s">
        <v>109</v>
      </c>
      <c r="T298" s="254">
        <v>-0.45500000000000002</v>
      </c>
      <c r="U298" s="254">
        <v>5</v>
      </c>
      <c r="V298" s="254">
        <v>0</v>
      </c>
      <c r="W298" s="254">
        <v>0</v>
      </c>
      <c r="X298" s="254">
        <v>85</v>
      </c>
      <c r="Y298" s="254" t="s">
        <v>1128</v>
      </c>
    </row>
  </sheetData>
  <autoFilter ref="A1:Z298" xr:uid="{9564CC59-3725-4FDA-8BF2-0F68CB1B6F5A}">
    <filterColumn colId="2">
      <filters>
        <filter val="RTP2025"/>
        <filter val="RTP2025_IP"/>
      </filters>
    </filterColumn>
    <filterColumn colId="8">
      <filters>
        <filter val="current"/>
      </filters>
    </filterColumn>
  </autoFilter>
  <phoneticPr fontId="3" type="noConversion"/>
  <hyperlinks>
    <hyperlink ref="M10" r:id="rId1" xr:uid="{1BE7DD4C-B567-4320-9B69-E8B55CE41797}"/>
    <hyperlink ref="M11" r:id="rId2" xr:uid="{A52BF015-28DA-4569-A638-6E56CCBD2F4D}"/>
    <hyperlink ref="M12" r:id="rId3" xr:uid="{70B88B93-E906-4801-9012-B01BCDB48CBF}"/>
    <hyperlink ref="M228" r:id="rId4" xr:uid="{41A50678-6937-405D-B5CD-5EC4CD610773}"/>
    <hyperlink ref="M236" r:id="rId5" xr:uid="{39AC7ECE-A7B8-4954-B45A-91E9F6BC5B37}"/>
    <hyperlink ref="M298" r:id="rId6" xr:uid="{69B55362-59A7-4B73-84BB-6E30CECF42AE}"/>
  </hyperlinks>
  <pageMargins left="0.7" right="0.7" top="0.75" bottom="0.75" header="0.3" footer="0.3"/>
  <pageSetup orientation="portrait"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9ED7-DBD3-4EBA-81FA-ADA4D9EAE46C}">
  <dimension ref="B1:I62"/>
  <sheetViews>
    <sheetView topLeftCell="A47" zoomScale="130" zoomScaleNormal="130" workbookViewId="0">
      <selection activeCell="J40" sqref="J40"/>
    </sheetView>
  </sheetViews>
  <sheetFormatPr defaultColWidth="9.109375" defaultRowHeight="13.8" x14ac:dyDescent="0.3"/>
  <cols>
    <col min="1" max="1" width="9.109375" style="189"/>
    <col min="2" max="2" width="42.109375" style="189" customWidth="1"/>
    <col min="3" max="3" width="10.6640625" style="189" customWidth="1"/>
    <col min="4" max="4" width="16.109375" style="189" customWidth="1"/>
    <col min="5" max="5" width="10.6640625" style="189" customWidth="1"/>
    <col min="6" max="6" width="16.6640625" style="189" customWidth="1"/>
    <col min="7" max="7" width="10.109375" style="189" customWidth="1"/>
    <col min="8" max="8" width="10" style="189" customWidth="1"/>
    <col min="9" max="16384" width="9.109375" style="189"/>
  </cols>
  <sheetData>
    <row r="1" spans="2:7" x14ac:dyDescent="0.3">
      <c r="B1" s="154" t="s">
        <v>790</v>
      </c>
    </row>
    <row r="2" spans="2:7" x14ac:dyDescent="0.3">
      <c r="B2" s="149" t="s">
        <v>772</v>
      </c>
    </row>
    <row r="3" spans="2:7" ht="41.4" x14ac:dyDescent="0.3">
      <c r="B3" s="189" t="s">
        <v>776</v>
      </c>
      <c r="C3" s="143" t="s">
        <v>791</v>
      </c>
      <c r="D3" s="143" t="s">
        <v>775</v>
      </c>
      <c r="F3" s="189" t="s">
        <v>774</v>
      </c>
    </row>
    <row r="4" spans="2:7" x14ac:dyDescent="0.3">
      <c r="B4" s="189" t="s">
        <v>730</v>
      </c>
      <c r="C4" s="144">
        <v>34</v>
      </c>
      <c r="D4" s="145">
        <v>-0.23499999999999999</v>
      </c>
      <c r="F4" s="189" cm="1">
        <f t="array" ref="F4:G4">LINEST(C4:C5,D4:D5)</f>
        <v>-315.78947368421024</v>
      </c>
      <c r="G4" s="189">
        <v>-40.210526315789394</v>
      </c>
    </row>
    <row r="5" spans="2:7" x14ac:dyDescent="0.3">
      <c r="B5" s="189" t="s">
        <v>761</v>
      </c>
      <c r="C5" s="195">
        <v>40</v>
      </c>
      <c r="D5" s="146">
        <v>-0.254</v>
      </c>
    </row>
    <row r="6" spans="2:7" x14ac:dyDescent="0.3">
      <c r="B6" s="189" t="s">
        <v>773</v>
      </c>
      <c r="C6" s="199">
        <f>F4*D6+G4</f>
        <v>59.263157894736835</v>
      </c>
      <c r="D6" s="146">
        <v>-0.315</v>
      </c>
    </row>
    <row r="7" spans="2:7" x14ac:dyDescent="0.3">
      <c r="B7" s="189" t="s">
        <v>769</v>
      </c>
      <c r="C7" s="147">
        <v>55</v>
      </c>
      <c r="D7" s="151">
        <v>-0.314</v>
      </c>
    </row>
    <row r="9" spans="2:7" x14ac:dyDescent="0.3">
      <c r="B9" s="154" t="s">
        <v>792</v>
      </c>
    </row>
    <row r="10" spans="2:7" x14ac:dyDescent="0.3">
      <c r="B10" s="149" t="s">
        <v>782</v>
      </c>
    </row>
    <row r="11" spans="2:7" ht="27.6" x14ac:dyDescent="0.3">
      <c r="B11" s="189" t="s">
        <v>776</v>
      </c>
      <c r="C11" s="150" t="s">
        <v>793</v>
      </c>
      <c r="D11" s="143" t="s">
        <v>781</v>
      </c>
      <c r="F11" s="189" t="s">
        <v>774</v>
      </c>
    </row>
    <row r="12" spans="2:7" x14ac:dyDescent="0.3">
      <c r="B12" s="189" t="s">
        <v>769</v>
      </c>
      <c r="C12" s="144">
        <v>85</v>
      </c>
      <c r="D12" s="145">
        <v>-0.53900000000000003</v>
      </c>
      <c r="F12" s="189" cm="1">
        <f t="array" ref="F12:G12">LINEST(C12:C13,D12:D13)</f>
        <v>-454.54545454545416</v>
      </c>
      <c r="G12" s="189">
        <v>-159.9999999999998</v>
      </c>
    </row>
    <row r="13" spans="2:7" x14ac:dyDescent="0.3">
      <c r="B13" s="189" t="s">
        <v>777</v>
      </c>
      <c r="C13" s="195">
        <v>95</v>
      </c>
      <c r="D13" s="146">
        <v>-0.56100000000000005</v>
      </c>
    </row>
    <row r="14" spans="2:7" x14ac:dyDescent="0.3">
      <c r="B14" s="189" t="s">
        <v>773</v>
      </c>
      <c r="C14" s="199">
        <f>F12*D14+G12</f>
        <v>112.72727272727266</v>
      </c>
      <c r="D14" s="146">
        <v>-0.6</v>
      </c>
    </row>
    <row r="15" spans="2:7" x14ac:dyDescent="0.3">
      <c r="B15" s="189" t="s">
        <v>780</v>
      </c>
      <c r="C15" s="147">
        <v>108</v>
      </c>
      <c r="D15" s="148"/>
    </row>
    <row r="17" spans="2:9" x14ac:dyDescent="0.3">
      <c r="B17" s="154" t="s">
        <v>794</v>
      </c>
    </row>
    <row r="18" spans="2:9" x14ac:dyDescent="0.3">
      <c r="B18" s="149" t="s">
        <v>801</v>
      </c>
    </row>
    <row r="19" spans="2:9" ht="52.5" customHeight="1" x14ac:dyDescent="0.3">
      <c r="B19" s="189" t="s">
        <v>776</v>
      </c>
      <c r="C19" s="143" t="s">
        <v>786</v>
      </c>
      <c r="D19" s="143" t="s">
        <v>804</v>
      </c>
      <c r="E19" s="5" t="s">
        <v>787</v>
      </c>
      <c r="F19" s="143" t="s">
        <v>805</v>
      </c>
      <c r="H19" s="189" t="s">
        <v>774</v>
      </c>
    </row>
    <row r="20" spans="2:9" x14ac:dyDescent="0.3">
      <c r="B20" s="152" t="s">
        <v>788</v>
      </c>
      <c r="C20" s="185"/>
      <c r="D20" s="186">
        <v>0.28999999999999998</v>
      </c>
      <c r="E20" s="187"/>
      <c r="F20" s="188">
        <v>0.25</v>
      </c>
    </row>
    <row r="21" spans="2:9" x14ac:dyDescent="0.3">
      <c r="B21" s="189" t="s">
        <v>780</v>
      </c>
      <c r="C21" s="190">
        <v>55</v>
      </c>
      <c r="D21" s="191"/>
      <c r="E21" s="192">
        <v>108</v>
      </c>
      <c r="F21" s="193"/>
    </row>
    <row r="22" spans="2:9" x14ac:dyDescent="0.3">
      <c r="B22" s="189" t="s">
        <v>783</v>
      </c>
      <c r="C22" s="153">
        <v>41.25</v>
      </c>
      <c r="D22" s="155">
        <v>0.05</v>
      </c>
      <c r="E22" s="189">
        <v>74.5</v>
      </c>
      <c r="F22" s="194">
        <v>0.22</v>
      </c>
    </row>
    <row r="23" spans="2:9" x14ac:dyDescent="0.3">
      <c r="B23" s="189" t="s">
        <v>789</v>
      </c>
      <c r="C23" s="195">
        <v>19</v>
      </c>
      <c r="D23" s="155">
        <v>0.16</v>
      </c>
      <c r="E23" s="189">
        <v>74.5</v>
      </c>
      <c r="F23" s="194">
        <v>0.27</v>
      </c>
      <c r="H23" s="189" cm="1">
        <f t="array" ref="H23:I23">LINEST(C22:C23,D22:D23)</f>
        <v>-202.27272727272722</v>
      </c>
      <c r="I23" s="189">
        <v>51.36363636363636</v>
      </c>
    </row>
    <row r="24" spans="2:9" x14ac:dyDescent="0.3">
      <c r="B24" s="189" t="s">
        <v>797</v>
      </c>
      <c r="C24" s="195">
        <v>25</v>
      </c>
      <c r="D24" s="196">
        <v>0.14000000000000001</v>
      </c>
      <c r="E24" s="197">
        <v>80</v>
      </c>
      <c r="F24" s="198">
        <v>0.22</v>
      </c>
    </row>
    <row r="25" spans="2:9" x14ac:dyDescent="0.3">
      <c r="B25" s="189" t="s">
        <v>800</v>
      </c>
      <c r="C25" s="195">
        <v>27</v>
      </c>
      <c r="D25" s="196">
        <v>0.11</v>
      </c>
      <c r="E25" s="197">
        <v>60</v>
      </c>
      <c r="F25" s="198">
        <v>0.35</v>
      </c>
    </row>
    <row r="26" spans="2:9" x14ac:dyDescent="0.3">
      <c r="B26" s="189" t="s">
        <v>806</v>
      </c>
      <c r="C26" s="195">
        <v>0</v>
      </c>
      <c r="D26" s="196">
        <v>0.28000000000000003</v>
      </c>
      <c r="E26" s="197">
        <v>74.5</v>
      </c>
      <c r="F26" s="198">
        <v>0.32</v>
      </c>
      <c r="H26" s="189" cm="1">
        <f t="array" ref="H26:I26">LINEST(E26:E27,F26:F27)</f>
        <v>-129.16666666666669</v>
      </c>
      <c r="I26" s="189">
        <v>115.83333333333334</v>
      </c>
    </row>
    <row r="27" spans="2:9" x14ac:dyDescent="0.3">
      <c r="B27" s="189" t="s">
        <v>809</v>
      </c>
      <c r="C27" s="195">
        <v>0</v>
      </c>
      <c r="D27" s="196">
        <v>0.28999999999999998</v>
      </c>
      <c r="E27" s="197">
        <v>90</v>
      </c>
      <c r="F27" s="198">
        <v>0.2</v>
      </c>
    </row>
    <row r="28" spans="2:9" x14ac:dyDescent="0.3">
      <c r="B28" s="189" t="s">
        <v>812</v>
      </c>
      <c r="C28" s="195">
        <v>0</v>
      </c>
      <c r="D28" s="196">
        <v>0.28999999999999998</v>
      </c>
      <c r="E28" s="197">
        <v>85</v>
      </c>
      <c r="F28" s="198">
        <v>0.23</v>
      </c>
    </row>
    <row r="29" spans="2:9" x14ac:dyDescent="0.3">
      <c r="D29" s="196"/>
      <c r="F29" s="196"/>
    </row>
    <row r="30" spans="2:9" x14ac:dyDescent="0.3">
      <c r="D30" s="196"/>
      <c r="F30" s="196"/>
    </row>
    <row r="31" spans="2:9" x14ac:dyDescent="0.3">
      <c r="F31" s="196"/>
    </row>
    <row r="32" spans="2:9" x14ac:dyDescent="0.3">
      <c r="F32" s="196"/>
    </row>
    <row r="33" spans="2:6" x14ac:dyDescent="0.3">
      <c r="B33" s="154" t="s">
        <v>924</v>
      </c>
      <c r="F33" s="196"/>
    </row>
    <row r="34" spans="2:6" x14ac:dyDescent="0.3">
      <c r="B34" s="149" t="s">
        <v>925</v>
      </c>
    </row>
    <row r="35" spans="2:6" x14ac:dyDescent="0.3">
      <c r="B35" s="189" t="s">
        <v>972</v>
      </c>
      <c r="C35" s="143"/>
      <c r="D35" s="143"/>
      <c r="E35" s="5"/>
      <c r="F35" s="143"/>
    </row>
    <row r="36" spans="2:6" ht="69" x14ac:dyDescent="0.3">
      <c r="B36" s="183" t="s">
        <v>776</v>
      </c>
      <c r="C36" s="201" t="s">
        <v>926</v>
      </c>
      <c r="D36" s="202" t="s">
        <v>927</v>
      </c>
      <c r="F36" s="196"/>
    </row>
    <row r="37" spans="2:6" x14ac:dyDescent="0.3">
      <c r="B37" s="187" t="s">
        <v>932</v>
      </c>
      <c r="C37" s="185"/>
      <c r="D37" s="184">
        <v>0.307</v>
      </c>
    </row>
    <row r="38" spans="2:6" x14ac:dyDescent="0.3">
      <c r="B38" s="203" t="s">
        <v>780</v>
      </c>
      <c r="C38" s="204">
        <v>-0.34</v>
      </c>
      <c r="D38" s="205">
        <v>0.30599999999999999</v>
      </c>
      <c r="F38" s="196"/>
    </row>
    <row r="39" spans="2:6" x14ac:dyDescent="0.3">
      <c r="B39" s="12" t="s">
        <v>933</v>
      </c>
      <c r="C39" s="206"/>
      <c r="D39" s="207">
        <f>D37+0.05</f>
        <v>0.35699999999999998</v>
      </c>
    </row>
    <row r="40" spans="2:6" x14ac:dyDescent="0.3">
      <c r="B40" s="1" t="s">
        <v>916</v>
      </c>
      <c r="C40" s="209">
        <v>-7.6999999999999999E-2</v>
      </c>
      <c r="D40" s="210">
        <v>0.36099999999999999</v>
      </c>
      <c r="F40" s="196"/>
    </row>
    <row r="41" spans="2:6" x14ac:dyDescent="0.3">
      <c r="B41" s="208" t="s">
        <v>929</v>
      </c>
      <c r="C41" s="215">
        <v>-9.5000000000000001E-2</v>
      </c>
      <c r="D41" s="214">
        <v>0.35699999999999998</v>
      </c>
    </row>
    <row r="42" spans="2:6" x14ac:dyDescent="0.3">
      <c r="B42" s="211" t="s">
        <v>934</v>
      </c>
      <c r="C42" s="206"/>
      <c r="D42" s="207">
        <f>D37-0.05</f>
        <v>0.25700000000000001</v>
      </c>
      <c r="F42" s="196"/>
    </row>
    <row r="43" spans="2:6" x14ac:dyDescent="0.3">
      <c r="B43" s="1" t="s">
        <v>918</v>
      </c>
      <c r="C43" s="209">
        <v>-0.67700000000000005</v>
      </c>
      <c r="D43" s="210">
        <v>0.24199999999999999</v>
      </c>
    </row>
    <row r="44" spans="2:6" x14ac:dyDescent="0.3">
      <c r="B44" s="208" t="s">
        <v>928</v>
      </c>
      <c r="C44" s="216">
        <v>-0.6</v>
      </c>
      <c r="D44" s="214">
        <v>0.25600000000000001</v>
      </c>
      <c r="F44" s="196"/>
    </row>
    <row r="45" spans="2:6" x14ac:dyDescent="0.3">
      <c r="B45" s="212" t="s">
        <v>947</v>
      </c>
      <c r="C45" s="153"/>
    </row>
    <row r="46" spans="2:6" x14ac:dyDescent="0.3">
      <c r="B46" s="213" t="s">
        <v>930</v>
      </c>
      <c r="C46" s="153"/>
      <c r="F46" s="196"/>
    </row>
    <row r="47" spans="2:6" x14ac:dyDescent="0.3">
      <c r="B47" s="213" t="s">
        <v>931</v>
      </c>
      <c r="C47" s="153"/>
    </row>
    <row r="50" spans="2:6" x14ac:dyDescent="0.3">
      <c r="B50" s="154" t="s">
        <v>945</v>
      </c>
    </row>
    <row r="51" spans="2:6" x14ac:dyDescent="0.3">
      <c r="B51" s="149" t="s">
        <v>954</v>
      </c>
    </row>
    <row r="52" spans="2:6" x14ac:dyDescent="0.3">
      <c r="B52" s="189" t="s">
        <v>971</v>
      </c>
      <c r="C52" s="143"/>
      <c r="D52" s="143"/>
      <c r="E52" s="5"/>
      <c r="F52" s="143"/>
    </row>
    <row r="53" spans="2:6" ht="55.2" x14ac:dyDescent="0.3">
      <c r="B53" s="148" t="s">
        <v>776</v>
      </c>
      <c r="C53" s="200" t="s">
        <v>786</v>
      </c>
      <c r="D53" s="143" t="s">
        <v>804</v>
      </c>
      <c r="E53" s="5" t="s">
        <v>787</v>
      </c>
      <c r="F53" s="143" t="s">
        <v>805</v>
      </c>
    </row>
    <row r="54" spans="2:6" x14ac:dyDescent="0.3">
      <c r="B54" s="223" t="s">
        <v>948</v>
      </c>
      <c r="C54" s="185"/>
      <c r="D54" s="186">
        <v>0.28999999999999998</v>
      </c>
      <c r="E54" s="187"/>
      <c r="F54" s="188">
        <v>0.25</v>
      </c>
    </row>
    <row r="55" spans="2:6" x14ac:dyDescent="0.3">
      <c r="B55" s="183" t="s">
        <v>780</v>
      </c>
      <c r="C55" s="217">
        <v>55</v>
      </c>
      <c r="D55" s="218"/>
      <c r="E55" s="219">
        <v>108</v>
      </c>
      <c r="F55" s="220"/>
    </row>
    <row r="56" spans="2:6" x14ac:dyDescent="0.3">
      <c r="B56" s="211" t="s">
        <v>950</v>
      </c>
      <c r="C56" s="221"/>
      <c r="D56" s="224">
        <f>D54*1.5</f>
        <v>0.43499999999999994</v>
      </c>
      <c r="E56" s="222"/>
      <c r="F56" s="226">
        <f>F54*1.5</f>
        <v>0.375</v>
      </c>
    </row>
    <row r="57" spans="2:6" x14ac:dyDescent="0.3">
      <c r="B57" s="189" t="s">
        <v>949</v>
      </c>
      <c r="C57" s="195">
        <v>-20</v>
      </c>
      <c r="D57" s="225">
        <v>0.4</v>
      </c>
      <c r="E57" s="197">
        <v>70</v>
      </c>
      <c r="F57" s="227">
        <v>0.39</v>
      </c>
    </row>
    <row r="58" spans="2:6" x14ac:dyDescent="0.3">
      <c r="B58" s="228" t="s">
        <v>955</v>
      </c>
      <c r="C58" s="195">
        <v>-25</v>
      </c>
      <c r="D58" s="225">
        <v>0.42</v>
      </c>
      <c r="E58" s="197">
        <v>65</v>
      </c>
      <c r="F58" s="227">
        <v>0.45</v>
      </c>
    </row>
    <row r="59" spans="2:6" x14ac:dyDescent="0.3">
      <c r="B59" s="189" t="s">
        <v>956</v>
      </c>
      <c r="C59" s="195">
        <v>-30</v>
      </c>
      <c r="D59" s="225">
        <v>0.47</v>
      </c>
      <c r="E59" s="197">
        <v>75</v>
      </c>
      <c r="F59" s="225">
        <v>0.38</v>
      </c>
    </row>
    <row r="60" spans="2:6" x14ac:dyDescent="0.3">
      <c r="B60" s="183" t="s">
        <v>963</v>
      </c>
      <c r="C60" s="229">
        <v>-26</v>
      </c>
      <c r="D60" s="230">
        <v>0.44</v>
      </c>
      <c r="E60" s="231">
        <v>73</v>
      </c>
      <c r="F60" s="230">
        <v>0.38</v>
      </c>
    </row>
    <row r="61" spans="2:6" x14ac:dyDescent="0.3">
      <c r="B61" s="211" t="s">
        <v>951</v>
      </c>
      <c r="C61" s="221"/>
      <c r="D61" s="224">
        <f>D54*0.5</f>
        <v>0.14499999999999999</v>
      </c>
      <c r="E61" s="222"/>
      <c r="F61" s="224">
        <f>F54*0.5</f>
        <v>0.125</v>
      </c>
    </row>
    <row r="62" spans="2:6" x14ac:dyDescent="0.3">
      <c r="B62" s="1" t="s">
        <v>946</v>
      </c>
      <c r="C62" s="232">
        <v>25</v>
      </c>
      <c r="D62" s="233">
        <v>0.14000000000000001</v>
      </c>
      <c r="E62" s="234">
        <v>95</v>
      </c>
      <c r="F62" s="235">
        <v>0.12</v>
      </c>
    </row>
  </sheetData>
  <hyperlinks>
    <hyperlink ref="B2" r:id="rId1" xr:uid="{B530734A-F1E9-44D1-8B8C-C4592A831FE2}"/>
    <hyperlink ref="B10" r:id="rId2" xr:uid="{F126B4EE-80ED-44B5-B9FC-B96894B15391}"/>
    <hyperlink ref="B18" r:id="rId3" xr:uid="{73D63698-D380-4EF5-8DD8-1F05F489A81B}"/>
    <hyperlink ref="B34" r:id="rId4" xr:uid="{020ACA9C-72FE-4B59-9DDF-40AF8328C76D}"/>
    <hyperlink ref="B51" r:id="rId5" xr:uid="{67F17446-A586-4D17-BB8A-B0D0E0ABDD48}"/>
  </hyperlinks>
  <pageMargins left="0.7" right="0.7" top="0.75" bottom="0.75" header="0.3" footer="0.3"/>
  <pageSetup paperSize="0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ModelRuns</vt:lpstr>
      <vt:lpstr>Estimating 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Zorn</dc:creator>
  <cp:lastModifiedBy>Yuqi Wang</cp:lastModifiedBy>
  <cp:lastPrinted>2025-08-27T16:40:49Z</cp:lastPrinted>
  <dcterms:created xsi:type="dcterms:W3CDTF">2023-07-24T21:39:21Z</dcterms:created>
  <dcterms:modified xsi:type="dcterms:W3CDTF">2026-10-23T23:11:41Z</dcterms:modified>
</cp:coreProperties>
</file>