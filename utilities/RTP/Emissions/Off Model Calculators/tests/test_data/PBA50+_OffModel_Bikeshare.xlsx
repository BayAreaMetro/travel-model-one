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63330\Documents\projects\MTC\travel-model-one\utilities\RTP\Emissions\Off Model Calculators\tests\test_data\"/>
    </mc:Choice>
  </mc:AlternateContent>
  <xr:revisionPtr revIDLastSave="0" documentId="13_ncr:1_{0413E36E-22C4-4D12-B66D-A7037255AD63}" xr6:coauthVersionLast="47" xr6:coauthVersionMax="47" xr10:uidLastSave="{00000000-0000-0000-0000-000000000000}"/>
  <bookViews>
    <workbookView xWindow="-22670" yWindow="-110" windowWidth="22780" windowHeight="14540" tabRatio="647" activeTab="5" xr2:uid="{00000000-000D-0000-FFFF-FFFF00000000}"/>
  </bookViews>
  <sheets>
    <sheet name="Main Sheet" sheetId="3" r:id="rId1"/>
    <sheet name="Research" sheetId="15" r:id="rId2"/>
    <sheet name="Model Data" sheetId="11" r:id="rId3"/>
    <sheet name="Emission Factors" sheetId="10" r:id="rId4"/>
    <sheet name="SB 375 calcs" sheetId="9" r:id="rId5"/>
    <sheet name="Output_test" sheetId="17" r:id="rId6"/>
    <sheet name="Output" sheetId="16" r:id="rId7"/>
  </sheets>
  <definedNames>
    <definedName name="_xlnm._FilterDatabase" localSheetId="2" hidden="1">'Model Data'!$A$1:$H$3</definedName>
    <definedName name="_xlnm._FilterDatabase" localSheetId="5" hidden="1">Output_test!$A$1:$D$31</definedName>
    <definedName name="runA">'Emission Factors'!$B$6</definedName>
    <definedName name="runB">'Emission Factors'!$C$6</definedName>
    <definedName name="runC">'Emission Factors'!$D$6</definedName>
    <definedName name="tripA">'Emission Factors'!$B$10</definedName>
    <definedName name="tripB">'Emission Factors'!$C$10</definedName>
    <definedName name="tripC">'Emission Factors'!$D$10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3" i="17" l="1"/>
  <c r="C33" i="17"/>
  <c r="D32" i="17"/>
  <c r="C32" i="17"/>
  <c r="C31" i="17"/>
  <c r="C30" i="17"/>
  <c r="C29" i="17"/>
  <c r="C27" i="17"/>
  <c r="C21" i="17"/>
  <c r="D31" i="17"/>
  <c r="D30" i="17"/>
  <c r="I23" i="17"/>
  <c r="C28" i="17"/>
  <c r="C26" i="17"/>
  <c r="C25" i="17"/>
  <c r="C24" i="17"/>
  <c r="C23" i="17"/>
  <c r="C22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AF3" i="16"/>
  <c r="AE3" i="16"/>
  <c r="C24" i="3" a="1"/>
  <c r="C24" i="3" s="1"/>
  <c r="C23" i="3"/>
  <c r="C22" i="3"/>
  <c r="C21" i="3"/>
  <c r="C19" i="3"/>
  <c r="C18" i="3" a="1"/>
  <c r="C18" i="3" s="1"/>
  <c r="AA3" i="16" s="1"/>
  <c r="C17" i="3" a="1"/>
  <c r="C17" i="3" s="1"/>
  <c r="Y3" i="16" s="1"/>
  <c r="D24" i="3" a="1"/>
  <c r="D24" i="3" s="1"/>
  <c r="D23" i="3"/>
  <c r="D22" i="3"/>
  <c r="D21" i="3"/>
  <c r="D19" i="3"/>
  <c r="D18" i="3" a="1"/>
  <c r="D18" i="3" s="1"/>
  <c r="AB3" i="16" s="1"/>
  <c r="D17" i="3" a="1"/>
  <c r="D17" i="3" s="1"/>
  <c r="Z3" i="16" s="1"/>
  <c r="B3" i="16"/>
  <c r="X3" i="16"/>
  <c r="W3" i="16"/>
  <c r="U3" i="16"/>
  <c r="V3" i="16"/>
  <c r="T3" i="16"/>
  <c r="S3" i="16"/>
  <c r="R3" i="16"/>
  <c r="Q3" i="16"/>
  <c r="P3" i="16"/>
  <c r="O3" i="16"/>
  <c r="N3" i="16"/>
  <c r="M3" i="16"/>
  <c r="L3" i="16"/>
  <c r="K3" i="16"/>
  <c r="A3" i="16"/>
  <c r="B10" i="3" l="1"/>
  <c r="C10" i="3" s="1"/>
  <c r="D10" i="3" l="1"/>
  <c r="C3" i="16" l="1"/>
  <c r="AC3" i="16"/>
  <c r="C17" i="15"/>
  <c r="GC17" i="15"/>
  <c r="GB17" i="15"/>
  <c r="GA17" i="15"/>
  <c r="FZ17" i="15"/>
  <c r="FY17" i="15"/>
  <c r="FX17" i="15"/>
  <c r="FW17" i="15"/>
  <c r="FV17" i="15"/>
  <c r="FU17" i="15"/>
  <c r="FT17" i="15"/>
  <c r="FS17" i="15"/>
  <c r="FR17" i="15"/>
  <c r="FQ17" i="15"/>
  <c r="FP17" i="15"/>
  <c r="FO17" i="15"/>
  <c r="FN17" i="15"/>
  <c r="FM17" i="15"/>
  <c r="FL17" i="15"/>
  <c r="FK17" i="15"/>
  <c r="FJ17" i="15"/>
  <c r="FI17" i="15"/>
  <c r="FH17" i="15"/>
  <c r="FG17" i="15"/>
  <c r="FF17" i="15"/>
  <c r="FE17" i="15"/>
  <c r="FD17" i="15"/>
  <c r="FC17" i="15"/>
  <c r="FB17" i="15"/>
  <c r="FA17" i="15"/>
  <c r="EZ17" i="15"/>
  <c r="EY17" i="15"/>
  <c r="EX17" i="15"/>
  <c r="EW17" i="15"/>
  <c r="EV17" i="15"/>
  <c r="EU17" i="15"/>
  <c r="ET17" i="15"/>
  <c r="ES17" i="15"/>
  <c r="ER17" i="15"/>
  <c r="EQ17" i="15"/>
  <c r="EP17" i="15"/>
  <c r="EO17" i="15"/>
  <c r="EN17" i="15"/>
  <c r="EM17" i="15"/>
  <c r="EL17" i="15"/>
  <c r="EK17" i="15"/>
  <c r="EJ17" i="15"/>
  <c r="EI17" i="15"/>
  <c r="EH17" i="15"/>
  <c r="EG17" i="15"/>
  <c r="EF17" i="15"/>
  <c r="EE17" i="15"/>
  <c r="ED17" i="15"/>
  <c r="EC17" i="15"/>
  <c r="EB17" i="15"/>
  <c r="EA17" i="15"/>
  <c r="DZ17" i="15"/>
  <c r="DY17" i="15"/>
  <c r="DX17" i="15"/>
  <c r="DW17" i="15"/>
  <c r="DV17" i="15"/>
  <c r="DU17" i="15"/>
  <c r="DT17" i="15"/>
  <c r="DS17" i="15"/>
  <c r="DR17" i="15"/>
  <c r="DQ17" i="15"/>
  <c r="DP17" i="15"/>
  <c r="DO17" i="15"/>
  <c r="DN17" i="15"/>
  <c r="DM17" i="15"/>
  <c r="DL17" i="15"/>
  <c r="DK17" i="15"/>
  <c r="DJ17" i="15"/>
  <c r="DI17" i="15"/>
  <c r="DH17" i="15"/>
  <c r="DG17" i="15"/>
  <c r="DF17" i="15"/>
  <c r="DE17" i="15"/>
  <c r="DD17" i="15"/>
  <c r="DC17" i="15"/>
  <c r="DB17" i="15"/>
  <c r="DA17" i="15"/>
  <c r="CZ17" i="15"/>
  <c r="CY17" i="15"/>
  <c r="CX17" i="15"/>
  <c r="CW17" i="15"/>
  <c r="CV17" i="15"/>
  <c r="CU17" i="15"/>
  <c r="CT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F17" i="15"/>
  <c r="CE17" i="15"/>
  <c r="CD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B17" i="15"/>
  <c r="B18" i="15" l="1"/>
  <c r="E3" i="16" l="1"/>
  <c r="I3" i="16" l="1"/>
  <c r="G3" i="16"/>
  <c r="D3" i="16"/>
  <c r="AD3" i="16"/>
  <c r="F3" i="16" l="1"/>
  <c r="H3" i="16" l="1"/>
  <c r="J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tc={593EC1C4-B45D-4A14-87E5-AB21662C5811}</author>
  </authors>
  <commentList>
    <comment ref="X2" authorId="0" shapeId="0" xr:uid="{593EC1C4-B45D-4A14-87E5-AB21662C581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year might change to 2060 eventually...is that a problem?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<sst xmlns="http://schemas.openxmlformats.org/spreadsheetml/2006/main" count="298" uniqueCount="153">
  <si>
    <t>Bike Share</t>
  </si>
  <si>
    <t>Inputs</t>
  </si>
  <si>
    <t>Variable</t>
  </si>
  <si>
    <t>Value</t>
  </si>
  <si>
    <t>Source/Notes</t>
  </si>
  <si>
    <t>VMT reductions due to bike share</t>
  </si>
  <si>
    <t>VMT displaced / trip (bike + transit) - Conventional Bike</t>
  </si>
  <si>
    <t>Volker, Handy, Kendall, &amp; Barbour, 2020</t>
  </si>
  <si>
    <t xml:space="preserve">VMT displaced / trip (bike + transit) - e-Bike </t>
  </si>
  <si>
    <t>Calculated based on Rzepecki, 2019, applying the adjustment factor from Volker, Handy, Kendall, &amp; Barbour, 2020</t>
  </si>
  <si>
    <t>Baseline service conditions (2022)</t>
  </si>
  <si>
    <t>Total population</t>
  </si>
  <si>
    <t>ACS 1-Year 2022</t>
  </si>
  <si>
    <t>Bikes available</t>
  </si>
  <si>
    <t>MTC Data (7,575 bikes by 2024, extrapolation to 2035)</t>
  </si>
  <si>
    <t>Daily trips on bike share</t>
  </si>
  <si>
    <t>Lyft Bay Wheels System Data from January-December 2022</t>
  </si>
  <si>
    <t xml:space="preserve">Percent e-bikes </t>
  </si>
  <si>
    <t>Lyft system data and MTC assumption about industry trends</t>
  </si>
  <si>
    <t>2035_TM160_IPA_17</t>
  </si>
  <si>
    <t>Model Outputs</t>
  </si>
  <si>
    <t>Lookup Value</t>
  </si>
  <si>
    <t>total_population</t>
  </si>
  <si>
    <t>TazData, TOTPOP field</t>
  </si>
  <si>
    <t>Total jobs</t>
  </si>
  <si>
    <t>total_employment</t>
  </si>
  <si>
    <t>TazData, TOTEMP field</t>
  </si>
  <si>
    <t>% population growth since baseline year</t>
  </si>
  <si>
    <t>Results</t>
  </si>
  <si>
    <t>Estimated daily bike share trips</t>
  </si>
  <si>
    <t>Total daily VMT reductions</t>
  </si>
  <si>
    <t>Total daily GHG reductions (tons)</t>
  </si>
  <si>
    <t>Per capita GHG reductions</t>
  </si>
  <si>
    <t>Bikeshare Ridership</t>
  </si>
  <si>
    <t>City</t>
  </si>
  <si>
    <t>Planned Bikes</t>
  </si>
  <si>
    <t>Bikes Deployed</t>
  </si>
  <si>
    <t>% Complete</t>
  </si>
  <si>
    <t>Berkeley</t>
  </si>
  <si>
    <t>Emeryville</t>
  </si>
  <si>
    <t>Oakland</t>
  </si>
  <si>
    <t>San Francisco</t>
  </si>
  <si>
    <t>San Jose</t>
  </si>
  <si>
    <t>Total</t>
  </si>
  <si>
    <t>Source: MTC</t>
  </si>
  <si>
    <t>Bikeshare Availability (May-October 2019); Source: Lyft Bay Wheels System Data (https://www.lyft.com/bikes/bay-wheels/system-data)</t>
  </si>
  <si>
    <t>Average (May-Oct)</t>
  </si>
  <si>
    <t>Bikeshare Trips (January-December 2022); Source: Lyft Bay Wheels System Data (https://www.lyft.com/bikes/bay-wheels/system-data)</t>
  </si>
  <si>
    <t>Month</t>
  </si>
  <si>
    <t>Classic Rides</t>
  </si>
  <si>
    <t>Docked Rides</t>
  </si>
  <si>
    <t>Electric Rides</t>
  </si>
  <si>
    <t>Total Rides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</si>
  <si>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</si>
  <si>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</si>
  <si>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</si>
  <si>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</si>
  <si>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</si>
  <si>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</si>
  <si>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</si>
  <si>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</si>
  <si>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</si>
  <si>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</si>
  <si>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</si>
  <si>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</si>
  <si>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Rides/Day</t>
  </si>
  <si>
    <t>directory</t>
  </si>
  <si>
    <t>variable</t>
  </si>
  <si>
    <t>value</t>
  </si>
  <si>
    <t>2005_TM160_IPA_04</t>
  </si>
  <si>
    <t>Emission Factors</t>
  </si>
  <si>
    <t>EMFAC2021 v1.0.2 (in PBA50, used EMFAC2014, v1.0.7)</t>
  </si>
  <si>
    <t>All rates in grams per mile</t>
  </si>
  <si>
    <t>Provided to James and Joel by Harold on 10-26-23</t>
  </si>
  <si>
    <t>Regional CO2 running EF (grams/mi)</t>
  </si>
  <si>
    <t>g/lb conversion</t>
  </si>
  <si>
    <t>lb/ton conversion</t>
  </si>
  <si>
    <t>Regional CO2 running EF (tons/mi)</t>
  </si>
  <si>
    <t>Regional CO2 tripend EF (grams/trip)</t>
  </si>
  <si>
    <t>Regional CO2 tripend EF (tons/trip)</t>
  </si>
  <si>
    <t>Regional Urban Bus CO2 exhaust EF (grams/mi)</t>
  </si>
  <si>
    <t>Regional Urban Bus CO2 exhaust EF (tons/mi)</t>
  </si>
  <si>
    <t>YEAR 2035</t>
  </si>
  <si>
    <r>
      <t>NO CONTROLS CO</t>
    </r>
    <r>
      <rPr>
        <b/>
        <i/>
        <u/>
        <vertAlign val="subscript"/>
        <sz val="11"/>
        <rFont val="Calibri"/>
        <family val="2"/>
      </rPr>
      <t>2</t>
    </r>
    <r>
      <rPr>
        <b/>
        <i/>
        <u/>
        <sz val="11"/>
        <rFont val="Calibri"/>
        <family val="2"/>
      </rPr>
      <t xml:space="preserve"> Exhaust &amp; Tripend Emission Rates</t>
    </r>
  </si>
  <si>
    <t>Exhaust</t>
  </si>
  <si>
    <t>Tripend</t>
  </si>
  <si>
    <t>Urban Buses</t>
  </si>
  <si>
    <r>
      <t>CO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 xml:space="preserve"> Exhaust Emisison Rates</t>
    </r>
  </si>
  <si>
    <t xml:space="preserve">Alameda </t>
  </si>
  <si>
    <t xml:space="preserve">Contra Costa </t>
  </si>
  <si>
    <t>Alameda</t>
  </si>
  <si>
    <t xml:space="preserve">Marin </t>
  </si>
  <si>
    <t>Contra Costa</t>
  </si>
  <si>
    <t xml:space="preserve">Napa </t>
  </si>
  <si>
    <t>Marin</t>
  </si>
  <si>
    <t xml:space="preserve">San Francisco </t>
  </si>
  <si>
    <t>Napa</t>
  </si>
  <si>
    <t xml:space="preserve">San Mateo </t>
  </si>
  <si>
    <t xml:space="preserve">Santa Clara </t>
  </si>
  <si>
    <t>San Mateo</t>
  </si>
  <si>
    <t>Solano (SF)</t>
  </si>
  <si>
    <t>Santa Clara</t>
  </si>
  <si>
    <t>Solano (SV)</t>
  </si>
  <si>
    <t>Solano</t>
  </si>
  <si>
    <t>Sonoma (NC)</t>
  </si>
  <si>
    <t>Sonoma</t>
  </si>
  <si>
    <t>Sonoma (SF)</t>
  </si>
  <si>
    <t>Region</t>
  </si>
  <si>
    <t>in grams per mile</t>
  </si>
  <si>
    <t>Regionwide</t>
  </si>
  <si>
    <t>YEAR 2050</t>
  </si>
  <si>
    <t>Population</t>
  </si>
  <si>
    <t>Sheet</t>
  </si>
  <si>
    <t>Main sheet</t>
  </si>
  <si>
    <t>Baseline Run ID</t>
  </si>
  <si>
    <t>Horizon Run ID</t>
  </si>
  <si>
    <t>VMT_displaced_conventional</t>
  </si>
  <si>
    <t>VMT_displaced_ebike</t>
  </si>
  <si>
    <t>Total_pop_baseline</t>
  </si>
  <si>
    <t>Bikes_available_baseline</t>
  </si>
  <si>
    <t>Bikes_available_2035</t>
  </si>
  <si>
    <t>Bikes_available_2050</t>
  </si>
  <si>
    <t>Daily_trips_baseline</t>
  </si>
  <si>
    <t>Daily_trips_2035</t>
  </si>
  <si>
    <t>Daily_trips_2050</t>
  </si>
  <si>
    <t>Percent_ebikes_baseline</t>
  </si>
  <si>
    <t>Percent_ebikes_2035</t>
  </si>
  <si>
    <t>Percent_ebikes_2050</t>
  </si>
  <si>
    <t>Run_directory_2035</t>
  </si>
  <si>
    <t>Run_directory_2050</t>
  </si>
  <si>
    <t>Model_totpop_2035</t>
  </si>
  <si>
    <t>Model_totpop_2050</t>
  </si>
  <si>
    <t>Model_totjobs_2035</t>
  </si>
  <si>
    <t>Model_totjobs_2050</t>
  </si>
  <si>
    <t>Percent_popgrowth_2035</t>
  </si>
  <si>
    <t>Percent_popgrowth_2050</t>
  </si>
  <si>
    <t>Out_bikeshare_trips_2035</t>
  </si>
  <si>
    <t>Out_bikeshare_trips_2050</t>
  </si>
  <si>
    <t>Out_daily_VMT_reduced_2035</t>
  </si>
  <si>
    <t>Out_daily_VMT_reduced_2050</t>
  </si>
  <si>
    <t>Out_daily_GHG_reduced_2035</t>
  </si>
  <si>
    <t>Out_daily_GHG_reduced_2050</t>
  </si>
  <si>
    <t>Out_per_capita_GHG_reduced_2035</t>
  </si>
  <si>
    <t>Out_per_capita_GHG_reduced_2050</t>
  </si>
  <si>
    <t>DailyCO2</t>
  </si>
  <si>
    <t>RunID</t>
  </si>
  <si>
    <t>total_pop_popsyn</t>
  </si>
  <si>
    <t>Run_cell_address_2035</t>
  </si>
  <si>
    <t>Baseline</t>
  </si>
  <si>
    <t>Location</t>
  </si>
  <si>
    <t>Variable Name</t>
  </si>
  <si>
    <t>Main Sheet</t>
  </si>
  <si>
    <t>year_2035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</si>
</sst>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0.000%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vertAlign val="subscript"/>
      <sz val="11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i/>
      <u/>
      <sz val="11"/>
      <name val="Calibri"/>
      <family val="2"/>
    </font>
    <font>
      <b/>
      <i/>
      <u/>
      <vertAlign val="subscript"/>
      <sz val="11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7"/>
      <color rgb="FF986516"/>
      <name val="Courier New"/>
      <family val="3"/>
    </font>
    <font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/>
    <xf numFmtId="0" fontId="2" fillId="0" borderId="0" xfId="0" applyFont="1"/>
    <xf numFmtId="0" fontId="8" fillId="0" borderId="0" xfId="0" applyFont="1"/>
    <xf numFmtId="3" fontId="3" fillId="0" borderId="0" xfId="1" applyNumberFormat="1" applyFont="1"/>
    <xf numFmtId="0" fontId="9" fillId="0" borderId="0" xfId="0" applyFont="1"/>
    <xf numFmtId="0" fontId="3" fillId="5" borderId="0" xfId="0" applyFont="1" applyFill="1"/>
    <xf numFmtId="0" fontId="5" fillId="5" borderId="0" xfId="0" applyFont="1" applyFill="1" applyAlignment="1">
      <alignment horizontal="center"/>
    </xf>
    <xf numFmtId="164" fontId="3" fillId="5" borderId="0" xfId="1" applyNumberFormat="1" applyFont="1" applyFill="1"/>
    <xf numFmtId="2" fontId="3" fillId="5" borderId="0" xfId="0" applyNumberFormat="1" applyFont="1" applyFill="1"/>
    <xf numFmtId="9" fontId="3" fillId="5" borderId="0" xfId="0" applyNumberFormat="1" applyFont="1" applyFill="1"/>
    <xf numFmtId="166" fontId="3" fillId="5" borderId="0" xfId="2" applyNumberFormat="1" applyFont="1" applyFill="1"/>
    <xf numFmtId="165" fontId="3" fillId="5" borderId="0" xfId="0" applyNumberFormat="1" applyFont="1" applyFill="1"/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164" fontId="3" fillId="5" borderId="5" xfId="1" applyNumberFormat="1" applyFont="1" applyFill="1" applyBorder="1"/>
    <xf numFmtId="0" fontId="5" fillId="0" borderId="5" xfId="0" applyFont="1" applyBorder="1" applyAlignment="1">
      <alignment horizontal="center"/>
    </xf>
    <xf numFmtId="164" fontId="3" fillId="0" borderId="5" xfId="1" applyNumberFormat="1" applyFont="1" applyFill="1" applyBorder="1"/>
    <xf numFmtId="166" fontId="3" fillId="0" borderId="5" xfId="2" applyNumberFormat="1" applyFont="1" applyFill="1" applyBorder="1"/>
    <xf numFmtId="0" fontId="3" fillId="5" borderId="0" xfId="0" applyFont="1" applyFill="1" applyAlignment="1">
      <alignment horizontal="left" vertical="center"/>
    </xf>
    <xf numFmtId="0" fontId="12" fillId="8" borderId="0" xfId="0" applyFont="1" applyFill="1"/>
    <xf numFmtId="2" fontId="3" fillId="0" borderId="0" xfId="0" applyNumberFormat="1" applyFont="1"/>
    <xf numFmtId="0" fontId="2" fillId="5" borderId="0" xfId="0" applyFont="1" applyFill="1" applyAlignment="1">
      <alignment vertical="top"/>
    </xf>
    <xf numFmtId="0" fontId="13" fillId="3" borderId="0" xfId="0" applyFont="1" applyFill="1" applyAlignment="1">
      <alignment horizontal="center"/>
    </xf>
    <xf numFmtId="0" fontId="11" fillId="9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/>
    </xf>
    <xf numFmtId="0" fontId="0" fillId="5" borderId="0" xfId="0" applyFill="1"/>
    <xf numFmtId="0" fontId="0" fillId="5" borderId="0" xfId="3" applyFont="1" applyFill="1"/>
    <xf numFmtId="164" fontId="0" fillId="5" borderId="0" xfId="1" applyNumberFormat="1" applyFont="1" applyFill="1" applyBorder="1"/>
    <xf numFmtId="0" fontId="0" fillId="5" borderId="2" xfId="3" applyFont="1" applyFill="1" applyBorder="1"/>
    <xf numFmtId="15" fontId="0" fillId="5" borderId="2" xfId="3" applyNumberFormat="1" applyFont="1" applyFill="1" applyBorder="1"/>
    <xf numFmtId="3" fontId="0" fillId="5" borderId="0" xfId="3" applyNumberFormat="1" applyFont="1" applyFill="1"/>
    <xf numFmtId="0" fontId="2" fillId="5" borderId="5" xfId="3" applyFont="1" applyFill="1" applyBorder="1"/>
    <xf numFmtId="0" fontId="15" fillId="0" borderId="0" xfId="0" applyFont="1"/>
    <xf numFmtId="4" fontId="15" fillId="0" borderId="0" xfId="0" applyNumberFormat="1" applyFont="1"/>
    <xf numFmtId="4" fontId="16" fillId="0" borderId="0" xfId="0" applyNumberFormat="1" applyFont="1"/>
    <xf numFmtId="0" fontId="9" fillId="5" borderId="6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horizontal="center" vertical="center" wrapText="1"/>
    </xf>
    <xf numFmtId="9" fontId="9" fillId="5" borderId="5" xfId="0" applyNumberFormat="1" applyFont="1" applyFill="1" applyBorder="1" applyAlignment="1">
      <alignment horizontal="center" vertical="center" wrapText="1"/>
    </xf>
    <xf numFmtId="3" fontId="9" fillId="5" borderId="5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left" vertical="center" indent="1"/>
    </xf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3" fillId="0" borderId="5" xfId="0" applyFont="1" applyBorder="1" applyAlignment="1">
      <alignment horizontal="left" indent="1"/>
    </xf>
    <xf numFmtId="0" fontId="4" fillId="10" borderId="1" xfId="0" applyFont="1" applyFill="1" applyBorder="1" applyAlignment="1">
      <alignment vertical="center"/>
    </xf>
    <xf numFmtId="0" fontId="4" fillId="10" borderId="3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3" fontId="21" fillId="5" borderId="0" xfId="0" applyNumberFormat="1" applyFont="1" applyFill="1"/>
    <xf numFmtId="0" fontId="22" fillId="0" borderId="5" xfId="0" applyFont="1" applyBorder="1" applyAlignment="1">
      <alignment horizontal="left" indent="1"/>
    </xf>
    <xf numFmtId="167" fontId="22" fillId="0" borderId="5" xfId="2" applyNumberFormat="1" applyFont="1" applyFill="1" applyBorder="1"/>
    <xf numFmtId="0" fontId="7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5" fillId="5" borderId="9" xfId="0" applyFont="1" applyFill="1" applyBorder="1" applyAlignment="1">
      <alignment vertical="center"/>
    </xf>
    <xf numFmtId="0" fontId="3" fillId="5" borderId="9" xfId="0" applyFont="1" applyFill="1" applyBorder="1"/>
    <xf numFmtId="0" fontId="13" fillId="11" borderId="0" xfId="0" applyFont="1" applyFill="1"/>
    <xf numFmtId="0" fontId="6" fillId="13" borderId="9" xfId="0" applyFont="1" applyFill="1" applyBorder="1"/>
    <xf numFmtId="0" fontId="23" fillId="13" borderId="0" xfId="0" applyFont="1" applyFill="1"/>
    <xf numFmtId="0" fontId="3" fillId="5" borderId="10" xfId="0" applyFont="1" applyFill="1" applyBorder="1" applyAlignment="1">
      <alignment horizontal="left" vertical="center" indent="1"/>
    </xf>
    <xf numFmtId="0" fontId="24" fillId="0" borderId="11" xfId="0" applyFont="1" applyBorder="1"/>
    <xf numFmtId="0" fontId="23" fillId="0" borderId="11" xfId="0" applyFont="1" applyBorder="1"/>
    <xf numFmtId="0" fontId="3" fillId="0" borderId="10" xfId="0" applyFont="1" applyBorder="1" applyAlignment="1">
      <alignment horizontal="left" indent="1"/>
    </xf>
    <xf numFmtId="164" fontId="3" fillId="12" borderId="11" xfId="0" applyNumberFormat="1" applyFont="1" applyFill="1" applyBorder="1" applyAlignment="1">
      <alignment horizontal="right"/>
    </xf>
    <xf numFmtId="43" fontId="3" fillId="12" borderId="5" xfId="1" applyFont="1" applyFill="1" applyBorder="1" applyAlignment="1">
      <alignment vertical="center"/>
    </xf>
    <xf numFmtId="0" fontId="3" fillId="5" borderId="9" xfId="0" applyFont="1" applyFill="1" applyBorder="1" applyAlignment="1">
      <alignment horizontal="left"/>
    </xf>
    <xf numFmtId="43" fontId="3" fillId="6" borderId="6" xfId="1" applyFont="1" applyFill="1" applyBorder="1" applyAlignment="1">
      <alignment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/>
    </xf>
    <xf numFmtId="164" fontId="3" fillId="6" borderId="8" xfId="1" applyNumberFormat="1" applyFont="1" applyFill="1" applyBorder="1" applyAlignment="1">
      <alignment horizontal="right" vertical="center"/>
    </xf>
    <xf numFmtId="9" fontId="3" fillId="5" borderId="0" xfId="0" applyNumberFormat="1" applyFont="1" applyFill="1" applyAlignment="1">
      <alignment horizontal="right"/>
    </xf>
    <xf numFmtId="164" fontId="3" fillId="12" borderId="12" xfId="1" applyNumberFormat="1" applyFont="1" applyFill="1" applyBorder="1" applyAlignment="1">
      <alignment horizontal="right" vertical="center"/>
    </xf>
    <xf numFmtId="164" fontId="3" fillId="12" borderId="13" xfId="1" applyNumberFormat="1" applyFont="1" applyFill="1" applyBorder="1" applyAlignment="1">
      <alignment horizontal="right" vertical="center"/>
    </xf>
    <xf numFmtId="164" fontId="25" fillId="5" borderId="0" xfId="0" applyNumberFormat="1" applyFont="1" applyFill="1" applyAlignment="1">
      <alignment horizontal="right"/>
    </xf>
    <xf numFmtId="9" fontId="10" fillId="6" borderId="5" xfId="2" applyFont="1" applyFill="1" applyBorder="1" applyAlignment="1">
      <alignment horizontal="right"/>
    </xf>
    <xf numFmtId="3" fontId="0" fillId="5" borderId="0" xfId="0" applyNumberFormat="1" applyFill="1"/>
    <xf numFmtId="164" fontId="23" fillId="13" borderId="0" xfId="1" applyNumberFormat="1" applyFont="1" applyFill="1"/>
    <xf numFmtId="0" fontId="2" fillId="5" borderId="0" xfId="3" applyFont="1" applyFill="1"/>
    <xf numFmtId="1" fontId="2" fillId="5" borderId="0" xfId="3" applyNumberFormat="1" applyFont="1" applyFill="1"/>
    <xf numFmtId="1" fontId="2" fillId="2" borderId="5" xfId="3" applyNumberFormat="1" applyFont="1" applyFill="1" applyBorder="1"/>
    <xf numFmtId="0" fontId="23" fillId="2" borderId="11" xfId="0" applyFont="1" applyFill="1" applyBorder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11" fontId="24" fillId="0" borderId="0" xfId="0" applyNumberFormat="1" applyFont="1"/>
    <xf numFmtId="0" fontId="29" fillId="0" borderId="0" xfId="0" applyFont="1"/>
    <xf numFmtId="0" fontId="30" fillId="0" borderId="0" xfId="0" applyFont="1"/>
    <xf numFmtId="0" fontId="17" fillId="0" borderId="0" xfId="0" applyFont="1"/>
    <xf numFmtId="0" fontId="32" fillId="0" borderId="0" xfId="0" applyFont="1"/>
    <xf numFmtId="0" fontId="33" fillId="0" borderId="0" xfId="0" applyFont="1"/>
    <xf numFmtId="0" fontId="19" fillId="0" borderId="0" xfId="0" applyFont="1"/>
    <xf numFmtId="0" fontId="34" fillId="0" borderId="0" xfId="0" applyFont="1" applyAlignment="1">
      <alignment horizontal="center" vertical="center"/>
    </xf>
    <xf numFmtId="3" fontId="35" fillId="0" borderId="0" xfId="0" applyNumberFormat="1" applyFont="1" applyAlignment="1">
      <alignment horizontal="right" vertical="center"/>
    </xf>
    <xf numFmtId="0" fontId="36" fillId="0" borderId="0" xfId="0" applyFont="1"/>
    <xf numFmtId="0" fontId="37" fillId="0" borderId="0" xfId="0" applyFont="1"/>
    <xf numFmtId="0" fontId="38" fillId="0" borderId="0" xfId="0" applyFont="1"/>
    <xf numFmtId="4" fontId="33" fillId="0" borderId="0" xfId="0" applyNumberFormat="1" applyFont="1"/>
    <xf numFmtId="0" fontId="25" fillId="0" borderId="0" xfId="0" applyFont="1"/>
    <xf numFmtId="43" fontId="0" fillId="0" borderId="0" xfId="0" applyNumberFormat="1"/>
    <xf numFmtId="0" fontId="16" fillId="0" borderId="0" xfId="0" applyFont="1"/>
    <xf numFmtId="0" fontId="39" fillId="0" borderId="5" xfId="0" applyFont="1" applyBorder="1" applyAlignment="1">
      <alignment horizontal="center" vertical="top"/>
    </xf>
    <xf numFmtId="10" fontId="22" fillId="0" borderId="5" xfId="2" applyNumberFormat="1" applyFont="1" applyFill="1" applyBorder="1"/>
    <xf numFmtId="0" fontId="0" fillId="0" borderId="0" xfId="0" applyAlignment="1">
      <alignment wrapText="1"/>
    </xf>
    <xf numFmtId="0" fontId="0" fillId="15" borderId="0" xfId="0" applyFill="1" applyAlignment="1">
      <alignment wrapText="1"/>
    </xf>
    <xf numFmtId="0" fontId="9" fillId="15" borderId="0" xfId="0" applyFont="1" applyFill="1" applyAlignment="1">
      <alignment wrapText="1"/>
    </xf>
    <xf numFmtId="0" fontId="0" fillId="14" borderId="0" xfId="0" applyFill="1" applyAlignment="1">
      <alignment wrapText="1"/>
    </xf>
    <xf numFmtId="9" fontId="0" fillId="0" borderId="0" xfId="0" applyNumberFormat="1"/>
    <xf numFmtId="10" fontId="0" fillId="0" borderId="0" xfId="0" applyNumberFormat="1"/>
    <xf numFmtId="0" fontId="2" fillId="14" borderId="0" xfId="0" applyFont="1" applyFill="1" applyAlignment="1">
      <alignment wrapText="1"/>
    </xf>
    <xf numFmtId="0" fontId="2" fillId="0" borderId="0" xfId="0" applyFont="1" applyAlignment="1">
      <alignment wrapText="1"/>
    </xf>
    <xf numFmtId="3" fontId="9" fillId="5" borderId="6" xfId="0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6" fillId="0" borderId="0" xfId="0" applyFont="1"/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colors>
    <mruColors>
      <color rgb="FF9BC2E6"/>
      <color rgb="FFFFF2CC"/>
      <color rgb="FF4472C4"/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el Mandella" id="{D2FA35A1-E761-4E7B-8FC8-4B2BEB382F26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2" dT="2024-07-23T23:08:18.89" personId="{D2FA35A1-E761-4E7B-8FC8-4B2BEB382F26}" id="{593EC1C4-B45D-4A14-87E5-AB21662C5811}" done="1">
    <text>This year might change to 2060 eventually...is that a problem?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26"/>
  <sheetViews>
    <sheetView zoomScaleNormal="100" zoomScalePageLayoutView="85" workbookViewId="0">
      <selection activeCell="C18" sqref="C18"/>
    </sheetView>
  </sheetViews>
  <sheetFormatPr defaultColWidth="8.5703125" defaultRowHeight="12.75" x14ac:dyDescent="0.2"/>
  <cols>
    <col min="1" max="1" width="49.140625" style="6" customWidth="1"/>
    <col min="2" max="2" width="13.42578125" style="6" bestFit="1" customWidth="1"/>
    <col min="3" max="3" width="19.85546875" style="6" customWidth="1"/>
    <col min="4" max="4" width="21.42578125" style="6" customWidth="1"/>
    <col min="5" max="5" width="15.42578125" style="6" customWidth="1"/>
    <col min="6" max="6" width="94.42578125" style="6" customWidth="1"/>
    <col min="7" max="16384" width="8.5703125" style="6"/>
  </cols>
  <sheetData>
    <row r="1" spans="1:6" s="20" customFormat="1" ht="27.6" customHeight="1" x14ac:dyDescent="0.25">
      <c r="A1" s="24" t="s">
        <v>0</v>
      </c>
    </row>
    <row r="2" spans="1:6" x14ac:dyDescent="0.2">
      <c r="A2" s="25" t="s">
        <v>1</v>
      </c>
      <c r="B2" s="25"/>
      <c r="C2" s="25"/>
      <c r="D2" s="25"/>
      <c r="E2" s="25"/>
      <c r="F2" s="25"/>
    </row>
    <row r="3" spans="1:6" x14ac:dyDescent="0.2">
      <c r="A3" s="13" t="s">
        <v>2</v>
      </c>
      <c r="B3" s="13" t="s">
        <v>3</v>
      </c>
      <c r="C3" s="7"/>
      <c r="D3" s="7"/>
      <c r="E3" s="7"/>
      <c r="F3" s="55" t="s">
        <v>4</v>
      </c>
    </row>
    <row r="4" spans="1:6" x14ac:dyDescent="0.2">
      <c r="A4" s="47" t="s">
        <v>5</v>
      </c>
      <c r="B4" s="48"/>
      <c r="F4" s="56"/>
    </row>
    <row r="5" spans="1:6" x14ac:dyDescent="0.2">
      <c r="A5" s="42" t="s">
        <v>6</v>
      </c>
      <c r="B5" s="65">
        <v>0.75</v>
      </c>
      <c r="C5" s="8"/>
      <c r="D5" s="8"/>
      <c r="E5" s="8"/>
      <c r="F5" s="58" t="s">
        <v>7</v>
      </c>
    </row>
    <row r="6" spans="1:6" x14ac:dyDescent="0.2">
      <c r="A6" s="42" t="s">
        <v>8</v>
      </c>
      <c r="B6" s="67">
        <v>1.3</v>
      </c>
      <c r="C6" s="21"/>
      <c r="D6" s="9"/>
      <c r="E6" s="9"/>
      <c r="F6" s="58" t="s">
        <v>9</v>
      </c>
    </row>
    <row r="7" spans="1:6" x14ac:dyDescent="0.2">
      <c r="A7" s="49" t="s">
        <v>10</v>
      </c>
      <c r="B7" s="68" t="s">
        <v>148</v>
      </c>
      <c r="C7" s="69">
        <v>2035</v>
      </c>
      <c r="D7" s="69">
        <v>2050</v>
      </c>
      <c r="E7" s="10"/>
      <c r="F7" s="56"/>
    </row>
    <row r="8" spans="1:6" x14ac:dyDescent="0.2">
      <c r="A8" s="46" t="s">
        <v>11</v>
      </c>
      <c r="B8" s="70">
        <v>7516241</v>
      </c>
      <c r="C8" s="71"/>
      <c r="D8" s="71"/>
      <c r="E8" s="10"/>
      <c r="F8" s="66" t="s">
        <v>12</v>
      </c>
    </row>
    <row r="9" spans="1:6" x14ac:dyDescent="0.2">
      <c r="A9" s="63" t="s">
        <v>13</v>
      </c>
      <c r="B9" s="72">
        <v>6040</v>
      </c>
      <c r="C9" s="64">
        <v>9000</v>
      </c>
      <c r="D9" s="64">
        <v>9000</v>
      </c>
      <c r="E9" s="10"/>
      <c r="F9" s="66" t="s">
        <v>14</v>
      </c>
    </row>
    <row r="10" spans="1:6" x14ac:dyDescent="0.2">
      <c r="A10" s="60" t="s">
        <v>15</v>
      </c>
      <c r="B10" s="73">
        <f>Research!E35</f>
        <v>7164</v>
      </c>
      <c r="C10" s="74">
        <f>B10*(1+(C9-B9)/B9)</f>
        <v>10674.834437086092</v>
      </c>
      <c r="D10" s="74">
        <f>C10*(1+(D9-C9)/C9)</f>
        <v>10674.834437086092</v>
      </c>
      <c r="F10" s="58" t="s">
        <v>16</v>
      </c>
    </row>
    <row r="11" spans="1:6" x14ac:dyDescent="0.2">
      <c r="A11" s="42" t="s">
        <v>17</v>
      </c>
      <c r="B11" s="75">
        <v>0.3</v>
      </c>
      <c r="C11" s="75">
        <v>1</v>
      </c>
      <c r="D11" s="75">
        <v>1</v>
      </c>
      <c r="E11" s="8"/>
      <c r="F11" s="56" t="s">
        <v>18</v>
      </c>
    </row>
    <row r="12" spans="1:6" x14ac:dyDescent="0.2">
      <c r="A12" s="19"/>
      <c r="B12" s="8"/>
      <c r="C12" s="8"/>
      <c r="E12" s="8"/>
    </row>
    <row r="14" spans="1:6" x14ac:dyDescent="0.2">
      <c r="A14" s="41"/>
      <c r="B14" s="41"/>
      <c r="C14" s="23" t="s">
        <v>19</v>
      </c>
      <c r="D14" s="23"/>
      <c r="E14" s="25"/>
      <c r="F14" s="57"/>
    </row>
    <row r="15" spans="1:6" x14ac:dyDescent="0.2">
      <c r="A15" s="16" t="s">
        <v>2</v>
      </c>
      <c r="B15" s="16"/>
      <c r="C15" s="16">
        <v>2035</v>
      </c>
      <c r="D15" s="14">
        <v>2050</v>
      </c>
      <c r="E15" s="7"/>
      <c r="F15" s="55" t="s">
        <v>4</v>
      </c>
    </row>
    <row r="16" spans="1:6" x14ac:dyDescent="0.2">
      <c r="A16" s="43" t="s">
        <v>20</v>
      </c>
      <c r="B16" s="44"/>
      <c r="C16" s="44"/>
      <c r="D16" s="45"/>
      <c r="E16" s="50" t="s">
        <v>21</v>
      </c>
      <c r="F16" s="55"/>
    </row>
    <row r="17" spans="1:6" x14ac:dyDescent="0.2">
      <c r="A17" s="46" t="s">
        <v>11</v>
      </c>
      <c r="B17" s="15"/>
      <c r="C17" s="15" cm="1">
        <f t="array" ref="C17">IFERROR(INDEX('Model Data'!$F:$F,MATCH(1,($C$14='Model Data'!$D:$D)*($E17='Model Data'!$E:$E),0)),"")</f>
        <v>8476332</v>
      </c>
      <c r="D17" s="15" t="str" cm="1">
        <f t="array" ref="D17">IFERROR(INDEX('Model Data'!$F:$F,MATCH(1,($D$14='Model Data'!$D:$D)*($E17='Model Data'!$E:$E),0)),"")</f>
        <v/>
      </c>
      <c r="E17" s="50" t="s">
        <v>22</v>
      </c>
      <c r="F17" s="56" t="s">
        <v>23</v>
      </c>
    </row>
    <row r="18" spans="1:6" x14ac:dyDescent="0.2">
      <c r="A18" s="46" t="s">
        <v>24</v>
      </c>
      <c r="B18" s="15"/>
      <c r="C18" s="15" cm="1">
        <f t="array" ref="C18">IFERROR(INDEX('Model Data'!$F:$F,MATCH(1,($C$14='Model Data'!$D:$D)*($E18='Model Data'!$E:$E),0)),"")</f>
        <v>4854742</v>
      </c>
      <c r="D18" s="15" t="str" cm="1">
        <f t="array" ref="D18">IFERROR(INDEX('Model Data'!$F:$F,MATCH(1,($D$14='Model Data'!$D:$D)*($E18='Model Data'!$E:$E),0)),"")</f>
        <v/>
      </c>
      <c r="E18" s="50" t="s">
        <v>25</v>
      </c>
      <c r="F18" s="56" t="s">
        <v>26</v>
      </c>
    </row>
    <row r="19" spans="1:6" x14ac:dyDescent="0.2">
      <c r="A19" s="46" t="s">
        <v>27</v>
      </c>
      <c r="B19" s="18"/>
      <c r="C19" s="18">
        <f>IFERROR(C17/$B$8-1,"")</f>
        <v>0.12773552630896212</v>
      </c>
      <c r="D19" s="18" t="str">
        <f>IFERROR(D17/$B$8-1,"")</f>
        <v/>
      </c>
      <c r="E19" s="11"/>
      <c r="F19" s="56"/>
    </row>
    <row r="20" spans="1:6" x14ac:dyDescent="0.2">
      <c r="A20" s="43" t="s">
        <v>28</v>
      </c>
      <c r="B20" s="44"/>
      <c r="C20" s="44"/>
      <c r="D20" s="44"/>
      <c r="E20" s="12"/>
      <c r="F20" s="56"/>
    </row>
    <row r="21" spans="1:6" x14ac:dyDescent="0.2">
      <c r="A21" s="46" t="s">
        <v>29</v>
      </c>
      <c r="B21" s="17"/>
      <c r="C21" s="17">
        <f>IFERROR((1+C19)*$C$10,"")</f>
        <v>12038.390032168318</v>
      </c>
      <c r="D21" s="17" t="str">
        <f>IFERROR((1+D19)*$C$10,"")</f>
        <v/>
      </c>
      <c r="E21" s="8"/>
      <c r="F21" s="56"/>
    </row>
    <row r="22" spans="1:6" x14ac:dyDescent="0.2">
      <c r="A22" s="46" t="s">
        <v>30</v>
      </c>
      <c r="B22" s="17"/>
      <c r="C22" s="17">
        <f>IFERROR((C$21*(1-C$11)*$B$5)+((C$21*C$11)*$B$6),"")</f>
        <v>15649.907041818813</v>
      </c>
      <c r="D22" s="17" t="str">
        <f>IFERROR((D$21*(1-D$11)*$B$5)+((D$21*D$11)*$B$6),"")</f>
        <v/>
      </c>
      <c r="E22" s="8"/>
      <c r="F22" s="56"/>
    </row>
    <row r="23" spans="1:6" x14ac:dyDescent="0.2">
      <c r="A23" s="46" t="s">
        <v>31</v>
      </c>
      <c r="B23" s="17"/>
      <c r="C23" s="17">
        <f>IFERROR(C21*INDEX('Emission Factors'!$10:$10,,MATCH(C15,'Emission Factors'!$2:$2,0))+C22*INDEX('Emission Factors'!$6:$6,,MATCH(C15,'Emission Factors'!$2:$2,0)),"")</f>
        <v>7.1002424409728739</v>
      </c>
      <c r="D23" s="17" t="str">
        <f>IFERROR(D21*INDEX('Emission Factors'!$10:$10,,MATCH(D15,'Emission Factors'!$2:$2,0))+D22*INDEX('Emission Factors'!$6:$6,,MATCH(D15,'Emission Factors'!$2:$2,0)),"")</f>
        <v/>
      </c>
      <c r="E23" s="8"/>
      <c r="F23" s="56"/>
    </row>
    <row r="24" spans="1:6" x14ac:dyDescent="0.2">
      <c r="A24" s="51" t="s">
        <v>32</v>
      </c>
      <c r="B24" s="52"/>
      <c r="C24" s="104" cm="1">
        <f t="array" ref="C24">IFERROR(-C23/INDEX('Model Data'!$F:$F,MATCH(1,(C$14='Model Data'!$D:$D)*($E24='Model Data'!$E:$E),0))/('SB 375 calcs'!B3/'SB 375 calcs'!B2),"")</f>
        <v>-9.5763531455904713E-5</v>
      </c>
      <c r="D24" s="104" t="str" cm="1">
        <f t="array" ref="D24">IFERROR(-D23/INDEX('Model Data'!$F:$F,MATCH(1,(D$14='Model Data'!$D:$D)*($E24='Model Data'!$E:$E),0))/('SB 375 calcs'!B3/'SB 375 calcs'!B2),"")</f>
        <v/>
      </c>
      <c r="E24" s="50" t="s">
        <v>146</v>
      </c>
    </row>
    <row r="26" spans="1:6" x14ac:dyDescent="0.2">
      <c r="A26" s="56"/>
    </row>
  </sheetData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GC35"/>
  <sheetViews>
    <sheetView zoomScaleNormal="100" workbookViewId="0">
      <selection activeCell="H28" sqref="H28"/>
    </sheetView>
  </sheetViews>
  <sheetFormatPr defaultColWidth="12" defaultRowHeight="15" x14ac:dyDescent="0.25"/>
  <cols>
    <col min="1" max="1" width="27.140625" style="27" bestFit="1" customWidth="1"/>
    <col min="2" max="2" width="10.5703125" style="27" customWidth="1"/>
    <col min="3" max="3" width="12" style="27"/>
    <col min="4" max="5" width="12.5703125" style="27" customWidth="1"/>
    <col min="6" max="8" width="12" style="27"/>
    <col min="9" max="9" width="15.42578125" style="27" customWidth="1"/>
    <col min="10" max="11" width="15.5703125" style="27" customWidth="1"/>
    <col min="12" max="92" width="12" style="27"/>
    <col min="93" max="93" width="13.42578125" style="27" bestFit="1" customWidth="1"/>
    <col min="94" max="16384" width="12" style="27"/>
  </cols>
  <sheetData>
    <row r="1" spans="1:185" x14ac:dyDescent="0.25">
      <c r="A1" s="22" t="s">
        <v>33</v>
      </c>
      <c r="B1" s="26"/>
      <c r="C1" s="26"/>
      <c r="D1" s="26"/>
      <c r="E1" s="26"/>
      <c r="F1" s="26"/>
      <c r="G1" s="26"/>
      <c r="H1" s="26"/>
    </row>
    <row r="2" spans="1:185" ht="30" x14ac:dyDescent="0.25">
      <c r="C2" s="26"/>
      <c r="E2" s="26"/>
      <c r="F2" s="26"/>
      <c r="G2" s="26"/>
      <c r="H2" s="26"/>
      <c r="I2" s="26"/>
      <c r="K2" s="36" t="s">
        <v>34</v>
      </c>
      <c r="L2" s="37" t="s">
        <v>35</v>
      </c>
      <c r="M2" s="37" t="s">
        <v>36</v>
      </c>
      <c r="N2" s="37" t="s">
        <v>37</v>
      </c>
    </row>
    <row r="3" spans="1:185" x14ac:dyDescent="0.25">
      <c r="A3" s="26"/>
      <c r="B3" s="28"/>
      <c r="C3" s="26"/>
      <c r="E3" s="26"/>
      <c r="F3" s="26"/>
      <c r="G3" s="26"/>
      <c r="H3" s="26"/>
      <c r="I3" s="26"/>
      <c r="K3" s="37" t="s">
        <v>38</v>
      </c>
      <c r="L3" s="38">
        <v>400</v>
      </c>
      <c r="M3" s="113">
        <v>1500</v>
      </c>
      <c r="N3" s="39">
        <v>1</v>
      </c>
    </row>
    <row r="4" spans="1:185" x14ac:dyDescent="0.25">
      <c r="A4" s="26"/>
      <c r="B4" s="28"/>
      <c r="C4" s="26"/>
      <c r="E4" s="26"/>
      <c r="F4" s="26"/>
      <c r="G4" s="26"/>
      <c r="H4" s="26"/>
      <c r="I4" s="26"/>
      <c r="K4" s="37" t="s">
        <v>39</v>
      </c>
      <c r="L4" s="38">
        <v>100</v>
      </c>
      <c r="M4" s="114"/>
      <c r="N4" s="39">
        <v>1</v>
      </c>
    </row>
    <row r="5" spans="1:185" x14ac:dyDescent="0.25">
      <c r="A5" s="59"/>
      <c r="B5" s="77"/>
      <c r="C5" s="59"/>
      <c r="E5" s="26"/>
      <c r="F5" s="26"/>
      <c r="G5" s="26"/>
      <c r="H5" s="26"/>
      <c r="I5" s="26"/>
      <c r="K5" s="37" t="s">
        <v>40</v>
      </c>
      <c r="L5" s="38">
        <v>850</v>
      </c>
      <c r="M5" s="115"/>
      <c r="N5" s="39">
        <v>1</v>
      </c>
    </row>
    <row r="6" spans="1:185" x14ac:dyDescent="0.25">
      <c r="E6" s="26"/>
      <c r="F6" s="26"/>
      <c r="G6" s="26"/>
      <c r="H6" s="26"/>
      <c r="I6" s="26"/>
      <c r="K6" s="37" t="s">
        <v>41</v>
      </c>
      <c r="L6" s="40">
        <v>4500</v>
      </c>
      <c r="M6" s="40">
        <v>2000</v>
      </c>
      <c r="N6" s="39">
        <v>0.44</v>
      </c>
    </row>
    <row r="7" spans="1:185" x14ac:dyDescent="0.25">
      <c r="B7" s="26"/>
      <c r="E7" s="26"/>
      <c r="F7" s="26"/>
      <c r="G7" s="26"/>
      <c r="H7" s="26"/>
      <c r="I7" s="26"/>
      <c r="K7" s="37" t="s">
        <v>42</v>
      </c>
      <c r="L7" s="40">
        <v>1000</v>
      </c>
      <c r="M7" s="38">
        <v>500</v>
      </c>
      <c r="N7" s="39">
        <v>0.5</v>
      </c>
    </row>
    <row r="8" spans="1:185" ht="17.25" customHeight="1" x14ac:dyDescent="0.25">
      <c r="B8" s="26"/>
      <c r="D8" s="26"/>
      <c r="E8" s="26"/>
      <c r="F8" s="26"/>
      <c r="G8" s="26"/>
      <c r="H8" s="26"/>
      <c r="I8" s="26"/>
      <c r="K8" s="37" t="s">
        <v>43</v>
      </c>
      <c r="L8" s="40">
        <v>7000</v>
      </c>
      <c r="M8" s="40">
        <v>4000</v>
      </c>
      <c r="N8" s="39">
        <v>0.56999999999999995</v>
      </c>
    </row>
    <row r="9" spans="1:185" x14ac:dyDescent="0.25">
      <c r="A9" s="26"/>
      <c r="B9" s="26"/>
      <c r="C9" s="26"/>
      <c r="D9" s="26"/>
      <c r="E9" s="26"/>
      <c r="F9" s="26"/>
      <c r="G9" s="26"/>
      <c r="H9" s="26"/>
      <c r="K9" s="26" t="s">
        <v>44</v>
      </c>
      <c r="L9" s="26"/>
      <c r="M9" s="76"/>
      <c r="N9" s="26"/>
    </row>
    <row r="10" spans="1:185" x14ac:dyDescent="0.25">
      <c r="A10" s="27" t="s">
        <v>45</v>
      </c>
      <c r="B10" s="26"/>
      <c r="C10" s="26"/>
      <c r="D10" s="26"/>
      <c r="E10" s="26"/>
      <c r="F10" s="26"/>
      <c r="G10" s="26"/>
      <c r="H10" s="26"/>
      <c r="K10" s="26"/>
      <c r="L10" s="26"/>
      <c r="M10" s="26"/>
      <c r="N10" s="26"/>
    </row>
    <row r="11" spans="1:185" x14ac:dyDescent="0.25">
      <c r="A11" s="29" t="s">
        <v>34</v>
      </c>
      <c r="B11" s="30">
        <v>43586</v>
      </c>
      <c r="C11" s="30">
        <v>43587</v>
      </c>
      <c r="D11" s="30">
        <v>43588</v>
      </c>
      <c r="E11" s="30">
        <v>43589</v>
      </c>
      <c r="F11" s="30">
        <v>43590</v>
      </c>
      <c r="G11" s="30">
        <v>43591</v>
      </c>
      <c r="H11" s="30">
        <v>43592</v>
      </c>
      <c r="I11" s="30">
        <v>43593</v>
      </c>
      <c r="J11" s="30">
        <v>43594</v>
      </c>
      <c r="K11" s="30">
        <v>43595</v>
      </c>
      <c r="L11" s="30">
        <v>43596</v>
      </c>
      <c r="M11" s="30">
        <v>43597</v>
      </c>
      <c r="N11" s="30">
        <v>43598</v>
      </c>
      <c r="O11" s="30">
        <v>43599</v>
      </c>
      <c r="P11" s="30">
        <v>43600</v>
      </c>
      <c r="Q11" s="30">
        <v>43601</v>
      </c>
      <c r="R11" s="30">
        <v>43602</v>
      </c>
      <c r="S11" s="30">
        <v>43603</v>
      </c>
      <c r="T11" s="30">
        <v>43604</v>
      </c>
      <c r="U11" s="30">
        <v>43605</v>
      </c>
      <c r="V11" s="30">
        <v>43606</v>
      </c>
      <c r="W11" s="30">
        <v>43607</v>
      </c>
      <c r="X11" s="30">
        <v>43608</v>
      </c>
      <c r="Y11" s="30">
        <v>43609</v>
      </c>
      <c r="Z11" s="30">
        <v>43610</v>
      </c>
      <c r="AA11" s="30">
        <v>43611</v>
      </c>
      <c r="AB11" s="30">
        <v>43612</v>
      </c>
      <c r="AC11" s="30">
        <v>43613</v>
      </c>
      <c r="AD11" s="30">
        <v>43614</v>
      </c>
      <c r="AE11" s="30">
        <v>43615</v>
      </c>
      <c r="AF11" s="30">
        <v>43616</v>
      </c>
      <c r="AG11" s="30">
        <v>43617</v>
      </c>
      <c r="AH11" s="30">
        <v>43618</v>
      </c>
      <c r="AI11" s="30">
        <v>43619</v>
      </c>
      <c r="AJ11" s="30">
        <v>43620</v>
      </c>
      <c r="AK11" s="30">
        <v>43621</v>
      </c>
      <c r="AL11" s="30">
        <v>43622</v>
      </c>
      <c r="AM11" s="30">
        <v>43623</v>
      </c>
      <c r="AN11" s="30">
        <v>43624</v>
      </c>
      <c r="AO11" s="30">
        <v>43625</v>
      </c>
      <c r="AP11" s="30">
        <v>43626</v>
      </c>
      <c r="AQ11" s="30">
        <v>43627</v>
      </c>
      <c r="AR11" s="30">
        <v>43628</v>
      </c>
      <c r="AS11" s="30">
        <v>43629</v>
      </c>
      <c r="AT11" s="30">
        <v>43630</v>
      </c>
      <c r="AU11" s="30">
        <v>43631</v>
      </c>
      <c r="AV11" s="30">
        <v>43632</v>
      </c>
      <c r="AW11" s="30">
        <v>43633</v>
      </c>
      <c r="AX11" s="30">
        <v>43634</v>
      </c>
      <c r="AY11" s="30">
        <v>43635</v>
      </c>
      <c r="AZ11" s="30">
        <v>43636</v>
      </c>
      <c r="BA11" s="30">
        <v>43637</v>
      </c>
      <c r="BB11" s="30">
        <v>43638</v>
      </c>
      <c r="BC11" s="30">
        <v>43639</v>
      </c>
      <c r="BD11" s="30">
        <v>43640</v>
      </c>
      <c r="BE11" s="30">
        <v>43641</v>
      </c>
      <c r="BF11" s="30">
        <v>43642</v>
      </c>
      <c r="BG11" s="30">
        <v>43643</v>
      </c>
      <c r="BH11" s="30">
        <v>43644</v>
      </c>
      <c r="BI11" s="30">
        <v>43645</v>
      </c>
      <c r="BJ11" s="30">
        <v>43646</v>
      </c>
      <c r="BK11" s="30">
        <v>43647</v>
      </c>
      <c r="BL11" s="30">
        <v>43648</v>
      </c>
      <c r="BM11" s="30">
        <v>43649</v>
      </c>
      <c r="BN11" s="30">
        <v>43650</v>
      </c>
      <c r="BO11" s="30">
        <v>43651</v>
      </c>
      <c r="BP11" s="30">
        <v>43652</v>
      </c>
      <c r="BQ11" s="30">
        <v>43653</v>
      </c>
      <c r="BR11" s="30">
        <v>43654</v>
      </c>
      <c r="BS11" s="30">
        <v>43655</v>
      </c>
      <c r="BT11" s="30">
        <v>43656</v>
      </c>
      <c r="BU11" s="30">
        <v>43657</v>
      </c>
      <c r="BV11" s="30">
        <v>43658</v>
      </c>
      <c r="BW11" s="30">
        <v>43659</v>
      </c>
      <c r="BX11" s="30">
        <v>43660</v>
      </c>
      <c r="BY11" s="30">
        <v>43661</v>
      </c>
      <c r="BZ11" s="30">
        <v>43662</v>
      </c>
      <c r="CA11" s="30">
        <v>43663</v>
      </c>
      <c r="CB11" s="30">
        <v>43664</v>
      </c>
      <c r="CC11" s="30">
        <v>43665</v>
      </c>
      <c r="CD11" s="30">
        <v>43666</v>
      </c>
      <c r="CE11" s="30">
        <v>43667</v>
      </c>
      <c r="CF11" s="30">
        <v>43668</v>
      </c>
      <c r="CG11" s="30">
        <v>43669</v>
      </c>
      <c r="CH11" s="30">
        <v>43670</v>
      </c>
      <c r="CI11" s="30">
        <v>43671</v>
      </c>
      <c r="CJ11" s="30">
        <v>43672</v>
      </c>
      <c r="CK11" s="30">
        <v>43673</v>
      </c>
      <c r="CL11" s="30">
        <v>43674</v>
      </c>
      <c r="CM11" s="30">
        <v>43675</v>
      </c>
      <c r="CN11" s="30">
        <v>43676</v>
      </c>
      <c r="CO11" s="30">
        <v>43677</v>
      </c>
      <c r="CP11" s="30">
        <v>43678</v>
      </c>
      <c r="CQ11" s="30">
        <v>43679</v>
      </c>
      <c r="CR11" s="30">
        <v>43680</v>
      </c>
      <c r="CS11" s="30">
        <v>43681</v>
      </c>
      <c r="CT11" s="30">
        <v>43682</v>
      </c>
      <c r="CU11" s="30">
        <v>43683</v>
      </c>
      <c r="CV11" s="30">
        <v>43684</v>
      </c>
      <c r="CW11" s="30">
        <v>43685</v>
      </c>
      <c r="CX11" s="30">
        <v>43686</v>
      </c>
      <c r="CY11" s="30">
        <v>43687</v>
      </c>
      <c r="CZ11" s="30">
        <v>43688</v>
      </c>
      <c r="DA11" s="30">
        <v>43689</v>
      </c>
      <c r="DB11" s="30">
        <v>43690</v>
      </c>
      <c r="DC11" s="30">
        <v>43691</v>
      </c>
      <c r="DD11" s="30">
        <v>43692</v>
      </c>
      <c r="DE11" s="30">
        <v>43693</v>
      </c>
      <c r="DF11" s="30">
        <v>43694</v>
      </c>
      <c r="DG11" s="30">
        <v>43695</v>
      </c>
      <c r="DH11" s="30">
        <v>43696</v>
      </c>
      <c r="DI11" s="30">
        <v>43697</v>
      </c>
      <c r="DJ11" s="30">
        <v>43698</v>
      </c>
      <c r="DK11" s="30">
        <v>43699</v>
      </c>
      <c r="DL11" s="30">
        <v>43700</v>
      </c>
      <c r="DM11" s="30">
        <v>43701</v>
      </c>
      <c r="DN11" s="30">
        <v>43702</v>
      </c>
      <c r="DO11" s="30">
        <v>43703</v>
      </c>
      <c r="DP11" s="30">
        <v>43704</v>
      </c>
      <c r="DQ11" s="30">
        <v>43705</v>
      </c>
      <c r="DR11" s="30">
        <v>43706</v>
      </c>
      <c r="DS11" s="30">
        <v>43707</v>
      </c>
      <c r="DT11" s="30">
        <v>43708</v>
      </c>
      <c r="DU11" s="30">
        <v>43709</v>
      </c>
      <c r="DV11" s="30">
        <v>43710</v>
      </c>
      <c r="DW11" s="30">
        <v>43711</v>
      </c>
      <c r="DX11" s="30">
        <v>43712</v>
      </c>
      <c r="DY11" s="30">
        <v>43713</v>
      </c>
      <c r="DZ11" s="30">
        <v>43714</v>
      </c>
      <c r="EA11" s="30">
        <v>43715</v>
      </c>
      <c r="EB11" s="30">
        <v>43716</v>
      </c>
      <c r="EC11" s="30">
        <v>43717</v>
      </c>
      <c r="ED11" s="30">
        <v>43718</v>
      </c>
      <c r="EE11" s="30">
        <v>43719</v>
      </c>
      <c r="EF11" s="30">
        <v>43720</v>
      </c>
      <c r="EG11" s="30">
        <v>43721</v>
      </c>
      <c r="EH11" s="30">
        <v>43722</v>
      </c>
      <c r="EI11" s="30">
        <v>43723</v>
      </c>
      <c r="EJ11" s="30">
        <v>43724</v>
      </c>
      <c r="EK11" s="30">
        <v>43725</v>
      </c>
      <c r="EL11" s="30">
        <v>43726</v>
      </c>
      <c r="EM11" s="30">
        <v>43727</v>
      </c>
      <c r="EN11" s="30">
        <v>43728</v>
      </c>
      <c r="EO11" s="30">
        <v>43729</v>
      </c>
      <c r="EP11" s="30">
        <v>43730</v>
      </c>
      <c r="EQ11" s="30">
        <v>43731</v>
      </c>
      <c r="ER11" s="30">
        <v>43732</v>
      </c>
      <c r="ES11" s="30">
        <v>43733</v>
      </c>
      <c r="ET11" s="30">
        <v>43734</v>
      </c>
      <c r="EU11" s="30">
        <v>43735</v>
      </c>
      <c r="EV11" s="30">
        <v>43736</v>
      </c>
      <c r="EW11" s="30">
        <v>43737</v>
      </c>
      <c r="EX11" s="30">
        <v>43738</v>
      </c>
      <c r="EY11" s="30">
        <v>43739</v>
      </c>
      <c r="EZ11" s="30">
        <v>43740</v>
      </c>
      <c r="FA11" s="30">
        <v>43741</v>
      </c>
      <c r="FB11" s="30">
        <v>43742</v>
      </c>
      <c r="FC11" s="30">
        <v>43743</v>
      </c>
      <c r="FD11" s="30">
        <v>43744</v>
      </c>
      <c r="FE11" s="30">
        <v>43745</v>
      </c>
      <c r="FF11" s="30">
        <v>43746</v>
      </c>
      <c r="FG11" s="30">
        <v>43747</v>
      </c>
      <c r="FH11" s="30">
        <v>43748</v>
      </c>
      <c r="FI11" s="30">
        <v>43749</v>
      </c>
      <c r="FJ11" s="30">
        <v>43750</v>
      </c>
      <c r="FK11" s="30">
        <v>43751</v>
      </c>
      <c r="FL11" s="30">
        <v>43752</v>
      </c>
      <c r="FM11" s="30">
        <v>43753</v>
      </c>
      <c r="FN11" s="30">
        <v>43754</v>
      </c>
      <c r="FO11" s="30">
        <v>43755</v>
      </c>
      <c r="FP11" s="30">
        <v>43756</v>
      </c>
      <c r="FQ11" s="30">
        <v>43757</v>
      </c>
      <c r="FR11" s="30">
        <v>43758</v>
      </c>
      <c r="FS11" s="30">
        <v>43759</v>
      </c>
      <c r="FT11" s="30">
        <v>43760</v>
      </c>
      <c r="FU11" s="30">
        <v>43761</v>
      </c>
      <c r="FV11" s="30">
        <v>43762</v>
      </c>
      <c r="FW11" s="30">
        <v>43763</v>
      </c>
      <c r="FX11" s="30">
        <v>43764</v>
      </c>
      <c r="FY11" s="30">
        <v>43765</v>
      </c>
      <c r="FZ11" s="30">
        <v>43766</v>
      </c>
      <c r="GA11" s="30">
        <v>43767</v>
      </c>
      <c r="GB11" s="30">
        <v>43768</v>
      </c>
      <c r="GC11" s="30">
        <v>43769</v>
      </c>
    </row>
    <row r="12" spans="1:185" x14ac:dyDescent="0.25">
      <c r="A12" s="27" t="s">
        <v>38</v>
      </c>
      <c r="B12" s="27">
        <v>245</v>
      </c>
      <c r="C12" s="27">
        <v>245</v>
      </c>
      <c r="D12" s="27">
        <v>257</v>
      </c>
      <c r="E12" s="27">
        <v>293</v>
      </c>
      <c r="F12" s="27">
        <v>285</v>
      </c>
      <c r="G12" s="27">
        <v>257</v>
      </c>
      <c r="H12" s="27">
        <v>261</v>
      </c>
      <c r="I12" s="27">
        <v>257</v>
      </c>
      <c r="J12" s="27">
        <v>244</v>
      </c>
      <c r="K12" s="27">
        <v>254</v>
      </c>
      <c r="L12" s="27">
        <v>276</v>
      </c>
      <c r="M12" s="27">
        <v>272</v>
      </c>
      <c r="N12" s="27">
        <v>286</v>
      </c>
      <c r="O12" s="27">
        <v>297</v>
      </c>
      <c r="P12" s="27">
        <v>297</v>
      </c>
      <c r="Q12" s="27">
        <v>307</v>
      </c>
      <c r="R12" s="27">
        <v>311</v>
      </c>
      <c r="S12" s="27">
        <v>317</v>
      </c>
      <c r="T12" s="27">
        <v>331</v>
      </c>
      <c r="U12" s="27">
        <v>332</v>
      </c>
      <c r="V12" s="27">
        <v>327</v>
      </c>
      <c r="W12" s="27">
        <v>324</v>
      </c>
      <c r="X12" s="27">
        <v>304</v>
      </c>
      <c r="Y12" s="27">
        <v>297</v>
      </c>
      <c r="Z12" s="27">
        <v>291</v>
      </c>
      <c r="AA12" s="27">
        <v>291</v>
      </c>
      <c r="AB12" s="27">
        <v>279</v>
      </c>
      <c r="AC12" s="27">
        <v>271</v>
      </c>
      <c r="AD12" s="27">
        <v>289</v>
      </c>
      <c r="AE12" s="27">
        <v>290</v>
      </c>
      <c r="AF12" s="27">
        <v>291</v>
      </c>
      <c r="AG12" s="27">
        <v>304</v>
      </c>
      <c r="AH12" s="27">
        <v>287</v>
      </c>
      <c r="AI12" s="27">
        <v>296</v>
      </c>
      <c r="AJ12" s="27">
        <v>327</v>
      </c>
      <c r="AK12" s="27">
        <v>305</v>
      </c>
      <c r="AL12" s="27">
        <v>255</v>
      </c>
      <c r="AM12" s="27">
        <v>250</v>
      </c>
      <c r="AN12" s="27">
        <v>243</v>
      </c>
      <c r="AO12" s="27">
        <v>233</v>
      </c>
      <c r="AP12" s="27">
        <v>221</v>
      </c>
      <c r="AQ12" s="27">
        <v>232</v>
      </c>
      <c r="AR12" s="27">
        <v>263</v>
      </c>
      <c r="AS12" s="27">
        <v>235</v>
      </c>
      <c r="AT12" s="27">
        <v>219</v>
      </c>
      <c r="AU12" s="27">
        <v>209</v>
      </c>
      <c r="AV12" s="27">
        <v>192</v>
      </c>
      <c r="AW12" s="27">
        <v>200</v>
      </c>
      <c r="AX12" s="27">
        <v>198</v>
      </c>
      <c r="AY12" s="27">
        <v>189</v>
      </c>
      <c r="AZ12" s="27">
        <v>196</v>
      </c>
      <c r="BA12" s="27">
        <v>191</v>
      </c>
      <c r="BB12" s="27">
        <v>193</v>
      </c>
      <c r="BC12" s="27">
        <v>187</v>
      </c>
      <c r="BD12" s="27">
        <v>176</v>
      </c>
      <c r="BE12" s="27">
        <v>156</v>
      </c>
      <c r="BF12" s="27">
        <v>166</v>
      </c>
      <c r="BG12" s="27">
        <v>163</v>
      </c>
      <c r="BH12" s="27">
        <v>176</v>
      </c>
      <c r="BI12" s="27">
        <v>174</v>
      </c>
      <c r="BJ12" s="27">
        <v>173</v>
      </c>
      <c r="BK12" s="27">
        <v>196</v>
      </c>
      <c r="BL12" s="27">
        <v>210</v>
      </c>
      <c r="BM12" s="27">
        <v>221</v>
      </c>
      <c r="BN12" s="27">
        <v>215</v>
      </c>
      <c r="BO12" s="27">
        <v>232</v>
      </c>
      <c r="BP12" s="27">
        <v>219</v>
      </c>
      <c r="BQ12" s="27">
        <v>237</v>
      </c>
      <c r="BR12" s="27">
        <v>266</v>
      </c>
      <c r="BS12" s="27">
        <v>231</v>
      </c>
      <c r="BT12" s="27">
        <v>223</v>
      </c>
      <c r="BU12" s="27">
        <v>218</v>
      </c>
      <c r="BV12" s="27">
        <v>216</v>
      </c>
      <c r="BW12" s="27">
        <v>226</v>
      </c>
      <c r="BX12" s="27">
        <v>212</v>
      </c>
      <c r="BY12" s="27">
        <v>201</v>
      </c>
      <c r="BZ12" s="27">
        <v>200</v>
      </c>
      <c r="CA12" s="27">
        <v>189</v>
      </c>
      <c r="CB12" s="27">
        <v>200</v>
      </c>
      <c r="CC12" s="27">
        <v>218</v>
      </c>
      <c r="CD12" s="27">
        <v>193</v>
      </c>
      <c r="CE12" s="27">
        <v>194</v>
      </c>
      <c r="CF12" s="27">
        <v>182</v>
      </c>
      <c r="CG12" s="27">
        <v>184</v>
      </c>
      <c r="CH12" s="27">
        <v>183</v>
      </c>
      <c r="CI12" s="27">
        <v>191</v>
      </c>
      <c r="CJ12" s="27">
        <v>184</v>
      </c>
      <c r="CK12" s="27">
        <v>204</v>
      </c>
      <c r="CL12" s="27">
        <v>204</v>
      </c>
      <c r="CM12" s="27">
        <v>217</v>
      </c>
      <c r="CN12" s="27">
        <v>217</v>
      </c>
      <c r="CO12" s="27">
        <v>208</v>
      </c>
      <c r="CP12" s="27">
        <v>211</v>
      </c>
      <c r="CQ12" s="27">
        <v>183</v>
      </c>
      <c r="CR12" s="27">
        <v>197</v>
      </c>
      <c r="CS12" s="27">
        <v>278</v>
      </c>
      <c r="CT12" s="27">
        <v>283</v>
      </c>
      <c r="CU12" s="27">
        <v>289</v>
      </c>
      <c r="CV12" s="27">
        <v>290</v>
      </c>
      <c r="CW12" s="27">
        <v>285</v>
      </c>
      <c r="CX12" s="27">
        <v>264</v>
      </c>
      <c r="CY12" s="27">
        <v>284</v>
      </c>
      <c r="CZ12" s="27">
        <v>302</v>
      </c>
      <c r="DA12" s="27">
        <v>322</v>
      </c>
      <c r="DB12" s="27">
        <v>336</v>
      </c>
      <c r="DC12" s="27">
        <v>333</v>
      </c>
      <c r="DD12" s="27">
        <v>318</v>
      </c>
      <c r="DE12" s="27">
        <v>303</v>
      </c>
      <c r="DF12" s="27">
        <v>284</v>
      </c>
      <c r="DG12" s="27">
        <v>315</v>
      </c>
      <c r="DH12" s="27">
        <v>338</v>
      </c>
      <c r="DI12" s="27">
        <v>315</v>
      </c>
      <c r="DJ12" s="27">
        <v>319</v>
      </c>
      <c r="DK12" s="27">
        <v>323</v>
      </c>
      <c r="DL12" s="27">
        <v>322</v>
      </c>
      <c r="DM12" s="27">
        <v>319</v>
      </c>
      <c r="DN12" s="27">
        <v>334</v>
      </c>
      <c r="DO12" s="27">
        <v>290</v>
      </c>
      <c r="DP12" s="27">
        <v>297</v>
      </c>
      <c r="DQ12" s="27">
        <v>265</v>
      </c>
      <c r="DR12" s="27">
        <v>288</v>
      </c>
      <c r="DS12" s="27">
        <v>288</v>
      </c>
      <c r="DT12" s="27">
        <v>298</v>
      </c>
      <c r="DU12" s="27">
        <v>311</v>
      </c>
      <c r="DV12" s="27">
        <v>315</v>
      </c>
      <c r="DW12" s="27">
        <v>337</v>
      </c>
      <c r="DX12" s="27">
        <v>316</v>
      </c>
      <c r="DY12" s="27">
        <v>293</v>
      </c>
      <c r="DZ12" s="27">
        <v>294</v>
      </c>
      <c r="EA12" s="27">
        <v>294</v>
      </c>
      <c r="EB12" s="27">
        <v>275</v>
      </c>
      <c r="EC12" s="27">
        <v>303</v>
      </c>
      <c r="ED12" s="27">
        <v>305</v>
      </c>
      <c r="EE12" s="27">
        <v>313</v>
      </c>
      <c r="EF12" s="27">
        <v>324</v>
      </c>
      <c r="EG12" s="27">
        <v>321</v>
      </c>
      <c r="EH12" s="27">
        <v>307</v>
      </c>
      <c r="EI12" s="27">
        <v>315</v>
      </c>
      <c r="EJ12" s="27">
        <v>367</v>
      </c>
      <c r="EK12" s="27">
        <v>379</v>
      </c>
      <c r="EL12" s="27">
        <v>366</v>
      </c>
      <c r="EM12" s="27">
        <v>358</v>
      </c>
      <c r="EN12" s="27">
        <v>359</v>
      </c>
      <c r="EO12" s="27">
        <v>299</v>
      </c>
      <c r="EP12" s="27">
        <v>308</v>
      </c>
      <c r="EQ12" s="27">
        <v>351</v>
      </c>
      <c r="ER12" s="27">
        <v>448</v>
      </c>
      <c r="ES12" s="27">
        <v>418</v>
      </c>
      <c r="ET12" s="27">
        <v>444</v>
      </c>
      <c r="EU12" s="27">
        <v>446</v>
      </c>
      <c r="EV12" s="27">
        <v>465</v>
      </c>
      <c r="EW12" s="27">
        <v>438</v>
      </c>
      <c r="EX12" s="27">
        <v>459</v>
      </c>
      <c r="EY12" s="27">
        <v>439</v>
      </c>
      <c r="EZ12" s="27">
        <v>407</v>
      </c>
      <c r="FA12" s="27">
        <v>380</v>
      </c>
      <c r="FB12" s="27">
        <v>361</v>
      </c>
      <c r="FC12" s="27">
        <v>374</v>
      </c>
      <c r="FD12" s="27">
        <v>368</v>
      </c>
      <c r="FE12" s="27">
        <v>406</v>
      </c>
      <c r="FF12" s="27">
        <v>352</v>
      </c>
      <c r="FG12" s="27">
        <v>315</v>
      </c>
      <c r="FH12" s="27">
        <v>309</v>
      </c>
      <c r="FI12" s="27">
        <v>331</v>
      </c>
      <c r="FJ12" s="27">
        <v>368</v>
      </c>
      <c r="FK12" s="27">
        <v>370</v>
      </c>
      <c r="FL12" s="27">
        <v>379</v>
      </c>
      <c r="FM12" s="27">
        <v>400</v>
      </c>
      <c r="FN12" s="27">
        <v>395</v>
      </c>
      <c r="FO12" s="27">
        <v>377</v>
      </c>
      <c r="FP12" s="27">
        <v>382</v>
      </c>
      <c r="FQ12" s="27">
        <v>377</v>
      </c>
      <c r="FR12" s="27">
        <v>356</v>
      </c>
      <c r="FS12" s="27">
        <v>390</v>
      </c>
      <c r="FT12" s="27">
        <v>398</v>
      </c>
      <c r="FU12" s="27">
        <v>374</v>
      </c>
      <c r="FV12" s="27">
        <v>371</v>
      </c>
      <c r="FW12" s="27">
        <v>402</v>
      </c>
      <c r="FX12" s="27">
        <v>386</v>
      </c>
      <c r="FY12" s="27">
        <v>395</v>
      </c>
      <c r="FZ12" s="27">
        <v>380</v>
      </c>
      <c r="GA12" s="27">
        <v>385</v>
      </c>
      <c r="GB12" s="27">
        <v>359</v>
      </c>
      <c r="GC12" s="27">
        <v>404</v>
      </c>
    </row>
    <row r="13" spans="1:185" x14ac:dyDescent="0.25">
      <c r="A13" s="27" t="s">
        <v>39</v>
      </c>
      <c r="B13" s="27">
        <v>94</v>
      </c>
      <c r="C13" s="27">
        <v>88</v>
      </c>
      <c r="D13" s="27">
        <v>82</v>
      </c>
      <c r="E13" s="27">
        <v>81</v>
      </c>
      <c r="F13" s="27">
        <v>82</v>
      </c>
      <c r="G13" s="27">
        <v>83</v>
      </c>
      <c r="H13" s="27">
        <v>80</v>
      </c>
      <c r="I13" s="27">
        <v>81</v>
      </c>
      <c r="J13" s="27">
        <v>76</v>
      </c>
      <c r="K13" s="27">
        <v>77</v>
      </c>
      <c r="L13" s="27">
        <v>77</v>
      </c>
      <c r="M13" s="27">
        <v>62</v>
      </c>
      <c r="N13" s="27">
        <v>74</v>
      </c>
      <c r="O13" s="27">
        <v>77</v>
      </c>
      <c r="P13" s="27">
        <v>87</v>
      </c>
      <c r="Q13" s="27">
        <v>81</v>
      </c>
      <c r="R13" s="27">
        <v>78</v>
      </c>
      <c r="S13" s="27">
        <v>77</v>
      </c>
      <c r="T13" s="27">
        <v>79</v>
      </c>
      <c r="U13" s="27">
        <v>86</v>
      </c>
      <c r="V13" s="27">
        <v>78</v>
      </c>
      <c r="W13" s="27">
        <v>84</v>
      </c>
      <c r="X13" s="27">
        <v>89</v>
      </c>
      <c r="Y13" s="27">
        <v>96</v>
      </c>
      <c r="Z13" s="27">
        <v>90</v>
      </c>
      <c r="AA13" s="27">
        <v>86</v>
      </c>
      <c r="AB13" s="27">
        <v>98</v>
      </c>
      <c r="AC13" s="27">
        <v>102</v>
      </c>
      <c r="AD13" s="27">
        <v>88</v>
      </c>
      <c r="AE13" s="27">
        <v>74</v>
      </c>
      <c r="AF13" s="27">
        <v>72</v>
      </c>
      <c r="AG13" s="27">
        <v>74</v>
      </c>
      <c r="AH13" s="27">
        <v>87</v>
      </c>
      <c r="AI13" s="27">
        <v>94</v>
      </c>
      <c r="AJ13" s="27">
        <v>80</v>
      </c>
      <c r="AK13" s="27">
        <v>104</v>
      </c>
      <c r="AL13" s="27">
        <v>96</v>
      </c>
      <c r="AM13" s="27">
        <v>114</v>
      </c>
      <c r="AN13" s="27">
        <v>116</v>
      </c>
      <c r="AO13" s="27">
        <v>126</v>
      </c>
      <c r="AP13" s="27">
        <v>157</v>
      </c>
      <c r="AQ13" s="27">
        <v>135</v>
      </c>
      <c r="AR13" s="27">
        <v>130</v>
      </c>
      <c r="AS13" s="27">
        <v>143</v>
      </c>
      <c r="AT13" s="27">
        <v>166</v>
      </c>
      <c r="AU13" s="27">
        <v>159</v>
      </c>
      <c r="AV13" s="27">
        <v>169</v>
      </c>
      <c r="AW13" s="27">
        <v>145</v>
      </c>
      <c r="AX13" s="27">
        <v>129</v>
      </c>
      <c r="AY13" s="27">
        <v>137</v>
      </c>
      <c r="AZ13" s="27">
        <v>120</v>
      </c>
      <c r="BA13" s="27">
        <v>106</v>
      </c>
      <c r="BB13" s="27">
        <v>99</v>
      </c>
      <c r="BC13" s="27">
        <v>98</v>
      </c>
      <c r="BD13" s="27">
        <v>125</v>
      </c>
      <c r="BE13" s="27">
        <v>131</v>
      </c>
      <c r="BF13" s="27">
        <v>120</v>
      </c>
      <c r="BG13" s="27">
        <v>105</v>
      </c>
      <c r="BH13" s="27">
        <v>105</v>
      </c>
      <c r="BI13" s="27">
        <v>103</v>
      </c>
      <c r="BJ13" s="27">
        <v>107</v>
      </c>
      <c r="BK13" s="27">
        <v>114</v>
      </c>
      <c r="BL13" s="27">
        <v>96</v>
      </c>
      <c r="BM13" s="27">
        <v>107</v>
      </c>
      <c r="BN13" s="27">
        <v>115</v>
      </c>
      <c r="BO13" s="27">
        <v>103</v>
      </c>
      <c r="BP13" s="27">
        <v>114</v>
      </c>
      <c r="BQ13" s="27">
        <v>113</v>
      </c>
      <c r="BR13" s="27">
        <v>116</v>
      </c>
      <c r="BS13" s="27">
        <v>116</v>
      </c>
      <c r="BT13" s="27">
        <v>127</v>
      </c>
      <c r="BU13" s="27">
        <v>114</v>
      </c>
      <c r="BV13" s="27">
        <v>127</v>
      </c>
      <c r="BW13" s="27">
        <v>115</v>
      </c>
      <c r="BX13" s="27">
        <v>109</v>
      </c>
      <c r="BY13" s="27">
        <v>115</v>
      </c>
      <c r="BZ13" s="27">
        <v>115</v>
      </c>
      <c r="CA13" s="27">
        <v>124</v>
      </c>
      <c r="CB13" s="27">
        <v>132</v>
      </c>
      <c r="CC13" s="27">
        <v>116</v>
      </c>
      <c r="CD13" s="27">
        <v>128</v>
      </c>
      <c r="CE13" s="27">
        <v>128</v>
      </c>
      <c r="CF13" s="27">
        <v>142</v>
      </c>
      <c r="CG13" s="27">
        <v>130</v>
      </c>
      <c r="CH13" s="27">
        <v>127</v>
      </c>
      <c r="CI13" s="27">
        <v>127</v>
      </c>
      <c r="CJ13" s="27">
        <v>159</v>
      </c>
      <c r="CK13" s="27">
        <v>131</v>
      </c>
      <c r="CL13" s="27">
        <v>123</v>
      </c>
      <c r="CM13" s="27">
        <v>133</v>
      </c>
      <c r="CN13" s="27">
        <v>143</v>
      </c>
      <c r="CO13" s="27">
        <v>141</v>
      </c>
      <c r="CP13" s="27">
        <v>135</v>
      </c>
      <c r="CQ13" s="27">
        <v>125</v>
      </c>
      <c r="CR13" s="27">
        <v>120</v>
      </c>
      <c r="CS13" s="27">
        <v>95</v>
      </c>
      <c r="CT13" s="27">
        <v>80</v>
      </c>
      <c r="CU13" s="27">
        <v>79</v>
      </c>
      <c r="CV13" s="27">
        <v>66</v>
      </c>
      <c r="CW13" s="27">
        <v>75</v>
      </c>
      <c r="CX13" s="27">
        <v>87</v>
      </c>
      <c r="CY13" s="27">
        <v>73</v>
      </c>
      <c r="CZ13" s="27">
        <v>85</v>
      </c>
      <c r="DA13" s="27">
        <v>81</v>
      </c>
      <c r="DB13" s="27">
        <v>97</v>
      </c>
      <c r="DC13" s="27">
        <v>85</v>
      </c>
      <c r="DD13" s="27">
        <v>88</v>
      </c>
      <c r="DE13" s="27">
        <v>102</v>
      </c>
      <c r="DF13" s="27">
        <v>78</v>
      </c>
      <c r="DG13" s="27">
        <v>79</v>
      </c>
      <c r="DH13" s="27">
        <v>72</v>
      </c>
      <c r="DI13" s="27">
        <v>88</v>
      </c>
      <c r="DJ13" s="27">
        <v>90</v>
      </c>
      <c r="DK13" s="27">
        <v>112</v>
      </c>
      <c r="DL13" s="27">
        <v>95</v>
      </c>
      <c r="DM13" s="27">
        <v>88</v>
      </c>
      <c r="DN13" s="27">
        <v>77</v>
      </c>
      <c r="DO13" s="27">
        <v>86</v>
      </c>
      <c r="DP13" s="27">
        <v>95</v>
      </c>
      <c r="DQ13" s="27">
        <v>108</v>
      </c>
      <c r="DR13" s="27">
        <v>111</v>
      </c>
      <c r="DS13" s="27">
        <v>104</v>
      </c>
      <c r="DT13" s="27">
        <v>93</v>
      </c>
      <c r="DU13" s="27">
        <v>83</v>
      </c>
      <c r="DV13" s="27">
        <v>78</v>
      </c>
      <c r="DW13" s="27">
        <v>78</v>
      </c>
      <c r="DX13" s="27">
        <v>91</v>
      </c>
      <c r="DY13" s="27">
        <v>98</v>
      </c>
      <c r="DZ13" s="27">
        <v>108</v>
      </c>
      <c r="EA13" s="27">
        <v>97</v>
      </c>
      <c r="EB13" s="27">
        <v>115</v>
      </c>
      <c r="EC13" s="27">
        <v>102</v>
      </c>
      <c r="ED13" s="27">
        <v>109</v>
      </c>
      <c r="EE13" s="27">
        <v>113</v>
      </c>
      <c r="EF13" s="27">
        <v>113</v>
      </c>
      <c r="EG13" s="27">
        <v>116</v>
      </c>
      <c r="EH13" s="27">
        <v>128</v>
      </c>
      <c r="EI13" s="27">
        <v>123</v>
      </c>
      <c r="EJ13" s="27">
        <v>123</v>
      </c>
      <c r="EK13" s="27">
        <v>122</v>
      </c>
      <c r="EL13" s="27">
        <v>108</v>
      </c>
      <c r="EM13" s="27">
        <v>118</v>
      </c>
      <c r="EN13" s="27">
        <v>120</v>
      </c>
      <c r="EO13" s="27">
        <v>122</v>
      </c>
      <c r="EP13" s="27">
        <v>116</v>
      </c>
      <c r="EQ13" s="27">
        <v>119</v>
      </c>
      <c r="ER13" s="27">
        <v>140</v>
      </c>
      <c r="ES13" s="27">
        <v>156</v>
      </c>
      <c r="ET13" s="27">
        <v>169</v>
      </c>
      <c r="EU13" s="27">
        <v>181</v>
      </c>
      <c r="EV13" s="27">
        <v>147</v>
      </c>
      <c r="EW13" s="27">
        <v>124</v>
      </c>
      <c r="EX13" s="27">
        <v>110</v>
      </c>
      <c r="EY13" s="27">
        <v>118</v>
      </c>
      <c r="EZ13" s="27">
        <v>118</v>
      </c>
      <c r="FA13" s="27">
        <v>119</v>
      </c>
      <c r="FB13" s="27">
        <v>135</v>
      </c>
      <c r="FC13" s="27">
        <v>114</v>
      </c>
      <c r="FD13" s="27">
        <v>106</v>
      </c>
      <c r="FE13" s="27">
        <v>91</v>
      </c>
      <c r="FF13" s="27">
        <v>127</v>
      </c>
      <c r="FG13" s="27">
        <v>143</v>
      </c>
      <c r="FH13" s="27">
        <v>123</v>
      </c>
      <c r="FI13" s="27">
        <v>117</v>
      </c>
      <c r="FJ13" s="27">
        <v>130</v>
      </c>
      <c r="FK13" s="27">
        <v>133</v>
      </c>
      <c r="FL13" s="27">
        <v>145</v>
      </c>
      <c r="FM13" s="27">
        <v>139</v>
      </c>
      <c r="FN13" s="27">
        <v>127</v>
      </c>
      <c r="FO13" s="27">
        <v>121</v>
      </c>
      <c r="FP13" s="27">
        <v>140</v>
      </c>
      <c r="FQ13" s="27">
        <v>131</v>
      </c>
      <c r="FR13" s="27">
        <v>128</v>
      </c>
      <c r="FS13" s="27">
        <v>111</v>
      </c>
      <c r="FT13" s="27">
        <v>122</v>
      </c>
      <c r="FU13" s="27">
        <v>123</v>
      </c>
      <c r="FV13" s="27">
        <v>108</v>
      </c>
      <c r="FW13" s="27">
        <v>114</v>
      </c>
      <c r="FX13" s="27">
        <v>120</v>
      </c>
      <c r="FY13" s="27">
        <v>109</v>
      </c>
      <c r="FZ13" s="27">
        <v>115</v>
      </c>
      <c r="GA13" s="27">
        <v>111</v>
      </c>
      <c r="GB13" s="27">
        <v>121</v>
      </c>
      <c r="GC13" s="27">
        <v>137</v>
      </c>
    </row>
    <row r="14" spans="1:185" x14ac:dyDescent="0.25">
      <c r="A14" s="27" t="s">
        <v>40</v>
      </c>
      <c r="B14" s="27">
        <v>474</v>
      </c>
      <c r="C14" s="27">
        <v>474</v>
      </c>
      <c r="D14" s="27">
        <v>486</v>
      </c>
      <c r="E14" s="27">
        <v>443</v>
      </c>
      <c r="F14" s="27">
        <v>459</v>
      </c>
      <c r="G14" s="27">
        <v>491</v>
      </c>
      <c r="H14" s="27">
        <v>497</v>
      </c>
      <c r="I14" s="27">
        <v>514</v>
      </c>
      <c r="J14" s="27">
        <v>543</v>
      </c>
      <c r="K14" s="27">
        <v>542</v>
      </c>
      <c r="L14" s="27">
        <v>523</v>
      </c>
      <c r="M14" s="27">
        <v>548</v>
      </c>
      <c r="N14" s="27">
        <v>539</v>
      </c>
      <c r="O14" s="27">
        <v>530</v>
      </c>
      <c r="P14" s="27">
        <v>527</v>
      </c>
      <c r="Q14" s="27">
        <v>535</v>
      </c>
      <c r="R14" s="27">
        <v>532</v>
      </c>
      <c r="S14" s="27">
        <v>538</v>
      </c>
      <c r="T14" s="27">
        <v>536</v>
      </c>
      <c r="U14" s="27">
        <v>532</v>
      </c>
      <c r="V14" s="27">
        <v>546</v>
      </c>
      <c r="W14" s="27">
        <v>542</v>
      </c>
      <c r="X14" s="27">
        <v>572</v>
      </c>
      <c r="Y14" s="27">
        <v>578</v>
      </c>
      <c r="Z14" s="27">
        <v>579</v>
      </c>
      <c r="AA14" s="27">
        <v>581</v>
      </c>
      <c r="AB14" s="27">
        <v>577</v>
      </c>
      <c r="AC14" s="27">
        <v>591</v>
      </c>
      <c r="AD14" s="27">
        <v>586</v>
      </c>
      <c r="AE14" s="27">
        <v>608</v>
      </c>
      <c r="AF14" s="27">
        <v>606</v>
      </c>
      <c r="AG14" s="27">
        <v>585</v>
      </c>
      <c r="AH14" s="27">
        <v>592</v>
      </c>
      <c r="AI14" s="27">
        <v>580</v>
      </c>
      <c r="AJ14" s="27">
        <v>546</v>
      </c>
      <c r="AK14" s="27">
        <v>557</v>
      </c>
      <c r="AL14" s="27">
        <v>598</v>
      </c>
      <c r="AM14" s="27">
        <v>607</v>
      </c>
      <c r="AN14" s="27">
        <v>597</v>
      </c>
      <c r="AO14" s="27">
        <v>592</v>
      </c>
      <c r="AP14" s="27">
        <v>563</v>
      </c>
      <c r="AQ14" s="27">
        <v>591</v>
      </c>
      <c r="AR14" s="27">
        <v>569</v>
      </c>
      <c r="AS14" s="27">
        <v>588</v>
      </c>
      <c r="AT14" s="27">
        <v>568</v>
      </c>
      <c r="AU14" s="27">
        <v>583</v>
      </c>
      <c r="AV14" s="27">
        <v>596</v>
      </c>
      <c r="AW14" s="27">
        <v>607</v>
      </c>
      <c r="AX14" s="27">
        <v>624</v>
      </c>
      <c r="AY14" s="27">
        <v>638</v>
      </c>
      <c r="AZ14" s="27">
        <v>654</v>
      </c>
      <c r="BA14" s="27">
        <v>662</v>
      </c>
      <c r="BB14" s="27">
        <v>654</v>
      </c>
      <c r="BC14" s="27">
        <v>665</v>
      </c>
      <c r="BD14" s="27">
        <v>659</v>
      </c>
      <c r="BE14" s="27">
        <v>663</v>
      </c>
      <c r="BF14" s="27">
        <v>663</v>
      </c>
      <c r="BG14" s="27">
        <v>664</v>
      </c>
      <c r="BH14" s="27">
        <v>650</v>
      </c>
      <c r="BI14" s="27">
        <v>654</v>
      </c>
      <c r="BJ14" s="27">
        <v>647</v>
      </c>
      <c r="BK14" s="27">
        <v>646</v>
      </c>
      <c r="BL14" s="27">
        <v>647</v>
      </c>
      <c r="BM14" s="27">
        <v>638</v>
      </c>
      <c r="BN14" s="27">
        <v>617</v>
      </c>
      <c r="BO14" s="27">
        <v>648</v>
      </c>
      <c r="BP14" s="27">
        <v>651</v>
      </c>
      <c r="BQ14" s="27">
        <v>638</v>
      </c>
      <c r="BR14" s="27">
        <v>596</v>
      </c>
      <c r="BS14" s="27">
        <v>626</v>
      </c>
      <c r="BT14" s="27">
        <v>682</v>
      </c>
      <c r="BU14" s="27">
        <v>746</v>
      </c>
      <c r="BV14" s="27">
        <v>782</v>
      </c>
      <c r="BW14" s="27">
        <v>809</v>
      </c>
      <c r="BX14" s="27">
        <v>863</v>
      </c>
      <c r="BY14" s="27">
        <v>910</v>
      </c>
      <c r="BZ14" s="27">
        <v>930</v>
      </c>
      <c r="CA14" s="27">
        <v>947</v>
      </c>
      <c r="CB14" s="27">
        <v>948</v>
      </c>
      <c r="CC14" s="27">
        <v>928</v>
      </c>
      <c r="CD14" s="27">
        <v>877</v>
      </c>
      <c r="CE14" s="27">
        <v>890</v>
      </c>
      <c r="CF14" s="27">
        <v>839</v>
      </c>
      <c r="CG14" s="27">
        <v>872</v>
      </c>
      <c r="CH14" s="27">
        <v>811</v>
      </c>
      <c r="CI14" s="27">
        <v>795</v>
      </c>
      <c r="CJ14" s="27">
        <v>801</v>
      </c>
      <c r="CK14" s="27">
        <v>759</v>
      </c>
      <c r="CL14" s="27">
        <v>756</v>
      </c>
      <c r="CM14" s="27">
        <v>711</v>
      </c>
      <c r="CN14" s="27">
        <v>769</v>
      </c>
      <c r="CO14" s="27">
        <v>737</v>
      </c>
      <c r="CP14" s="27">
        <v>636</v>
      </c>
      <c r="CQ14" s="27">
        <v>625</v>
      </c>
      <c r="CR14" s="27">
        <v>601</v>
      </c>
      <c r="CS14" s="27">
        <v>555</v>
      </c>
      <c r="CT14" s="27">
        <v>509</v>
      </c>
      <c r="CU14" s="27">
        <v>488</v>
      </c>
      <c r="CV14" s="27">
        <v>449</v>
      </c>
      <c r="CW14" s="27">
        <v>459</v>
      </c>
      <c r="CX14" s="27">
        <v>520</v>
      </c>
      <c r="CY14" s="27">
        <v>518</v>
      </c>
      <c r="CZ14" s="27">
        <v>507</v>
      </c>
      <c r="DA14" s="27">
        <v>473</v>
      </c>
      <c r="DB14" s="27">
        <v>452</v>
      </c>
      <c r="DC14" s="27">
        <v>447</v>
      </c>
      <c r="DD14" s="27">
        <v>500</v>
      </c>
      <c r="DE14" s="27">
        <v>504</v>
      </c>
      <c r="DF14" s="27">
        <v>545</v>
      </c>
      <c r="DG14" s="27">
        <v>517</v>
      </c>
      <c r="DH14" s="27">
        <v>496</v>
      </c>
      <c r="DI14" s="27">
        <v>533</v>
      </c>
      <c r="DJ14" s="27">
        <v>531</v>
      </c>
      <c r="DK14" s="27">
        <v>518</v>
      </c>
      <c r="DL14" s="27">
        <v>553</v>
      </c>
      <c r="DM14" s="27">
        <v>574</v>
      </c>
      <c r="DN14" s="27">
        <v>554</v>
      </c>
      <c r="DO14" s="27">
        <v>572</v>
      </c>
      <c r="DP14" s="27">
        <v>563</v>
      </c>
      <c r="DQ14" s="27">
        <v>591</v>
      </c>
      <c r="DR14" s="27">
        <v>562</v>
      </c>
      <c r="DS14" s="27">
        <v>568</v>
      </c>
      <c r="DT14" s="27">
        <v>561</v>
      </c>
      <c r="DU14" s="27">
        <v>574</v>
      </c>
      <c r="DV14" s="27">
        <v>583</v>
      </c>
      <c r="DW14" s="27">
        <v>563</v>
      </c>
      <c r="DX14" s="27">
        <v>578</v>
      </c>
      <c r="DY14" s="27">
        <v>597</v>
      </c>
      <c r="DZ14" s="27">
        <v>598</v>
      </c>
      <c r="EA14" s="27">
        <v>593</v>
      </c>
      <c r="EB14" s="27">
        <v>597</v>
      </c>
      <c r="EC14" s="27">
        <v>587</v>
      </c>
      <c r="ED14" s="27">
        <v>610</v>
      </c>
      <c r="EE14" s="27">
        <v>669</v>
      </c>
      <c r="EF14" s="27">
        <v>731</v>
      </c>
      <c r="EG14" s="27">
        <v>798</v>
      </c>
      <c r="EH14" s="27">
        <v>810</v>
      </c>
      <c r="EI14" s="27">
        <v>774</v>
      </c>
      <c r="EJ14" s="27">
        <v>727</v>
      </c>
      <c r="EK14" s="27">
        <v>717</v>
      </c>
      <c r="EL14" s="27">
        <v>690</v>
      </c>
      <c r="EM14" s="27">
        <v>659</v>
      </c>
      <c r="EN14" s="27">
        <v>711</v>
      </c>
      <c r="EO14" s="27">
        <v>775</v>
      </c>
      <c r="EP14" s="27">
        <v>749</v>
      </c>
      <c r="EQ14" s="27">
        <v>711</v>
      </c>
      <c r="ER14" s="27">
        <v>714</v>
      </c>
      <c r="ES14" s="27">
        <v>824</v>
      </c>
      <c r="ET14" s="27">
        <v>885</v>
      </c>
      <c r="EU14" s="27">
        <v>906</v>
      </c>
      <c r="EV14" s="27">
        <v>904</v>
      </c>
      <c r="EW14" s="27">
        <v>907</v>
      </c>
      <c r="EX14" s="27">
        <v>818</v>
      </c>
      <c r="EY14" s="27">
        <v>822</v>
      </c>
      <c r="EZ14" s="27">
        <v>811</v>
      </c>
      <c r="FA14" s="27">
        <v>825</v>
      </c>
      <c r="FB14" s="27">
        <v>844</v>
      </c>
      <c r="FC14" s="27">
        <v>853</v>
      </c>
      <c r="FD14" s="27">
        <v>827</v>
      </c>
      <c r="FE14" s="27">
        <v>853</v>
      </c>
      <c r="FF14" s="27">
        <v>857</v>
      </c>
      <c r="FG14" s="27">
        <v>894</v>
      </c>
      <c r="FH14" s="27">
        <v>918</v>
      </c>
      <c r="FI14" s="27">
        <v>886</v>
      </c>
      <c r="FJ14" s="27">
        <v>850</v>
      </c>
      <c r="FK14" s="27">
        <v>852</v>
      </c>
      <c r="FL14" s="27">
        <v>832</v>
      </c>
      <c r="FM14" s="27">
        <v>832</v>
      </c>
      <c r="FN14" s="27">
        <v>801</v>
      </c>
      <c r="FO14" s="27">
        <v>795</v>
      </c>
      <c r="FP14" s="27">
        <v>836</v>
      </c>
      <c r="FQ14" s="27">
        <v>877</v>
      </c>
      <c r="FR14" s="27">
        <v>910</v>
      </c>
      <c r="FS14" s="27">
        <v>853</v>
      </c>
      <c r="FT14" s="27">
        <v>840</v>
      </c>
      <c r="FU14" s="27">
        <v>876</v>
      </c>
      <c r="FV14" s="27">
        <v>888</v>
      </c>
      <c r="FW14" s="27">
        <v>850</v>
      </c>
      <c r="FX14" s="27">
        <v>864</v>
      </c>
      <c r="FY14" s="27">
        <v>847</v>
      </c>
      <c r="FZ14" s="27">
        <v>863</v>
      </c>
      <c r="GA14" s="27">
        <v>845</v>
      </c>
      <c r="GB14" s="27">
        <v>851</v>
      </c>
      <c r="GC14" s="27">
        <v>807</v>
      </c>
    </row>
    <row r="15" spans="1:185" x14ac:dyDescent="0.25">
      <c r="A15" s="27" t="s">
        <v>41</v>
      </c>
      <c r="B15" s="31">
        <v>1113</v>
      </c>
      <c r="C15" s="31">
        <v>1135</v>
      </c>
      <c r="D15" s="31">
        <v>1124</v>
      </c>
      <c r="E15" s="31">
        <v>1131</v>
      </c>
      <c r="F15" s="31">
        <v>1095</v>
      </c>
      <c r="G15" s="31">
        <v>1131</v>
      </c>
      <c r="H15" s="31">
        <v>1124</v>
      </c>
      <c r="I15" s="31">
        <v>1169</v>
      </c>
      <c r="J15" s="31">
        <v>1173</v>
      </c>
      <c r="K15" s="31">
        <v>1195</v>
      </c>
      <c r="L15" s="31">
        <v>1164</v>
      </c>
      <c r="M15" s="31">
        <v>1170</v>
      </c>
      <c r="N15" s="31">
        <v>1180</v>
      </c>
      <c r="O15" s="31">
        <v>1205</v>
      </c>
      <c r="P15" s="31">
        <v>1263</v>
      </c>
      <c r="Q15" s="31">
        <v>1283</v>
      </c>
      <c r="R15" s="31">
        <v>1270</v>
      </c>
      <c r="S15" s="31">
        <v>1319</v>
      </c>
      <c r="T15" s="31">
        <v>1291</v>
      </c>
      <c r="U15" s="31">
        <v>1264</v>
      </c>
      <c r="V15" s="31">
        <v>1255</v>
      </c>
      <c r="W15" s="31">
        <v>1263</v>
      </c>
      <c r="X15" s="31">
        <v>1242</v>
      </c>
      <c r="Y15" s="31">
        <v>1278</v>
      </c>
      <c r="Z15" s="31">
        <v>1235</v>
      </c>
      <c r="AA15" s="31">
        <v>1236</v>
      </c>
      <c r="AB15" s="31">
        <v>1232</v>
      </c>
      <c r="AC15" s="31">
        <v>1262</v>
      </c>
      <c r="AD15" s="31">
        <v>1273</v>
      </c>
      <c r="AE15" s="31">
        <v>1282</v>
      </c>
      <c r="AF15" s="31">
        <v>1285</v>
      </c>
      <c r="AG15" s="31">
        <v>1250</v>
      </c>
      <c r="AH15" s="31">
        <v>1253</v>
      </c>
      <c r="AI15" s="31">
        <v>1260</v>
      </c>
      <c r="AJ15" s="31">
        <v>1264</v>
      </c>
      <c r="AK15" s="31">
        <v>1230</v>
      </c>
      <c r="AL15" s="31">
        <v>1127</v>
      </c>
      <c r="AM15" s="31">
        <v>1164</v>
      </c>
      <c r="AN15" s="31">
        <v>1172</v>
      </c>
      <c r="AO15" s="31">
        <v>1155</v>
      </c>
      <c r="AP15" s="31">
        <v>1129</v>
      </c>
      <c r="AQ15" s="31">
        <v>1131</v>
      </c>
      <c r="AR15" s="31">
        <v>1115</v>
      </c>
      <c r="AS15" s="31">
        <v>1136</v>
      </c>
      <c r="AT15" s="31">
        <v>1081</v>
      </c>
      <c r="AU15" s="31">
        <v>1047</v>
      </c>
      <c r="AV15" s="31">
        <v>1005</v>
      </c>
      <c r="AW15" s="31">
        <v>1055</v>
      </c>
      <c r="AX15" s="31">
        <v>1064</v>
      </c>
      <c r="AY15" s="31">
        <v>1092</v>
      </c>
      <c r="AZ15" s="31">
        <v>1099</v>
      </c>
      <c r="BA15" s="31">
        <v>1068</v>
      </c>
      <c r="BB15" s="31">
        <v>1059</v>
      </c>
      <c r="BC15" s="31">
        <v>1032</v>
      </c>
      <c r="BD15" s="31">
        <v>1091</v>
      </c>
      <c r="BE15" s="31">
        <v>1100</v>
      </c>
      <c r="BF15" s="31">
        <v>1067</v>
      </c>
      <c r="BG15" s="31">
        <v>1068</v>
      </c>
      <c r="BH15" s="31">
        <v>1060</v>
      </c>
      <c r="BI15" s="31">
        <v>1023</v>
      </c>
      <c r="BJ15" s="31">
        <v>1059</v>
      </c>
      <c r="BK15" s="31">
        <v>1139</v>
      </c>
      <c r="BL15" s="31">
        <v>1136</v>
      </c>
      <c r="BM15" s="31">
        <v>1175</v>
      </c>
      <c r="BN15" s="31">
        <v>1252</v>
      </c>
      <c r="BO15" s="31">
        <v>1290</v>
      </c>
      <c r="BP15" s="31">
        <v>1302</v>
      </c>
      <c r="BQ15" s="31">
        <v>1281</v>
      </c>
      <c r="BR15" s="31">
        <v>1267</v>
      </c>
      <c r="BS15" s="31">
        <v>1243</v>
      </c>
      <c r="BT15" s="31">
        <v>1259</v>
      </c>
      <c r="BU15" s="31">
        <v>1263</v>
      </c>
      <c r="BV15" s="31">
        <v>1259</v>
      </c>
      <c r="BW15" s="31">
        <v>1225</v>
      </c>
      <c r="BX15" s="31">
        <v>1235</v>
      </c>
      <c r="BY15" s="31">
        <v>1242</v>
      </c>
      <c r="BZ15" s="31">
        <v>1227</v>
      </c>
      <c r="CA15" s="31">
        <v>1230</v>
      </c>
      <c r="CB15" s="31">
        <v>1236</v>
      </c>
      <c r="CC15" s="31">
        <v>1372</v>
      </c>
      <c r="CD15" s="31">
        <v>1421</v>
      </c>
      <c r="CE15" s="31">
        <v>1463</v>
      </c>
      <c r="CF15" s="31">
        <v>1733</v>
      </c>
      <c r="CG15" s="31">
        <v>1687</v>
      </c>
      <c r="CH15" s="31">
        <v>1719</v>
      </c>
      <c r="CI15" s="31">
        <v>1677</v>
      </c>
      <c r="CJ15" s="31">
        <v>1744</v>
      </c>
      <c r="CK15" s="31">
        <v>1621</v>
      </c>
      <c r="CL15" s="31">
        <v>1519</v>
      </c>
      <c r="CM15" s="31">
        <v>1500</v>
      </c>
      <c r="CN15" s="31">
        <v>1417</v>
      </c>
      <c r="CO15" s="31">
        <v>1353</v>
      </c>
      <c r="CP15" s="31">
        <v>1051</v>
      </c>
      <c r="CQ15" s="31">
        <v>1002</v>
      </c>
      <c r="CR15" s="27">
        <v>968</v>
      </c>
      <c r="CS15" s="27">
        <v>987</v>
      </c>
      <c r="CT15" s="31">
        <v>1099</v>
      </c>
      <c r="CU15" s="31">
        <v>1034</v>
      </c>
      <c r="CV15" s="27">
        <v>905</v>
      </c>
      <c r="CW15" s="27">
        <v>912</v>
      </c>
      <c r="CX15" s="27">
        <v>993</v>
      </c>
      <c r="CY15" s="31">
        <v>1038</v>
      </c>
      <c r="CZ15" s="31">
        <v>1019</v>
      </c>
      <c r="DA15" s="31">
        <v>1021</v>
      </c>
      <c r="DB15" s="27">
        <v>991</v>
      </c>
      <c r="DC15" s="31">
        <v>1037</v>
      </c>
      <c r="DD15" s="31">
        <v>1137</v>
      </c>
      <c r="DE15" s="31">
        <v>1154</v>
      </c>
      <c r="DF15" s="31">
        <v>1175</v>
      </c>
      <c r="DG15" s="31">
        <v>1311</v>
      </c>
      <c r="DH15" s="31">
        <v>1415</v>
      </c>
      <c r="DI15" s="31">
        <v>1425</v>
      </c>
      <c r="DJ15" s="31">
        <v>1486</v>
      </c>
      <c r="DK15" s="31">
        <v>1746</v>
      </c>
      <c r="DL15" s="31">
        <v>1812</v>
      </c>
      <c r="DM15" s="31">
        <v>1777</v>
      </c>
      <c r="DN15" s="31">
        <v>1763</v>
      </c>
      <c r="DO15" s="31">
        <v>1769</v>
      </c>
      <c r="DP15" s="31">
        <v>1757</v>
      </c>
      <c r="DQ15" s="31">
        <v>1843</v>
      </c>
      <c r="DR15" s="31">
        <v>1904</v>
      </c>
      <c r="DS15" s="31">
        <v>2074</v>
      </c>
      <c r="DT15" s="31">
        <v>2036</v>
      </c>
      <c r="DU15" s="31">
        <v>2028</v>
      </c>
      <c r="DV15" s="31">
        <v>2076</v>
      </c>
      <c r="DW15" s="31">
        <v>2083</v>
      </c>
      <c r="DX15" s="31">
        <v>2070</v>
      </c>
      <c r="DY15" s="31">
        <v>2126</v>
      </c>
      <c r="DZ15" s="31">
        <v>2147</v>
      </c>
      <c r="EA15" s="31">
        <v>2094</v>
      </c>
      <c r="EB15" s="31">
        <v>2074</v>
      </c>
      <c r="EC15" s="31">
        <v>2111</v>
      </c>
      <c r="ED15" s="31">
        <v>2097</v>
      </c>
      <c r="EE15" s="31">
        <v>2111</v>
      </c>
      <c r="EF15" s="31">
        <v>2117</v>
      </c>
      <c r="EG15" s="31">
        <v>2172</v>
      </c>
      <c r="EH15" s="31">
        <v>2176</v>
      </c>
      <c r="EI15" s="31">
        <v>2227</v>
      </c>
      <c r="EJ15" s="31">
        <v>2367</v>
      </c>
      <c r="EK15" s="31">
        <v>2387</v>
      </c>
      <c r="EL15" s="31">
        <v>2461</v>
      </c>
      <c r="EM15" s="31">
        <v>2462</v>
      </c>
      <c r="EN15" s="31">
        <v>2466</v>
      </c>
      <c r="EO15" s="31">
        <v>2460</v>
      </c>
      <c r="EP15" s="31">
        <v>2474</v>
      </c>
      <c r="EQ15" s="31">
        <v>2501</v>
      </c>
      <c r="ER15" s="31">
        <v>2457</v>
      </c>
      <c r="ES15" s="31">
        <v>2545</v>
      </c>
      <c r="ET15" s="31">
        <v>2550</v>
      </c>
      <c r="EU15" s="31">
        <v>2614</v>
      </c>
      <c r="EV15" s="31">
        <v>2564</v>
      </c>
      <c r="EW15" s="31">
        <v>2542</v>
      </c>
      <c r="EX15" s="31">
        <v>2541</v>
      </c>
      <c r="EY15" s="31">
        <v>2541</v>
      </c>
      <c r="EZ15" s="31">
        <v>2716</v>
      </c>
      <c r="FA15" s="31">
        <v>2692</v>
      </c>
      <c r="FB15" s="31">
        <v>2688</v>
      </c>
      <c r="FC15" s="31">
        <v>2630</v>
      </c>
      <c r="FD15" s="31">
        <v>2605</v>
      </c>
      <c r="FE15" s="31">
        <v>2527</v>
      </c>
      <c r="FF15" s="31">
        <v>2351</v>
      </c>
      <c r="FG15" s="31">
        <v>2321</v>
      </c>
      <c r="FH15" s="31">
        <v>2401</v>
      </c>
      <c r="FI15" s="31">
        <v>2367</v>
      </c>
      <c r="FJ15" s="31">
        <v>2410</v>
      </c>
      <c r="FK15" s="31">
        <v>2376</v>
      </c>
      <c r="FL15" s="31">
        <v>2353</v>
      </c>
      <c r="FM15" s="31">
        <v>2299</v>
      </c>
      <c r="FN15" s="31">
        <v>2246</v>
      </c>
      <c r="FO15" s="31">
        <v>2351</v>
      </c>
      <c r="FP15" s="31">
        <v>2436</v>
      </c>
      <c r="FQ15" s="31">
        <v>2406</v>
      </c>
      <c r="FR15" s="31">
        <v>2359</v>
      </c>
      <c r="FS15" s="31">
        <v>2380</v>
      </c>
      <c r="FT15" s="31">
        <v>2350</v>
      </c>
      <c r="FU15" s="31">
        <v>2506</v>
      </c>
      <c r="FV15" s="31">
        <v>2497</v>
      </c>
      <c r="FW15" s="31">
        <v>2457</v>
      </c>
      <c r="FX15" s="31">
        <v>2451</v>
      </c>
      <c r="FY15" s="31">
        <v>2508</v>
      </c>
      <c r="FZ15" s="31">
        <v>2557</v>
      </c>
      <c r="GA15" s="31">
        <v>2604</v>
      </c>
      <c r="GB15" s="31">
        <v>2598</v>
      </c>
      <c r="GC15" s="31">
        <v>2634</v>
      </c>
    </row>
    <row r="16" spans="1:185" x14ac:dyDescent="0.25">
      <c r="A16" s="27" t="s">
        <v>42</v>
      </c>
      <c r="B16" s="27">
        <v>331</v>
      </c>
      <c r="C16" s="27">
        <v>332</v>
      </c>
      <c r="D16" s="27">
        <v>332</v>
      </c>
      <c r="E16" s="27">
        <v>330</v>
      </c>
      <c r="F16" s="27">
        <v>325</v>
      </c>
      <c r="G16" s="27">
        <v>324</v>
      </c>
      <c r="H16" s="27">
        <v>321</v>
      </c>
      <c r="I16" s="27">
        <v>326</v>
      </c>
      <c r="J16" s="27">
        <v>335</v>
      </c>
      <c r="K16" s="27">
        <v>336</v>
      </c>
      <c r="L16" s="27">
        <v>333</v>
      </c>
      <c r="M16" s="27">
        <v>332</v>
      </c>
      <c r="N16" s="27">
        <v>332</v>
      </c>
      <c r="O16" s="27">
        <v>329</v>
      </c>
      <c r="P16" s="27">
        <v>336</v>
      </c>
      <c r="Q16" s="27">
        <v>338</v>
      </c>
      <c r="R16" s="27">
        <v>352</v>
      </c>
      <c r="S16" s="27">
        <v>321</v>
      </c>
      <c r="T16" s="27">
        <v>315</v>
      </c>
      <c r="U16" s="27">
        <v>348</v>
      </c>
      <c r="V16" s="27">
        <v>346</v>
      </c>
      <c r="W16" s="27">
        <v>351</v>
      </c>
      <c r="X16" s="27">
        <v>349</v>
      </c>
      <c r="Y16" s="27">
        <v>345</v>
      </c>
      <c r="Z16" s="27">
        <v>347</v>
      </c>
      <c r="AA16" s="27">
        <v>347</v>
      </c>
      <c r="AB16" s="27">
        <v>345</v>
      </c>
      <c r="AC16" s="27">
        <v>344</v>
      </c>
      <c r="AD16" s="27">
        <v>350</v>
      </c>
      <c r="AE16" s="27">
        <v>349</v>
      </c>
      <c r="AF16" s="27">
        <v>350</v>
      </c>
      <c r="AG16" s="27">
        <v>350</v>
      </c>
      <c r="AH16" s="27">
        <v>346</v>
      </c>
      <c r="AI16" s="27">
        <v>347</v>
      </c>
      <c r="AJ16" s="27">
        <v>351</v>
      </c>
      <c r="AK16" s="27">
        <v>357</v>
      </c>
      <c r="AL16" s="27">
        <v>357</v>
      </c>
      <c r="AM16" s="27">
        <v>358</v>
      </c>
      <c r="AN16" s="27">
        <v>354</v>
      </c>
      <c r="AO16" s="27">
        <v>340</v>
      </c>
      <c r="AP16" s="27">
        <v>341</v>
      </c>
      <c r="AQ16" s="27">
        <v>404</v>
      </c>
      <c r="AR16" s="27">
        <v>412</v>
      </c>
      <c r="AS16" s="27">
        <v>398</v>
      </c>
      <c r="AT16" s="27">
        <v>430</v>
      </c>
      <c r="AU16" s="27">
        <v>442</v>
      </c>
      <c r="AV16" s="27">
        <v>420</v>
      </c>
      <c r="AW16" s="27">
        <v>446</v>
      </c>
      <c r="AX16" s="27">
        <v>514</v>
      </c>
      <c r="AY16" s="27">
        <v>548</v>
      </c>
      <c r="AZ16" s="27">
        <v>534</v>
      </c>
      <c r="BA16" s="27">
        <v>530</v>
      </c>
      <c r="BB16" s="27">
        <v>487</v>
      </c>
      <c r="BC16" s="27">
        <v>428</v>
      </c>
      <c r="BD16" s="27">
        <v>476</v>
      </c>
      <c r="BE16" s="27">
        <v>486</v>
      </c>
      <c r="BF16" s="27">
        <v>501</v>
      </c>
      <c r="BG16" s="27">
        <v>488</v>
      </c>
      <c r="BH16" s="27">
        <v>464</v>
      </c>
      <c r="BI16" s="27">
        <v>444</v>
      </c>
      <c r="BJ16" s="27">
        <v>388</v>
      </c>
      <c r="BK16" s="27">
        <v>400</v>
      </c>
      <c r="BL16" s="27">
        <v>420</v>
      </c>
      <c r="BM16" s="27">
        <v>415</v>
      </c>
      <c r="BN16" s="27">
        <v>487</v>
      </c>
      <c r="BO16" s="27">
        <v>486</v>
      </c>
      <c r="BP16" s="27">
        <v>538</v>
      </c>
      <c r="BQ16" s="27">
        <v>525</v>
      </c>
      <c r="BR16" s="27">
        <v>502</v>
      </c>
      <c r="BS16" s="27">
        <v>507</v>
      </c>
      <c r="BT16" s="27">
        <v>513</v>
      </c>
      <c r="BU16" s="27">
        <v>491</v>
      </c>
      <c r="BV16" s="27">
        <v>468</v>
      </c>
      <c r="BW16" s="27">
        <v>441</v>
      </c>
      <c r="BX16" s="27">
        <v>457</v>
      </c>
      <c r="BY16" s="27">
        <v>451</v>
      </c>
      <c r="BZ16" s="27">
        <v>433</v>
      </c>
      <c r="CA16" s="27">
        <v>450</v>
      </c>
      <c r="CB16" s="27">
        <v>452</v>
      </c>
      <c r="CC16" s="27">
        <v>457</v>
      </c>
      <c r="CD16" s="27">
        <v>422</v>
      </c>
      <c r="CE16" s="27">
        <v>363</v>
      </c>
      <c r="CF16" s="27">
        <v>362</v>
      </c>
      <c r="CG16" s="27">
        <v>339</v>
      </c>
      <c r="CH16" s="27">
        <v>361</v>
      </c>
      <c r="CI16" s="27">
        <v>322</v>
      </c>
      <c r="CJ16" s="27">
        <v>332</v>
      </c>
      <c r="CK16" s="27">
        <v>302</v>
      </c>
      <c r="CL16" s="27">
        <v>258</v>
      </c>
      <c r="CM16" s="27">
        <v>273</v>
      </c>
      <c r="CN16" s="27">
        <v>243</v>
      </c>
      <c r="CO16" s="27">
        <v>254</v>
      </c>
      <c r="CP16" s="27">
        <v>190</v>
      </c>
      <c r="CQ16" s="27">
        <v>241</v>
      </c>
      <c r="CR16" s="27">
        <v>302</v>
      </c>
      <c r="CS16" s="27">
        <v>307</v>
      </c>
      <c r="CT16" s="27">
        <v>321</v>
      </c>
      <c r="CU16" s="27">
        <v>323</v>
      </c>
      <c r="CV16" s="27">
        <v>246</v>
      </c>
      <c r="CW16" s="27">
        <v>247</v>
      </c>
      <c r="CX16" s="27">
        <v>251</v>
      </c>
      <c r="CY16" s="27">
        <v>246</v>
      </c>
      <c r="CZ16" s="27">
        <v>254</v>
      </c>
      <c r="DA16" s="27">
        <v>263</v>
      </c>
      <c r="DB16" s="27">
        <v>259</v>
      </c>
      <c r="DC16" s="27">
        <v>250</v>
      </c>
      <c r="DD16" s="27">
        <v>284</v>
      </c>
      <c r="DE16" s="27">
        <v>278</v>
      </c>
      <c r="DF16" s="27">
        <v>260</v>
      </c>
      <c r="DG16" s="27">
        <v>267</v>
      </c>
      <c r="DH16" s="27">
        <v>269</v>
      </c>
      <c r="DI16" s="27">
        <v>264</v>
      </c>
      <c r="DJ16" s="27">
        <v>274</v>
      </c>
      <c r="DK16" s="27">
        <v>280</v>
      </c>
      <c r="DL16" s="27">
        <v>273</v>
      </c>
      <c r="DM16" s="27">
        <v>268</v>
      </c>
      <c r="DN16" s="27">
        <v>260</v>
      </c>
      <c r="DO16" s="27">
        <v>314</v>
      </c>
      <c r="DP16" s="27">
        <v>453</v>
      </c>
      <c r="DQ16" s="27">
        <v>511</v>
      </c>
      <c r="DR16" s="27">
        <v>534</v>
      </c>
      <c r="DS16" s="27">
        <v>540</v>
      </c>
      <c r="DT16" s="27">
        <v>537</v>
      </c>
      <c r="DU16" s="27">
        <v>542</v>
      </c>
      <c r="DV16" s="27">
        <v>539</v>
      </c>
      <c r="DW16" s="27">
        <v>539</v>
      </c>
      <c r="DX16" s="27">
        <v>547</v>
      </c>
      <c r="DY16" s="27">
        <v>547</v>
      </c>
      <c r="DZ16" s="27">
        <v>539</v>
      </c>
      <c r="EA16" s="27">
        <v>536</v>
      </c>
      <c r="EB16" s="27">
        <v>532</v>
      </c>
      <c r="EC16" s="27">
        <v>539</v>
      </c>
      <c r="ED16" s="27">
        <v>595</v>
      </c>
      <c r="EE16" s="27">
        <v>594</v>
      </c>
      <c r="EF16" s="27">
        <v>600</v>
      </c>
      <c r="EG16" s="27">
        <v>620</v>
      </c>
      <c r="EH16" s="27">
        <v>632</v>
      </c>
      <c r="EI16" s="27">
        <v>628</v>
      </c>
      <c r="EJ16" s="27">
        <v>641</v>
      </c>
      <c r="EK16" s="27">
        <v>638</v>
      </c>
      <c r="EL16" s="27">
        <v>647</v>
      </c>
      <c r="EM16" s="27">
        <v>652</v>
      </c>
      <c r="EN16" s="27">
        <v>648</v>
      </c>
      <c r="EO16" s="27">
        <v>618</v>
      </c>
      <c r="EP16" s="27">
        <v>582</v>
      </c>
      <c r="EQ16" s="27">
        <v>657</v>
      </c>
      <c r="ER16" s="27">
        <v>647</v>
      </c>
      <c r="ES16" s="27">
        <v>717</v>
      </c>
      <c r="ET16" s="27">
        <v>717</v>
      </c>
      <c r="EU16" s="27">
        <v>728</v>
      </c>
      <c r="EV16" s="27">
        <v>805</v>
      </c>
      <c r="EW16" s="27">
        <v>903</v>
      </c>
      <c r="EX16" s="27">
        <v>985</v>
      </c>
      <c r="EY16" s="27">
        <v>988</v>
      </c>
      <c r="EZ16" s="27">
        <v>978</v>
      </c>
      <c r="FA16" s="27">
        <v>965</v>
      </c>
      <c r="FB16" s="27">
        <v>973</v>
      </c>
      <c r="FC16" s="27">
        <v>970</v>
      </c>
      <c r="FD16" s="27">
        <v>955</v>
      </c>
      <c r="FE16" s="27">
        <v>847</v>
      </c>
      <c r="FF16" s="27">
        <v>792</v>
      </c>
      <c r="FG16" s="27">
        <v>835</v>
      </c>
      <c r="FH16" s="27">
        <v>826</v>
      </c>
      <c r="FI16" s="27">
        <v>869</v>
      </c>
      <c r="FJ16" s="27">
        <v>840</v>
      </c>
      <c r="FK16" s="27">
        <v>864</v>
      </c>
      <c r="FL16" s="27">
        <v>889</v>
      </c>
      <c r="FM16" s="27">
        <v>861</v>
      </c>
      <c r="FN16" s="27">
        <v>825</v>
      </c>
      <c r="FO16" s="27">
        <v>847</v>
      </c>
      <c r="FP16" s="27">
        <v>856</v>
      </c>
      <c r="FQ16" s="27">
        <v>858</v>
      </c>
      <c r="FR16" s="27">
        <v>850</v>
      </c>
      <c r="FS16" s="27">
        <v>894</v>
      </c>
      <c r="FT16" s="27">
        <v>872</v>
      </c>
      <c r="FU16" s="27">
        <v>885</v>
      </c>
      <c r="FV16" s="27">
        <v>879</v>
      </c>
      <c r="FW16" s="27">
        <v>869</v>
      </c>
      <c r="FX16" s="27">
        <v>869</v>
      </c>
      <c r="FY16" s="27">
        <v>866</v>
      </c>
      <c r="FZ16" s="27">
        <v>870</v>
      </c>
      <c r="GA16" s="27">
        <v>867</v>
      </c>
      <c r="GB16" s="27">
        <v>870</v>
      </c>
      <c r="GC16" s="27">
        <v>878</v>
      </c>
    </row>
    <row r="17" spans="1:185" x14ac:dyDescent="0.25">
      <c r="A17" s="29" t="s">
        <v>43</v>
      </c>
      <c r="B17" s="29">
        <f>SUM(B12:B16)</f>
        <v>2257</v>
      </c>
      <c r="C17" s="29">
        <f>SUM(C12:C16)</f>
        <v>2274</v>
      </c>
      <c r="D17" s="29">
        <f t="shared" ref="D17:BN17" si="0">SUM(D12:D16)</f>
        <v>2281</v>
      </c>
      <c r="E17" s="29">
        <f t="shared" si="0"/>
        <v>2278</v>
      </c>
      <c r="F17" s="29">
        <f t="shared" si="0"/>
        <v>2246</v>
      </c>
      <c r="G17" s="29">
        <f t="shared" si="0"/>
        <v>2286</v>
      </c>
      <c r="H17" s="29">
        <f t="shared" si="0"/>
        <v>2283</v>
      </c>
      <c r="I17" s="29">
        <f t="shared" si="0"/>
        <v>2347</v>
      </c>
      <c r="J17" s="29">
        <f t="shared" si="0"/>
        <v>2371</v>
      </c>
      <c r="K17" s="29">
        <f t="shared" si="0"/>
        <v>2404</v>
      </c>
      <c r="L17" s="29">
        <f t="shared" si="0"/>
        <v>2373</v>
      </c>
      <c r="M17" s="29">
        <f t="shared" si="0"/>
        <v>2384</v>
      </c>
      <c r="N17" s="29">
        <f t="shared" si="0"/>
        <v>2411</v>
      </c>
      <c r="O17" s="29">
        <f t="shared" si="0"/>
        <v>2438</v>
      </c>
      <c r="P17" s="29">
        <f t="shared" si="0"/>
        <v>2510</v>
      </c>
      <c r="Q17" s="29">
        <f t="shared" si="0"/>
        <v>2544</v>
      </c>
      <c r="R17" s="29">
        <f t="shared" si="0"/>
        <v>2543</v>
      </c>
      <c r="S17" s="29">
        <f t="shared" si="0"/>
        <v>2572</v>
      </c>
      <c r="T17" s="29">
        <f t="shared" si="0"/>
        <v>2552</v>
      </c>
      <c r="U17" s="29">
        <f t="shared" si="0"/>
        <v>2562</v>
      </c>
      <c r="V17" s="29">
        <f t="shared" si="0"/>
        <v>2552</v>
      </c>
      <c r="W17" s="29">
        <f t="shared" si="0"/>
        <v>2564</v>
      </c>
      <c r="X17" s="29">
        <f t="shared" si="0"/>
        <v>2556</v>
      </c>
      <c r="Y17" s="29">
        <f t="shared" si="0"/>
        <v>2594</v>
      </c>
      <c r="Z17" s="29">
        <f t="shared" si="0"/>
        <v>2542</v>
      </c>
      <c r="AA17" s="29">
        <f t="shared" si="0"/>
        <v>2541</v>
      </c>
      <c r="AB17" s="29">
        <f t="shared" si="0"/>
        <v>2531</v>
      </c>
      <c r="AC17" s="29">
        <f t="shared" si="0"/>
        <v>2570</v>
      </c>
      <c r="AD17" s="29">
        <f t="shared" si="0"/>
        <v>2586</v>
      </c>
      <c r="AE17" s="29">
        <f t="shared" si="0"/>
        <v>2603</v>
      </c>
      <c r="AF17" s="29">
        <f t="shared" si="0"/>
        <v>2604</v>
      </c>
      <c r="AG17" s="29">
        <f t="shared" si="0"/>
        <v>2563</v>
      </c>
      <c r="AH17" s="29">
        <f t="shared" si="0"/>
        <v>2565</v>
      </c>
      <c r="AI17" s="29">
        <f t="shared" si="0"/>
        <v>2577</v>
      </c>
      <c r="AJ17" s="29">
        <f t="shared" si="0"/>
        <v>2568</v>
      </c>
      <c r="AK17" s="29">
        <f t="shared" si="0"/>
        <v>2553</v>
      </c>
      <c r="AL17" s="29">
        <f t="shared" si="0"/>
        <v>2433</v>
      </c>
      <c r="AM17" s="29">
        <f t="shared" si="0"/>
        <v>2493</v>
      </c>
      <c r="AN17" s="29">
        <f t="shared" si="0"/>
        <v>2482</v>
      </c>
      <c r="AO17" s="29">
        <f t="shared" si="0"/>
        <v>2446</v>
      </c>
      <c r="AP17" s="29">
        <f t="shared" si="0"/>
        <v>2411</v>
      </c>
      <c r="AQ17" s="29">
        <f t="shared" si="0"/>
        <v>2493</v>
      </c>
      <c r="AR17" s="29">
        <f t="shared" si="0"/>
        <v>2489</v>
      </c>
      <c r="AS17" s="29">
        <f t="shared" si="0"/>
        <v>2500</v>
      </c>
      <c r="AT17" s="29">
        <f t="shared" si="0"/>
        <v>2464</v>
      </c>
      <c r="AU17" s="29">
        <f t="shared" si="0"/>
        <v>2440</v>
      </c>
      <c r="AV17" s="29">
        <f t="shared" si="0"/>
        <v>2382</v>
      </c>
      <c r="AW17" s="29">
        <f t="shared" si="0"/>
        <v>2453</v>
      </c>
      <c r="AX17" s="29">
        <f t="shared" si="0"/>
        <v>2529</v>
      </c>
      <c r="AY17" s="29">
        <f t="shared" si="0"/>
        <v>2604</v>
      </c>
      <c r="AZ17" s="29">
        <f t="shared" si="0"/>
        <v>2603</v>
      </c>
      <c r="BA17" s="29">
        <f t="shared" si="0"/>
        <v>2557</v>
      </c>
      <c r="BB17" s="29">
        <f t="shared" si="0"/>
        <v>2492</v>
      </c>
      <c r="BC17" s="29">
        <f t="shared" si="0"/>
        <v>2410</v>
      </c>
      <c r="BD17" s="29">
        <f t="shared" si="0"/>
        <v>2527</v>
      </c>
      <c r="BE17" s="29">
        <f t="shared" si="0"/>
        <v>2536</v>
      </c>
      <c r="BF17" s="29">
        <f t="shared" si="0"/>
        <v>2517</v>
      </c>
      <c r="BG17" s="29">
        <f t="shared" si="0"/>
        <v>2488</v>
      </c>
      <c r="BH17" s="29">
        <f t="shared" si="0"/>
        <v>2455</v>
      </c>
      <c r="BI17" s="29">
        <f t="shared" si="0"/>
        <v>2398</v>
      </c>
      <c r="BJ17" s="29">
        <f t="shared" si="0"/>
        <v>2374</v>
      </c>
      <c r="BK17" s="29">
        <f t="shared" si="0"/>
        <v>2495</v>
      </c>
      <c r="BL17" s="29">
        <f t="shared" si="0"/>
        <v>2509</v>
      </c>
      <c r="BM17" s="29">
        <f t="shared" si="0"/>
        <v>2556</v>
      </c>
      <c r="BN17" s="29">
        <f t="shared" si="0"/>
        <v>2686</v>
      </c>
      <c r="BO17" s="29">
        <f t="shared" ref="BO17:DZ17" si="1">SUM(BO12:BO16)</f>
        <v>2759</v>
      </c>
      <c r="BP17" s="29">
        <f t="shared" si="1"/>
        <v>2824</v>
      </c>
      <c r="BQ17" s="29">
        <f t="shared" si="1"/>
        <v>2794</v>
      </c>
      <c r="BR17" s="29">
        <f t="shared" si="1"/>
        <v>2747</v>
      </c>
      <c r="BS17" s="29">
        <f t="shared" si="1"/>
        <v>2723</v>
      </c>
      <c r="BT17" s="29">
        <f t="shared" si="1"/>
        <v>2804</v>
      </c>
      <c r="BU17" s="29">
        <f t="shared" si="1"/>
        <v>2832</v>
      </c>
      <c r="BV17" s="29">
        <f t="shared" si="1"/>
        <v>2852</v>
      </c>
      <c r="BW17" s="29">
        <f t="shared" si="1"/>
        <v>2816</v>
      </c>
      <c r="BX17" s="29">
        <f t="shared" si="1"/>
        <v>2876</v>
      </c>
      <c r="BY17" s="29">
        <f t="shared" si="1"/>
        <v>2919</v>
      </c>
      <c r="BZ17" s="29">
        <f t="shared" si="1"/>
        <v>2905</v>
      </c>
      <c r="CA17" s="29">
        <f t="shared" si="1"/>
        <v>2940</v>
      </c>
      <c r="CB17" s="29">
        <f t="shared" si="1"/>
        <v>2968</v>
      </c>
      <c r="CC17" s="29">
        <f t="shared" si="1"/>
        <v>3091</v>
      </c>
      <c r="CD17" s="29">
        <f t="shared" si="1"/>
        <v>3041</v>
      </c>
      <c r="CE17" s="29">
        <f t="shared" si="1"/>
        <v>3038</v>
      </c>
      <c r="CF17" s="29">
        <f t="shared" si="1"/>
        <v>3258</v>
      </c>
      <c r="CG17" s="29">
        <f t="shared" si="1"/>
        <v>3212</v>
      </c>
      <c r="CH17" s="29">
        <f t="shared" si="1"/>
        <v>3201</v>
      </c>
      <c r="CI17" s="29">
        <f t="shared" si="1"/>
        <v>3112</v>
      </c>
      <c r="CJ17" s="29">
        <f t="shared" si="1"/>
        <v>3220</v>
      </c>
      <c r="CK17" s="29">
        <f t="shared" si="1"/>
        <v>3017</v>
      </c>
      <c r="CL17" s="29">
        <f t="shared" si="1"/>
        <v>2860</v>
      </c>
      <c r="CM17" s="29">
        <f t="shared" si="1"/>
        <v>2834</v>
      </c>
      <c r="CN17" s="29">
        <f t="shared" si="1"/>
        <v>2789</v>
      </c>
      <c r="CO17" s="29">
        <f t="shared" si="1"/>
        <v>2693</v>
      </c>
      <c r="CP17" s="29">
        <f t="shared" si="1"/>
        <v>2223</v>
      </c>
      <c r="CQ17" s="29">
        <f t="shared" si="1"/>
        <v>2176</v>
      </c>
      <c r="CR17" s="29">
        <f t="shared" si="1"/>
        <v>2188</v>
      </c>
      <c r="CS17" s="29">
        <f t="shared" si="1"/>
        <v>2222</v>
      </c>
      <c r="CT17" s="29">
        <f t="shared" si="1"/>
        <v>2292</v>
      </c>
      <c r="CU17" s="29">
        <f t="shared" si="1"/>
        <v>2213</v>
      </c>
      <c r="CV17" s="29">
        <f t="shared" si="1"/>
        <v>1956</v>
      </c>
      <c r="CW17" s="29">
        <f t="shared" si="1"/>
        <v>1978</v>
      </c>
      <c r="CX17" s="29">
        <f t="shared" si="1"/>
        <v>2115</v>
      </c>
      <c r="CY17" s="29">
        <f t="shared" si="1"/>
        <v>2159</v>
      </c>
      <c r="CZ17" s="29">
        <f t="shared" si="1"/>
        <v>2167</v>
      </c>
      <c r="DA17" s="29">
        <f t="shared" si="1"/>
        <v>2160</v>
      </c>
      <c r="DB17" s="29">
        <f t="shared" si="1"/>
        <v>2135</v>
      </c>
      <c r="DC17" s="29">
        <f t="shared" si="1"/>
        <v>2152</v>
      </c>
      <c r="DD17" s="29">
        <f t="shared" si="1"/>
        <v>2327</v>
      </c>
      <c r="DE17" s="29">
        <f t="shared" si="1"/>
        <v>2341</v>
      </c>
      <c r="DF17" s="29">
        <f t="shared" si="1"/>
        <v>2342</v>
      </c>
      <c r="DG17" s="29">
        <f t="shared" si="1"/>
        <v>2489</v>
      </c>
      <c r="DH17" s="29">
        <f t="shared" si="1"/>
        <v>2590</v>
      </c>
      <c r="DI17" s="29">
        <f t="shared" si="1"/>
        <v>2625</v>
      </c>
      <c r="DJ17" s="29">
        <f t="shared" si="1"/>
        <v>2700</v>
      </c>
      <c r="DK17" s="29">
        <f t="shared" si="1"/>
        <v>2979</v>
      </c>
      <c r="DL17" s="29">
        <f t="shared" si="1"/>
        <v>3055</v>
      </c>
      <c r="DM17" s="29">
        <f t="shared" si="1"/>
        <v>3026</v>
      </c>
      <c r="DN17" s="29">
        <f t="shared" si="1"/>
        <v>2988</v>
      </c>
      <c r="DO17" s="29">
        <f t="shared" si="1"/>
        <v>3031</v>
      </c>
      <c r="DP17" s="29">
        <f t="shared" si="1"/>
        <v>3165</v>
      </c>
      <c r="DQ17" s="29">
        <f t="shared" si="1"/>
        <v>3318</v>
      </c>
      <c r="DR17" s="29">
        <f t="shared" si="1"/>
        <v>3399</v>
      </c>
      <c r="DS17" s="29">
        <f t="shared" si="1"/>
        <v>3574</v>
      </c>
      <c r="DT17" s="29">
        <f t="shared" si="1"/>
        <v>3525</v>
      </c>
      <c r="DU17" s="29">
        <f t="shared" si="1"/>
        <v>3538</v>
      </c>
      <c r="DV17" s="29">
        <f t="shared" si="1"/>
        <v>3591</v>
      </c>
      <c r="DW17" s="29">
        <f t="shared" si="1"/>
        <v>3600</v>
      </c>
      <c r="DX17" s="29">
        <f t="shared" si="1"/>
        <v>3602</v>
      </c>
      <c r="DY17" s="29">
        <f t="shared" si="1"/>
        <v>3661</v>
      </c>
      <c r="DZ17" s="29">
        <f t="shared" si="1"/>
        <v>3686</v>
      </c>
      <c r="EA17" s="29">
        <f t="shared" ref="EA17:GC17" si="2">SUM(EA12:EA16)</f>
        <v>3614</v>
      </c>
      <c r="EB17" s="29">
        <f t="shared" si="2"/>
        <v>3593</v>
      </c>
      <c r="EC17" s="29">
        <f t="shared" si="2"/>
        <v>3642</v>
      </c>
      <c r="ED17" s="29">
        <f t="shared" si="2"/>
        <v>3716</v>
      </c>
      <c r="EE17" s="29">
        <f t="shared" si="2"/>
        <v>3800</v>
      </c>
      <c r="EF17" s="29">
        <f t="shared" si="2"/>
        <v>3885</v>
      </c>
      <c r="EG17" s="29">
        <f t="shared" si="2"/>
        <v>4027</v>
      </c>
      <c r="EH17" s="29">
        <f t="shared" si="2"/>
        <v>4053</v>
      </c>
      <c r="EI17" s="29">
        <f t="shared" si="2"/>
        <v>4067</v>
      </c>
      <c r="EJ17" s="29">
        <f t="shared" si="2"/>
        <v>4225</v>
      </c>
      <c r="EK17" s="29">
        <f t="shared" si="2"/>
        <v>4243</v>
      </c>
      <c r="EL17" s="29">
        <f t="shared" si="2"/>
        <v>4272</v>
      </c>
      <c r="EM17" s="29">
        <f t="shared" si="2"/>
        <v>4249</v>
      </c>
      <c r="EN17" s="29">
        <f t="shared" si="2"/>
        <v>4304</v>
      </c>
      <c r="EO17" s="29">
        <f t="shared" si="2"/>
        <v>4274</v>
      </c>
      <c r="EP17" s="29">
        <f t="shared" si="2"/>
        <v>4229</v>
      </c>
      <c r="EQ17" s="29">
        <f t="shared" si="2"/>
        <v>4339</v>
      </c>
      <c r="ER17" s="29">
        <f t="shared" si="2"/>
        <v>4406</v>
      </c>
      <c r="ES17" s="29">
        <f t="shared" si="2"/>
        <v>4660</v>
      </c>
      <c r="ET17" s="29">
        <f t="shared" si="2"/>
        <v>4765</v>
      </c>
      <c r="EU17" s="29">
        <f t="shared" si="2"/>
        <v>4875</v>
      </c>
      <c r="EV17" s="29">
        <f t="shared" si="2"/>
        <v>4885</v>
      </c>
      <c r="EW17" s="29">
        <f t="shared" si="2"/>
        <v>4914</v>
      </c>
      <c r="EX17" s="29">
        <f t="shared" si="2"/>
        <v>4913</v>
      </c>
      <c r="EY17" s="29">
        <f t="shared" si="2"/>
        <v>4908</v>
      </c>
      <c r="EZ17" s="29">
        <f t="shared" si="2"/>
        <v>5030</v>
      </c>
      <c r="FA17" s="29">
        <f t="shared" si="2"/>
        <v>4981</v>
      </c>
      <c r="FB17" s="29">
        <f t="shared" si="2"/>
        <v>5001</v>
      </c>
      <c r="FC17" s="29">
        <f t="shared" si="2"/>
        <v>4941</v>
      </c>
      <c r="FD17" s="29">
        <f t="shared" si="2"/>
        <v>4861</v>
      </c>
      <c r="FE17" s="29">
        <f t="shared" si="2"/>
        <v>4724</v>
      </c>
      <c r="FF17" s="29">
        <f t="shared" si="2"/>
        <v>4479</v>
      </c>
      <c r="FG17" s="29">
        <f t="shared" si="2"/>
        <v>4508</v>
      </c>
      <c r="FH17" s="29">
        <f t="shared" si="2"/>
        <v>4577</v>
      </c>
      <c r="FI17" s="29">
        <f t="shared" si="2"/>
        <v>4570</v>
      </c>
      <c r="FJ17" s="29">
        <f t="shared" si="2"/>
        <v>4598</v>
      </c>
      <c r="FK17" s="29">
        <f t="shared" si="2"/>
        <v>4595</v>
      </c>
      <c r="FL17" s="29">
        <f t="shared" si="2"/>
        <v>4598</v>
      </c>
      <c r="FM17" s="29">
        <f t="shared" si="2"/>
        <v>4531</v>
      </c>
      <c r="FN17" s="29">
        <f t="shared" si="2"/>
        <v>4394</v>
      </c>
      <c r="FO17" s="29">
        <f t="shared" si="2"/>
        <v>4491</v>
      </c>
      <c r="FP17" s="29">
        <f t="shared" si="2"/>
        <v>4650</v>
      </c>
      <c r="FQ17" s="29">
        <f t="shared" si="2"/>
        <v>4649</v>
      </c>
      <c r="FR17" s="29">
        <f t="shared" si="2"/>
        <v>4603</v>
      </c>
      <c r="FS17" s="29">
        <f t="shared" si="2"/>
        <v>4628</v>
      </c>
      <c r="FT17" s="29">
        <f t="shared" si="2"/>
        <v>4582</v>
      </c>
      <c r="FU17" s="29">
        <f t="shared" si="2"/>
        <v>4764</v>
      </c>
      <c r="FV17" s="29">
        <f t="shared" si="2"/>
        <v>4743</v>
      </c>
      <c r="FW17" s="29">
        <f t="shared" si="2"/>
        <v>4692</v>
      </c>
      <c r="FX17" s="29">
        <f t="shared" si="2"/>
        <v>4690</v>
      </c>
      <c r="FY17" s="29">
        <f t="shared" si="2"/>
        <v>4725</v>
      </c>
      <c r="FZ17" s="29">
        <f t="shared" si="2"/>
        <v>4785</v>
      </c>
      <c r="GA17" s="29">
        <f t="shared" si="2"/>
        <v>4812</v>
      </c>
      <c r="GB17" s="29">
        <f t="shared" si="2"/>
        <v>4799</v>
      </c>
      <c r="GC17" s="29">
        <f t="shared" si="2"/>
        <v>4860</v>
      </c>
    </row>
    <row r="18" spans="1:185" x14ac:dyDescent="0.25">
      <c r="A18" s="32" t="s">
        <v>46</v>
      </c>
      <c r="B18" s="80">
        <f>AVERAGE(B17:GC17)</f>
        <v>3202.929347826087</v>
      </c>
    </row>
    <row r="19" spans="1:185" x14ac:dyDescent="0.25">
      <c r="A19" s="78"/>
      <c r="B19" s="79"/>
    </row>
    <row r="20" spans="1:185" x14ac:dyDescent="0.25">
      <c r="A20" s="59" t="s">
        <v>47</v>
      </c>
      <c r="B20" s="59"/>
      <c r="C20" s="59"/>
      <c r="D20" s="59"/>
      <c r="E20" s="59"/>
    </row>
    <row r="21" spans="1:185" x14ac:dyDescent="0.25">
      <c r="A21" s="61" t="s">
        <v>48</v>
      </c>
      <c r="B21" s="61" t="s">
        <v>49</v>
      </c>
      <c r="C21" s="61" t="s">
        <v>50</v>
      </c>
      <c r="D21" s="61" t="s">
        <v>51</v>
      </c>
      <c r="E21" s="61" t="s">
        <v>52</v>
      </c>
    </row>
    <row r="22" spans="1:185" x14ac:dyDescent="0.25">
      <c r="A22" s="61" t="s">
        <v>53</v>
      </c>
      <c r="B22" s="62">
        <v>50260</v>
      </c>
      <c r="C22" s="62">
        <v>1218</v>
      </c>
      <c r="D22" s="62">
        <v>99748</v>
      </c>
      <c r="E22" s="62">
        <v>151226</v>
      </c>
    </row>
    <row r="23" spans="1:185" x14ac:dyDescent="0.25">
      <c r="A23" s="61" t="s">
        <v>54</v>
      </c>
      <c r="B23" s="62">
        <v>61164</v>
      </c>
      <c r="C23" s="62">
        <v>1387</v>
      </c>
      <c r="D23" s="62">
        <v>110300</v>
      </c>
      <c r="E23" s="62">
        <v>172851</v>
      </c>
    </row>
    <row r="24" spans="1:185" x14ac:dyDescent="0.25">
      <c r="A24" s="61" t="s">
        <v>55</v>
      </c>
      <c r="B24" s="62">
        <v>75775</v>
      </c>
      <c r="C24" s="62">
        <v>1663</v>
      </c>
      <c r="D24" s="62">
        <v>127571</v>
      </c>
      <c r="E24" s="62">
        <v>205009</v>
      </c>
    </row>
    <row r="25" spans="1:185" x14ac:dyDescent="0.25">
      <c r="A25" s="61" t="s">
        <v>56</v>
      </c>
      <c r="B25" s="62">
        <v>77621</v>
      </c>
      <c r="C25" s="62">
        <v>2346</v>
      </c>
      <c r="D25" s="62">
        <v>138263</v>
      </c>
      <c r="E25" s="62">
        <v>218230</v>
      </c>
    </row>
    <row r="26" spans="1:185" x14ac:dyDescent="0.25">
      <c r="A26" s="61" t="s">
        <v>57</v>
      </c>
      <c r="B26" s="62">
        <v>82872</v>
      </c>
      <c r="C26" s="62">
        <v>2582</v>
      </c>
      <c r="D26" s="62">
        <v>147499</v>
      </c>
      <c r="E26" s="62">
        <v>232953</v>
      </c>
    </row>
    <row r="27" spans="1:185" x14ac:dyDescent="0.25">
      <c r="A27" s="61" t="s">
        <v>58</v>
      </c>
      <c r="B27" s="62">
        <v>88461</v>
      </c>
      <c r="C27" s="62">
        <v>54</v>
      </c>
      <c r="D27" s="62">
        <v>167441</v>
      </c>
      <c r="E27" s="62">
        <v>255956</v>
      </c>
    </row>
    <row r="28" spans="1:185" x14ac:dyDescent="0.25">
      <c r="A28" s="61" t="s">
        <v>59</v>
      </c>
      <c r="B28" s="62">
        <v>81907</v>
      </c>
      <c r="C28" s="62"/>
      <c r="D28" s="62">
        <v>160195</v>
      </c>
      <c r="E28" s="62">
        <v>242102</v>
      </c>
    </row>
    <row r="29" spans="1:185" x14ac:dyDescent="0.25">
      <c r="A29" s="61" t="s">
        <v>60</v>
      </c>
      <c r="B29" s="62">
        <v>91332</v>
      </c>
      <c r="C29" s="62"/>
      <c r="D29" s="62">
        <v>175223</v>
      </c>
      <c r="E29" s="62">
        <v>266555</v>
      </c>
    </row>
    <row r="30" spans="1:185" x14ac:dyDescent="0.25">
      <c r="A30" s="61" t="s">
        <v>61</v>
      </c>
      <c r="B30" s="62">
        <v>94184</v>
      </c>
      <c r="C30" s="62"/>
      <c r="D30" s="62">
        <v>179295</v>
      </c>
      <c r="E30" s="62">
        <v>273479</v>
      </c>
    </row>
    <row r="31" spans="1:185" x14ac:dyDescent="0.25">
      <c r="A31" s="61" t="s">
        <v>62</v>
      </c>
      <c r="B31" s="62">
        <v>93208</v>
      </c>
      <c r="C31" s="62"/>
      <c r="D31" s="62">
        <v>172555</v>
      </c>
      <c r="E31" s="62">
        <v>265763</v>
      </c>
    </row>
    <row r="32" spans="1:185" x14ac:dyDescent="0.25">
      <c r="A32" s="61" t="s">
        <v>63</v>
      </c>
      <c r="B32" s="62">
        <v>70735</v>
      </c>
      <c r="C32" s="62"/>
      <c r="D32" s="62">
        <v>123177</v>
      </c>
      <c r="E32" s="62">
        <v>193912</v>
      </c>
    </row>
    <row r="33" spans="1:5" x14ac:dyDescent="0.25">
      <c r="A33" s="61" t="s">
        <v>64</v>
      </c>
      <c r="B33" s="62">
        <v>48005</v>
      </c>
      <c r="C33" s="62"/>
      <c r="D33" s="62">
        <v>88759</v>
      </c>
      <c r="E33" s="62">
        <v>136764</v>
      </c>
    </row>
    <row r="34" spans="1:5" x14ac:dyDescent="0.25">
      <c r="A34" s="61" t="s">
        <v>52</v>
      </c>
      <c r="B34" s="62">
        <v>915524</v>
      </c>
      <c r="C34" s="62">
        <v>9250</v>
      </c>
      <c r="D34" s="62">
        <v>1690026</v>
      </c>
      <c r="E34" s="62">
        <v>2614800</v>
      </c>
    </row>
    <row r="35" spans="1:5" x14ac:dyDescent="0.25">
      <c r="A35" s="61" t="s">
        <v>65</v>
      </c>
      <c r="B35" s="62">
        <v>2508</v>
      </c>
      <c r="C35" s="62">
        <v>25</v>
      </c>
      <c r="D35" s="62">
        <v>4630</v>
      </c>
      <c r="E35" s="81">
        <v>7164</v>
      </c>
    </row>
  </sheetData>
  <mergeCells count="1">
    <mergeCell ref="M3:M5"/>
  </mergeCells>
  <pageMargins left="0.75" right="0.75" top="1" bottom="1" header="0.5" footer="0.5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G4"/>
  <sheetViews>
    <sheetView zoomScaleNormal="100" workbookViewId="0">
      <pane ySplit="1" topLeftCell="A2" activePane="bottomLeft" state="frozen"/>
      <selection pane="bottomLeft" activeCell="J32" sqref="J32"/>
    </sheetView>
  </sheetViews>
  <sheetFormatPr defaultColWidth="9.140625" defaultRowHeight="12.75" x14ac:dyDescent="0.2"/>
  <cols>
    <col min="1" max="1" width="32.42578125" style="1" bestFit="1" customWidth="1"/>
    <col min="2" max="2" width="5" style="1" customWidth="1"/>
    <col min="3" max="3" width="12.42578125" style="1" bestFit="1" customWidth="1"/>
    <col min="4" max="4" width="25.85546875" style="1" customWidth="1"/>
    <col min="5" max="5" width="24.28515625" style="1" customWidth="1"/>
    <col min="6" max="6" width="14.42578125" style="4" customWidth="1"/>
    <col min="7" max="16384" width="9.140625" style="1"/>
  </cols>
  <sheetData>
    <row r="1" spans="1:7" x14ac:dyDescent="0.2">
      <c r="D1" s="1" t="s">
        <v>66</v>
      </c>
      <c r="E1" s="1" t="s">
        <v>67</v>
      </c>
      <c r="F1" s="4" t="s">
        <v>68</v>
      </c>
    </row>
    <row r="2" spans="1:7" ht="15" x14ac:dyDescent="0.25">
      <c r="A2"/>
      <c r="B2"/>
      <c r="C2"/>
      <c r="D2" t="s">
        <v>19</v>
      </c>
      <c r="E2" t="s">
        <v>25</v>
      </c>
      <c r="F2">
        <v>4854742</v>
      </c>
      <c r="G2"/>
    </row>
    <row r="3" spans="1:7" ht="15" x14ac:dyDescent="0.25">
      <c r="A3"/>
      <c r="B3"/>
      <c r="C3"/>
      <c r="D3" t="s">
        <v>19</v>
      </c>
      <c r="E3" t="s">
        <v>22</v>
      </c>
      <c r="F3">
        <v>8476332</v>
      </c>
      <c r="G3"/>
    </row>
    <row r="4" spans="1:7" ht="15" x14ac:dyDescent="0.25">
      <c r="D4" t="s">
        <v>19</v>
      </c>
      <c r="E4" t="s">
        <v>146</v>
      </c>
      <c r="F4">
        <v>8526053</v>
      </c>
    </row>
  </sheetData>
  <autoFilter ref="A1:H3" xr:uid="{00000000-0001-0000-0200-000000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J49"/>
  <sheetViews>
    <sheetView workbookViewId="0">
      <selection activeCell="E11" sqref="C11:E11"/>
    </sheetView>
  </sheetViews>
  <sheetFormatPr defaultColWidth="8.5703125" defaultRowHeight="15" x14ac:dyDescent="0.25"/>
  <cols>
    <col min="1" max="1" width="40.5703125" bestFit="1" customWidth="1"/>
    <col min="2" max="4" width="17.85546875" bestFit="1" customWidth="1"/>
    <col min="5" max="5" width="18.5703125" customWidth="1"/>
    <col min="6" max="9" width="12" customWidth="1"/>
  </cols>
  <sheetData>
    <row r="1" spans="1:10" x14ac:dyDescent="0.25">
      <c r="A1" s="82" t="s">
        <v>70</v>
      </c>
      <c r="B1" s="82" t="s">
        <v>71</v>
      </c>
      <c r="C1" s="82"/>
      <c r="D1" s="82"/>
      <c r="E1" s="83" t="s">
        <v>72</v>
      </c>
      <c r="F1" s="82" t="s">
        <v>73</v>
      </c>
      <c r="G1" s="82"/>
      <c r="H1" s="82"/>
      <c r="I1" s="82"/>
      <c r="J1" s="84"/>
    </row>
    <row r="2" spans="1:10" ht="15.75" x14ac:dyDescent="0.25">
      <c r="A2" s="83"/>
      <c r="B2" s="85"/>
      <c r="C2" s="83">
        <v>2035</v>
      </c>
      <c r="D2" s="85"/>
      <c r="E2" s="83">
        <v>2050</v>
      </c>
      <c r="F2" s="85"/>
      <c r="G2" s="86"/>
      <c r="H2" s="86"/>
      <c r="I2" s="86"/>
      <c r="J2" s="82"/>
    </row>
    <row r="3" spans="1:10" ht="15.75" x14ac:dyDescent="0.25">
      <c r="A3" s="82" t="s">
        <v>74</v>
      </c>
      <c r="B3" s="85"/>
      <c r="C3" s="82">
        <v>349.21</v>
      </c>
      <c r="D3" s="85"/>
      <c r="E3" s="82">
        <v>351.31</v>
      </c>
      <c r="F3" s="84"/>
      <c r="G3" s="82"/>
      <c r="H3" s="82"/>
      <c r="I3" s="82"/>
      <c r="J3" s="82"/>
    </row>
    <row r="4" spans="1:10" ht="15.75" x14ac:dyDescent="0.25">
      <c r="A4" s="82" t="s">
        <v>75</v>
      </c>
      <c r="B4" s="85"/>
      <c r="C4" s="92">
        <v>453.59199999999998</v>
      </c>
      <c r="D4" s="97"/>
      <c r="E4" s="92">
        <v>453.59199999999998</v>
      </c>
      <c r="F4" s="84"/>
      <c r="G4" s="82"/>
      <c r="H4" s="82"/>
      <c r="I4" s="82"/>
      <c r="J4" s="82"/>
    </row>
    <row r="5" spans="1:10" ht="15.75" x14ac:dyDescent="0.25">
      <c r="A5" s="82" t="s">
        <v>76</v>
      </c>
      <c r="B5" s="85"/>
      <c r="C5" s="92">
        <v>2000</v>
      </c>
      <c r="D5" s="97"/>
      <c r="E5" s="92">
        <v>2000</v>
      </c>
      <c r="F5" s="82"/>
      <c r="G5" s="82"/>
      <c r="H5" s="82"/>
      <c r="I5" s="82"/>
      <c r="J5" s="82"/>
    </row>
    <row r="6" spans="1:10" s="2" customFormat="1" ht="15.75" x14ac:dyDescent="0.25">
      <c r="A6" s="83" t="s">
        <v>77</v>
      </c>
      <c r="B6" s="85"/>
      <c r="C6" s="98">
        <v>3.8499999999999998E-4</v>
      </c>
      <c r="D6" s="97"/>
      <c r="E6" s="98">
        <v>3.8699999999999997E-4</v>
      </c>
      <c r="F6" s="83"/>
      <c r="G6" s="86"/>
      <c r="H6" s="86"/>
      <c r="I6" s="86"/>
      <c r="J6" s="86"/>
    </row>
    <row r="7" spans="1:10" s="2" customFormat="1" ht="15.75" x14ac:dyDescent="0.25">
      <c r="A7" s="82" t="s">
        <v>78</v>
      </c>
      <c r="B7" s="85"/>
      <c r="C7" s="92">
        <v>81.040000000000006</v>
      </c>
      <c r="D7" s="97"/>
      <c r="E7" s="92">
        <v>81.400000000000006</v>
      </c>
      <c r="F7" s="84"/>
      <c r="G7" s="83"/>
      <c r="H7" s="83"/>
      <c r="I7" s="83"/>
      <c r="J7" s="83"/>
    </row>
    <row r="8" spans="1:10" s="2" customFormat="1" ht="15.75" x14ac:dyDescent="0.25">
      <c r="A8" s="82" t="s">
        <v>75</v>
      </c>
      <c r="B8" s="85"/>
      <c r="C8" s="92">
        <v>453.59199999999998</v>
      </c>
      <c r="D8" s="97"/>
      <c r="E8" s="92">
        <v>453.59199999999998</v>
      </c>
      <c r="F8" s="84"/>
      <c r="G8" s="83"/>
      <c r="H8" s="83"/>
      <c r="I8" s="83"/>
      <c r="J8" s="83"/>
    </row>
    <row r="9" spans="1:10" s="2" customFormat="1" ht="15.75" x14ac:dyDescent="0.25">
      <c r="A9" s="82" t="s">
        <v>76</v>
      </c>
      <c r="B9" s="85"/>
      <c r="C9" s="82">
        <v>2000</v>
      </c>
      <c r="D9" s="85"/>
      <c r="E9" s="82">
        <v>2000</v>
      </c>
      <c r="F9" s="82"/>
      <c r="G9" s="83"/>
      <c r="H9" s="83"/>
      <c r="I9" s="83"/>
      <c r="J9" s="83"/>
    </row>
    <row r="10" spans="1:10" s="2" customFormat="1" ht="15.75" x14ac:dyDescent="0.25">
      <c r="A10" s="83" t="s">
        <v>79</v>
      </c>
      <c r="B10" s="85"/>
      <c r="C10" s="87">
        <v>8.9300000000000002E-5</v>
      </c>
      <c r="D10" s="85"/>
      <c r="E10" s="87">
        <v>8.9699999999999998E-5</v>
      </c>
      <c r="F10" s="83"/>
      <c r="G10" s="86"/>
      <c r="H10" s="86"/>
      <c r="I10" s="86"/>
      <c r="J10" s="86"/>
    </row>
    <row r="11" spans="1:10" ht="15.75" x14ac:dyDescent="0.25">
      <c r="A11" s="82" t="s">
        <v>80</v>
      </c>
      <c r="B11" s="85"/>
      <c r="C11" s="99">
        <v>1902.72</v>
      </c>
      <c r="D11" s="97"/>
      <c r="E11" s="99">
        <v>1828.62</v>
      </c>
      <c r="F11" s="85"/>
      <c r="G11" s="82"/>
      <c r="H11" s="82"/>
      <c r="I11" s="82"/>
      <c r="J11" s="82"/>
    </row>
    <row r="12" spans="1:10" ht="15.75" x14ac:dyDescent="0.25">
      <c r="A12" s="82" t="s">
        <v>75</v>
      </c>
      <c r="B12" s="97"/>
      <c r="C12" s="92">
        <v>453.59199999999998</v>
      </c>
      <c r="D12" s="97"/>
      <c r="E12" s="92">
        <v>453.59199999999998</v>
      </c>
      <c r="F12" s="84"/>
      <c r="G12" s="82"/>
      <c r="H12" s="82"/>
      <c r="I12" s="82"/>
      <c r="J12" s="82"/>
    </row>
    <row r="13" spans="1:10" ht="15.75" x14ac:dyDescent="0.25">
      <c r="A13" s="82" t="s">
        <v>76</v>
      </c>
      <c r="B13" s="97"/>
      <c r="C13" s="92">
        <v>2000</v>
      </c>
      <c r="D13" s="97"/>
      <c r="E13" s="92">
        <v>2000</v>
      </c>
      <c r="F13" s="84"/>
      <c r="G13" s="82"/>
      <c r="H13" s="82"/>
      <c r="I13" s="82"/>
      <c r="J13" s="82"/>
    </row>
    <row r="14" spans="1:10" ht="15.75" x14ac:dyDescent="0.25">
      <c r="A14" s="83" t="s">
        <v>81</v>
      </c>
      <c r="B14" s="85"/>
      <c r="C14" s="83">
        <v>2.0969999999999999E-3</v>
      </c>
      <c r="D14" s="85"/>
      <c r="E14" s="83">
        <v>2.016E-3</v>
      </c>
      <c r="F14" s="83"/>
      <c r="G14" s="86"/>
      <c r="H14" s="86"/>
      <c r="I14" s="86"/>
      <c r="J14" s="86"/>
    </row>
    <row r="15" spans="1:10" ht="15.75" x14ac:dyDescent="0.25">
      <c r="A15" s="83"/>
      <c r="B15" s="85"/>
      <c r="C15" s="83"/>
      <c r="D15" s="85"/>
      <c r="E15" s="83"/>
      <c r="F15" s="83"/>
      <c r="G15" s="83"/>
      <c r="H15" s="82"/>
      <c r="I15" s="82"/>
      <c r="J15" s="82"/>
    </row>
    <row r="16" spans="1:10" s="5" customFormat="1" x14ac:dyDescent="0.25">
      <c r="A16" s="88" t="s">
        <v>82</v>
      </c>
      <c r="B16" s="83"/>
      <c r="C16" s="83"/>
      <c r="D16" s="83"/>
      <c r="E16" s="83"/>
      <c r="F16" s="82"/>
      <c r="G16" s="82"/>
      <c r="H16" s="82"/>
      <c r="I16" s="82"/>
      <c r="J16" s="82"/>
    </row>
    <row r="17" spans="1:10" s="5" customFormat="1" ht="18" x14ac:dyDescent="0.35">
      <c r="A17" s="89" t="s">
        <v>83</v>
      </c>
      <c r="B17" s="89"/>
      <c r="C17" s="83" t="s">
        <v>84</v>
      </c>
      <c r="D17" s="83" t="s">
        <v>85</v>
      </c>
      <c r="E17" s="82"/>
      <c r="F17" s="82"/>
      <c r="G17" s="102" t="s">
        <v>86</v>
      </c>
      <c r="H17" s="90"/>
      <c r="I17" s="33"/>
      <c r="J17" s="82"/>
    </row>
    <row r="18" spans="1:10" s="5" customFormat="1" ht="16.5" x14ac:dyDescent="0.3">
      <c r="A18" s="82"/>
      <c r="B18" s="82"/>
      <c r="C18" s="83"/>
      <c r="D18" s="83"/>
      <c r="E18" s="82"/>
      <c r="F18" s="82"/>
      <c r="G18" s="102" t="s">
        <v>87</v>
      </c>
      <c r="H18" s="102"/>
      <c r="I18" s="33"/>
      <c r="J18" s="82"/>
    </row>
    <row r="19" spans="1:10" s="5" customFormat="1" x14ac:dyDescent="0.25">
      <c r="A19" s="91" t="s">
        <v>88</v>
      </c>
      <c r="B19" s="91"/>
      <c r="C19" s="91">
        <v>348.17399999999998</v>
      </c>
      <c r="D19" s="91">
        <v>80.076999999999998</v>
      </c>
      <c r="E19" s="82"/>
      <c r="F19" s="82"/>
      <c r="G19" s="92"/>
      <c r="H19" s="92"/>
      <c r="I19" s="92"/>
      <c r="J19" s="82"/>
    </row>
    <row r="20" spans="1:10" s="5" customFormat="1" x14ac:dyDescent="0.25">
      <c r="A20" s="91" t="s">
        <v>89</v>
      </c>
      <c r="B20" s="91"/>
      <c r="C20" s="91">
        <v>346.57900000000001</v>
      </c>
      <c r="D20" s="91">
        <v>80.480999999999995</v>
      </c>
      <c r="E20" s="82"/>
      <c r="F20" s="82"/>
      <c r="G20" s="34">
        <v>1929.08</v>
      </c>
      <c r="H20" s="82"/>
      <c r="I20" s="33" t="s">
        <v>90</v>
      </c>
      <c r="J20" s="82"/>
    </row>
    <row r="21" spans="1:10" s="5" customFormat="1" x14ac:dyDescent="0.25">
      <c r="A21" s="91" t="s">
        <v>91</v>
      </c>
      <c r="B21" s="91"/>
      <c r="C21" s="91">
        <v>344.23599999999999</v>
      </c>
      <c r="D21" s="91">
        <v>81.233999999999995</v>
      </c>
      <c r="E21" s="82"/>
      <c r="F21" s="82"/>
      <c r="G21" s="34">
        <v>1866.55</v>
      </c>
      <c r="H21" s="82"/>
      <c r="I21" s="33" t="s">
        <v>92</v>
      </c>
      <c r="J21" s="82"/>
    </row>
    <row r="22" spans="1:10" s="5" customFormat="1" x14ac:dyDescent="0.25">
      <c r="A22" s="91" t="s">
        <v>93</v>
      </c>
      <c r="B22" s="91"/>
      <c r="C22" s="91">
        <v>337.17899999999997</v>
      </c>
      <c r="D22" s="91">
        <v>80.350999999999999</v>
      </c>
      <c r="E22" s="82"/>
      <c r="F22" s="82"/>
      <c r="G22" s="34">
        <v>1975.16</v>
      </c>
      <c r="H22" s="82"/>
      <c r="I22" s="33" t="s">
        <v>94</v>
      </c>
      <c r="J22" s="82"/>
    </row>
    <row r="23" spans="1:10" s="5" customFormat="1" x14ac:dyDescent="0.25">
      <c r="A23" s="91" t="s">
        <v>95</v>
      </c>
      <c r="B23" s="91"/>
      <c r="C23" s="91">
        <v>366.88900000000001</v>
      </c>
      <c r="D23" s="91">
        <v>81.132999999999996</v>
      </c>
      <c r="E23" s="82"/>
      <c r="F23" s="82"/>
      <c r="G23" s="34">
        <v>1852.1</v>
      </c>
      <c r="H23" s="82"/>
      <c r="I23" s="33" t="s">
        <v>96</v>
      </c>
      <c r="J23" s="82"/>
    </row>
    <row r="24" spans="1:10" s="5" customFormat="1" x14ac:dyDescent="0.25">
      <c r="A24" s="91" t="s">
        <v>97</v>
      </c>
      <c r="B24" s="91"/>
      <c r="C24" s="91">
        <v>373.488</v>
      </c>
      <c r="D24" s="91">
        <v>85.457999999999998</v>
      </c>
      <c r="E24" s="82"/>
      <c r="F24" s="82"/>
      <c r="G24" s="34">
        <v>1994.31</v>
      </c>
      <c r="H24" s="82"/>
      <c r="I24" s="33" t="s">
        <v>41</v>
      </c>
      <c r="J24" s="82"/>
    </row>
    <row r="25" spans="1:10" s="5" customFormat="1" x14ac:dyDescent="0.25">
      <c r="A25" s="91" t="s">
        <v>98</v>
      </c>
      <c r="B25" s="91"/>
      <c r="C25" s="91">
        <v>345.50799999999998</v>
      </c>
      <c r="D25" s="91">
        <v>80.152000000000001</v>
      </c>
      <c r="E25" s="82"/>
      <c r="F25" s="82"/>
      <c r="G25" s="34">
        <v>1889.5</v>
      </c>
      <c r="H25" s="82"/>
      <c r="I25" s="33" t="s">
        <v>99</v>
      </c>
      <c r="J25" s="82"/>
    </row>
    <row r="26" spans="1:10" s="5" customFormat="1" x14ac:dyDescent="0.25">
      <c r="A26" s="91" t="s">
        <v>100</v>
      </c>
      <c r="B26" s="91"/>
      <c r="C26" s="91">
        <v>337.959</v>
      </c>
      <c r="D26" s="91">
        <v>80.064999999999998</v>
      </c>
      <c r="E26" s="82"/>
      <c r="F26" s="82"/>
      <c r="G26" s="34">
        <v>1892.93</v>
      </c>
      <c r="H26" s="82"/>
      <c r="I26" s="33" t="s">
        <v>101</v>
      </c>
      <c r="J26" s="82"/>
    </row>
    <row r="27" spans="1:10" s="5" customFormat="1" x14ac:dyDescent="0.25">
      <c r="A27" s="91" t="s">
        <v>102</v>
      </c>
      <c r="B27" s="91"/>
      <c r="C27" s="91">
        <v>343.20100000000002</v>
      </c>
      <c r="D27" s="91">
        <v>80.863</v>
      </c>
      <c r="E27" s="82"/>
      <c r="F27" s="82"/>
      <c r="G27" s="34">
        <v>1841.17</v>
      </c>
      <c r="H27" s="82"/>
      <c r="I27" s="33" t="s">
        <v>103</v>
      </c>
      <c r="J27" s="82"/>
    </row>
    <row r="28" spans="1:10" s="5" customFormat="1" x14ac:dyDescent="0.25">
      <c r="A28" s="91" t="s">
        <v>104</v>
      </c>
      <c r="B28" s="91"/>
      <c r="C28" s="91">
        <v>343.15499999999997</v>
      </c>
      <c r="D28" s="91">
        <v>79.667000000000002</v>
      </c>
      <c r="E28" s="82"/>
      <c r="F28" s="82"/>
      <c r="G28" s="34">
        <v>1894.88</v>
      </c>
      <c r="H28" s="82"/>
      <c r="I28" s="33" t="s">
        <v>105</v>
      </c>
      <c r="J28" s="82"/>
    </row>
    <row r="29" spans="1:10" s="5" customFormat="1" x14ac:dyDescent="0.25">
      <c r="A29" s="91" t="s">
        <v>106</v>
      </c>
      <c r="B29" s="91"/>
      <c r="C29" s="91">
        <v>338.96100000000001</v>
      </c>
      <c r="D29" s="91">
        <v>79.858999999999995</v>
      </c>
      <c r="E29" s="82"/>
      <c r="F29" s="82"/>
      <c r="G29" s="35">
        <v>1902.72</v>
      </c>
      <c r="H29" s="82"/>
      <c r="I29" s="102" t="s">
        <v>107</v>
      </c>
      <c r="J29" s="82"/>
    </row>
    <row r="30" spans="1:10" s="5" customFormat="1" x14ac:dyDescent="0.25">
      <c r="A30" s="91"/>
      <c r="B30" s="91"/>
      <c r="C30" s="91"/>
      <c r="D30" s="91"/>
      <c r="E30" s="82"/>
      <c r="F30" s="82"/>
      <c r="G30" s="116" t="s">
        <v>108</v>
      </c>
      <c r="H30" s="116"/>
      <c r="I30" s="116"/>
      <c r="J30" s="82"/>
    </row>
    <row r="31" spans="1:10" s="5" customFormat="1" x14ac:dyDescent="0.25">
      <c r="A31" s="88" t="s">
        <v>109</v>
      </c>
      <c r="B31" s="88"/>
      <c r="C31" s="88">
        <v>349.20800000000003</v>
      </c>
      <c r="D31" s="88">
        <v>81.040999999999997</v>
      </c>
      <c r="E31" s="82"/>
      <c r="F31" s="82"/>
      <c r="G31" s="82"/>
      <c r="H31" s="82"/>
      <c r="I31" s="82"/>
      <c r="J31" s="82"/>
    </row>
    <row r="32" spans="1:10" s="5" customFormat="1" x14ac:dyDescent="0.25">
      <c r="A32" s="88"/>
      <c r="B32" s="88"/>
      <c r="C32" s="88"/>
      <c r="D32" s="88"/>
      <c r="E32" s="82"/>
      <c r="F32" s="82"/>
      <c r="G32" s="82"/>
      <c r="H32" s="82"/>
      <c r="I32" s="82"/>
      <c r="J32" s="82"/>
    </row>
    <row r="33" spans="1:10" s="5" customFormat="1" x14ac:dyDescent="0.25">
      <c r="A33" s="86" t="s">
        <v>110</v>
      </c>
      <c r="B33" s="82"/>
      <c r="C33" s="82"/>
      <c r="D33" s="82"/>
      <c r="E33" s="82"/>
      <c r="F33" s="82"/>
      <c r="G33" s="82"/>
      <c r="H33" s="82"/>
      <c r="I33" s="82"/>
      <c r="J33" s="82"/>
    </row>
    <row r="34" spans="1:10" s="5" customFormat="1" ht="18" x14ac:dyDescent="0.35">
      <c r="A34" s="89" t="s">
        <v>83</v>
      </c>
      <c r="B34" s="89"/>
      <c r="C34" s="83" t="s">
        <v>84</v>
      </c>
      <c r="D34" s="83" t="s">
        <v>85</v>
      </c>
      <c r="E34" s="82"/>
      <c r="F34" s="82"/>
      <c r="G34" s="102" t="s">
        <v>86</v>
      </c>
      <c r="H34" s="90"/>
      <c r="I34" s="33"/>
      <c r="J34" s="82"/>
    </row>
    <row r="35" spans="1:10" s="5" customFormat="1" ht="16.5" x14ac:dyDescent="0.3">
      <c r="A35" s="82"/>
      <c r="B35" s="82"/>
      <c r="C35" s="83"/>
      <c r="D35" s="83"/>
      <c r="E35" s="82"/>
      <c r="F35" s="82"/>
      <c r="G35" s="102" t="s">
        <v>87</v>
      </c>
      <c r="H35" s="102"/>
      <c r="I35" s="33"/>
      <c r="J35" s="82"/>
    </row>
    <row r="36" spans="1:10" s="5" customFormat="1" x14ac:dyDescent="0.25">
      <c r="A36" s="82"/>
      <c r="B36" s="82"/>
      <c r="C36" s="82"/>
      <c r="D36" s="82"/>
      <c r="E36" s="82"/>
      <c r="F36" s="82"/>
      <c r="G36" s="102"/>
      <c r="H36" s="102"/>
      <c r="I36" s="102"/>
      <c r="J36" s="82"/>
    </row>
    <row r="37" spans="1:10" s="5" customFormat="1" x14ac:dyDescent="0.25">
      <c r="A37" s="84" t="s">
        <v>88</v>
      </c>
      <c r="B37" s="84"/>
      <c r="C37" s="84">
        <v>351.08100000000002</v>
      </c>
      <c r="D37" s="84">
        <v>80.52</v>
      </c>
      <c r="E37" s="82"/>
      <c r="F37" s="82"/>
      <c r="G37" s="34">
        <v>1832.05</v>
      </c>
      <c r="H37" s="93"/>
      <c r="I37" s="33" t="s">
        <v>90</v>
      </c>
      <c r="J37" s="82"/>
    </row>
    <row r="38" spans="1:10" s="5" customFormat="1" x14ac:dyDescent="0.25">
      <c r="A38" s="84" t="s">
        <v>89</v>
      </c>
      <c r="B38" s="84"/>
      <c r="C38" s="84">
        <v>345.95400000000001</v>
      </c>
      <c r="D38" s="84">
        <v>80.269000000000005</v>
      </c>
      <c r="E38" s="82"/>
      <c r="F38" s="82"/>
      <c r="G38" s="34">
        <v>1828.78</v>
      </c>
      <c r="H38" s="93"/>
      <c r="I38" s="33" t="s">
        <v>92</v>
      </c>
      <c r="J38" s="82"/>
    </row>
    <row r="39" spans="1:10" s="5" customFormat="1" x14ac:dyDescent="0.25">
      <c r="A39" s="84" t="s">
        <v>91</v>
      </c>
      <c r="B39" s="84"/>
      <c r="C39" s="84">
        <v>345.95800000000003</v>
      </c>
      <c r="D39" s="84">
        <v>81.55</v>
      </c>
      <c r="E39" s="82"/>
      <c r="F39" s="82"/>
      <c r="G39" s="34">
        <v>1836.34</v>
      </c>
      <c r="H39" s="93"/>
      <c r="I39" s="33" t="s">
        <v>94</v>
      </c>
      <c r="J39" s="82"/>
    </row>
    <row r="40" spans="1:10" s="5" customFormat="1" x14ac:dyDescent="0.25">
      <c r="A40" s="84" t="s">
        <v>93</v>
      </c>
      <c r="B40" s="84"/>
      <c r="C40" s="84">
        <v>334.67</v>
      </c>
      <c r="D40" s="84">
        <v>79.578000000000003</v>
      </c>
      <c r="E40" s="82"/>
      <c r="F40" s="82"/>
      <c r="G40" s="34">
        <v>1824.28</v>
      </c>
      <c r="H40" s="93"/>
      <c r="I40" s="33" t="s">
        <v>96</v>
      </c>
      <c r="J40" s="82"/>
    </row>
    <row r="41" spans="1:10" s="5" customFormat="1" x14ac:dyDescent="0.25">
      <c r="A41" s="84" t="s">
        <v>95</v>
      </c>
      <c r="B41" s="84"/>
      <c r="C41" s="84">
        <v>368.428</v>
      </c>
      <c r="D41" s="84">
        <v>81.701999999999998</v>
      </c>
      <c r="E41" s="82"/>
      <c r="F41" s="82"/>
      <c r="G41" s="34">
        <v>1839.26</v>
      </c>
      <c r="H41" s="93"/>
      <c r="I41" s="33" t="s">
        <v>41</v>
      </c>
      <c r="J41" s="82"/>
    </row>
    <row r="42" spans="1:10" s="5" customFormat="1" x14ac:dyDescent="0.25">
      <c r="A42" s="84" t="s">
        <v>97</v>
      </c>
      <c r="B42" s="84"/>
      <c r="C42" s="84">
        <v>377.42</v>
      </c>
      <c r="D42" s="84">
        <v>86.298000000000002</v>
      </c>
      <c r="E42" s="82"/>
      <c r="F42" s="82"/>
      <c r="G42" s="34">
        <v>1833.29</v>
      </c>
      <c r="H42" s="93"/>
      <c r="I42" s="33" t="s">
        <v>99</v>
      </c>
      <c r="J42" s="82"/>
    </row>
    <row r="43" spans="1:10" s="5" customFormat="1" x14ac:dyDescent="0.25">
      <c r="A43" s="84" t="s">
        <v>98</v>
      </c>
      <c r="B43" s="84"/>
      <c r="C43" s="84">
        <v>349.97800000000001</v>
      </c>
      <c r="D43" s="84">
        <v>80.677999999999997</v>
      </c>
      <c r="E43" s="82"/>
      <c r="F43" s="82"/>
      <c r="G43" s="34">
        <v>1830.05</v>
      </c>
      <c r="H43" s="93"/>
      <c r="I43" s="33" t="s">
        <v>101</v>
      </c>
      <c r="J43" s="82"/>
    </row>
    <row r="44" spans="1:10" s="5" customFormat="1" x14ac:dyDescent="0.25">
      <c r="A44" s="84" t="s">
        <v>100</v>
      </c>
      <c r="B44" s="84"/>
      <c r="C44" s="84">
        <v>336.392</v>
      </c>
      <c r="D44" s="84">
        <v>79.561000000000007</v>
      </c>
      <c r="E44" s="82"/>
      <c r="F44" s="82"/>
      <c r="G44" s="34">
        <v>1793.39</v>
      </c>
      <c r="H44" s="93"/>
      <c r="I44" s="33" t="s">
        <v>103</v>
      </c>
      <c r="J44" s="82"/>
    </row>
    <row r="45" spans="1:10" s="5" customFormat="1" x14ac:dyDescent="0.25">
      <c r="A45" s="84" t="s">
        <v>102</v>
      </c>
      <c r="B45" s="84"/>
      <c r="C45" s="84">
        <v>341.66899999999998</v>
      </c>
      <c r="D45" s="84">
        <v>80.350999999999999</v>
      </c>
      <c r="E45" s="82"/>
      <c r="F45" s="82"/>
      <c r="G45" s="34">
        <v>1838.65</v>
      </c>
      <c r="H45" s="93"/>
      <c r="I45" s="33" t="s">
        <v>105</v>
      </c>
      <c r="J45" s="82"/>
    </row>
    <row r="46" spans="1:10" s="5" customFormat="1" x14ac:dyDescent="0.25">
      <c r="A46" s="84" t="s">
        <v>104</v>
      </c>
      <c r="B46" s="84"/>
      <c r="C46" s="84">
        <v>340.88200000000001</v>
      </c>
      <c r="D46" s="84">
        <v>78.867000000000004</v>
      </c>
      <c r="E46" s="82"/>
      <c r="F46" s="82"/>
      <c r="G46" s="35">
        <v>1828.62</v>
      </c>
      <c r="H46" s="90"/>
      <c r="I46" s="102" t="s">
        <v>107</v>
      </c>
      <c r="J46" s="82"/>
    </row>
    <row r="47" spans="1:10" s="5" customFormat="1" x14ac:dyDescent="0.25">
      <c r="A47" s="84" t="s">
        <v>106</v>
      </c>
      <c r="B47" s="84"/>
      <c r="C47" s="84">
        <v>337.185</v>
      </c>
      <c r="D47" s="84">
        <v>79.293000000000006</v>
      </c>
      <c r="E47" s="82"/>
      <c r="F47" s="82"/>
      <c r="G47" s="116" t="s">
        <v>108</v>
      </c>
      <c r="H47" s="116"/>
      <c r="I47" s="116"/>
      <c r="J47" s="82"/>
    </row>
    <row r="48" spans="1:10" s="5" customFormat="1" x14ac:dyDescent="0.25">
      <c r="A48" s="84"/>
      <c r="B48" s="84"/>
      <c r="C48" s="84"/>
      <c r="D48" s="84"/>
      <c r="E48" s="82"/>
      <c r="F48" s="82"/>
      <c r="G48" s="82"/>
      <c r="H48" s="82"/>
      <c r="I48" s="82"/>
      <c r="J48" s="82"/>
    </row>
    <row r="49" spans="1:10" s="5" customFormat="1" x14ac:dyDescent="0.25">
      <c r="A49" s="86" t="s">
        <v>109</v>
      </c>
      <c r="B49" s="86"/>
      <c r="C49" s="86">
        <v>351.31099999999998</v>
      </c>
      <c r="D49" s="86">
        <v>81.397000000000006</v>
      </c>
      <c r="E49" s="82"/>
      <c r="F49" s="82"/>
      <c r="G49" s="84"/>
      <c r="H49" s="82"/>
      <c r="I49" s="82"/>
      <c r="J49" s="82"/>
    </row>
  </sheetData>
  <mergeCells count="2">
    <mergeCell ref="G30:I30"/>
    <mergeCell ref="G47:I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E5"/>
  <sheetViews>
    <sheetView zoomScale="110" zoomScaleNormal="110" workbookViewId="0">
      <selection activeCell="E30" sqref="E30"/>
    </sheetView>
  </sheetViews>
  <sheetFormatPr defaultColWidth="8.5703125" defaultRowHeight="12.75" x14ac:dyDescent="0.2"/>
  <cols>
    <col min="1" max="1" width="34.5703125" style="1" customWidth="1"/>
    <col min="2" max="5" width="12" style="1" customWidth="1"/>
    <col min="6" max="16384" width="8.5703125" style="1"/>
  </cols>
  <sheetData>
    <row r="1" spans="1:5" ht="15" x14ac:dyDescent="0.25">
      <c r="A1"/>
      <c r="B1" s="103">
        <v>2005</v>
      </c>
      <c r="C1" s="94"/>
      <c r="D1" s="53"/>
      <c r="E1" s="53"/>
    </row>
    <row r="2" spans="1:5" ht="15" x14ac:dyDescent="0.25">
      <c r="A2" s="103" t="s">
        <v>111</v>
      </c>
      <c r="B2">
        <v>6978983</v>
      </c>
      <c r="C2" s="95"/>
      <c r="D2" s="54"/>
      <c r="E2" s="54"/>
    </row>
    <row r="3" spans="1:5" ht="15" x14ac:dyDescent="0.25">
      <c r="A3" s="103" t="s">
        <v>144</v>
      </c>
      <c r="B3">
        <v>60690</v>
      </c>
      <c r="C3" s="95"/>
      <c r="D3" s="54"/>
      <c r="E3" s="54"/>
    </row>
    <row r="4" spans="1:5" ht="15" x14ac:dyDescent="0.25">
      <c r="A4" s="103" t="s">
        <v>145</v>
      </c>
      <c r="B4" t="s">
        <v>69</v>
      </c>
      <c r="C4" s="3"/>
      <c r="E4" s="100"/>
    </row>
    <row r="5" spans="1:5" x14ac:dyDescent="0.2">
      <c r="B5" s="96"/>
      <c r="D5" s="96"/>
      <c r="E5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3498-B82A-43BC-9BA2-8333682CDFD5}">
  <dimension ref="A1:I33"/>
  <sheetViews>
    <sheetView tabSelected="1" workbookViewId="0">
      <selection activeCell="K6" sqref="K6"/>
    </sheetView>
  </sheetViews>
  <sheetFormatPr defaultRowHeight="15" x14ac:dyDescent="0.25"/>
  <cols>
    <col min="1" max="1" width="14.28515625" customWidth="1"/>
    <col min="2" max="2" width="20" customWidth="1"/>
    <col min="4" max="4" width="13.5703125" bestFit="1" customWidth="1"/>
    <col min="5" max="5" width="11.140625" bestFit="1" customWidth="1"/>
    <col min="6" max="6" width="13.5703125" bestFit="1" customWidth="1"/>
    <col min="11" max="11" width="12.42578125" customWidth="1"/>
    <col min="12" max="12" width="10.7109375" customWidth="1"/>
  </cols>
  <sheetData>
    <row r="1" spans="1:6" x14ac:dyDescent="0.25">
      <c r="A1" s="2" t="s">
        <v>112</v>
      </c>
      <c r="B1" s="112" t="s">
        <v>150</v>
      </c>
      <c r="C1" s="2" t="s">
        <v>3</v>
      </c>
      <c r="D1" s="2" t="s">
        <v>149</v>
      </c>
      <c r="E1" s="2"/>
      <c r="F1" s="2"/>
    </row>
    <row r="2" spans="1:6" ht="30" x14ac:dyDescent="0.25">
      <c r="A2" t="s">
        <v>151</v>
      </c>
      <c r="B2" s="108" t="s">
        <v>136</v>
      </c>
      <c r="C2">
        <f>'Main Sheet'!C21</f>
        <v>12038.390032168318</v>
      </c>
    </row>
    <row r="3" spans="1:6" ht="30" x14ac:dyDescent="0.25">
      <c r="A3" t="s">
        <v>151</v>
      </c>
      <c r="B3" s="108" t="s">
        <v>137</v>
      </c>
      <c r="C3" t="str">
        <f>'Main Sheet'!D21</f>
        <v/>
      </c>
    </row>
    <row r="4" spans="1:6" ht="30" x14ac:dyDescent="0.25">
      <c r="A4" t="s">
        <v>151</v>
      </c>
      <c r="B4" s="108" t="s">
        <v>138</v>
      </c>
      <c r="C4">
        <f>'Main Sheet'!C22</f>
        <v>15649.907041818813</v>
      </c>
    </row>
    <row r="5" spans="1:6" ht="30" x14ac:dyDescent="0.25">
      <c r="A5" t="s">
        <v>151</v>
      </c>
      <c r="B5" s="108" t="s">
        <v>139</v>
      </c>
      <c r="C5" t="str">
        <f>'Main Sheet'!D22</f>
        <v/>
      </c>
    </row>
    <row r="6" spans="1:6" ht="30" x14ac:dyDescent="0.25">
      <c r="A6" t="s">
        <v>151</v>
      </c>
      <c r="B6" s="111" t="s">
        <v>140</v>
      </c>
      <c r="C6">
        <f>'Main Sheet'!C23</f>
        <v>7.1002424409728739</v>
      </c>
    </row>
    <row r="7" spans="1:6" ht="30" x14ac:dyDescent="0.25">
      <c r="A7" t="s">
        <v>151</v>
      </c>
      <c r="B7" s="111" t="s">
        <v>141</v>
      </c>
      <c r="C7" t="str">
        <f>'Main Sheet'!D23</f>
        <v/>
      </c>
    </row>
    <row r="8" spans="1:6" ht="30" x14ac:dyDescent="0.25">
      <c r="A8" t="s">
        <v>151</v>
      </c>
      <c r="B8" s="111" t="s">
        <v>142</v>
      </c>
      <c r="C8" s="110">
        <f>'Main Sheet'!C24</f>
        <v>-9.5763531455904713E-5</v>
      </c>
    </row>
    <row r="9" spans="1:6" ht="30" x14ac:dyDescent="0.25">
      <c r="A9" t="s">
        <v>151</v>
      </c>
      <c r="B9" s="111" t="s">
        <v>143</v>
      </c>
      <c r="C9" s="110" t="str">
        <f>'Main Sheet'!D24</f>
        <v/>
      </c>
    </row>
    <row r="10" spans="1:6" ht="30" x14ac:dyDescent="0.25">
      <c r="A10" t="s">
        <v>151</v>
      </c>
      <c r="B10" s="106" t="s">
        <v>116</v>
      </c>
      <c r="C10" s="101">
        <f>'Main Sheet'!B5</f>
        <v>0.75</v>
      </c>
    </row>
    <row r="11" spans="1:6" ht="30" x14ac:dyDescent="0.25">
      <c r="A11" t="s">
        <v>151</v>
      </c>
      <c r="B11" s="107" t="s">
        <v>117</v>
      </c>
      <c r="C11" s="101">
        <f>'Main Sheet'!B6</f>
        <v>1.3</v>
      </c>
    </row>
    <row r="12" spans="1:6" x14ac:dyDescent="0.25">
      <c r="A12" t="s">
        <v>151</v>
      </c>
      <c r="B12" s="107" t="s">
        <v>118</v>
      </c>
      <c r="C12">
        <f>'Main Sheet'!B8</f>
        <v>7516241</v>
      </c>
    </row>
    <row r="13" spans="1:6" ht="30" x14ac:dyDescent="0.25">
      <c r="A13" t="s">
        <v>151</v>
      </c>
      <c r="B13" s="107" t="s">
        <v>119</v>
      </c>
      <c r="C13">
        <f>'Main Sheet'!B9</f>
        <v>6040</v>
      </c>
    </row>
    <row r="14" spans="1:6" x14ac:dyDescent="0.25">
      <c r="A14" t="s">
        <v>151</v>
      </c>
      <c r="B14" s="107" t="s">
        <v>120</v>
      </c>
      <c r="C14">
        <f>'Main Sheet'!C9</f>
        <v>9000</v>
      </c>
    </row>
    <row r="15" spans="1:6" x14ac:dyDescent="0.25">
      <c r="A15" t="s">
        <v>151</v>
      </c>
      <c r="B15" s="107" t="s">
        <v>121</v>
      </c>
      <c r="C15">
        <f>'Main Sheet'!D9</f>
        <v>9000</v>
      </c>
    </row>
    <row r="16" spans="1:6" x14ac:dyDescent="0.25">
      <c r="A16" t="s">
        <v>151</v>
      </c>
      <c r="B16" s="107" t="s">
        <v>122</v>
      </c>
      <c r="C16">
        <f>'Main Sheet'!B10</f>
        <v>7164</v>
      </c>
    </row>
    <row r="17" spans="1:9" x14ac:dyDescent="0.25">
      <c r="A17" t="s">
        <v>151</v>
      </c>
      <c r="B17" s="107" t="s">
        <v>123</v>
      </c>
      <c r="C17">
        <f>'Main Sheet'!C10</f>
        <v>10674.834437086092</v>
      </c>
    </row>
    <row r="18" spans="1:9" x14ac:dyDescent="0.25">
      <c r="A18" t="s">
        <v>151</v>
      </c>
      <c r="B18" s="107" t="s">
        <v>124</v>
      </c>
      <c r="C18">
        <f>'Main Sheet'!D10</f>
        <v>10674.834437086092</v>
      </c>
    </row>
    <row r="19" spans="1:9" ht="30" x14ac:dyDescent="0.25">
      <c r="A19" t="s">
        <v>151</v>
      </c>
      <c r="B19" s="107" t="s">
        <v>125</v>
      </c>
      <c r="C19" s="109">
        <f>'Main Sheet'!B11</f>
        <v>0.3</v>
      </c>
    </row>
    <row r="20" spans="1:9" x14ac:dyDescent="0.25">
      <c r="A20" t="s">
        <v>151</v>
      </c>
      <c r="B20" s="107" t="s">
        <v>126</v>
      </c>
      <c r="C20" s="109">
        <f>'Main Sheet'!C11</f>
        <v>1</v>
      </c>
    </row>
    <row r="21" spans="1:9" x14ac:dyDescent="0.25">
      <c r="A21" t="s">
        <v>151</v>
      </c>
      <c r="B21" s="107" t="s">
        <v>127</v>
      </c>
      <c r="C21" s="109">
        <f>'Main Sheet'!D11</f>
        <v>1</v>
      </c>
    </row>
    <row r="22" spans="1:9" x14ac:dyDescent="0.25">
      <c r="A22" t="s">
        <v>151</v>
      </c>
      <c r="B22" s="107" t="s">
        <v>128</v>
      </c>
      <c r="C22" t="str">
        <f>'Main Sheet'!C14</f>
        <v>2035_TM160_IPA_17</v>
      </c>
    </row>
    <row r="23" spans="1:9" x14ac:dyDescent="0.25">
      <c r="A23" t="s">
        <v>151</v>
      </c>
      <c r="B23" s="107" t="s">
        <v>129</v>
      </c>
      <c r="C23">
        <f>'Main Sheet'!D14</f>
        <v>0</v>
      </c>
      <c r="I23" t="str">
        <f>'Main Sheet'!D19</f>
        <v/>
      </c>
    </row>
    <row r="24" spans="1:9" x14ac:dyDescent="0.25">
      <c r="A24" t="s">
        <v>151</v>
      </c>
      <c r="B24" s="107" t="s">
        <v>130</v>
      </c>
      <c r="C24">
        <f>'Main Sheet'!C17</f>
        <v>8476332</v>
      </c>
    </row>
    <row r="25" spans="1:9" x14ac:dyDescent="0.25">
      <c r="A25" t="s">
        <v>151</v>
      </c>
      <c r="B25" s="107" t="s">
        <v>131</v>
      </c>
      <c r="C25" t="str">
        <f>'Main Sheet'!D17</f>
        <v/>
      </c>
    </row>
    <row r="26" spans="1:9" x14ac:dyDescent="0.25">
      <c r="A26" t="s">
        <v>151</v>
      </c>
      <c r="B26" s="107" t="s">
        <v>132</v>
      </c>
      <c r="C26">
        <f>'Main Sheet'!C18</f>
        <v>4854742</v>
      </c>
    </row>
    <row r="27" spans="1:9" x14ac:dyDescent="0.25">
      <c r="A27" t="s">
        <v>151</v>
      </c>
      <c r="B27" s="107" t="s">
        <v>133</v>
      </c>
      <c r="C27" t="str">
        <f>'Main Sheet'!D18</f>
        <v/>
      </c>
    </row>
    <row r="28" spans="1:9" ht="30" x14ac:dyDescent="0.25">
      <c r="A28" t="s">
        <v>151</v>
      </c>
      <c r="B28" s="107" t="s">
        <v>134</v>
      </c>
      <c r="C28">
        <f>'Main Sheet'!C19</f>
        <v>0.12773552630896212</v>
      </c>
    </row>
    <row r="29" spans="1:9" ht="30" x14ac:dyDescent="0.25">
      <c r="A29" t="s">
        <v>151</v>
      </c>
      <c r="B29" s="107" t="s">
        <v>135</v>
      </c>
      <c r="C29" t="str">
        <f>'Main Sheet'!D19</f>
        <v/>
      </c>
    </row>
    <row r="30" spans="1:9" x14ac:dyDescent="0.25">
      <c r="A30" t="s">
        <v>151</v>
      </c>
      <c r="B30" s="105" t="s">
        <v>128</v>
      </c>
      <c r="C30" t="str">
        <f>'Main Sheet'!C14</f>
        <v>2035_TM160_IPA_17</v>
      </c>
      <c r="D30" t="str">
        <f>ADDRESS(ROW('Main Sheet'!C14),COLUMN('Main Sheet'!C14),4)</f>
        <v>C14</v>
      </c>
    </row>
    <row r="31" spans="1:9" x14ac:dyDescent="0.25">
      <c r="A31" t="s">
        <v>151</v>
      </c>
      <c r="B31" s="105" t="s">
        <v>129</v>
      </c>
      <c r="C31">
        <f>'Main Sheet'!D14</f>
        <v>0</v>
      </c>
      <c r="D31" t="str">
        <f>ADDRESS(ROW('Main Sheet'!D14),COLUMN('Main Sheet'!D14),4)</f>
        <v>D14</v>
      </c>
    </row>
    <row r="32" spans="1:9" x14ac:dyDescent="0.25">
      <c r="A32" t="s">
        <v>151</v>
      </c>
      <c r="B32" s="107" t="s">
        <v>152</v>
      </c>
      <c r="C32">
        <f>'Main Sheet'!C15</f>
        <v>2035</v>
      </c>
      <c r="D32" t="str">
        <f>ADDRESS(ROW('Main Sheet'!C15),COLUMN('Main Sheet'!C15),4)</f>
        <v>C15</v>
      </c>
    </row>
    <row r="33" spans="1:4" x14ac:dyDescent="0.25">
      <c r="A33" t="s">
        <v>151</v>
      </c>
      <c r="B33" s="107" t="s">
        <v>152</v>
      </c>
      <c r="C33">
        <f>'Main Sheet'!D15</f>
        <v>2050</v>
      </c>
      <c r="D33" t="str">
        <f>ADDRESS(ROW('Main Sheet'!D15),COLUMN('Main Sheet'!D15),4)</f>
        <v>D15</v>
      </c>
    </row>
  </sheetData>
  <autoFilter ref="A1:D31" xr:uid="{F5A23498-B82A-43BC-9BA2-8333682CDFD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E89B-0A01-41A6-8C55-AE114D0B2D2B}">
  <dimension ref="A1:AF3"/>
  <sheetViews>
    <sheetView topLeftCell="O1" workbookViewId="0">
      <selection activeCell="AD3" sqref="AD3"/>
    </sheetView>
  </sheetViews>
  <sheetFormatPr defaultRowHeight="15" x14ac:dyDescent="0.25"/>
  <cols>
    <col min="1" max="1" width="14.28515625" customWidth="1"/>
    <col min="2" max="2" width="20" customWidth="1"/>
    <col min="11" max="11" width="12.42578125" customWidth="1"/>
    <col min="12" max="12" width="10.7109375" customWidth="1"/>
  </cols>
  <sheetData>
    <row r="1" spans="1:32" x14ac:dyDescent="0.25">
      <c r="A1" s="2" t="s">
        <v>112</v>
      </c>
      <c r="B1" t="s">
        <v>113</v>
      </c>
      <c r="C1" t="s">
        <v>113</v>
      </c>
      <c r="D1" t="s">
        <v>113</v>
      </c>
      <c r="E1" t="s">
        <v>113</v>
      </c>
      <c r="F1" t="s">
        <v>113</v>
      </c>
      <c r="G1" t="s">
        <v>113</v>
      </c>
      <c r="H1" t="s">
        <v>113</v>
      </c>
      <c r="I1" t="s">
        <v>113</v>
      </c>
      <c r="J1" t="s">
        <v>113</v>
      </c>
      <c r="K1" t="s">
        <v>113</v>
      </c>
      <c r="L1" t="s">
        <v>113</v>
      </c>
      <c r="M1" t="s">
        <v>113</v>
      </c>
      <c r="N1" t="s">
        <v>113</v>
      </c>
      <c r="O1" t="s">
        <v>113</v>
      </c>
      <c r="P1" t="s">
        <v>113</v>
      </c>
      <c r="Q1" t="s">
        <v>113</v>
      </c>
      <c r="R1" t="s">
        <v>113</v>
      </c>
      <c r="S1" t="s">
        <v>113</v>
      </c>
      <c r="T1" s="5" t="s">
        <v>113</v>
      </c>
      <c r="U1" s="5" t="s">
        <v>113</v>
      </c>
      <c r="V1" s="5" t="s">
        <v>113</v>
      </c>
      <c r="W1" s="5" t="s">
        <v>113</v>
      </c>
      <c r="X1" s="5" t="s">
        <v>113</v>
      </c>
      <c r="Y1" s="5" t="s">
        <v>113</v>
      </c>
      <c r="Z1" s="5" t="s">
        <v>113</v>
      </c>
      <c r="AA1" s="5" t="s">
        <v>113</v>
      </c>
      <c r="AB1" s="5" t="s">
        <v>113</v>
      </c>
      <c r="AC1" s="5" t="s">
        <v>113</v>
      </c>
      <c r="AD1" s="5" t="s">
        <v>113</v>
      </c>
      <c r="AE1" s="5" t="s">
        <v>113</v>
      </c>
      <c r="AF1" s="5" t="s">
        <v>113</v>
      </c>
    </row>
    <row r="2" spans="1:32" s="105" customFormat="1" ht="75" x14ac:dyDescent="0.25">
      <c r="A2" s="105" t="s">
        <v>114</v>
      </c>
      <c r="B2" s="105" t="s">
        <v>115</v>
      </c>
      <c r="C2" s="108" t="s">
        <v>136</v>
      </c>
      <c r="D2" s="108" t="s">
        <v>137</v>
      </c>
      <c r="E2" s="108" t="s">
        <v>138</v>
      </c>
      <c r="F2" s="108" t="s">
        <v>139</v>
      </c>
      <c r="G2" s="111" t="s">
        <v>140</v>
      </c>
      <c r="H2" s="111" t="s">
        <v>141</v>
      </c>
      <c r="I2" s="111" t="s">
        <v>142</v>
      </c>
      <c r="J2" s="111" t="s">
        <v>143</v>
      </c>
      <c r="K2" s="106" t="s">
        <v>116</v>
      </c>
      <c r="L2" s="107" t="s">
        <v>117</v>
      </c>
      <c r="M2" s="107" t="s">
        <v>118</v>
      </c>
      <c r="N2" s="107" t="s">
        <v>119</v>
      </c>
      <c r="O2" s="107" t="s">
        <v>120</v>
      </c>
      <c r="P2" s="107" t="s">
        <v>121</v>
      </c>
      <c r="Q2" s="107" t="s">
        <v>122</v>
      </c>
      <c r="R2" s="107" t="s">
        <v>123</v>
      </c>
      <c r="S2" s="107" t="s">
        <v>124</v>
      </c>
      <c r="T2" s="107" t="s">
        <v>125</v>
      </c>
      <c r="U2" s="107" t="s">
        <v>126</v>
      </c>
      <c r="V2" s="107" t="s">
        <v>127</v>
      </c>
      <c r="W2" s="107" t="s">
        <v>128</v>
      </c>
      <c r="X2" s="107" t="s">
        <v>129</v>
      </c>
      <c r="Y2" s="107" t="s">
        <v>130</v>
      </c>
      <c r="Z2" s="107" t="s">
        <v>131</v>
      </c>
      <c r="AA2" s="107" t="s">
        <v>132</v>
      </c>
      <c r="AB2" s="107" t="s">
        <v>133</v>
      </c>
      <c r="AC2" s="107" t="s">
        <v>134</v>
      </c>
      <c r="AD2" s="107" t="s">
        <v>135</v>
      </c>
      <c r="AE2" s="105" t="s">
        <v>147</v>
      </c>
      <c r="AF2" s="105" t="s">
        <v>147</v>
      </c>
    </row>
    <row r="3" spans="1:32" x14ac:dyDescent="0.25">
      <c r="A3" t="str">
        <f>'SB 375 calcs'!B4</f>
        <v>2005_TM160_IPA_04</v>
      </c>
      <c r="B3" t="str">
        <f>INDEX('Model Data'!D:D,MATCH('Main Sheet'!E24,'Model Data'!E:E,0),1)</f>
        <v>2035_TM160_IPA_17</v>
      </c>
      <c r="C3">
        <f>'Main Sheet'!C21</f>
        <v>12038.390032168318</v>
      </c>
      <c r="D3" t="str">
        <f>'Main Sheet'!D21</f>
        <v/>
      </c>
      <c r="E3">
        <f>'Main Sheet'!C22</f>
        <v>15649.907041818813</v>
      </c>
      <c r="F3" t="str">
        <f>'Main Sheet'!D22</f>
        <v/>
      </c>
      <c r="G3">
        <f>'Main Sheet'!C23</f>
        <v>7.1002424409728739</v>
      </c>
      <c r="H3" t="str">
        <f>'Main Sheet'!D23</f>
        <v/>
      </c>
      <c r="I3" s="110">
        <f>'Main Sheet'!C24</f>
        <v>-9.5763531455904713E-5</v>
      </c>
      <c r="J3" s="110" t="str">
        <f>'Main Sheet'!D24</f>
        <v/>
      </c>
      <c r="K3" s="101">
        <f>'Main Sheet'!B5</f>
        <v>0.75</v>
      </c>
      <c r="L3" s="101">
        <f>'Main Sheet'!B6</f>
        <v>1.3</v>
      </c>
      <c r="M3">
        <f>'Main Sheet'!B8</f>
        <v>7516241</v>
      </c>
      <c r="N3">
        <f>'Main Sheet'!B9</f>
        <v>6040</v>
      </c>
      <c r="O3">
        <f>'Main Sheet'!C9</f>
        <v>9000</v>
      </c>
      <c r="P3">
        <f>'Main Sheet'!D9</f>
        <v>9000</v>
      </c>
      <c r="Q3">
        <f>'Main Sheet'!B10</f>
        <v>7164</v>
      </c>
      <c r="R3">
        <f>'Main Sheet'!C10</f>
        <v>10674.834437086092</v>
      </c>
      <c r="S3">
        <f>'Main Sheet'!D10</f>
        <v>10674.834437086092</v>
      </c>
      <c r="T3" s="109">
        <f>'Main Sheet'!B11</f>
        <v>0.3</v>
      </c>
      <c r="U3" s="109">
        <f>'Main Sheet'!C11</f>
        <v>1</v>
      </c>
      <c r="V3" s="109">
        <f>'Main Sheet'!D11</f>
        <v>1</v>
      </c>
      <c r="W3" t="str">
        <f>'Main Sheet'!C14</f>
        <v>2035_TM160_IPA_17</v>
      </c>
      <c r="X3">
        <f>'Main Sheet'!D14</f>
        <v>0</v>
      </c>
      <c r="Y3">
        <f>'Main Sheet'!C17</f>
        <v>8476332</v>
      </c>
      <c r="Z3" t="str">
        <f>'Main Sheet'!D17</f>
        <v/>
      </c>
      <c r="AA3">
        <f>'Main Sheet'!C18</f>
        <v>4854742</v>
      </c>
      <c r="AB3" t="str">
        <f>'Main Sheet'!D18</f>
        <v/>
      </c>
      <c r="AC3">
        <f>'Main Sheet'!C19</f>
        <v>0.12773552630896212</v>
      </c>
      <c r="AD3" t="str">
        <f>'Main Sheet'!D19</f>
        <v/>
      </c>
      <c r="AE3" t="str">
        <f>ADDRESS(ROW('Main Sheet'!C14),COLUMN('Main Sheet'!C14),4)</f>
        <v>C14</v>
      </c>
      <c r="AF3" t="str">
        <f>ADDRESS(ROW('Main Sheet'!D14),COLUMN('Main Sheet'!D14),4)</f>
        <v>D14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6D340073D92D4190D7790942D4EE51" ma:contentTypeVersion="4" ma:contentTypeDescription="Create a new document." ma:contentTypeScope="" ma:versionID="f57fa0849ec2bc354042c3fd9ea82981">
  <xsd:schema xmlns:xsd="http://www.w3.org/2001/XMLSchema" xmlns:xs="http://www.w3.org/2001/XMLSchema" xmlns:p="http://schemas.microsoft.com/office/2006/metadata/properties" xmlns:ns2="e847b06d-a24a-40c6-8f2a-5006865b8fb4" targetNamespace="http://schemas.microsoft.com/office/2006/metadata/properties" ma:root="true" ma:fieldsID="88f70dc8fa104af8832938986f815a43" ns2:_="">
    <xsd:import namespace="e847b06d-a24a-40c6-8f2a-5006865b8f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7b06d-a24a-40c6-8f2a-5006865b8f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47F0C4-724C-44EC-85E9-DD42A63640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8547B1-7640-4898-8B48-0C44B9EB8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7b06d-a24a-40c6-8f2a-5006865b8f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9EE10-07F0-41FA-B6AC-5891C21A95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Main Sheet</vt:lpstr>
      <vt:lpstr>Research</vt:lpstr>
      <vt:lpstr>Model Data</vt:lpstr>
      <vt:lpstr>Emission Factors</vt:lpstr>
      <vt:lpstr>SB 375 calcs</vt:lpstr>
      <vt:lpstr>Output_test</vt:lpstr>
      <vt:lpstr>Output</vt:lpstr>
      <vt:lpstr>runA</vt:lpstr>
      <vt:lpstr>runB</vt:lpstr>
      <vt:lpstr>runC</vt:lpstr>
      <vt:lpstr>tripA</vt:lpstr>
      <vt:lpstr>tripB</vt:lpstr>
      <vt:lpstr>tripC</vt:lpstr>
    </vt:vector>
  </TitlesOfParts>
  <Manager/>
  <Company>ICFI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Rose, Eliot</dc:creator>
  <cp:keywords/>
  <dc:description/>
  <cp:lastModifiedBy>Arriaga Gonzalez, Carolina</cp:lastModifiedBy>
  <cp:revision/>
  <dcterms:created xsi:type="dcterms:W3CDTF">2017-02-10T00:03:04Z</dcterms:created>
  <dcterms:modified xsi:type="dcterms:W3CDTF">2025-12-05T20:37:50Z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0x010100636D340073D92D4190D7790942D4EE51</vt:lpwstr>
  </property>
</Properties>
</file>