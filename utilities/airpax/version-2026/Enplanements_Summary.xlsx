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A_MTC\"/>
    </mc:Choice>
  </mc:AlternateContent>
  <xr:revisionPtr revIDLastSave="0" documentId="13_ncr:1_{EB1177E7-F160-4106-A523-1ED1C287F16A}" xr6:coauthVersionLast="47" xr6:coauthVersionMax="47" xr10:uidLastSave="{00000000-0000-0000-0000-000000000000}"/>
  <bookViews>
    <workbookView xWindow="-120" yWindow="-120" windowWidth="29040" windowHeight="15720" tabRatio="814" activeTab="1" xr2:uid="{21BDCA0A-1B89-44D0-9E83-AB0E48A917BC}"/>
  </bookViews>
  <sheets>
    <sheet name="NOTES" sheetId="10" r:id="rId1"/>
    <sheet name="Summary" sheetId="1" r:id="rId2"/>
    <sheet name="Enplanements(Selected)" sheetId="9" r:id="rId3"/>
    <sheet name="Enplanements_2" sheetId="8" r:id="rId4"/>
    <sheet name="Enplanements_by_Year" sheetId="7" r:id="rId5"/>
    <sheet name="FAA_TAF" sheetId="5" r:id="rId6"/>
    <sheet name="SFO" sheetId="2" r:id="rId7"/>
    <sheet name="OAK" sheetId="4" r:id="rId8"/>
    <sheet name="SJC" sheetId="3" r:id="rId9"/>
    <sheet name="BayAreaPopulation" sheetId="6" r:id="rId10"/>
    <sheet name="TS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6" l="1"/>
  <c r="D13" i="6"/>
  <c r="E21" i="7"/>
  <c r="E22" i="7"/>
  <c r="E23" i="7"/>
  <c r="E24" i="7"/>
  <c r="E25" i="7"/>
  <c r="E26" i="7"/>
  <c r="E27" i="7"/>
  <c r="E28" i="7"/>
  <c r="E29" i="7"/>
  <c r="E30" i="7"/>
  <c r="E31" i="7"/>
  <c r="F23" i="7"/>
  <c r="F31" i="7"/>
  <c r="F20" i="7"/>
  <c r="E20" i="7"/>
  <c r="D21" i="7"/>
  <c r="D22" i="7"/>
  <c r="D23" i="7"/>
  <c r="D24" i="7"/>
  <c r="D25" i="7"/>
  <c r="D26" i="7"/>
  <c r="D27" i="7"/>
  <c r="D28" i="7"/>
  <c r="D29" i="7"/>
  <c r="D30" i="7"/>
  <c r="D31" i="7"/>
  <c r="D20" i="7"/>
  <c r="C38" i="4"/>
  <c r="C37" i="4"/>
  <c r="C36" i="4"/>
  <c r="E36" i="4" s="1"/>
  <c r="C35" i="4"/>
  <c r="E35" i="4" s="1"/>
  <c r="C34" i="4"/>
  <c r="E34" i="4" s="1"/>
  <c r="C33" i="4"/>
  <c r="C32" i="4"/>
  <c r="E32" i="4"/>
  <c r="C31" i="4"/>
  <c r="C30" i="4"/>
  <c r="C29" i="4"/>
  <c r="C28" i="4"/>
  <c r="C27" i="4"/>
  <c r="E27" i="4" s="1"/>
  <c r="D35" i="3"/>
  <c r="C35" i="3"/>
  <c r="E35" i="3" s="1"/>
  <c r="E34" i="3"/>
  <c r="E33" i="3"/>
  <c r="F30" i="7" s="1"/>
  <c r="G30" i="7" s="1"/>
  <c r="E32" i="3"/>
  <c r="F29" i="7" s="1"/>
  <c r="E31" i="3"/>
  <c r="F28" i="7" s="1"/>
  <c r="E30" i="3"/>
  <c r="F27" i="7" s="1"/>
  <c r="G27" i="7" s="1"/>
  <c r="E29" i="3"/>
  <c r="F26" i="7" s="1"/>
  <c r="E28" i="3"/>
  <c r="F25" i="7" s="1"/>
  <c r="E27" i="3"/>
  <c r="F24" i="7" s="1"/>
  <c r="E26" i="3"/>
  <c r="E25" i="3"/>
  <c r="F22" i="7" s="1"/>
  <c r="E24" i="3"/>
  <c r="F21" i="7" s="1"/>
  <c r="E23" i="3"/>
  <c r="D39" i="4"/>
  <c r="E38" i="4"/>
  <c r="E37" i="4"/>
  <c r="E33" i="4"/>
  <c r="E31" i="4"/>
  <c r="E30" i="4"/>
  <c r="E29" i="4"/>
  <c r="E28" i="4"/>
  <c r="E48" i="2"/>
  <c r="E49" i="2"/>
  <c r="E50" i="2"/>
  <c r="E51" i="2"/>
  <c r="E52" i="2"/>
  <c r="E53" i="2"/>
  <c r="E54" i="2"/>
  <c r="E55" i="2"/>
  <c r="E56" i="2"/>
  <c r="E57" i="2"/>
  <c r="E58" i="2"/>
  <c r="E47" i="2"/>
  <c r="D59" i="2"/>
  <c r="C59" i="2"/>
  <c r="E59" i="2" s="1"/>
  <c r="D4" i="1"/>
  <c r="D7" i="7"/>
  <c r="E7" i="7"/>
  <c r="F7" i="7"/>
  <c r="E4" i="7"/>
  <c r="E13" i="7" s="1"/>
  <c r="F4" i="7"/>
  <c r="F13" i="7" s="1"/>
  <c r="F5" i="7"/>
  <c r="F8" i="7"/>
  <c r="F6" i="7"/>
  <c r="E5" i="7"/>
  <c r="E6" i="7"/>
  <c r="E14" i="7" s="1"/>
  <c r="D8" i="7"/>
  <c r="D6" i="7"/>
  <c r="D5" i="7"/>
  <c r="D4" i="7"/>
  <c r="D13" i="7" s="1"/>
  <c r="G23" i="7" l="1"/>
  <c r="G26" i="7"/>
  <c r="G20" i="7"/>
  <c r="G31" i="7"/>
  <c r="G24" i="7"/>
  <c r="G22" i="7"/>
  <c r="G25" i="7"/>
  <c r="G21" i="7"/>
  <c r="G29" i="7"/>
  <c r="G28" i="7"/>
  <c r="C39" i="4"/>
  <c r="E39" i="4" s="1"/>
  <c r="I6" i="7"/>
  <c r="D21" i="1"/>
  <c r="G6" i="7"/>
  <c r="D25" i="1"/>
  <c r="D27" i="1"/>
  <c r="D26" i="1"/>
  <c r="D14" i="7"/>
  <c r="D20" i="1"/>
  <c r="D22" i="1"/>
  <c r="F14" i="7"/>
  <c r="H6" i="7"/>
  <c r="H28" i="7" l="1"/>
  <c r="H25" i="7"/>
  <c r="H26" i="7"/>
  <c r="H24" i="7"/>
  <c r="H23" i="7"/>
  <c r="H27" i="7"/>
  <c r="H21" i="7"/>
  <c r="H22" i="7"/>
  <c r="H20" i="7"/>
  <c r="H31" i="7"/>
  <c r="H30" i="7"/>
  <c r="H29" i="7"/>
  <c r="D14" i="1"/>
  <c r="E25" i="1" s="1"/>
  <c r="J77" i="1"/>
  <c r="D38" i="1"/>
  <c r="E78" i="1"/>
  <c r="I78" i="1" s="1"/>
  <c r="D78" i="1"/>
  <c r="H78" i="1" s="1"/>
  <c r="F52" i="1"/>
  <c r="D52" i="1"/>
  <c r="H52" i="1" s="1"/>
  <c r="D51" i="1"/>
  <c r="F51" i="1"/>
  <c r="D65" i="1"/>
  <c r="F65" i="1" s="1"/>
  <c r="E45" i="4"/>
  <c r="E46" i="4"/>
  <c r="E47" i="4"/>
  <c r="E48" i="4"/>
  <c r="E49" i="4"/>
  <c r="E52" i="4"/>
  <c r="E51" i="4"/>
  <c r="E50" i="4"/>
  <c r="E79" i="1"/>
  <c r="I79" i="1" s="1"/>
  <c r="D79" i="1"/>
  <c r="H79" i="1" s="1"/>
  <c r="K79" i="1" s="1"/>
  <c r="D56" i="1"/>
  <c r="E42" i="3"/>
  <c r="E43" i="3"/>
  <c r="E44" i="3"/>
  <c r="E45" i="3"/>
  <c r="E46" i="3"/>
  <c r="E47" i="3"/>
  <c r="E48" i="3"/>
  <c r="E49" i="3"/>
  <c r="E50" i="3"/>
  <c r="E51" i="3"/>
  <c r="E41" i="3"/>
  <c r="E54" i="4"/>
  <c r="E55" i="4"/>
  <c r="E53" i="4"/>
  <c r="E72" i="2"/>
  <c r="E40" i="1"/>
  <c r="D40" i="1"/>
  <c r="D16" i="1" s="1"/>
  <c r="E39" i="1"/>
  <c r="D39" i="1"/>
  <c r="E38" i="1"/>
  <c r="E74" i="2"/>
  <c r="E73" i="2"/>
  <c r="I21" i="4"/>
  <c r="I20" i="4"/>
  <c r="E5" i="1" s="1"/>
  <c r="E15" i="1" s="1"/>
  <c r="D5" i="1"/>
  <c r="C22" i="4"/>
  <c r="E8" i="7" s="1"/>
  <c r="C21" i="4"/>
  <c r="H18" i="3"/>
  <c r="G18" i="3"/>
  <c r="E6" i="1" s="1"/>
  <c r="F18" i="3"/>
  <c r="E18" i="3"/>
  <c r="E16" i="1" s="1"/>
  <c r="D6" i="1"/>
  <c r="H42" i="2"/>
  <c r="E4" i="1" s="1"/>
  <c r="E14" i="1" s="1"/>
  <c r="E27" i="1" l="1"/>
  <c r="F9" i="7"/>
  <c r="F16" i="1"/>
  <c r="G16" i="1" s="1"/>
  <c r="H16" i="1" s="1"/>
  <c r="E22" i="1"/>
  <c r="F25" i="1"/>
  <c r="D9" i="7"/>
  <c r="E20" i="1"/>
  <c r="G25" i="1"/>
  <c r="G20" i="1"/>
  <c r="F22" i="1"/>
  <c r="G27" i="1"/>
  <c r="G22" i="1"/>
  <c r="F20" i="1"/>
  <c r="F27" i="1"/>
  <c r="D15" i="1"/>
  <c r="F14" i="1"/>
  <c r="G14" i="1" s="1"/>
  <c r="H14" i="1" s="1"/>
  <c r="F5" i="1"/>
  <c r="G5" i="1" s="1"/>
  <c r="H5" i="1" s="1"/>
  <c r="F6" i="1"/>
  <c r="G6" i="1" s="1"/>
  <c r="H6" i="1" s="1"/>
  <c r="F4" i="1"/>
  <c r="G4" i="1" s="1"/>
  <c r="H4" i="1" s="1"/>
  <c r="E21" i="1" l="1"/>
  <c r="E26" i="1"/>
  <c r="E9" i="7"/>
  <c r="F15" i="7"/>
  <c r="I9" i="7"/>
  <c r="G9" i="7"/>
  <c r="D15" i="7"/>
  <c r="G21" i="1"/>
  <c r="G26" i="1"/>
  <c r="F15" i="1"/>
  <c r="G15" i="1" s="1"/>
  <c r="H15" i="1" s="1"/>
  <c r="F26" i="1"/>
  <c r="F21" i="1"/>
  <c r="H9" i="7" l="1"/>
  <c r="E15" i="7"/>
</calcChain>
</file>

<file path=xl/sharedStrings.xml><?xml version="1.0" encoding="utf-8"?>
<sst xmlns="http://schemas.openxmlformats.org/spreadsheetml/2006/main" count="744" uniqueCount="256">
  <si>
    <t>SFO</t>
  </si>
  <si>
    <t>Airport</t>
  </si>
  <si>
    <t>Annual Enplanements</t>
  </si>
  <si>
    <t>Total</t>
  </si>
  <si>
    <t>Year</t>
  </si>
  <si>
    <t>Originating Passengers</t>
  </si>
  <si>
    <t>Connecting Passengers</t>
  </si>
  <si>
    <t>Total Enplaned Passengers</t>
  </si>
  <si>
    <t>Domestic</t>
  </si>
  <si>
    <t>International</t>
  </si>
  <si>
    <t>December reports from: 
https://www.flysfo.com/about/media/facts-statistics/air-traffic-statistics</t>
  </si>
  <si>
    <t>% Connecting Passengers (2011-2015)</t>
  </si>
  <si>
    <t>2023 Data Summary</t>
  </si>
  <si>
    <t>% Connecting Passengers</t>
  </si>
  <si>
    <t>Annual Ground Access Passengers</t>
  </si>
  <si>
    <t>Average Daily Ground Access Passengers</t>
  </si>
  <si>
    <t>Average Daily Ground Access Passengers (two-way)</t>
  </si>
  <si>
    <t>OAK</t>
  </si>
  <si>
    <t>SJC</t>
  </si>
  <si>
    <t>O&amp;D</t>
  </si>
  <si>
    <t>Dom.</t>
  </si>
  <si>
    <t>Enplane</t>
  </si>
  <si>
    <t>Deplane</t>
  </si>
  <si>
    <t>Intl.</t>
  </si>
  <si>
    <t>Connect</t>
  </si>
  <si>
    <t>Passengers</t>
  </si>
  <si>
    <t>Enplaned</t>
  </si>
  <si>
    <t>Deplaned</t>
  </si>
  <si>
    <t>% Connecting</t>
  </si>
  <si>
    <t>Oakland International Airport saw over 42 percent jump in international passengers in January - Oakland San Francisco Bay Airport (OAK)</t>
  </si>
  <si>
    <t>Oakland International Airport’s passenger totals for 2022 soar to over 11 million - Oakland San Francisco Bay Airport (OAK)</t>
  </si>
  <si>
    <t>%Connecting Sources</t>
  </si>
  <si>
    <t>2023 Data Summary - Source</t>
  </si>
  <si>
    <t>Exclude connecting passengers from annual enplanements</t>
  </si>
  <si>
    <t>Airport website splits enplanements by originating and connecting passengers</t>
  </si>
  <si>
    <r>
      <rPr>
        <i/>
        <sz val="11"/>
        <color theme="1"/>
        <rFont val="Aptos Narrow"/>
        <family val="2"/>
        <scheme val="minor"/>
      </rPr>
      <t>Dec 2023 reports from respective airport websites:</t>
    </r>
    <r>
      <rPr>
        <sz val="11"/>
        <color theme="1"/>
        <rFont val="Aptos Narrow"/>
        <family val="2"/>
        <scheme val="minor"/>
      </rPr>
      <t xml:space="preserve">
https://www.flysfo.com/about/media/facts-statistics/air-traffic-statistics
https://www.iflyoak.com/business/facts-figures/
https://www.flysanjose.com/airport-activity</t>
    </r>
  </si>
  <si>
    <r>
      <rPr>
        <i/>
        <sz val="11"/>
        <color theme="1"/>
        <rFont val="Aptos Narrow"/>
        <family val="2"/>
        <scheme val="minor"/>
      </rPr>
      <t xml:space="preserve">Using average of most recent (2011-2015) connecting passengers data from: 
</t>
    </r>
    <r>
      <rPr>
        <sz val="11"/>
        <color theme="1"/>
        <rFont val="Aptos Narrow"/>
        <family val="2"/>
        <scheme val="minor"/>
      </rPr>
      <t>Chapter_2_Aviation_Activity_Forecasts_Draft_Final.PDF
Table 2.4-2 | SFO Historical Enplaned Passengers by Segment 
https://www.flysfo.com/about-sfo/sfo-tomorrow/draft-final-airport-development-plan</t>
    </r>
  </si>
  <si>
    <r>
      <rPr>
        <i/>
        <sz val="11"/>
        <color theme="1"/>
        <rFont val="Aptos Narrow"/>
        <family val="2"/>
        <scheme val="minor"/>
      </rPr>
      <t xml:space="preserve">Data from press release on airport website:
</t>
    </r>
    <r>
      <rPr>
        <sz val="11"/>
        <color theme="1"/>
        <rFont val="Aptos Narrow"/>
        <family val="2"/>
        <scheme val="minor"/>
      </rPr>
      <t>https://www.iflyoak.com/press_release/oakland-international-airport-saw-over-42-percent-jump-in-international-passengers-in-january/</t>
    </r>
  </si>
  <si>
    <t>APO TERMINAL AREA FORECAST DETAIL REPORT</t>
  </si>
  <si>
    <t>Forecast Issued February 2026</t>
  </si>
  <si>
    <t>OAK SFO SJC</t>
  </si>
  <si>
    <t>AIRCRAFT OPERATIONS</t>
  </si>
  <si>
    <t>Enplanements</t>
  </si>
  <si>
    <t>Itinerant Operations</t>
  </si>
  <si>
    <t>Local Operations</t>
  </si>
  <si>
    <t>Fiscal</t>
  </si>
  <si>
    <t>Air</t>
  </si>
  <si>
    <t>Carrier</t>
  </si>
  <si>
    <t>Commuter</t>
  </si>
  <si>
    <t>Air Taxi &amp;</t>
  </si>
  <si>
    <t>GA</t>
  </si>
  <si>
    <t>Military</t>
  </si>
  <si>
    <t>Civil</t>
  </si>
  <si>
    <t>Ops</t>
  </si>
  <si>
    <t>Tracon</t>
  </si>
  <si>
    <t>Based</t>
  </si>
  <si>
    <t>Aircraft</t>
  </si>
  <si>
    <r>
      <t>REGION:</t>
    </r>
    <r>
      <rPr>
        <sz val="11"/>
        <color theme="1"/>
        <rFont val="Aptos Narrow"/>
        <family val="2"/>
        <scheme val="minor"/>
      </rPr>
      <t xml:space="preserve">AWP    </t>
    </r>
    <r>
      <rPr>
        <b/>
        <sz val="11"/>
        <color theme="1"/>
        <rFont val="Aptos Narrow"/>
        <family val="2"/>
        <scheme val="minor"/>
      </rPr>
      <t>STATE:</t>
    </r>
    <r>
      <rPr>
        <sz val="11"/>
        <color theme="1"/>
        <rFont val="Aptos Narrow"/>
        <family val="2"/>
        <scheme val="minor"/>
      </rPr>
      <t xml:space="preserve">CA    </t>
    </r>
    <r>
      <rPr>
        <b/>
        <sz val="11"/>
        <color theme="1"/>
        <rFont val="Aptos Narrow"/>
        <family val="2"/>
        <scheme val="minor"/>
      </rPr>
      <t>LOCID:</t>
    </r>
    <r>
      <rPr>
        <sz val="11"/>
        <color theme="1"/>
        <rFont val="Aptos Narrow"/>
        <family val="2"/>
        <scheme val="minor"/>
      </rPr>
      <t>OAK</t>
    </r>
  </si>
  <si>
    <r>
      <t>CITY:</t>
    </r>
    <r>
      <rPr>
        <sz val="11"/>
        <color theme="1"/>
        <rFont val="Aptos Narrow"/>
        <family val="2"/>
        <scheme val="minor"/>
      </rPr>
      <t xml:space="preserve">OAKLAND    </t>
    </r>
    <r>
      <rPr>
        <b/>
        <sz val="11"/>
        <color theme="1"/>
        <rFont val="Aptos Narrow"/>
        <family val="2"/>
        <scheme val="minor"/>
      </rPr>
      <t>AIRPORT:</t>
    </r>
    <r>
      <rPr>
        <sz val="11"/>
        <color theme="1"/>
        <rFont val="Aptos Narrow"/>
        <family val="2"/>
        <scheme val="minor"/>
      </rPr>
      <t>San Francisco Bay Oakland International</t>
    </r>
  </si>
  <si>
    <t>2025*</t>
  </si>
  <si>
    <t>2026*</t>
  </si>
  <si>
    <t>2027*</t>
  </si>
  <si>
    <t>2028*</t>
  </si>
  <si>
    <t>2029*</t>
  </si>
  <si>
    <t>2030*</t>
  </si>
  <si>
    <t>2031*</t>
  </si>
  <si>
    <t>2032*</t>
  </si>
  <si>
    <t>2033*</t>
  </si>
  <si>
    <t>2034*</t>
  </si>
  <si>
    <t>2035*</t>
  </si>
  <si>
    <t>2036*</t>
  </si>
  <si>
    <t>2037*</t>
  </si>
  <si>
    <t>2038*</t>
  </si>
  <si>
    <t>2039*</t>
  </si>
  <si>
    <t>2040*</t>
  </si>
  <si>
    <t>2041*</t>
  </si>
  <si>
    <t>2042*</t>
  </si>
  <si>
    <t>2043*</t>
  </si>
  <si>
    <t>2044*</t>
  </si>
  <si>
    <t>2045*</t>
  </si>
  <si>
    <t>2046*</t>
  </si>
  <si>
    <t>2047*</t>
  </si>
  <si>
    <t>2048*</t>
  </si>
  <si>
    <t>2049*</t>
  </si>
  <si>
    <t>2050*</t>
  </si>
  <si>
    <t>2051*</t>
  </si>
  <si>
    <t>2052*</t>
  </si>
  <si>
    <t>2053*</t>
  </si>
  <si>
    <t>2054*</t>
  </si>
  <si>
    <t>2055*</t>
  </si>
  <si>
    <r>
      <t>REGION:</t>
    </r>
    <r>
      <rPr>
        <sz val="11"/>
        <color theme="1"/>
        <rFont val="Aptos Narrow"/>
        <family val="2"/>
        <scheme val="minor"/>
      </rPr>
      <t xml:space="preserve">AWP    </t>
    </r>
    <r>
      <rPr>
        <b/>
        <sz val="11"/>
        <color theme="1"/>
        <rFont val="Aptos Narrow"/>
        <family val="2"/>
        <scheme val="minor"/>
      </rPr>
      <t>STATE:</t>
    </r>
    <r>
      <rPr>
        <sz val="11"/>
        <color theme="1"/>
        <rFont val="Aptos Narrow"/>
        <family val="2"/>
        <scheme val="minor"/>
      </rPr>
      <t xml:space="preserve">CA    </t>
    </r>
    <r>
      <rPr>
        <b/>
        <sz val="11"/>
        <color theme="1"/>
        <rFont val="Aptos Narrow"/>
        <family val="2"/>
        <scheme val="minor"/>
      </rPr>
      <t>LOCID:</t>
    </r>
    <r>
      <rPr>
        <sz val="11"/>
        <color theme="1"/>
        <rFont val="Aptos Narrow"/>
        <family val="2"/>
        <scheme val="minor"/>
      </rPr>
      <t>SFO</t>
    </r>
  </si>
  <si>
    <r>
      <t>CITY:</t>
    </r>
    <r>
      <rPr>
        <sz val="11"/>
        <color theme="1"/>
        <rFont val="Aptos Narrow"/>
        <family val="2"/>
        <scheme val="minor"/>
      </rPr>
      <t xml:space="preserve">SAN FRANCISCO    </t>
    </r>
    <r>
      <rPr>
        <b/>
        <sz val="11"/>
        <color theme="1"/>
        <rFont val="Aptos Narrow"/>
        <family val="2"/>
        <scheme val="minor"/>
      </rPr>
      <t>AIRPORT:</t>
    </r>
    <r>
      <rPr>
        <sz val="11"/>
        <color theme="1"/>
        <rFont val="Aptos Narrow"/>
        <family val="2"/>
        <scheme val="minor"/>
      </rPr>
      <t>San Francisco International</t>
    </r>
  </si>
  <si>
    <r>
      <t>REGION:</t>
    </r>
    <r>
      <rPr>
        <sz val="11"/>
        <color theme="1"/>
        <rFont val="Aptos Narrow"/>
        <family val="2"/>
        <scheme val="minor"/>
      </rPr>
      <t xml:space="preserve">AWP    </t>
    </r>
    <r>
      <rPr>
        <b/>
        <sz val="11"/>
        <color theme="1"/>
        <rFont val="Aptos Narrow"/>
        <family val="2"/>
        <scheme val="minor"/>
      </rPr>
      <t>STATE:</t>
    </r>
    <r>
      <rPr>
        <sz val="11"/>
        <color theme="1"/>
        <rFont val="Aptos Narrow"/>
        <family val="2"/>
        <scheme val="minor"/>
      </rPr>
      <t xml:space="preserve">CA    </t>
    </r>
    <r>
      <rPr>
        <b/>
        <sz val="11"/>
        <color theme="1"/>
        <rFont val="Aptos Narrow"/>
        <family val="2"/>
        <scheme val="minor"/>
      </rPr>
      <t>LOCID:</t>
    </r>
    <r>
      <rPr>
        <sz val="11"/>
        <color theme="1"/>
        <rFont val="Aptos Narrow"/>
        <family val="2"/>
        <scheme val="minor"/>
      </rPr>
      <t>SJC</t>
    </r>
  </si>
  <si>
    <r>
      <t>CITY:</t>
    </r>
    <r>
      <rPr>
        <sz val="11"/>
        <color theme="1"/>
        <rFont val="Aptos Narrow"/>
        <family val="2"/>
        <scheme val="minor"/>
      </rPr>
      <t xml:space="preserve">SAN JOSE    </t>
    </r>
    <r>
      <rPr>
        <b/>
        <sz val="11"/>
        <color theme="1"/>
        <rFont val="Aptos Narrow"/>
        <family val="2"/>
        <scheme val="minor"/>
      </rPr>
      <t>AIRPORT:</t>
    </r>
    <r>
      <rPr>
        <sz val="11"/>
        <color theme="1"/>
        <rFont val="Aptos Narrow"/>
        <family val="2"/>
        <scheme val="minor"/>
      </rPr>
      <t>Norman Y Mineta San Jose International</t>
    </r>
  </si>
  <si>
    <t>2050 TAF Forecast</t>
  </si>
  <si>
    <t>Air Traffic Operations</t>
  </si>
  <si>
    <t xml:space="preserve">Air Carrier - Commercial airlines and charters of aircraft with more than 60 seats (Terminal and FBO operations included). </t>
  </si>
  <si>
    <t xml:space="preserve">Air Taxi - Commercial airlines and charters of aircraft with 60 seats or less (Terminal and FBO operations included). </t>
  </si>
  <si>
    <t xml:space="preserve">Civil - Privately operated aircraft </t>
  </si>
  <si>
    <t xml:space="preserve">Military - Military Aircraft </t>
  </si>
  <si>
    <t xml:space="preserve">Categories defined as follows: </t>
  </si>
  <si>
    <t>Total (All Categories)</t>
  </si>
  <si>
    <t>Source</t>
  </si>
  <si>
    <t>Total (TAF Data)</t>
  </si>
  <si>
    <t>Aircraft Operations</t>
  </si>
  <si>
    <t>December reports from: 
https://www.iflyoak.com/business/facts-figures/</t>
  </si>
  <si>
    <t>OAK Forecasts</t>
  </si>
  <si>
    <t>2038 Annual Enplanements</t>
  </si>
  <si>
    <t>https://localnewsmatters.org/2024/11/25/oakland-airport-expansion-project-achieves-milestone-as-environmental-study-approved/</t>
  </si>
  <si>
    <t>SFO Forecasts</t>
  </si>
  <si>
    <t>https://www.flysfo.com/sites/default/files/default/about/Chapter_0_Executive_Summary_Draft_Final_Stand_Alone.pdf</t>
  </si>
  <si>
    <t>Demand Level</t>
  </si>
  <si>
    <t>Annual Passengers (Millions)</t>
  </si>
  <si>
    <t>Annual Passenger Aircraft Operations</t>
  </si>
  <si>
    <t>Annual Total Aircraft Operations</t>
  </si>
  <si>
    <t>Base Constrained</t>
  </si>
  <si>
    <t>High Constrained</t>
  </si>
  <si>
    <t>Historical 2013</t>
  </si>
  <si>
    <t>The maximum capacity at SFO is estimated to be 472,500 annual operations and the maximum capacity at OAK is estimated to be 265,000 annual commercial operations.</t>
  </si>
  <si>
    <t>Total Enplanements</t>
  </si>
  <si>
    <t>Total
Passengers
(Enplaned +
Deplaned)</t>
  </si>
  <si>
    <t>SJC Forecasts</t>
  </si>
  <si>
    <t>Actual 2025</t>
  </si>
  <si>
    <t>Without Diversion from SFO and OAK</t>
  </si>
  <si>
    <t>With Diversion from SFO and OAK</t>
  </si>
  <si>
    <t xml:space="preserve">Historically originating passengers make up approximately 96 percent of total enplanements at SJC. </t>
  </si>
  <si>
    <t>Forecast 2028</t>
  </si>
  <si>
    <t>Forecast 2038</t>
  </si>
  <si>
    <t>Forecast 2022</t>
  </si>
  <si>
    <t>Forecast 2027</t>
  </si>
  <si>
    <t>Forecast 2032</t>
  </si>
  <si>
    <t>Forecast 2037</t>
  </si>
  <si>
    <t>Actual 2023</t>
  </si>
  <si>
    <t>Actual 2022</t>
  </si>
  <si>
    <t>Growth (2025-2050)</t>
  </si>
  <si>
    <t>CAGR (2025-2050)</t>
  </si>
  <si>
    <t>2050 Forecast Data Summary</t>
  </si>
  <si>
    <t>2050 Forecast Data Summary - Source</t>
  </si>
  <si>
    <t>2016 Master Plan - High Constrained Forecast. Aligns with max anticipated airline operations</t>
  </si>
  <si>
    <t>Same as 2023</t>
  </si>
  <si>
    <t>Same as 2025 (aligns with around 4.1% used in Master Plan)</t>
  </si>
  <si>
    <t>Growth (2023-2050)</t>
  </si>
  <si>
    <t>CAGR (2023-2050)</t>
  </si>
  <si>
    <t>v/s 2019:</t>
  </si>
  <si>
    <t>Growth (2019-2050)</t>
  </si>
  <si>
    <t>Enplanement Data</t>
  </si>
  <si>
    <t>Forecast</t>
  </si>
  <si>
    <t>Actual</t>
  </si>
  <si>
    <t>CAGR (2019-2050)</t>
  </si>
  <si>
    <t>Growth (2000-2019)</t>
  </si>
  <si>
    <t>CAGR (2000-2019)</t>
  </si>
  <si>
    <t>Enplanement Data (Selected Years)</t>
  </si>
  <si>
    <t>2050 Forecast</t>
  </si>
  <si>
    <t>1. Capacity constraints at SFO, OAK</t>
  </si>
  <si>
    <t>SheetName</t>
  </si>
  <si>
    <t>Summary</t>
  </si>
  <si>
    <t>Description</t>
  </si>
  <si>
    <t>FAA enplanement data: https://www.faa.gov/airports/planning_capacity/passenger_allcargo_stats/passenger/previous_years</t>
  </si>
  <si>
    <t>Enplanements(Selected)</t>
  </si>
  <si>
    <t>Chart of 2000, 2019, forecasted 2050 enplanements at all three airports with CAGR</t>
  </si>
  <si>
    <t>2023 and forecasted 2050 ground access passengers data, along with various forecasts from the master plans of the three airports</t>
  </si>
  <si>
    <t>Chart of 2019, 2023, 2025, forecasted 2050 enplanements at all three airports</t>
  </si>
  <si>
    <t>Enplanements_2</t>
  </si>
  <si>
    <t>Enplanements_by_Year</t>
  </si>
  <si>
    <t>Tabular data used to develop the above two charts</t>
  </si>
  <si>
    <t>FAA_TAF</t>
  </si>
  <si>
    <t>FAA TAF Forecast (2025 Model): https://taf.faa.gov/</t>
  </si>
  <si>
    <t>https://taf.faa.gov/</t>
  </si>
  <si>
    <t>FAA Terminal Area Forecasts for the three airports</t>
  </si>
  <si>
    <t>Historical enplanement data for SFO</t>
  </si>
  <si>
    <t>Historical enplanement data for OAK</t>
  </si>
  <si>
    <t>Historical enplanement data for SJC</t>
  </si>
  <si>
    <t>BayAreaPopulation</t>
  </si>
  <si>
    <t>9-County Bay area population projections from CA Dept of Finance</t>
  </si>
  <si>
    <t>4. Enplanements in 2025 less than 2019 at all three airports</t>
  </si>
  <si>
    <t>3. Consecutive years of declining enplanements at OAK and SJC (i.e., enplanements in 2025&lt;2024&lt;2023)</t>
  </si>
  <si>
    <t>2. Available forecasts don't align with latest actual enplanements</t>
  </si>
  <si>
    <t>2025 Monthly Enplanements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</si>
  <si>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</si>
  <si>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</si>
  <si>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</si>
  <si>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</si>
  <si>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</si>
  <si>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</si>
  <si>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</si>
  <si>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</si>
  <si>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</si>
  <si>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</si>
  <si>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</si>
  <si>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</si>
  <si>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</si>
  <si>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Month</t>
  </si>
  <si>
    <t>Enplanement</t>
  </si>
  <si>
    <t>#Days</t>
  </si>
  <si>
    <t>Source:</t>
  </si>
  <si>
    <t>2025 Monthly Enplanements (Average Daily)</t>
  </si>
  <si>
    <t>Average Daily</t>
  </si>
  <si>
    <t>TSA</t>
  </si>
  <si>
    <t xml:space="preserve">TSA Checkpoint Passenger Volumes </t>
  </si>
  <si>
    <t>Date</t>
  </si>
  <si>
    <t>Numbers</t>
  </si>
  <si>
    <t>total_weekday_counts</t>
  </si>
  <si>
    <t>total_weekend_counts</t>
  </si>
  <si>
    <t>number_of_weekdays</t>
  </si>
  <si>
    <t>number_of_weekends</t>
  </si>
  <si>
    <t>average_weekday_counts</t>
  </si>
  <si>
    <t>average_weekend_counts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</si>
  <si>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</si>
  <si>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</si>
  <si>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</si>
  <si>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</si>
  <si>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</si>
  <si>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</si>
  <si>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</si>
  <si>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</si>
  <si>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</si>
  <si>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</si>
  <si>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</si>
  <si>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RawData--&gt;</t>
  </si>
  <si>
    <t>&lt;--Processed Data</t>
  </si>
  <si>
    <t>Forecast Summary table from Master Plan (2016)</t>
  </si>
  <si>
    <t>APPENDIX C. SAN FRANCISCO BAY OAKLAND INTERNATIONAL AIRPORT COMPREHENSIVE AVIATION ACTIVITY FORECAST; UPDATED JULY 2022</t>
  </si>
  <si>
    <t>https://www.iflyoak.com/wp-content/uploads/2024/10/Appendix-C_OAK-Comprehensive-Aviation-Forecast.pdf</t>
  </si>
  <si>
    <t>SJC Master Plan - Aviation Demand Forecasts; June 2, 2017</t>
  </si>
  <si>
    <t xml:space="preserve"> https://www.sanjoseca.gov/home/showpublisheddocument/61646/637304476564800000</t>
  </si>
  <si>
    <t>4.1% was used as connecting % for the SJC forecasts in the SJC Master Plan</t>
  </si>
  <si>
    <t>Pg. 18</t>
  </si>
  <si>
    <t>Both the tables below are from above referenced document.</t>
  </si>
  <si>
    <t>Key notes from the above referenced document</t>
  </si>
  <si>
    <t>Pg. 7</t>
  </si>
  <si>
    <t>Pg. 19</t>
  </si>
  <si>
    <t>See FAA_TAF sheet. The sheet was pulled from https://taf.faa.gov/ in Feb 2026</t>
  </si>
  <si>
    <t>Chapter_2_Aviation_Activity_Forecasts_Draft_Final.PDF
Table 2.4-2 | SFO Historical Enplaned Passengers by Segment 
https://www.flysfo.com/about-sfo/sfo-tomorrow/draft-final-airport-development-plan</t>
  </si>
  <si>
    <t xml:space="preserve">Source: Monthly reports from: </t>
  </si>
  <si>
    <t>https://www.flysfo.com/about/media/facts-statistics/air-traffic-statistics</t>
  </si>
  <si>
    <t>2025 TAF is a forecast as of Feb 2026</t>
  </si>
  <si>
    <t>https://www.iflyoak.com/business/facts-figures/</t>
  </si>
  <si>
    <t xml:space="preserve">2022-2025 data - December reports from: </t>
  </si>
  <si>
    <t>https://www.flysanjose.com/airport-activity</t>
  </si>
  <si>
    <t xml:space="preserve">Pre-2022 data is from FAA enplanement data: </t>
  </si>
  <si>
    <t>https://www.faa.gov/airports/planning_capacity/passenger_allcargo_stats/passenger/previous_years</t>
  </si>
  <si>
    <t xml:space="preserve">https://www.tsa.gov/travel/passenger-volumes
</t>
  </si>
  <si>
    <t xml:space="preserve">Source: </t>
  </si>
  <si>
    <t>Key Considerations in developing 2050 Forecasts</t>
  </si>
  <si>
    <t>Source in above referenced document</t>
  </si>
  <si>
    <t>Annual Ground Access Passengers divided by 365</t>
  </si>
  <si>
    <t>Average Daily Ground Access Passengers multiplied by 2 (Assume equal enplanements and deplanements)</t>
  </si>
  <si>
    <t>Data shows average weekday travel is similar to average weekend travel.</t>
  </si>
  <si>
    <t>Plan Bay Area 2050+ Regional Growth Forecast</t>
  </si>
  <si>
    <t>Population</t>
  </si>
  <si>
    <t>Households</t>
  </si>
  <si>
    <t>Housing Units</t>
  </si>
  <si>
    <t>Employment</t>
  </si>
  <si>
    <t>Note: numbers rounded to the thousands.</t>
  </si>
  <si>
    <t>Note: the forecast was presented to the  Commission and the ABAG Executive Board in January 2025 as part
of the Plan Bay Area 2050+ Final Blueprint approval item.</t>
  </si>
  <si>
    <t>Provided by MTC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</si>
</sst>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4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9" fillId="0" borderId="0"/>
  </cellStyleXfs>
  <cellXfs count="194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0" borderId="3" xfId="0" applyBorder="1"/>
    <xf numFmtId="0" fontId="0" fillId="0" borderId="4" xfId="0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3" xfId="0" applyFont="1" applyFill="1" applyBorder="1"/>
    <xf numFmtId="3" fontId="0" fillId="0" borderId="14" xfId="0" applyNumberFormat="1" applyBorder="1"/>
    <xf numFmtId="3" fontId="0" fillId="0" borderId="15" xfId="0" applyNumberFormat="1" applyBorder="1"/>
    <xf numFmtId="0" fontId="2" fillId="2" borderId="12" xfId="0" applyFont="1" applyFill="1" applyBorder="1"/>
    <xf numFmtId="0" fontId="2" fillId="2" borderId="16" xfId="0" applyFont="1" applyFill="1" applyBorder="1"/>
    <xf numFmtId="3" fontId="0" fillId="0" borderId="17" xfId="0" applyNumberFormat="1" applyBorder="1"/>
    <xf numFmtId="3" fontId="0" fillId="0" borderId="18" xfId="0" applyNumberFormat="1" applyBorder="1"/>
    <xf numFmtId="0" fontId="3" fillId="0" borderId="0" xfId="0" applyFont="1"/>
    <xf numFmtId="3" fontId="0" fillId="0" borderId="6" xfId="0" applyNumberFormat="1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3" fontId="0" fillId="0" borderId="22" xfId="0" applyNumberFormat="1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0" fillId="0" borderId="23" xfId="0" applyBorder="1"/>
    <xf numFmtId="0" fontId="0" fillId="0" borderId="24" xfId="0" applyBorder="1"/>
    <xf numFmtId="3" fontId="0" fillId="0" borderId="24" xfId="0" applyNumberFormat="1" applyBorder="1"/>
    <xf numFmtId="3" fontId="0" fillId="0" borderId="25" xfId="0" applyNumberFormat="1" applyBorder="1"/>
    <xf numFmtId="0" fontId="0" fillId="3" borderId="20" xfId="0" applyFill="1" applyBorder="1"/>
    <xf numFmtId="3" fontId="0" fillId="3" borderId="24" xfId="0" applyNumberFormat="1" applyFill="1" applyBorder="1"/>
    <xf numFmtId="0" fontId="0" fillId="3" borderId="17" xfId="0" applyFill="1" applyBorder="1"/>
    <xf numFmtId="0" fontId="0" fillId="3" borderId="7" xfId="0" applyFill="1" applyBorder="1"/>
    <xf numFmtId="3" fontId="0" fillId="3" borderId="17" xfId="0" applyNumberFormat="1" applyFill="1" applyBorder="1"/>
    <xf numFmtId="3" fontId="0" fillId="3" borderId="7" xfId="0" applyNumberFormat="1" applyFill="1" applyBorder="1"/>
    <xf numFmtId="165" fontId="0" fillId="0" borderId="0" xfId="2" applyNumberFormat="1" applyFont="1"/>
    <xf numFmtId="9" fontId="0" fillId="0" borderId="0" xfId="2" applyFont="1"/>
    <xf numFmtId="165" fontId="0" fillId="3" borderId="0" xfId="2" applyNumberFormat="1" applyFont="1" applyFill="1"/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horizontal="center" vertical="center" wrapText="1"/>
    </xf>
    <xf numFmtId="0" fontId="0" fillId="0" borderId="26" xfId="0" applyBorder="1"/>
    <xf numFmtId="164" fontId="0" fillId="0" borderId="26" xfId="1" applyNumberFormat="1" applyFont="1" applyBorder="1"/>
    <xf numFmtId="165" fontId="0" fillId="0" borderId="26" xfId="2" applyNumberFormat="1" applyFont="1" applyBorder="1"/>
    <xf numFmtId="10" fontId="0" fillId="0" borderId="0" xfId="0" applyNumberFormat="1"/>
    <xf numFmtId="3" fontId="2" fillId="0" borderId="0" xfId="0" applyNumberFormat="1" applyFont="1"/>
    <xf numFmtId="0" fontId="4" fillId="0" borderId="0" xfId="3"/>
    <xf numFmtId="0" fontId="2" fillId="4" borderId="26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2" applyNumberFormat="1" applyFont="1" applyAlignment="1">
      <alignment horizontal="right" vertical="center" wrapText="1"/>
    </xf>
    <xf numFmtId="165" fontId="0" fillId="0" borderId="26" xfId="2" applyNumberFormat="1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5" fontId="5" fillId="0" borderId="26" xfId="2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 wrapText="1"/>
    </xf>
    <xf numFmtId="164" fontId="0" fillId="0" borderId="0" xfId="1" applyNumberFormat="1" applyFont="1"/>
    <xf numFmtId="3" fontId="0" fillId="0" borderId="20" xfId="0" applyNumberFormat="1" applyBorder="1"/>
    <xf numFmtId="164" fontId="0" fillId="0" borderId="20" xfId="1" applyNumberFormat="1" applyFont="1" applyBorder="1"/>
    <xf numFmtId="164" fontId="0" fillId="0" borderId="21" xfId="1" applyNumberFormat="1" applyFont="1" applyBorder="1"/>
    <xf numFmtId="0" fontId="0" fillId="0" borderId="10" xfId="0" applyBorder="1"/>
    <xf numFmtId="0" fontId="2" fillId="0" borderId="10" xfId="0" applyFont="1" applyBorder="1" applyAlignment="1">
      <alignment wrapText="1"/>
    </xf>
    <xf numFmtId="3" fontId="0" fillId="0" borderId="26" xfId="0" applyNumberFormat="1" applyBorder="1"/>
    <xf numFmtId="0" fontId="5" fillId="6" borderId="0" xfId="0" applyFont="1" applyFill="1"/>
    <xf numFmtId="0" fontId="2" fillId="0" borderId="26" xfId="0" applyFont="1" applyBorder="1" applyAlignment="1">
      <alignment vertical="center" wrapText="1"/>
    </xf>
    <xf numFmtId="0" fontId="0" fillId="0" borderId="26" xfId="0" applyBorder="1" applyAlignment="1">
      <alignment wrapText="1"/>
    </xf>
    <xf numFmtId="0" fontId="10" fillId="0" borderId="0" xfId="0" applyFont="1"/>
    <xf numFmtId="0" fontId="2" fillId="0" borderId="26" xfId="0" applyFont="1" applyBorder="1" applyAlignment="1">
      <alignment wrapText="1"/>
    </xf>
    <xf numFmtId="164" fontId="0" fillId="0" borderId="0" xfId="1" applyNumberFormat="1" applyFont="1" applyBorder="1"/>
    <xf numFmtId="164" fontId="0" fillId="0" borderId="8" xfId="1" applyNumberFormat="1" applyFont="1" applyBorder="1"/>
    <xf numFmtId="10" fontId="0" fillId="0" borderId="0" xfId="2" applyNumberFormat="1" applyFont="1"/>
    <xf numFmtId="0" fontId="0" fillId="0" borderId="0" xfId="0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5" fontId="5" fillId="0" borderId="0" xfId="2" applyNumberFormat="1" applyFont="1" applyBorder="1" applyAlignment="1">
      <alignment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64" fontId="0" fillId="0" borderId="26" xfId="1" applyNumberFormat="1" applyFont="1" applyBorder="1" applyAlignment="1">
      <alignment wrapText="1"/>
    </xf>
    <xf numFmtId="0" fontId="0" fillId="0" borderId="0" xfId="0" applyAlignment="1">
      <alignment horizontal="left" vertical="center"/>
    </xf>
    <xf numFmtId="165" fontId="0" fillId="0" borderId="0" xfId="2" applyNumberFormat="1" applyFont="1" applyBorder="1" applyAlignment="1">
      <alignment vertical="center"/>
    </xf>
    <xf numFmtId="9" fontId="0" fillId="0" borderId="0" xfId="2" applyFont="1" applyAlignment="1">
      <alignment horizontal="left"/>
    </xf>
    <xf numFmtId="9" fontId="1" fillId="0" borderId="36" xfId="2" applyFont="1" applyBorder="1"/>
    <xf numFmtId="9" fontId="1" fillId="0" borderId="38" xfId="2" applyFont="1" applyBorder="1"/>
    <xf numFmtId="0" fontId="0" fillId="0" borderId="34" xfId="0" applyBorder="1"/>
    <xf numFmtId="0" fontId="0" fillId="0" borderId="35" xfId="0" applyBorder="1"/>
    <xf numFmtId="0" fontId="0" fillId="0" borderId="33" xfId="0" applyBorder="1"/>
    <xf numFmtId="9" fontId="1" fillId="0" borderId="40" xfId="2" applyFont="1" applyBorder="1"/>
    <xf numFmtId="0" fontId="2" fillId="0" borderId="1" xfId="0" applyFont="1" applyBorder="1" applyAlignment="1">
      <alignment vertical="center"/>
    </xf>
    <xf numFmtId="0" fontId="2" fillId="0" borderId="42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1" xfId="0" applyFont="1" applyBorder="1" applyAlignment="1">
      <alignment vertical="center" wrapText="1"/>
    </xf>
    <xf numFmtId="9" fontId="1" fillId="0" borderId="33" xfId="2" applyFont="1" applyBorder="1"/>
    <xf numFmtId="9" fontId="1" fillId="0" borderId="34" xfId="2" applyFont="1" applyBorder="1"/>
    <xf numFmtId="9" fontId="1" fillId="0" borderId="35" xfId="2" applyFont="1" applyBorder="1"/>
    <xf numFmtId="165" fontId="1" fillId="0" borderId="40" xfId="2" applyNumberFormat="1" applyFont="1" applyBorder="1"/>
    <xf numFmtId="165" fontId="1" fillId="0" borderId="36" xfId="2" applyNumberFormat="1" applyFont="1" applyBorder="1"/>
    <xf numFmtId="165" fontId="1" fillId="0" borderId="38" xfId="2" applyNumberFormat="1" applyFont="1" applyBorder="1"/>
    <xf numFmtId="165" fontId="1" fillId="0" borderId="41" xfId="2" applyNumberFormat="1" applyFont="1" applyBorder="1"/>
    <xf numFmtId="165" fontId="1" fillId="0" borderId="37" xfId="2" applyNumberFormat="1" applyFont="1" applyBorder="1"/>
    <xf numFmtId="165" fontId="1" fillId="0" borderId="39" xfId="2" applyNumberFormat="1" applyFont="1" applyBorder="1"/>
    <xf numFmtId="0" fontId="0" fillId="0" borderId="1" xfId="0" applyBorder="1" applyAlignment="1">
      <alignment vertical="center"/>
    </xf>
    <xf numFmtId="3" fontId="0" fillId="0" borderId="12" xfId="0" applyNumberFormat="1" applyBorder="1" applyAlignment="1">
      <alignment vertical="center"/>
    </xf>
    <xf numFmtId="165" fontId="1" fillId="0" borderId="0" xfId="2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1" applyNumberFormat="1" applyFont="1" applyFill="1"/>
    <xf numFmtId="164" fontId="2" fillId="0" borderId="0" xfId="1" applyNumberFormat="1" applyFont="1"/>
    <xf numFmtId="14" fontId="0" fillId="0" borderId="0" xfId="0" applyNumberFormat="1"/>
    <xf numFmtId="0" fontId="2" fillId="6" borderId="0" xfId="0" applyFont="1" applyFill="1"/>
    <xf numFmtId="164" fontId="0" fillId="0" borderId="0" xfId="1" applyNumberFormat="1" applyFont="1" applyFill="1" applyBorder="1"/>
    <xf numFmtId="164" fontId="0" fillId="0" borderId="43" xfId="1" applyNumberFormat="1" applyFont="1" applyBorder="1"/>
    <xf numFmtId="164" fontId="0" fillId="0" borderId="44" xfId="1" applyNumberFormat="1" applyFont="1" applyBorder="1"/>
    <xf numFmtId="164" fontId="0" fillId="0" borderId="45" xfId="1" applyNumberFormat="1" applyFont="1" applyBorder="1"/>
    <xf numFmtId="164" fontId="0" fillId="0" borderId="46" xfId="1" applyNumberFormat="1" applyFont="1" applyBorder="1"/>
    <xf numFmtId="165" fontId="0" fillId="0" borderId="45" xfId="2" applyNumberFormat="1" applyFont="1" applyBorder="1"/>
    <xf numFmtId="165" fontId="0" fillId="0" borderId="46" xfId="2" applyNumberFormat="1" applyFont="1" applyBorder="1"/>
    <xf numFmtId="164" fontId="0" fillId="4" borderId="45" xfId="1" applyNumberFormat="1" applyFont="1" applyFill="1" applyBorder="1"/>
    <xf numFmtId="164" fontId="0" fillId="4" borderId="46" xfId="1" applyNumberFormat="1" applyFont="1" applyFill="1" applyBorder="1"/>
    <xf numFmtId="164" fontId="0" fillId="0" borderId="47" xfId="1" applyNumberFormat="1" applyFont="1" applyBorder="1"/>
    <xf numFmtId="165" fontId="0" fillId="0" borderId="47" xfId="2" applyNumberFormat="1" applyFont="1" applyBorder="1"/>
    <xf numFmtId="164" fontId="0" fillId="4" borderId="47" xfId="1" applyNumberFormat="1" applyFont="1" applyFill="1" applyBorder="1"/>
    <xf numFmtId="0" fontId="2" fillId="0" borderId="12" xfId="0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64" fontId="0" fillId="0" borderId="41" xfId="1" applyNumberFormat="1" applyFont="1" applyBorder="1"/>
    <xf numFmtId="164" fontId="0" fillId="0" borderId="37" xfId="1" applyNumberFormat="1" applyFont="1" applyBorder="1"/>
    <xf numFmtId="164" fontId="0" fillId="0" borderId="39" xfId="1" applyNumberFormat="1" applyFont="1" applyBorder="1"/>
    <xf numFmtId="0" fontId="2" fillId="0" borderId="16" xfId="0" applyFont="1" applyBorder="1" applyAlignment="1">
      <alignment horizontal="center" vertical="center" wrapText="1"/>
    </xf>
    <xf numFmtId="164" fontId="0" fillId="0" borderId="48" xfId="1" applyNumberFormat="1" applyFont="1" applyBorder="1"/>
    <xf numFmtId="0" fontId="4" fillId="0" borderId="0" xfId="3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3" applyAlignment="1">
      <alignment vertical="center"/>
    </xf>
    <xf numFmtId="164" fontId="0" fillId="0" borderId="0" xfId="1" applyNumberFormat="1" applyFont="1" applyAlignment="1">
      <alignment vertical="center"/>
    </xf>
    <xf numFmtId="165" fontId="0" fillId="0" borderId="26" xfId="2" applyNumberFormat="1" applyFont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3" fontId="0" fillId="6" borderId="8" xfId="0" applyNumberFormat="1" applyFill="1" applyBorder="1"/>
    <xf numFmtId="0" fontId="2" fillId="0" borderId="30" xfId="0" applyFont="1" applyBorder="1" applyAlignment="1">
      <alignment vertical="center"/>
    </xf>
    <xf numFmtId="0" fontId="0" fillId="0" borderId="1" xfId="0" applyBorder="1"/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164" fontId="0" fillId="0" borderId="27" xfId="1" applyNumberFormat="1" applyFont="1" applyBorder="1" applyAlignment="1">
      <alignment horizontal="center" vertical="center" wrapText="1"/>
    </xf>
    <xf numFmtId="164" fontId="0" fillId="0" borderId="14" xfId="1" applyNumberFormat="1" applyFont="1" applyBorder="1" applyAlignment="1">
      <alignment horizontal="center" vertical="center"/>
    </xf>
    <xf numFmtId="164" fontId="0" fillId="0" borderId="28" xfId="1" applyNumberFormat="1" applyFont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 wrapText="1"/>
    </xf>
    <xf numFmtId="164" fontId="0" fillId="0" borderId="28" xfId="1" applyNumberFormat="1" applyFont="1" applyBorder="1" applyAlignment="1">
      <alignment horizontal="center" vertical="center" wrapText="1"/>
    </xf>
    <xf numFmtId="164" fontId="0" fillId="4" borderId="27" xfId="1" applyNumberFormat="1" applyFont="1" applyFill="1" applyBorder="1" applyAlignment="1">
      <alignment horizontal="center" vertical="center" wrapText="1"/>
    </xf>
    <xf numFmtId="164" fontId="0" fillId="4" borderId="14" xfId="1" applyNumberFormat="1" applyFont="1" applyFill="1" applyBorder="1" applyAlignment="1">
      <alignment horizontal="center" vertical="center" wrapText="1"/>
    </xf>
    <xf numFmtId="164" fontId="0" fillId="4" borderId="28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29" xfId="0" applyBorder="1"/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3" fontId="0" fillId="0" borderId="19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/>
    <xf numFmtId="0" fontId="0" fillId="0" borderId="49" xfId="0" applyBorder="1"/>
    <xf numFmtId="0" fontId="2" fillId="0" borderId="50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4" fontId="0" fillId="0" borderId="51" xfId="1" applyNumberFormat="1" applyFont="1" applyBorder="1"/>
    <xf numFmtId="0" fontId="5" fillId="0" borderId="0" xfId="0" applyFont="1" applyAlignment="1">
      <alignment horizontal="left" vertical="top"/>
    </xf>
  </cellXfs>
  <cellStyles count="5">
    <cellStyle name="Comma" xfId="1" builtinId="3"/>
    <cellStyle name="Hyperlink" xfId="3" builtinId="8"/>
    <cellStyle name="Normal" xfId="0" builtinId="0"/>
    <cellStyle name="Normal 2" xfId="4" xr:uid="{4EEC9405-6CFB-4AC8-A48C-DA5EA23ABEC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alcChain" Target="calcChain.xml"/><Relationship Id="rId10" Type="http://schemas.openxmlformats.org/officeDocument/2006/relationships/worksheet" Target="worksheets/sheet8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Enplanements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Enplanements_by_Year!$C$13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Enplanements_by_Year!$D$12:$F$12</c:f>
              <c:strCache>
                <c:ptCount val="3"/>
                <c:pt idx="0">
                  <c:v>SFO</c:v>
                </c:pt>
                <c:pt idx="1">
                  <c:v>OAK</c:v>
                </c:pt>
                <c:pt idx="2">
                  <c:v>SJC</c:v>
                </c:pt>
              </c:strCache>
            </c:strRef>
          </c:cat>
          <c:val>
            <c:numRef>
              <c:f>Enplanements_by_Year!$D$13:$F$13</c:f>
              <c:numCache>
                <c:formatCode>#,##0</c:formatCode>
                <c:ptCount val="3"/>
                <c:pt idx="0">
                  <c:v>20208025</c:v>
                </c:pt>
                <c:pt idx="1">
                  <c:v>5196451</c:v>
                </c:pt>
                <c:pt idx="2">
                  <c:v>6170384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B-4000-A3BF-E1FED90CF5F9}"/>
            </c:ext>
          </c:extLst>
        </c:ser>
        <c:ser>
          <c:idx val="1"/>
          <c:order val="1"/>
          <c:tx>
            <c:strRef>
              <c:f>Enplanements_by_Year!$C$14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Enplanements_by_Year!$D$12:$F$12</c:f>
              <c:strCache>
                <c:ptCount val="3"/>
                <c:pt idx="0">
                  <c:v>SFO</c:v>
                </c:pt>
                <c:pt idx="1">
                  <c:v>OAK</c:v>
                </c:pt>
                <c:pt idx="2">
                  <c:v>SJC</c:v>
                </c:pt>
              </c:strCache>
            </c:strRef>
          </c:cat>
          <c:val>
            <c:numRef>
              <c:f>Enplanements_by_Year!$D$14:$F$14</c:f>
              <c:numCache>
                <c:formatCode>#,##0</c:formatCode>
                <c:ptCount val="3"/>
                <c:pt idx="0">
                  <c:v>28665071</c:v>
                </c:pt>
                <c:pt idx="1">
                  <c:v>6689457</c:v>
                </c:pt>
                <c:pt idx="2">
                  <c:v>7688152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B-4000-A3BF-E1FED90CF5F9}"/>
            </c:ext>
          </c:extLst>
        </c:ser>
        <c:ser>
          <c:idx val="2"/>
          <c:order val="2"/>
          <c:tx>
            <c:strRef>
              <c:f>Enplanements_by_Year!$C$15</c:f>
              <c:strCache>
                <c:ptCount val="1"/>
                <c:pt idx="0">
                  <c:v>2050 Forecast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Enplanements_by_Year!$D$12:$F$12</c:f>
              <c:strCache>
                <c:ptCount val="3"/>
                <c:pt idx="0">
                  <c:v>SFO</c:v>
                </c:pt>
                <c:pt idx="1">
                  <c:v>OAK</c:v>
                </c:pt>
                <c:pt idx="2">
                  <c:v>SJC</c:v>
                </c:pt>
              </c:strCache>
            </c:strRef>
          </c:cat>
          <c:val>
            <c:numRef>
              <c:f>Enplanements_by_Year!$D$15:$F$15</c:f>
              <c:numCache>
                <c:formatCode>#,##0</c:formatCode>
                <c:ptCount val="3"/>
                <c:pt idx="0">
                  <c:v>35535000</c:v>
                </c:pt>
                <c:pt idx="1">
                  <c:v>9685616</c:v>
                </c:pt>
                <c:pt idx="2">
                  <c:v>10426606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9B-4000-A3BF-E1FED90CF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397456"/>
        <c:axId val="1649396016"/>
      </c:barChart>
      <c:catAx>
        <c:axId val="164939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96016"/>
        <c:crosses val="autoZero"/>
        <c:auto val="1"/>
        <c:lblAlgn val="ctr"/>
        <c:lblOffset val="100"/>
        <c:noMultiLvlLbl val="0"/>
      </c:catAx>
      <c:valAx>
        <c:axId val="164939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Annual Enplanements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39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0250490682799531"/>
          <c:y val="0.12956932045915795"/>
          <c:w val="0.41721038169349067"/>
          <c:h val="5.602336007584490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Enplanements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Enplanements_by_Year!$C$6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Enplanements_by_Year!$D$3:$F$3</c:f>
              <c:strCache>
                <c:ptCount val="3"/>
                <c:pt idx="0">
                  <c:v>SFO</c:v>
                </c:pt>
                <c:pt idx="1">
                  <c:v>OAK</c:v>
                </c:pt>
                <c:pt idx="2">
                  <c:v>SJC</c:v>
                </c:pt>
              </c:strCache>
            </c:strRef>
          </c:cat>
          <c:val>
            <c:numRef>
              <c:f>Enplanements_by_Year!$D$6:$F$6</c:f>
              <c:numCache>
                <c:formatCode>_(* #,##0_);_(* \(#,##0\);_(* "-"??_);_(@_)</c:formatCode>
                <c:ptCount val="3"/>
                <c:pt idx="0" formatCode="#,##0">
                  <c:v>28665071</c:v>
                </c:pt>
                <c:pt idx="1">
                  <c:v>6689457</c:v>
                </c:pt>
                <c:pt idx="2" formatCode="#,##0">
                  <c:v>7688152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1-4FEA-88B3-700721ACEB78}"/>
            </c:ext>
          </c:extLst>
        </c:ser>
        <c:ser>
          <c:idx val="3"/>
          <c:order val="1"/>
          <c:tx>
            <c:strRef>
              <c:f>Enplanements_by_Year!$C$7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Enplanements_by_Year!$D$3:$F$3</c:f>
              <c:strCache>
                <c:ptCount val="3"/>
                <c:pt idx="0">
                  <c:v>SFO</c:v>
                </c:pt>
                <c:pt idx="1">
                  <c:v>OAK</c:v>
                </c:pt>
                <c:pt idx="2">
                  <c:v>SJC</c:v>
                </c:pt>
              </c:strCache>
            </c:strRef>
          </c:cat>
          <c:val>
            <c:numRef>
              <c:f>Enplanements_by_Year!$D$7:$F$7</c:f>
              <c:numCache>
                <c:formatCode>_(* #,##0_);_(* \(#,##0\);_(* "-"??_);_(@_)</c:formatCode>
                <c:ptCount val="3"/>
                <c:pt idx="0" formatCode="#,##0">
                  <c:v>24979810</c:v>
                </c:pt>
                <c:pt idx="1">
                  <c:v>5611677</c:v>
                </c:pt>
                <c:pt idx="2" formatCode="#,##0">
                  <c:v>6052435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1-4FEA-88B3-700721ACEB78}"/>
            </c:ext>
          </c:extLst>
        </c:ser>
        <c:ser>
          <c:idx val="4"/>
          <c:order val="2"/>
          <c:tx>
            <c:strRef>
              <c:f>Enplanements_by_Year!$C$8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Enplanements_by_Year!$D$3:$F$3</c:f>
              <c:strCache>
                <c:ptCount val="3"/>
                <c:pt idx="0">
                  <c:v>SFO</c:v>
                </c:pt>
                <c:pt idx="1">
                  <c:v>OAK</c:v>
                </c:pt>
                <c:pt idx="2">
                  <c:v>SJC</c:v>
                </c:pt>
              </c:strCache>
            </c:strRef>
          </c:cat>
          <c:val>
            <c:numRef>
              <c:f>Enplanements_by_Year!$D$8:$F$8</c:f>
              <c:numCache>
                <c:formatCode>_(* #,##0_);_(* \(#,##0\);_(* "-"??_);_(@_)</c:formatCode>
                <c:ptCount val="3"/>
                <c:pt idx="0" formatCode="#,##0">
                  <c:v>27250806</c:v>
                </c:pt>
                <c:pt idx="1">
                  <c:v>4595430</c:v>
                </c:pt>
                <c:pt idx="2" formatCode="#,##0">
                  <c:v>5328602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1-4FEA-88B3-700721ACEB78}"/>
            </c:ext>
          </c:extLst>
        </c:ser>
        <c:ser>
          <c:idx val="5"/>
          <c:order val="3"/>
          <c:tx>
            <c:strRef>
              <c:f>Enplanements_by_Year!$C$9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Enplanements_by_Year!$D$3:$F$3</c:f>
              <c:strCache>
                <c:ptCount val="3"/>
                <c:pt idx="0">
                  <c:v>SFO</c:v>
                </c:pt>
                <c:pt idx="1">
                  <c:v>OAK</c:v>
                </c:pt>
                <c:pt idx="2">
                  <c:v>SJC</c:v>
                </c:pt>
              </c:strCache>
            </c:strRef>
          </c:cat>
          <c:val>
            <c:numRef>
              <c:f>Enplanements_by_Year!$D$9:$F$9</c:f>
              <c:numCache>
                <c:formatCode>_(* #,##0_);_(* \(#,##0\);_(* "-"??_);_(@_)</c:formatCode>
                <c:ptCount val="3"/>
                <c:pt idx="0">
                  <c:v>35535000</c:v>
                </c:pt>
                <c:pt idx="1">
                  <c:v>9685616</c:v>
                </c:pt>
                <c:pt idx="2">
                  <c:v>10426606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91-4FEA-88B3-700721ACE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0943536"/>
        <c:axId val="1280934416"/>
      </c:barChart>
      <c:catAx>
        <c:axId val="128094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34416"/>
        <c:crosses val="autoZero"/>
        <c:auto val="1"/>
        <c:lblAlgn val="ctr"/>
        <c:lblOffset val="100"/>
        <c:noMultiLvlLbl val="0"/>
      </c:catAx>
      <c:valAx>
        <c:axId val="128093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Annual Enplanements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4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6267520262313253"/>
          <c:y val="0.12576388156992199"/>
          <c:w val="0.36547729004548918"/>
          <c:h val="0.154946649301440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Daily Enplanements by Month (3-Airport</a:t>
            </a:r>
            <a:r>
              <a:rPr lang="en-US" b="1" baseline="0"/>
              <a:t> Totals)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Enplanements_by_Year!$C$20:$C$31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Enplanements_by_Year!$G$20:$G$31</c:f>
              <c:numCache>
                <c:formatCode>#,##0</c:formatCode>
                <c:ptCount val="12"/>
                <c:pt idx="0">
                  <c:v>85359.870967741939</c:v>
                </c:pt>
                <c:pt idx="1">
                  <c:v>88881.714285714275</c:v>
                </c:pt>
                <c:pt idx="2">
                  <c:v>95920.612903225803</c:v>
                </c:pt>
                <c:pt idx="3">
                  <c:v>100805.96666666666</c:v>
                </c:pt>
                <c:pt idx="4">
                  <c:v>107100.19354838711</c:v>
                </c:pt>
                <c:pt idx="5">
                  <c:v>118686.96666666667</c:v>
                </c:pt>
                <c:pt idx="6">
                  <c:v>112188.41935483871</c:v>
                </c:pt>
                <c:pt idx="7">
                  <c:v>108281.35483870968</c:v>
                </c:pt>
                <c:pt idx="8">
                  <c:v>100238.53333333333</c:v>
                </c:pt>
                <c:pt idx="9">
                  <c:v>105179.03225806452</c:v>
                </c:pt>
                <c:pt idx="10">
                  <c:v>97962</c:v>
                </c:pt>
                <c:pt idx="11">
                  <c:v>100659.09677419355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0-44C3-A4CB-CBC69288E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552415"/>
        <c:axId val="1718552895"/>
      </c:barChart>
      <c:lineChart>
        <c:grouping val="standard"/>
        <c:varyColors val="0"/>
        <c:ser>
          <c:idx val="1"/>
          <c:order val="1"/>
          <c:tx>
            <c:v>"Average"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Enplanements_by_Year!$H$20:$H$31</c:f>
              <c:numCache>
                <c:formatCode>#,##0</c:formatCode>
                <c:ptCount val="12"/>
                <c:pt idx="0">
                  <c:v>101771.98013312851</c:v>
                </c:pt>
                <c:pt idx="1">
                  <c:v>101771.98013312851</c:v>
                </c:pt>
                <c:pt idx="2">
                  <c:v>101771.98013312851</c:v>
                </c:pt>
                <c:pt idx="3">
                  <c:v>101771.98013312851</c:v>
                </c:pt>
                <c:pt idx="4">
                  <c:v>101771.98013312851</c:v>
                </c:pt>
                <c:pt idx="5">
                  <c:v>101771.98013312851</c:v>
                </c:pt>
                <c:pt idx="6">
                  <c:v>101771.98013312851</c:v>
                </c:pt>
                <c:pt idx="7">
                  <c:v>101771.98013312851</c:v>
                </c:pt>
                <c:pt idx="8">
                  <c:v>101771.98013312851</c:v>
                </c:pt>
                <c:pt idx="9">
                  <c:v>101771.98013312851</c:v>
                </c:pt>
                <c:pt idx="10">
                  <c:v>101771.98013312851</c:v>
                </c:pt>
                <c:pt idx="11">
                  <c:v>101771.98013312851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0-44C3-A4CB-CBC69288E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552415"/>
        <c:axId val="1718552895"/>
      </c:lineChart>
      <c:catAx>
        <c:axId val="171855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52895"/>
        <c:crosses val="autoZero"/>
        <c:auto val="1"/>
        <c:lblAlgn val="ctr"/>
        <c:lblOffset val="100"/>
        <c:noMultiLvlLbl val="0"/>
      </c:catAx>
      <c:valAx>
        <c:axId val="171855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5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26DCF8-7E7C-40F0-B43C-0285D8D618DA}">
  <sheetPr/>
  <sheetViews>
    <sheetView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4C46E8-D7E2-4340-BF61-F2118ACBA03F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29579-077D-EF89-71C7-8BFC0EFCD7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0.26393</cdr:x>
      <cdr:y>0.19785</cdr:y>
    </cdr:from>
    <cdr:to>
      <cdr:x>0.31574</cdr:x>
      <cdr:y>0.27187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24D251ED-DADF-6E74-8AFB-76A90F35EC75}"/>
            </a:ext>
          </a:extLst>
        </cdr:cNvPr>
        <cdr:cNvCxnSpPr/>
      </cdr:nvCxnSpPr>
      <cdr:spPr>
        <a:xfrm xmlns:a="http://schemas.openxmlformats.org/drawingml/2006/main" flipV="1">
          <a:off x="2286000" y="1244600"/>
          <a:ext cx="448733" cy="465667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0.23754</cdr:x>
      <cdr:y>0.20458</cdr:y>
    </cdr:from>
    <cdr:to>
      <cdr:x>0.28348</cdr:x>
      <cdr:y>0.24361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5D7553D-EA09-16E0-DF7E-CEABBF6E1E59}"/>
            </a:ext>
          </a:extLst>
        </cdr:cNvPr>
        <cdr:cNvSpPr txBox="1"/>
      </cdr:nvSpPr>
      <cdr:spPr>
        <a:xfrm xmlns:a="http://schemas.openxmlformats.org/drawingml/2006/main" rot="18905532">
          <a:off x="2057400" y="1286932"/>
          <a:ext cx="397933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b="1" kern="1200"/>
            <a:t>0.7%</a:t>
          </a:r>
        </a:p>
      </cdr:txBody>
    </cdr:sp>
  </cdr:relSizeAnchor>
  <cdr:relSizeAnchor xmlns:cdr="http://schemas.openxmlformats.org/drawingml/2006/chartDrawing">
    <cdr:from>
      <cdr:x>0.2043</cdr:x>
      <cdr:y>0.36474</cdr:y>
    </cdr:from>
    <cdr:to>
      <cdr:x>0.24829</cdr:x>
      <cdr:y>0.48183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80F1A5B1-1145-93B8-4827-74F3EA9F8EF9}"/>
            </a:ext>
          </a:extLst>
        </cdr:cNvPr>
        <cdr:cNvCxnSpPr/>
      </cdr:nvCxnSpPr>
      <cdr:spPr>
        <a:xfrm xmlns:a="http://schemas.openxmlformats.org/drawingml/2006/main" flipV="1">
          <a:off x="1769533" y="2294466"/>
          <a:ext cx="381000" cy="736601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0070C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0.18573</cdr:x>
      <cdr:y>0.38089</cdr:y>
    </cdr:from>
    <cdr:to>
      <cdr:x>0.21408</cdr:x>
      <cdr:y>0.44415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0F986D57-788E-61BA-0358-1DC8F4241A7C}"/>
            </a:ext>
          </a:extLst>
        </cdr:cNvPr>
        <cdr:cNvSpPr txBox="1"/>
      </cdr:nvSpPr>
      <cdr:spPr>
        <a:xfrm xmlns:a="http://schemas.openxmlformats.org/drawingml/2006/main" rot="18030531">
          <a:off x="1532467" y="2472267"/>
          <a:ext cx="397933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1.9%</a:t>
          </a:r>
        </a:p>
      </cdr:txBody>
    </cdr:sp>
  </cdr:relSizeAnchor>
  <cdr:relSizeAnchor xmlns:cdr="http://schemas.openxmlformats.org/drawingml/2006/chartDrawing">
    <cdr:from>
      <cdr:x>0.75953</cdr:x>
      <cdr:y>0.22611</cdr:y>
    </cdr:from>
    <cdr:to>
      <cdr:x>0.9609</cdr:x>
      <cdr:y>0.2786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500BB95D-411E-6F9C-7689-C0B0A9E8C6C1}"/>
            </a:ext>
          </a:extLst>
        </cdr:cNvPr>
        <cdr:cNvSpPr txBox="1"/>
      </cdr:nvSpPr>
      <cdr:spPr>
        <a:xfrm xmlns:a="http://schemas.openxmlformats.org/drawingml/2006/main">
          <a:off x="6578599" y="1422400"/>
          <a:ext cx="1744133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800" b="1" kern="1200"/>
            <a:t>%</a:t>
          </a:r>
          <a:r>
            <a:rPr lang="en-US" sz="1800" b="1" kern="1200" baseline="0"/>
            <a:t> values are CAGR</a:t>
          </a:r>
          <a:endParaRPr lang="en-US" sz="1800" b="1" kern="1200"/>
        </a:p>
      </cdr:txBody>
    </cdr:sp>
  </cdr:relSizeAnchor>
  <cdr:relSizeAnchor xmlns:cdr="http://schemas.openxmlformats.org/drawingml/2006/chartDrawing">
    <cdr:from>
      <cdr:x>0.55621</cdr:x>
      <cdr:y>0.70794</cdr:y>
    </cdr:from>
    <cdr:to>
      <cdr:x>0.61486</cdr:x>
      <cdr:y>0.74966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FC597B92-D68E-7D49-3702-F4DD63758B35}"/>
            </a:ext>
          </a:extLst>
        </cdr:cNvPr>
        <cdr:cNvCxnSpPr/>
      </cdr:nvCxnSpPr>
      <cdr:spPr>
        <a:xfrm xmlns:a="http://schemas.openxmlformats.org/drawingml/2006/main" flipV="1">
          <a:off x="4817533" y="4453467"/>
          <a:ext cx="508000" cy="262467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0.4868</cdr:x>
      <cdr:y>0.7712</cdr:y>
    </cdr:from>
    <cdr:to>
      <cdr:x>0.54448</cdr:x>
      <cdr:y>0.80754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3C07BF7D-4BF8-5F76-B380-7CC96B089DF0}"/>
            </a:ext>
          </a:extLst>
        </cdr:cNvPr>
        <cdr:cNvCxnSpPr/>
      </cdr:nvCxnSpPr>
      <cdr:spPr>
        <a:xfrm xmlns:a="http://schemas.openxmlformats.org/drawingml/2006/main" flipV="1">
          <a:off x="4216400" y="4851400"/>
          <a:ext cx="499533" cy="228601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0070C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0.53763</cdr:x>
      <cdr:y>0.69179</cdr:y>
    </cdr:from>
    <cdr:to>
      <cdr:x>0.58358</cdr:x>
      <cdr:y>0.73082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A6DCF91D-90B6-6600-EF3D-6E02CF921202}"/>
            </a:ext>
          </a:extLst>
        </cdr:cNvPr>
        <cdr:cNvSpPr txBox="1"/>
      </cdr:nvSpPr>
      <cdr:spPr>
        <a:xfrm xmlns:a="http://schemas.openxmlformats.org/drawingml/2006/main" rot="20082774">
          <a:off x="4656668" y="4351867"/>
          <a:ext cx="397933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1.2%</a:t>
          </a:r>
        </a:p>
      </cdr:txBody>
    </cdr:sp>
  </cdr:relSizeAnchor>
  <cdr:relSizeAnchor xmlns:cdr="http://schemas.openxmlformats.org/drawingml/2006/chartDrawing">
    <cdr:from>
      <cdr:x>0.47214</cdr:x>
      <cdr:y>0.74697</cdr:y>
    </cdr:from>
    <cdr:to>
      <cdr:x>0.51808</cdr:x>
      <cdr:y>0.786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8C0228A5-9FD7-0161-E6AA-36CEB61E73CB}"/>
            </a:ext>
          </a:extLst>
        </cdr:cNvPr>
        <cdr:cNvSpPr txBox="1"/>
      </cdr:nvSpPr>
      <cdr:spPr>
        <a:xfrm xmlns:a="http://schemas.openxmlformats.org/drawingml/2006/main" rot="20168265">
          <a:off x="4089401" y="4699000"/>
          <a:ext cx="397933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1.3%</a:t>
          </a:r>
        </a:p>
      </cdr:txBody>
    </cdr:sp>
  </cdr:relSizeAnchor>
  <cdr:relSizeAnchor xmlns:cdr="http://schemas.openxmlformats.org/drawingml/2006/chartDrawing">
    <cdr:from>
      <cdr:x>0.83969</cdr:x>
      <cdr:y>0.6891</cdr:y>
    </cdr:from>
    <cdr:to>
      <cdr:x>0.89443</cdr:x>
      <cdr:y>0.72948</cdr:y>
    </cdr:to>
    <cdr:cxnSp macro="">
      <cdr:nvCxnSpPr>
        <cdr:cNvPr id="26" name="Straight Arrow Connector 25">
          <a:extLst xmlns:a="http://schemas.openxmlformats.org/drawingml/2006/main">
            <a:ext uri="{FF2B5EF4-FFF2-40B4-BE49-F238E27FC236}">
              <a16:creationId xmlns:a16="http://schemas.microsoft.com/office/drawing/2014/main" id="{1336F4BA-963D-2EBC-E6EE-C29025CA1BB2}"/>
            </a:ext>
          </a:extLst>
        </cdr:cNvPr>
        <cdr:cNvCxnSpPr/>
      </cdr:nvCxnSpPr>
      <cdr:spPr>
        <a:xfrm xmlns:a="http://schemas.openxmlformats.org/drawingml/2006/main" flipV="1">
          <a:off x="7272867" y="4334933"/>
          <a:ext cx="474133" cy="254001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0.76833</cdr:x>
      <cdr:y>0.74697</cdr:y>
    </cdr:from>
    <cdr:to>
      <cdr:x>0.826</cdr:x>
      <cdr:y>0.78331</cdr:y>
    </cdr:to>
    <cdr:cxnSp macro="">
      <cdr:nvCxnSpPr>
        <cdr:cNvPr id="28" name="Straight Arrow Connector 27">
          <a:extLst xmlns:a="http://schemas.openxmlformats.org/drawingml/2006/main">
            <a:ext uri="{FF2B5EF4-FFF2-40B4-BE49-F238E27FC236}">
              <a16:creationId xmlns:a16="http://schemas.microsoft.com/office/drawing/2014/main" id="{2C4FA421-4B71-D7DD-C3B4-8A3A17A7C375}"/>
            </a:ext>
          </a:extLst>
        </cdr:cNvPr>
        <cdr:cNvCxnSpPr/>
      </cdr:nvCxnSpPr>
      <cdr:spPr>
        <a:xfrm xmlns:a="http://schemas.openxmlformats.org/drawingml/2006/main" flipV="1">
          <a:off x="6654800" y="4699000"/>
          <a:ext cx="499533" cy="228601"/>
        </a:xfrm>
        <a:prstGeom xmlns:a="http://schemas.openxmlformats.org/drawingml/2006/main" prst="straightConnector1">
          <a:avLst/>
        </a:prstGeom>
        <a:ln xmlns:a="http://schemas.openxmlformats.org/drawingml/2006/main" w="38100">
          <a:solidFill>
            <a:srgbClr val="0070C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0.74291</cdr:x>
      <cdr:y>0.72948</cdr:y>
    </cdr:from>
    <cdr:to>
      <cdr:x>0.78886</cdr:x>
      <cdr:y>0.76851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C9D35A71-87D4-3A89-D14E-E120D4587AF4}"/>
            </a:ext>
          </a:extLst>
        </cdr:cNvPr>
        <cdr:cNvSpPr txBox="1"/>
      </cdr:nvSpPr>
      <cdr:spPr>
        <a:xfrm xmlns:a="http://schemas.openxmlformats.org/drawingml/2006/main" rot="20082774">
          <a:off x="6434668" y="4588934"/>
          <a:ext cx="397933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1.2%</a:t>
          </a:r>
        </a:p>
      </cdr:txBody>
    </cdr:sp>
  </cdr:relSizeAnchor>
  <cdr:relSizeAnchor xmlns:cdr="http://schemas.openxmlformats.org/drawingml/2006/chartDrawing">
    <cdr:from>
      <cdr:x>0.82209</cdr:x>
      <cdr:y>0.66891</cdr:y>
    </cdr:from>
    <cdr:to>
      <cdr:x>0.86803</cdr:x>
      <cdr:y>0.70794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C9D35A71-87D4-3A89-D14E-E120D4587AF4}"/>
            </a:ext>
          </a:extLst>
        </cdr:cNvPr>
        <cdr:cNvSpPr txBox="1"/>
      </cdr:nvSpPr>
      <cdr:spPr>
        <a:xfrm xmlns:a="http://schemas.openxmlformats.org/drawingml/2006/main" rot="20082774">
          <a:off x="7120465" y="4207933"/>
          <a:ext cx="397933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/>
            <a:t>1.0%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906" cy="62842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A2D4B-B8B0-C0DA-5F3A-7A268D2B20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17</xdr:row>
      <xdr:rowOff>179070</xdr:rowOff>
    </xdr:from>
    <xdr:to>
      <xdr:col>20</xdr:col>
      <xdr:colOff>518160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260D5E-C61A-775B-0FDD-3882A439C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0.11354</cdr:x>
      <cdr:y>0.27684</cdr:y>
    </cdr:from>
    <cdr:to>
      <cdr:x>0.23015</cdr:x>
      <cdr:y>0.36274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64CB997-C376-2EA1-BE4D-4E5A3C76E8DA}"/>
            </a:ext>
          </a:extLst>
        </cdr:cNvPr>
        <cdr:cNvSpPr txBox="1"/>
      </cdr:nvSpPr>
      <cdr:spPr>
        <a:xfrm xmlns:a="http://schemas.openxmlformats.org/drawingml/2006/main">
          <a:off x="751840" y="1064260"/>
          <a:ext cx="77216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kern="1200"/>
            <a:t>Average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lysfo.com/sites/default/files/default/about/Chapter_0_Executive_Summary_Draft_Final_Stand_Alone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af.faa.gov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ysfo.com/about/media/facts-statistics/air-traffic-statistic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flyoak.com/business/facts-figures/" TargetMode="External"/><Relationship Id="rId2" Type="http://schemas.openxmlformats.org/officeDocument/2006/relationships/hyperlink" Target="https://www.iflyoak.com/press_release/oakland-international-airports-passenger-totals-for-2022-soar-to-over-11-million/" TargetMode="External"/><Relationship Id="rId1" Type="http://schemas.openxmlformats.org/officeDocument/2006/relationships/hyperlink" Target="https://www.iflyoak.com/press_release/oakland-international-airport-saw-over-42-percent-jump-in-international-passengers-in-january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ysanjose.com/airport-activity" TargetMode="External"/><Relationship Id="rId2" Type="http://schemas.openxmlformats.org/officeDocument/2006/relationships/hyperlink" Target="https://www.faa.gov/airports/planning_capacity/passenger_allcargo_stats/passenger/previous_years" TargetMode="External"/><Relationship Id="rId1" Type="http://schemas.openxmlformats.org/officeDocument/2006/relationships/hyperlink" Target="https://www.flysanjose.com/airport-activity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sa.gov/travel/passenger-volu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0A4A-1018-4C30-B3AD-40F5D7069FEB}">
  <dimension ref="C2:D12"/>
  <sheetViews>
    <sheetView workbookViewId="0">
      <selection activeCell="D31" sqref="D31"/>
    </sheetView>
  </sheetViews>
  <sheetFormatPr defaultRowHeight="15" x14ac:dyDescent="0.25"/>
  <cols>
    <col min="3" max="3" width="20.7109375" bestFit="1" customWidth="1"/>
    <col min="4" max="4" width="106.140625" bestFit="1" customWidth="1"/>
  </cols>
  <sheetData>
    <row r="2" spans="3:4" x14ac:dyDescent="0.25">
      <c r="C2" s="1" t="s">
        <v>154</v>
      </c>
      <c r="D2" s="1" t="s">
        <v>156</v>
      </c>
    </row>
    <row r="3" spans="3:4" x14ac:dyDescent="0.25">
      <c r="C3" t="s">
        <v>155</v>
      </c>
      <c r="D3" t="s">
        <v>160</v>
      </c>
    </row>
    <row r="4" spans="3:4" x14ac:dyDescent="0.25">
      <c r="C4" t="s">
        <v>158</v>
      </c>
      <c r="D4" t="s">
        <v>159</v>
      </c>
    </row>
    <row r="5" spans="3:4" x14ac:dyDescent="0.25">
      <c r="C5" t="s">
        <v>162</v>
      </c>
      <c r="D5" t="s">
        <v>161</v>
      </c>
    </row>
    <row r="6" spans="3:4" x14ac:dyDescent="0.25">
      <c r="C6" t="s">
        <v>163</v>
      </c>
      <c r="D6" t="s">
        <v>164</v>
      </c>
    </row>
    <row r="7" spans="3:4" x14ac:dyDescent="0.25">
      <c r="C7" t="s">
        <v>165</v>
      </c>
      <c r="D7" t="s">
        <v>168</v>
      </c>
    </row>
    <row r="8" spans="3:4" x14ac:dyDescent="0.25">
      <c r="C8" t="s">
        <v>0</v>
      </c>
      <c r="D8" t="s">
        <v>169</v>
      </c>
    </row>
    <row r="9" spans="3:4" x14ac:dyDescent="0.25">
      <c r="C9" t="s">
        <v>17</v>
      </c>
      <c r="D9" t="s">
        <v>170</v>
      </c>
    </row>
    <row r="10" spans="3:4" x14ac:dyDescent="0.25">
      <c r="C10" t="s">
        <v>18</v>
      </c>
      <c r="D10" t="s">
        <v>171</v>
      </c>
    </row>
    <row r="11" spans="3:4" x14ac:dyDescent="0.25">
      <c r="C11" t="s">
        <v>172</v>
      </c>
      <c r="D11" t="s">
        <v>173</v>
      </c>
    </row>
    <row r="12" spans="3:4" x14ac:dyDescent="0.25">
      <c r="C12" t="s">
        <v>197</v>
      </c>
      <c r="D12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571B-2140-49A8-AB21-30F169BEE60B}">
  <dimension ref="C2:O85"/>
  <sheetViews>
    <sheetView tabSelected="1" topLeftCell="A9" zoomScaleNormal="100" workbookViewId="0">
      <selection activeCell="J30" sqref="J30"/>
    </sheetView>
  </sheetViews>
  <sheetFormatPr defaultRowHeight="15" x14ac:dyDescent="0.25"/>
  <cols>
    <col min="3" max="3" width="14.28515625" customWidth="1"/>
    <col min="4" max="4" width="14" customWidth="1"/>
    <col min="5" max="5" width="13.140625" bestFit="1" customWidth="1"/>
    <col min="6" max="6" width="14.42578125" bestFit="1" customWidth="1"/>
    <col min="7" max="7" width="14.5703125" customWidth="1"/>
    <col min="8" max="8" width="19" customWidth="1"/>
    <col min="9" max="9" width="15.140625" customWidth="1"/>
    <col min="10" max="10" width="8.28515625" customWidth="1"/>
    <col min="11" max="11" width="53.42578125" customWidth="1"/>
    <col min="12" max="12" width="70.5703125" customWidth="1"/>
    <col min="13" max="13" width="13.85546875" customWidth="1"/>
    <col min="14" max="14" width="14" customWidth="1"/>
    <col min="15" max="15" width="19.85546875" customWidth="1"/>
  </cols>
  <sheetData>
    <row r="2" spans="3:15" ht="19.5" thickBot="1" x14ac:dyDescent="0.35">
      <c r="C2" s="74" t="s">
        <v>12</v>
      </c>
    </row>
    <row r="3" spans="3:15" ht="60.75" thickBot="1" x14ac:dyDescent="0.3">
      <c r="C3" s="93" t="s">
        <v>1</v>
      </c>
      <c r="D3" s="127" t="s">
        <v>2</v>
      </c>
      <c r="E3" s="127" t="s">
        <v>13</v>
      </c>
      <c r="F3" s="133" t="s">
        <v>14</v>
      </c>
      <c r="G3" s="129" t="s">
        <v>15</v>
      </c>
      <c r="H3" s="128" t="s">
        <v>16</v>
      </c>
    </row>
    <row r="4" spans="3:15" x14ac:dyDescent="0.25">
      <c r="C4" s="91" t="s">
        <v>0</v>
      </c>
      <c r="D4" s="124">
        <f>SFO!K38</f>
        <v>24979810</v>
      </c>
      <c r="E4" s="125">
        <f>ROUND(SFO!H42,3)</f>
        <v>0.22500000000000001</v>
      </c>
      <c r="F4" s="134">
        <f>ROUND(D4*(1-E4),0)</f>
        <v>19359353</v>
      </c>
      <c r="G4" s="130">
        <f>ROUND(F4/365,0)</f>
        <v>53039</v>
      </c>
      <c r="H4" s="126">
        <f>G4*2</f>
        <v>106078</v>
      </c>
    </row>
    <row r="5" spans="3:15" x14ac:dyDescent="0.25">
      <c r="C5" s="89" t="s">
        <v>17</v>
      </c>
      <c r="D5" s="118">
        <f>OAK!C20</f>
        <v>5611677</v>
      </c>
      <c r="E5" s="120">
        <f>ROUND(OAK!I20,3)</f>
        <v>0.158</v>
      </c>
      <c r="F5" s="116">
        <f>ROUND(D5*(1-E5),0)</f>
        <v>4725032</v>
      </c>
      <c r="G5" s="131">
        <f>ROUND(F5/365,0)</f>
        <v>12945</v>
      </c>
      <c r="H5" s="122">
        <f>G5*2</f>
        <v>25890</v>
      </c>
    </row>
    <row r="6" spans="3:15" ht="15.75" thickBot="1" x14ac:dyDescent="0.3">
      <c r="C6" s="90" t="s">
        <v>18</v>
      </c>
      <c r="D6" s="119">
        <f>SJC!G14</f>
        <v>6052435</v>
      </c>
      <c r="E6" s="121">
        <f>SJC!G18</f>
        <v>9.828407905248053E-2</v>
      </c>
      <c r="F6" s="117">
        <f>ROUND(D6*(1-E6),0)</f>
        <v>5457577</v>
      </c>
      <c r="G6" s="132">
        <f>ROUND(F6/365,0)</f>
        <v>14952</v>
      </c>
      <c r="H6" s="123">
        <f>G6*2</f>
        <v>29904</v>
      </c>
    </row>
    <row r="7" spans="3:15" ht="18.75" x14ac:dyDescent="0.3">
      <c r="J7" s="74" t="s">
        <v>32</v>
      </c>
    </row>
    <row r="8" spans="3:15" ht="60" x14ac:dyDescent="0.25">
      <c r="J8" s="54" t="s">
        <v>1</v>
      </c>
      <c r="K8" s="43" t="s">
        <v>2</v>
      </c>
      <c r="L8" s="43" t="s">
        <v>13</v>
      </c>
      <c r="M8" s="43" t="s">
        <v>14</v>
      </c>
      <c r="N8" s="43" t="s">
        <v>15</v>
      </c>
      <c r="O8" s="50" t="s">
        <v>16</v>
      </c>
    </row>
    <row r="9" spans="3:15" ht="59.45" customHeight="1" x14ac:dyDescent="0.25">
      <c r="J9" s="55" t="s">
        <v>0</v>
      </c>
      <c r="K9" s="153" t="s">
        <v>35</v>
      </c>
      <c r="L9" s="53" t="s">
        <v>36</v>
      </c>
      <c r="M9" s="153" t="s">
        <v>33</v>
      </c>
      <c r="N9" s="153" t="s">
        <v>245</v>
      </c>
      <c r="O9" s="158" t="s">
        <v>246</v>
      </c>
    </row>
    <row r="10" spans="3:15" ht="45" customHeight="1" x14ac:dyDescent="0.25">
      <c r="J10" s="55" t="s">
        <v>17</v>
      </c>
      <c r="K10" s="154"/>
      <c r="L10" s="57" t="s">
        <v>37</v>
      </c>
      <c r="M10" s="156"/>
      <c r="N10" s="156"/>
      <c r="O10" s="159"/>
    </row>
    <row r="11" spans="3:15" ht="24" customHeight="1" x14ac:dyDescent="0.25">
      <c r="J11" s="55" t="s">
        <v>18</v>
      </c>
      <c r="K11" s="155"/>
      <c r="L11" s="58" t="s">
        <v>34</v>
      </c>
      <c r="M11" s="157"/>
      <c r="N11" s="157"/>
      <c r="O11" s="160"/>
    </row>
    <row r="12" spans="3:15" ht="19.5" thickBot="1" x14ac:dyDescent="0.35">
      <c r="C12" s="74" t="s">
        <v>136</v>
      </c>
      <c r="J12" s="79"/>
      <c r="K12" s="80"/>
      <c r="L12" s="81"/>
      <c r="M12" s="82"/>
      <c r="N12" s="82"/>
    </row>
    <row r="13" spans="3:15" ht="60.75" thickBot="1" x14ac:dyDescent="0.3">
      <c r="C13" s="93" t="s">
        <v>1</v>
      </c>
      <c r="D13" s="127" t="s">
        <v>2</v>
      </c>
      <c r="E13" s="127" t="s">
        <v>13</v>
      </c>
      <c r="F13" s="127" t="s">
        <v>14</v>
      </c>
      <c r="G13" s="127" t="s">
        <v>15</v>
      </c>
      <c r="H13" s="128" t="s">
        <v>16</v>
      </c>
      <c r="J13" s="79"/>
      <c r="K13" s="80"/>
      <c r="L13" s="81"/>
      <c r="M13" s="82"/>
      <c r="N13" s="82"/>
    </row>
    <row r="14" spans="3:15" ht="15.75" customHeight="1" x14ac:dyDescent="0.25">
      <c r="C14" s="91" t="s">
        <v>0</v>
      </c>
      <c r="D14" s="124">
        <f>D50*1000000/2</f>
        <v>35535000</v>
      </c>
      <c r="E14" s="125">
        <f>E4</f>
        <v>0.22500000000000001</v>
      </c>
      <c r="F14" s="124">
        <f>ROUND(D14*(1-E14),0)</f>
        <v>27539625</v>
      </c>
      <c r="G14" s="124">
        <f>ROUND(F14/365,0)</f>
        <v>75451</v>
      </c>
      <c r="H14" s="126">
        <f>G14*2</f>
        <v>150902</v>
      </c>
      <c r="K14" s="80"/>
      <c r="M14" s="82"/>
      <c r="N14" s="82"/>
    </row>
    <row r="15" spans="3:15" ht="15.75" customHeight="1" x14ac:dyDescent="0.25">
      <c r="C15" s="89" t="s">
        <v>17</v>
      </c>
      <c r="D15" s="118">
        <f>D39</f>
        <v>9685616</v>
      </c>
      <c r="E15" s="120">
        <f>E5</f>
        <v>0.158</v>
      </c>
      <c r="F15" s="118">
        <f>ROUND(D15*(1-E15),0)</f>
        <v>8155289</v>
      </c>
      <c r="G15" s="118">
        <f>ROUND(F15/365,0)</f>
        <v>22343</v>
      </c>
      <c r="H15" s="122">
        <f>G15*2</f>
        <v>44686</v>
      </c>
      <c r="K15" s="80"/>
      <c r="M15" s="82"/>
      <c r="N15" s="82"/>
    </row>
    <row r="16" spans="3:15" ht="15.75" customHeight="1" thickBot="1" x14ac:dyDescent="0.3">
      <c r="C16" s="90" t="s">
        <v>18</v>
      </c>
      <c r="D16" s="119">
        <f>D40</f>
        <v>10426606</v>
      </c>
      <c r="E16" s="121">
        <f>SJC!E18</f>
        <v>5.1150939777450069E-2</v>
      </c>
      <c r="F16" s="119">
        <f>ROUND(D16*(1-E16),0)</f>
        <v>9893275</v>
      </c>
      <c r="G16" s="119">
        <f>ROUND(F16/365,0)</f>
        <v>27105</v>
      </c>
      <c r="H16" s="123">
        <f>G16*2</f>
        <v>54210</v>
      </c>
      <c r="K16" s="80"/>
      <c r="L16" s="81"/>
      <c r="M16" s="82"/>
      <c r="N16" s="82"/>
    </row>
    <row r="17" spans="3:14" ht="18.75" x14ac:dyDescent="0.3">
      <c r="J17" s="74" t="s">
        <v>137</v>
      </c>
      <c r="M17" s="82"/>
      <c r="N17" s="82"/>
    </row>
    <row r="18" spans="3:14" ht="15.75" thickBot="1" x14ac:dyDescent="0.3">
      <c r="J18" s="42" t="s">
        <v>1</v>
      </c>
      <c r="K18" s="43" t="s">
        <v>2</v>
      </c>
      <c r="L18" s="43" t="s">
        <v>13</v>
      </c>
      <c r="M18" s="82"/>
      <c r="N18" s="82"/>
    </row>
    <row r="19" spans="3:14" ht="30.6" customHeight="1" thickBot="1" x14ac:dyDescent="0.3">
      <c r="C19" s="93" t="s">
        <v>1</v>
      </c>
      <c r="D19" s="94" t="s">
        <v>149</v>
      </c>
      <c r="E19" s="94" t="s">
        <v>144</v>
      </c>
      <c r="F19" s="94" t="s">
        <v>141</v>
      </c>
      <c r="G19" s="97" t="s">
        <v>134</v>
      </c>
      <c r="J19" s="44" t="s">
        <v>0</v>
      </c>
      <c r="K19" s="83" t="s">
        <v>138</v>
      </c>
      <c r="L19" s="140" t="s">
        <v>139</v>
      </c>
      <c r="M19" s="82"/>
      <c r="N19" s="82"/>
    </row>
    <row r="20" spans="3:14" ht="15.75" customHeight="1" x14ac:dyDescent="0.25">
      <c r="C20" s="91" t="s">
        <v>0</v>
      </c>
      <c r="D20" s="92">
        <f>Enplanements_by_Year!D6/Enplanements_by_Year!D4-1</f>
        <v>0.41849938328955938</v>
      </c>
      <c r="E20" s="92">
        <f>D14/SFO!K34-1</f>
        <v>0.23966202630371991</v>
      </c>
      <c r="F20" s="92">
        <f>D14/D4-1</f>
        <v>0.42254885045162482</v>
      </c>
      <c r="G20" s="98">
        <f>D14/(D52/2)-1</f>
        <v>0.30399812761501432</v>
      </c>
      <c r="J20" s="44" t="s">
        <v>17</v>
      </c>
      <c r="K20" s="153" t="s">
        <v>166</v>
      </c>
      <c r="L20" s="46" t="s">
        <v>139</v>
      </c>
      <c r="M20" s="82"/>
      <c r="N20" s="82"/>
    </row>
    <row r="21" spans="3:14" ht="15.75" customHeight="1" x14ac:dyDescent="0.25">
      <c r="C21" s="89" t="s">
        <v>17</v>
      </c>
      <c r="D21" s="87">
        <f>Enplanements_by_Year!E6/Enplanements_by_Year!E4-1</f>
        <v>0.28731262933105683</v>
      </c>
      <c r="E21" s="87">
        <f>D15/OAK!C16-1</f>
        <v>0.44789270638857537</v>
      </c>
      <c r="F21" s="87">
        <f>D15/D5-1</f>
        <v>0.72597531896436673</v>
      </c>
      <c r="G21" s="99">
        <f>D15/D65-1</f>
        <v>1.1076626126390785</v>
      </c>
      <c r="J21" s="44" t="s">
        <v>18</v>
      </c>
      <c r="K21" s="157"/>
      <c r="L21" s="46" t="s">
        <v>140</v>
      </c>
      <c r="M21" s="82"/>
      <c r="N21" s="82"/>
    </row>
    <row r="22" spans="3:14" ht="15.75" customHeight="1" thickBot="1" x14ac:dyDescent="0.3">
      <c r="C22" s="90" t="s">
        <v>18</v>
      </c>
      <c r="D22" s="88">
        <f>Enplanements_by_Year!F6/Enplanements_by_Year!F4-1</f>
        <v>0.24597626338976641</v>
      </c>
      <c r="E22" s="88">
        <f>D16/SJC!I14-1</f>
        <v>0.35619144886833665</v>
      </c>
      <c r="F22" s="88">
        <f>D16/D6-1</f>
        <v>0.72271259418729827</v>
      </c>
      <c r="G22" s="100">
        <f>D16/H79-1</f>
        <v>0.95672448420805312</v>
      </c>
      <c r="J22" s="79"/>
      <c r="K22" s="80"/>
      <c r="L22" s="81"/>
      <c r="M22" s="82"/>
      <c r="N22" s="82"/>
    </row>
    <row r="23" spans="3:14" ht="15.75" customHeight="1" thickBot="1" x14ac:dyDescent="0.3">
      <c r="J23" s="79"/>
      <c r="K23" s="80"/>
      <c r="L23" s="81"/>
      <c r="M23" s="82"/>
      <c r="N23" s="82"/>
    </row>
    <row r="24" spans="3:14" ht="30.75" thickBot="1" x14ac:dyDescent="0.3">
      <c r="C24" s="93" t="s">
        <v>1</v>
      </c>
      <c r="D24" s="95" t="s">
        <v>150</v>
      </c>
      <c r="E24" s="95" t="s">
        <v>148</v>
      </c>
      <c r="F24" s="95" t="s">
        <v>142</v>
      </c>
      <c r="G24" s="95" t="s">
        <v>135</v>
      </c>
      <c r="K24" s="80"/>
      <c r="L24" s="81"/>
      <c r="M24" s="82"/>
      <c r="N24" s="82"/>
    </row>
    <row r="25" spans="3:14" ht="15.75" customHeight="1" x14ac:dyDescent="0.25">
      <c r="C25" s="91" t="s">
        <v>0</v>
      </c>
      <c r="D25" s="101">
        <f>(Enplanements_by_Year!D6/Enplanements_by_Year!D4)^(1/19)-1</f>
        <v>1.8570298411160424E-2</v>
      </c>
      <c r="E25" s="104">
        <f>(D14/SFO!K34)^(1/31)-1</f>
        <v>6.9543533089426735E-3</v>
      </c>
      <c r="F25" s="104">
        <f>(D14/D4)^(1/27)-1</f>
        <v>1.3139283774253441E-2</v>
      </c>
      <c r="G25" s="104">
        <f>(D14/(D52/2))^(1/25)-1</f>
        <v>1.0673965720614964E-2</v>
      </c>
      <c r="J25" s="110" t="s">
        <v>243</v>
      </c>
      <c r="K25" s="80"/>
      <c r="L25" s="81"/>
      <c r="M25" s="82"/>
      <c r="N25" s="82"/>
    </row>
    <row r="26" spans="3:14" ht="15.75" customHeight="1" x14ac:dyDescent="0.25">
      <c r="C26" s="89" t="s">
        <v>17</v>
      </c>
      <c r="D26" s="102">
        <f>(Enplanements_by_Year!E6/Enplanements_by_Year!E4)^(1/19)-1</f>
        <v>1.3381201349128569E-2</v>
      </c>
      <c r="E26" s="105">
        <f>(D15/OAK!C16)^(1/31)-1</f>
        <v>1.201056065367867E-2</v>
      </c>
      <c r="F26" s="105">
        <f>(D15/D5)^(1/27)-1</f>
        <v>2.0420226655918583E-2</v>
      </c>
      <c r="G26" s="105">
        <f>(D15/D65)^(1/25)-1</f>
        <v>3.0272347849246595E-2</v>
      </c>
      <c r="J26" s="84" t="s">
        <v>153</v>
      </c>
      <c r="K26" s="80"/>
      <c r="L26" s="81"/>
      <c r="M26" s="82"/>
      <c r="N26" s="82"/>
    </row>
    <row r="27" spans="3:14" ht="15.75" customHeight="1" thickBot="1" x14ac:dyDescent="0.3">
      <c r="C27" s="90" t="s">
        <v>18</v>
      </c>
      <c r="D27" s="103">
        <f>(Enplanements_by_Year!F6/Enplanements_by_Year!F4)^(1/19)-1</f>
        <v>1.16419497641429E-2</v>
      </c>
      <c r="E27" s="106">
        <f>(D16/SJC!I14)^(1/31)-1</f>
        <v>9.8768562393785064E-3</v>
      </c>
      <c r="F27" s="106">
        <f>(D16/D6)^(1/27)-1</f>
        <v>2.034871830740248E-2</v>
      </c>
      <c r="G27" s="106">
        <f>(D16/H79)^(1/25)-1</f>
        <v>2.721460873254089E-2</v>
      </c>
      <c r="J27" s="84" t="s">
        <v>176</v>
      </c>
      <c r="K27" s="80"/>
      <c r="L27" s="81"/>
      <c r="M27" s="82"/>
      <c r="N27" s="82"/>
    </row>
    <row r="28" spans="3:14" ht="15.75" customHeight="1" x14ac:dyDescent="0.25">
      <c r="J28" s="85" t="s">
        <v>175</v>
      </c>
      <c r="K28" s="80"/>
      <c r="L28" s="81"/>
      <c r="M28" s="82"/>
      <c r="N28" s="82"/>
    </row>
    <row r="29" spans="3:14" ht="15.75" customHeight="1" x14ac:dyDescent="0.25">
      <c r="J29" s="109" t="s">
        <v>174</v>
      </c>
      <c r="K29" s="80"/>
      <c r="L29" s="81"/>
      <c r="M29" s="82"/>
      <c r="N29" s="82"/>
    </row>
    <row r="30" spans="3:14" ht="15.75" customHeight="1" x14ac:dyDescent="0.25">
      <c r="J30" s="84"/>
      <c r="K30" s="80"/>
      <c r="L30" s="81"/>
      <c r="M30" s="82"/>
      <c r="N30" s="82"/>
    </row>
    <row r="31" spans="3:14" ht="15.75" customHeight="1" x14ac:dyDescent="0.25">
      <c r="J31" s="84"/>
      <c r="K31" s="80"/>
      <c r="L31" s="81"/>
      <c r="M31" s="82"/>
      <c r="N31" s="82"/>
    </row>
    <row r="32" spans="3:14" ht="15.75" customHeight="1" x14ac:dyDescent="0.25">
      <c r="J32" s="84"/>
      <c r="K32" s="80"/>
      <c r="L32" s="81"/>
      <c r="M32" s="82"/>
      <c r="N32" s="82"/>
    </row>
    <row r="33" spans="3:14" ht="15.75" customHeight="1" x14ac:dyDescent="0.25">
      <c r="J33" s="84"/>
      <c r="K33" s="80"/>
      <c r="L33" s="81"/>
      <c r="M33" s="82"/>
      <c r="N33" s="82"/>
    </row>
    <row r="34" spans="3:14" ht="15.75" customHeight="1" x14ac:dyDescent="0.25">
      <c r="J34" s="84"/>
      <c r="K34" s="80"/>
      <c r="L34" s="81"/>
      <c r="M34" s="82"/>
      <c r="N34" s="82"/>
    </row>
    <row r="35" spans="3:14" ht="15.75" customHeight="1" x14ac:dyDescent="0.25">
      <c r="J35" s="84"/>
      <c r="K35" s="80"/>
      <c r="L35" s="81"/>
      <c r="M35" s="82"/>
      <c r="N35" s="82"/>
    </row>
    <row r="36" spans="3:14" ht="18.75" x14ac:dyDescent="0.3">
      <c r="C36" s="74" t="s">
        <v>94</v>
      </c>
      <c r="G36" s="1" t="s">
        <v>194</v>
      </c>
      <c r="H36" t="s">
        <v>231</v>
      </c>
    </row>
    <row r="37" spans="3:14" ht="45" x14ac:dyDescent="0.25">
      <c r="C37" s="42" t="s">
        <v>1</v>
      </c>
      <c r="D37" s="43" t="s">
        <v>2</v>
      </c>
      <c r="E37" s="43" t="s">
        <v>104</v>
      </c>
    </row>
    <row r="38" spans="3:14" x14ac:dyDescent="0.25">
      <c r="C38" s="44" t="s">
        <v>0</v>
      </c>
      <c r="D38" s="45">
        <f>FAA_TAF!D210</f>
        <v>48985793</v>
      </c>
      <c r="E38" s="70">
        <f>FAA_TAF!M210</f>
        <v>706246</v>
      </c>
    </row>
    <row r="39" spans="3:14" x14ac:dyDescent="0.25">
      <c r="C39" s="44" t="s">
        <v>17</v>
      </c>
      <c r="D39" s="45">
        <f>FAA_TAF!D110</f>
        <v>9685616</v>
      </c>
      <c r="E39" s="70">
        <f>FAA_TAF!M110</f>
        <v>311354</v>
      </c>
      <c r="L39" s="56"/>
    </row>
    <row r="40" spans="3:14" x14ac:dyDescent="0.25">
      <c r="C40" s="44" t="s">
        <v>18</v>
      </c>
      <c r="D40" s="45">
        <f>FAA_TAF!D310</f>
        <v>10426606</v>
      </c>
      <c r="E40" s="70">
        <f>FAA_TAF!M310</f>
        <v>249111</v>
      </c>
    </row>
    <row r="43" spans="3:14" ht="18.75" x14ac:dyDescent="0.3">
      <c r="C43" s="74" t="s">
        <v>109</v>
      </c>
    </row>
    <row r="44" spans="3:14" x14ac:dyDescent="0.25">
      <c r="C44" s="1" t="s">
        <v>220</v>
      </c>
      <c r="G44" s="1" t="s">
        <v>194</v>
      </c>
      <c r="H44" s="135" t="s">
        <v>110</v>
      </c>
    </row>
    <row r="45" spans="3:14" ht="60" x14ac:dyDescent="0.25">
      <c r="C45" s="72" t="s">
        <v>111</v>
      </c>
      <c r="D45" s="72" t="s">
        <v>112</v>
      </c>
      <c r="E45" s="72" t="s">
        <v>113</v>
      </c>
      <c r="F45" s="72" t="s">
        <v>114</v>
      </c>
    </row>
    <row r="46" spans="3:14" x14ac:dyDescent="0.25">
      <c r="C46" s="73" t="s">
        <v>117</v>
      </c>
      <c r="D46" s="44">
        <v>44.84</v>
      </c>
      <c r="E46" s="45">
        <v>386400</v>
      </c>
      <c r="F46" s="45">
        <v>421400</v>
      </c>
    </row>
    <row r="47" spans="3:14" x14ac:dyDescent="0.25">
      <c r="C47" s="44">
        <v>2018</v>
      </c>
      <c r="D47" s="44">
        <v>50.48</v>
      </c>
      <c r="E47" s="45">
        <v>407800</v>
      </c>
      <c r="F47" s="45">
        <v>446100</v>
      </c>
    </row>
    <row r="48" spans="3:14" x14ac:dyDescent="0.25">
      <c r="C48" s="44">
        <v>2023</v>
      </c>
      <c r="D48" s="44">
        <v>57.66</v>
      </c>
      <c r="E48" s="45">
        <v>451900</v>
      </c>
      <c r="F48" s="45">
        <v>494500</v>
      </c>
    </row>
    <row r="49" spans="3:8" x14ac:dyDescent="0.25">
      <c r="C49" s="44" t="s">
        <v>115</v>
      </c>
      <c r="D49" s="44">
        <v>62.22</v>
      </c>
      <c r="E49" s="45">
        <v>455400</v>
      </c>
      <c r="F49" s="45">
        <v>498900</v>
      </c>
    </row>
    <row r="50" spans="3:8" x14ac:dyDescent="0.25">
      <c r="C50" s="44" t="s">
        <v>116</v>
      </c>
      <c r="D50" s="44">
        <v>71.069999999999993</v>
      </c>
      <c r="E50" s="45">
        <v>463100</v>
      </c>
      <c r="F50" s="45">
        <v>506600</v>
      </c>
    </row>
    <row r="51" spans="3:8" x14ac:dyDescent="0.25">
      <c r="C51" s="1" t="s">
        <v>132</v>
      </c>
      <c r="D51" s="48">
        <f>SFO!K38*2</f>
        <v>49959620</v>
      </c>
      <c r="E51" s="48"/>
      <c r="F51" s="111">
        <f>SFO!C72</f>
        <v>384871</v>
      </c>
    </row>
    <row r="52" spans="3:8" x14ac:dyDescent="0.25">
      <c r="C52" s="1" t="s">
        <v>122</v>
      </c>
      <c r="D52" s="48">
        <f>SFO!K40*2</f>
        <v>54501612</v>
      </c>
      <c r="E52" s="48"/>
      <c r="F52" s="111">
        <f>SFO!C74</f>
        <v>416288</v>
      </c>
      <c r="G52" s="96" t="s">
        <v>143</v>
      </c>
      <c r="H52" s="86">
        <f>(D52/(SFO!K34*2))-1</f>
        <v>-4.9337571848330652E-2</v>
      </c>
    </row>
    <row r="55" spans="3:8" ht="18.75" x14ac:dyDescent="0.3">
      <c r="C55" s="74" t="s">
        <v>106</v>
      </c>
    </row>
    <row r="56" spans="3:8" ht="30" x14ac:dyDescent="0.25">
      <c r="C56" s="56" t="s">
        <v>107</v>
      </c>
      <c r="D56" s="139">
        <f>24700000/2</f>
        <v>12350000</v>
      </c>
      <c r="G56" s="136" t="s">
        <v>194</v>
      </c>
      <c r="H56" s="138" t="s">
        <v>108</v>
      </c>
    </row>
    <row r="57" spans="3:8" x14ac:dyDescent="0.25">
      <c r="C57" s="56"/>
      <c r="D57" s="64"/>
    </row>
    <row r="58" spans="3:8" ht="43.9" customHeight="1" x14ac:dyDescent="0.25">
      <c r="C58" s="151" t="s">
        <v>221</v>
      </c>
      <c r="D58" s="151"/>
      <c r="E58" s="151"/>
      <c r="F58" s="151"/>
      <c r="G58" s="136" t="s">
        <v>194</v>
      </c>
      <c r="H58" s="138" t="s">
        <v>222</v>
      </c>
    </row>
    <row r="59" spans="3:8" ht="30.75" customHeight="1" x14ac:dyDescent="0.25">
      <c r="C59" s="75" t="s">
        <v>4</v>
      </c>
      <c r="D59" s="75" t="s">
        <v>2</v>
      </c>
    </row>
    <row r="60" spans="3:8" x14ac:dyDescent="0.25">
      <c r="C60" s="73">
        <v>2019</v>
      </c>
      <c r="D60" s="70">
        <v>6689457</v>
      </c>
    </row>
    <row r="61" spans="3:8" x14ac:dyDescent="0.25">
      <c r="C61" s="73">
        <v>2020</v>
      </c>
      <c r="D61" s="70">
        <v>2306666</v>
      </c>
    </row>
    <row r="62" spans="3:8" x14ac:dyDescent="0.25">
      <c r="C62" s="73">
        <v>2021</v>
      </c>
      <c r="D62" s="70">
        <v>4083962</v>
      </c>
    </row>
    <row r="63" spans="3:8" x14ac:dyDescent="0.25">
      <c r="C63" s="73" t="s">
        <v>126</v>
      </c>
      <c r="D63" s="70">
        <v>8792855</v>
      </c>
    </row>
    <row r="64" spans="3:8" x14ac:dyDescent="0.25">
      <c r="C64" s="73" t="s">
        <v>127</v>
      </c>
      <c r="D64" s="70">
        <v>12342518</v>
      </c>
    </row>
    <row r="65" spans="3:11" x14ac:dyDescent="0.25">
      <c r="C65" s="1" t="s">
        <v>122</v>
      </c>
      <c r="D65" s="48">
        <f>OAK!C22</f>
        <v>4595430</v>
      </c>
      <c r="E65" s="96" t="s">
        <v>143</v>
      </c>
      <c r="F65" s="86">
        <f>(D65/OAK!C16)-1</f>
        <v>-0.31303392786589401</v>
      </c>
    </row>
    <row r="66" spans="3:11" x14ac:dyDescent="0.25">
      <c r="C66" s="56"/>
      <c r="D66" s="2"/>
    </row>
    <row r="68" spans="3:11" ht="18.75" x14ac:dyDescent="0.3">
      <c r="C68" s="74" t="s">
        <v>121</v>
      </c>
    </row>
    <row r="69" spans="3:11" x14ac:dyDescent="0.25">
      <c r="C69" s="1" t="s">
        <v>223</v>
      </c>
      <c r="G69" s="1" t="s">
        <v>194</v>
      </c>
      <c r="H69" s="135" t="s">
        <v>224</v>
      </c>
    </row>
    <row r="70" spans="3:11" x14ac:dyDescent="0.25">
      <c r="C70" t="s">
        <v>227</v>
      </c>
    </row>
    <row r="72" spans="3:11" x14ac:dyDescent="0.25">
      <c r="C72" s="1" t="s">
        <v>123</v>
      </c>
      <c r="G72" s="1" t="s">
        <v>124</v>
      </c>
    </row>
    <row r="73" spans="3:11" ht="60" x14ac:dyDescent="0.25">
      <c r="C73" s="72" t="s">
        <v>4</v>
      </c>
      <c r="D73" s="72" t="s">
        <v>119</v>
      </c>
      <c r="E73" s="72" t="s">
        <v>120</v>
      </c>
      <c r="G73" s="72" t="s">
        <v>4</v>
      </c>
      <c r="H73" s="72" t="s">
        <v>119</v>
      </c>
      <c r="I73" s="72" t="s">
        <v>120</v>
      </c>
    </row>
    <row r="74" spans="3:11" x14ac:dyDescent="0.25">
      <c r="C74" s="44" t="s">
        <v>128</v>
      </c>
      <c r="D74" s="70">
        <v>6578241</v>
      </c>
      <c r="E74" s="70">
        <v>13156483</v>
      </c>
      <c r="F74" s="2"/>
      <c r="G74" s="44" t="s">
        <v>128</v>
      </c>
      <c r="H74" s="70">
        <v>6854325</v>
      </c>
      <c r="I74" s="70">
        <v>13708650</v>
      </c>
      <c r="J74" s="2"/>
      <c r="K74" s="2"/>
    </row>
    <row r="75" spans="3:11" x14ac:dyDescent="0.25">
      <c r="C75" s="44" t="s">
        <v>129</v>
      </c>
      <c r="D75" s="70">
        <v>7230213</v>
      </c>
      <c r="E75" s="70">
        <v>14460426</v>
      </c>
      <c r="F75" s="2"/>
      <c r="G75" s="44" t="s">
        <v>129</v>
      </c>
      <c r="H75" s="70">
        <v>7847623</v>
      </c>
      <c r="I75" s="70">
        <v>15695246</v>
      </c>
      <c r="J75" s="2"/>
      <c r="K75" s="2"/>
    </row>
    <row r="76" spans="3:11" x14ac:dyDescent="0.25">
      <c r="C76" s="44" t="s">
        <v>130</v>
      </c>
      <c r="D76" s="70">
        <v>8082297</v>
      </c>
      <c r="E76" s="70">
        <v>16164593</v>
      </c>
      <c r="F76" s="2"/>
      <c r="G76" s="44" t="s">
        <v>130</v>
      </c>
      <c r="H76" s="70">
        <v>9053079</v>
      </c>
      <c r="I76" s="70">
        <v>18106158</v>
      </c>
      <c r="J76" s="2"/>
      <c r="K76" s="2"/>
    </row>
    <row r="77" spans="3:11" x14ac:dyDescent="0.25">
      <c r="C77" s="44" t="s">
        <v>131</v>
      </c>
      <c r="D77" s="70">
        <v>8970008</v>
      </c>
      <c r="E77" s="70">
        <v>17940016</v>
      </c>
      <c r="F77" s="2"/>
      <c r="G77" s="44" t="s">
        <v>131</v>
      </c>
      <c r="H77" s="70">
        <v>11266037</v>
      </c>
      <c r="I77" s="70">
        <v>22532074</v>
      </c>
      <c r="J77" s="78">
        <f>(H77/H75)^(1/10)-1</f>
        <v>3.6819852331933189E-2</v>
      </c>
    </row>
    <row r="78" spans="3:11" x14ac:dyDescent="0.25">
      <c r="C78" s="1" t="s">
        <v>133</v>
      </c>
      <c r="D78" s="48">
        <f>SJC!H14</f>
        <v>5673751</v>
      </c>
      <c r="E78" s="48">
        <f>SJC!H16</f>
        <v>11333723</v>
      </c>
      <c r="G78" s="1" t="s">
        <v>133</v>
      </c>
      <c r="H78" s="48">
        <f>D78</f>
        <v>5673751</v>
      </c>
      <c r="I78" s="48">
        <f>E78</f>
        <v>11333723</v>
      </c>
    </row>
    <row r="79" spans="3:11" x14ac:dyDescent="0.25">
      <c r="C79" s="1" t="s">
        <v>122</v>
      </c>
      <c r="D79" s="48">
        <f>SJC!E14</f>
        <v>5328602</v>
      </c>
      <c r="E79" s="48">
        <f>SJC!E16</f>
        <v>10675167</v>
      </c>
      <c r="G79" s="1" t="s">
        <v>122</v>
      </c>
      <c r="H79" s="48">
        <f>D79</f>
        <v>5328602</v>
      </c>
      <c r="I79" s="48">
        <f>E79</f>
        <v>10675167</v>
      </c>
      <c r="J79" t="s">
        <v>143</v>
      </c>
      <c r="K79" s="86">
        <f>H79/SJC!I14-1</f>
        <v>-0.30690730360169782</v>
      </c>
    </row>
    <row r="80" spans="3:11" x14ac:dyDescent="0.25">
      <c r="C80" s="1"/>
      <c r="D80" s="48"/>
      <c r="E80" s="48"/>
      <c r="G80" s="1"/>
      <c r="H80" s="48"/>
      <c r="I80" s="48"/>
      <c r="K80" s="86"/>
    </row>
    <row r="81" spans="3:11" x14ac:dyDescent="0.25">
      <c r="C81" s="1"/>
      <c r="D81" s="48"/>
      <c r="E81" s="48"/>
      <c r="G81" s="1"/>
      <c r="H81" s="48"/>
      <c r="I81" s="48"/>
      <c r="K81" s="86"/>
    </row>
    <row r="82" spans="3:11" x14ac:dyDescent="0.25">
      <c r="C82" s="1" t="s">
        <v>228</v>
      </c>
      <c r="G82" s="1" t="s">
        <v>244</v>
      </c>
    </row>
    <row r="83" spans="3:11" ht="42.6" customHeight="1" x14ac:dyDescent="0.25">
      <c r="C83" s="152" t="s">
        <v>118</v>
      </c>
      <c r="D83" s="152"/>
      <c r="E83" s="152"/>
      <c r="F83" s="152"/>
      <c r="G83" s="136" t="s">
        <v>194</v>
      </c>
      <c r="H83" s="137" t="s">
        <v>230</v>
      </c>
    </row>
    <row r="84" spans="3:11" ht="27.6" customHeight="1" x14ac:dyDescent="0.25">
      <c r="C84" s="152" t="s">
        <v>125</v>
      </c>
      <c r="D84" s="152"/>
      <c r="E84" s="152"/>
      <c r="F84" s="152"/>
      <c r="G84" s="136" t="s">
        <v>194</v>
      </c>
      <c r="H84" s="137" t="s">
        <v>229</v>
      </c>
    </row>
    <row r="85" spans="3:11" ht="28.15" customHeight="1" x14ac:dyDescent="0.25">
      <c r="C85" s="152" t="s">
        <v>225</v>
      </c>
      <c r="D85" s="152"/>
      <c r="E85" s="152"/>
      <c r="F85" s="152"/>
      <c r="G85" s="136" t="s">
        <v>194</v>
      </c>
      <c r="H85" s="137" t="s">
        <v>226</v>
      </c>
    </row>
  </sheetData>
  <mergeCells count="9">
    <mergeCell ref="M9:M11"/>
    <mergeCell ref="N9:N11"/>
    <mergeCell ref="O9:O11"/>
    <mergeCell ref="K20:K21"/>
    <mergeCell ref="C58:F58"/>
    <mergeCell ref="C83:F83"/>
    <mergeCell ref="C84:F84"/>
    <mergeCell ref="C85:F85"/>
    <mergeCell ref="K9:K11"/>
  </mergeCells>
  <hyperlinks>
    <hyperlink ref="H44" r:id="rId1" xr:uid="{07E69A34-3820-4C13-938D-D0A2DA5A24E7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A576-DAB4-4A56-9965-2A3E407EA6BC}">
  <dimension ref="B2:I32"/>
  <sheetViews>
    <sheetView workbookViewId="0">
      <selection activeCell="J13" sqref="J13"/>
    </sheetView>
  </sheetViews>
  <sheetFormatPr defaultRowHeight="15" x14ac:dyDescent="0.25"/>
  <cols>
    <col min="4" max="4" width="11.28515625" bestFit="1" customWidth="1"/>
    <col min="5" max="5" width="12.7109375" bestFit="1" customWidth="1"/>
    <col min="6" max="6" width="13.85546875" bestFit="1" customWidth="1"/>
  </cols>
  <sheetData>
    <row r="2" spans="2:9" x14ac:dyDescent="0.25">
      <c r="C2" s="17" t="s">
        <v>145</v>
      </c>
    </row>
    <row r="3" spans="2:9" x14ac:dyDescent="0.25">
      <c r="C3" s="1" t="s">
        <v>4</v>
      </c>
      <c r="D3" s="1" t="s">
        <v>0</v>
      </c>
      <c r="E3" s="1" t="s">
        <v>17</v>
      </c>
      <c r="F3" s="1" t="s">
        <v>18</v>
      </c>
    </row>
    <row r="4" spans="2:9" x14ac:dyDescent="0.25">
      <c r="B4" t="s">
        <v>147</v>
      </c>
      <c r="C4">
        <v>2000</v>
      </c>
      <c r="D4" s="2">
        <f>SFO!K15</f>
        <v>20208025</v>
      </c>
      <c r="E4" s="64">
        <f>OAK!C4</f>
        <v>5196451</v>
      </c>
      <c r="F4" s="2">
        <f>SJC!K14</f>
        <v>6170384</v>
      </c>
    </row>
    <row r="5" spans="2:9" x14ac:dyDescent="0.25">
      <c r="B5" t="s">
        <v>147</v>
      </c>
      <c r="C5">
        <v>2010</v>
      </c>
      <c r="D5" s="2">
        <f>SFO!K25</f>
        <v>19539692</v>
      </c>
      <c r="E5" s="64">
        <f>OAK!C7</f>
        <v>4769915</v>
      </c>
      <c r="F5" s="2">
        <f>SJC!J14</f>
        <v>4056167</v>
      </c>
    </row>
    <row r="6" spans="2:9" x14ac:dyDescent="0.25">
      <c r="B6" t="s">
        <v>147</v>
      </c>
      <c r="C6">
        <v>2019</v>
      </c>
      <c r="D6" s="2">
        <f>SFO!K34</f>
        <v>28665071</v>
      </c>
      <c r="E6" s="64">
        <f>OAK!C16</f>
        <v>6689457</v>
      </c>
      <c r="F6" s="2">
        <f>SJC!I14</f>
        <v>7688152</v>
      </c>
      <c r="G6" s="40">
        <f>D6/D4-1</f>
        <v>0.41849938328955938</v>
      </c>
      <c r="H6" s="40">
        <f>E6/E4-1</f>
        <v>0.28731262933105683</v>
      </c>
      <c r="I6" s="40">
        <f>F6/F4-1</f>
        <v>0.24597626338976641</v>
      </c>
    </row>
    <row r="7" spans="2:9" x14ac:dyDescent="0.25">
      <c r="B7" t="s">
        <v>147</v>
      </c>
      <c r="C7">
        <v>2023</v>
      </c>
      <c r="D7" s="2">
        <f>SFO!K38</f>
        <v>24979810</v>
      </c>
      <c r="E7" s="64">
        <f>OAK!C20</f>
        <v>5611677</v>
      </c>
      <c r="F7" s="2">
        <f>SJC!G14</f>
        <v>6052435</v>
      </c>
    </row>
    <row r="8" spans="2:9" x14ac:dyDescent="0.25">
      <c r="B8" t="s">
        <v>147</v>
      </c>
      <c r="C8">
        <v>2025</v>
      </c>
      <c r="D8" s="2">
        <f>SFO!K40</f>
        <v>27250806</v>
      </c>
      <c r="E8" s="64">
        <f>OAK!C22</f>
        <v>4595430</v>
      </c>
      <c r="F8" s="2">
        <f>SJC!E14</f>
        <v>5328602</v>
      </c>
    </row>
    <row r="9" spans="2:9" x14ac:dyDescent="0.25">
      <c r="B9" s="1" t="s">
        <v>146</v>
      </c>
      <c r="C9">
        <v>2050</v>
      </c>
      <c r="D9" s="64">
        <f>Summary!D14</f>
        <v>35535000</v>
      </c>
      <c r="E9" s="64">
        <f>Summary!D15</f>
        <v>9685616</v>
      </c>
      <c r="F9" s="64">
        <f>Summary!D16</f>
        <v>10426606</v>
      </c>
      <c r="G9" s="40">
        <f>D9/D6-1</f>
        <v>0.23966202630371991</v>
      </c>
      <c r="H9" s="40">
        <f>E9/E6-1</f>
        <v>0.44789270638857537</v>
      </c>
      <c r="I9" s="40">
        <f>F9/F6-1</f>
        <v>0.35619144886833665</v>
      </c>
    </row>
    <row r="11" spans="2:9" x14ac:dyDescent="0.25">
      <c r="C11" s="17" t="s">
        <v>151</v>
      </c>
    </row>
    <row r="12" spans="2:9" x14ac:dyDescent="0.25">
      <c r="C12" s="1" t="s">
        <v>4</v>
      </c>
      <c r="D12" s="1" t="s">
        <v>0</v>
      </c>
      <c r="E12" s="1" t="s">
        <v>17</v>
      </c>
      <c r="F12" s="1" t="s">
        <v>18</v>
      </c>
    </row>
    <row r="13" spans="2:9" x14ac:dyDescent="0.25">
      <c r="B13" t="s">
        <v>147</v>
      </c>
      <c r="C13">
        <v>2000</v>
      </c>
      <c r="D13" s="2">
        <f>D4</f>
        <v>20208025</v>
      </c>
      <c r="E13" s="2">
        <f>E4</f>
        <v>5196451</v>
      </c>
      <c r="F13" s="2">
        <f>F4</f>
        <v>6170384</v>
      </c>
    </row>
    <row r="14" spans="2:9" x14ac:dyDescent="0.25">
      <c r="B14" t="s">
        <v>147</v>
      </c>
      <c r="C14">
        <v>2019</v>
      </c>
      <c r="D14" s="2">
        <f>D6</f>
        <v>28665071</v>
      </c>
      <c r="E14" s="2">
        <f>E6</f>
        <v>6689457</v>
      </c>
      <c r="F14" s="2">
        <f>F6</f>
        <v>7688152</v>
      </c>
    </row>
    <row r="15" spans="2:9" x14ac:dyDescent="0.25">
      <c r="B15" s="1" t="s">
        <v>146</v>
      </c>
      <c r="C15" t="s">
        <v>152</v>
      </c>
      <c r="D15" s="2">
        <f>D9</f>
        <v>35535000</v>
      </c>
      <c r="E15" s="2">
        <f>E9</f>
        <v>9685616</v>
      </c>
      <c r="F15" s="2">
        <f>F9</f>
        <v>10426606</v>
      </c>
    </row>
    <row r="18" spans="3:8" x14ac:dyDescent="0.25">
      <c r="C18" s="17" t="s">
        <v>195</v>
      </c>
      <c r="F18" s="1"/>
    </row>
    <row r="19" spans="3:8" x14ac:dyDescent="0.25">
      <c r="C19" s="1" t="s">
        <v>191</v>
      </c>
      <c r="D19" s="1" t="s">
        <v>0</v>
      </c>
      <c r="E19" s="1" t="s">
        <v>17</v>
      </c>
      <c r="F19" s="1" t="s">
        <v>18</v>
      </c>
      <c r="G19" s="1" t="s">
        <v>3</v>
      </c>
      <c r="H19" s="1" t="s">
        <v>190</v>
      </c>
    </row>
    <row r="20" spans="3:8" x14ac:dyDescent="0.25">
      <c r="C20" t="s">
        <v>178</v>
      </c>
      <c r="D20" s="2">
        <f>SFO!E47</f>
        <v>62779.645161290326</v>
      </c>
      <c r="E20" s="2">
        <f>OAK!E27</f>
        <v>10640.129032258064</v>
      </c>
      <c r="F20" s="2">
        <f>SJC!E23</f>
        <v>11940.096774193549</v>
      </c>
      <c r="G20" s="2">
        <f>SUM(D20:F20)</f>
        <v>85359.870967741939</v>
      </c>
      <c r="H20" s="2">
        <f>AVERAGE($G$20:$G$31)</f>
        <v>101771.98013312851</v>
      </c>
    </row>
    <row r="21" spans="3:8" x14ac:dyDescent="0.25">
      <c r="C21" t="s">
        <v>179</v>
      </c>
      <c r="D21" s="2">
        <f>SFO!E48</f>
        <v>63430.392857142855</v>
      </c>
      <c r="E21" s="2">
        <f>OAK!E28</f>
        <v>12021.142857142857</v>
      </c>
      <c r="F21" s="2">
        <f>SJC!E24</f>
        <v>13430.178571428571</v>
      </c>
      <c r="G21" s="2">
        <f t="shared" ref="G21:G31" si="0">SUM(D21:F21)</f>
        <v>88881.714285714275</v>
      </c>
      <c r="H21" s="2">
        <f t="shared" ref="H21:H31" si="1">AVERAGE($G$20:$G$31)</f>
        <v>101771.98013312851</v>
      </c>
    </row>
    <row r="22" spans="3:8" x14ac:dyDescent="0.25">
      <c r="C22" t="s">
        <v>180</v>
      </c>
      <c r="D22" s="2">
        <f>SFO!E49</f>
        <v>69058.387096774197</v>
      </c>
      <c r="E22" s="2">
        <f>OAK!E29</f>
        <v>12707.645161290322</v>
      </c>
      <c r="F22" s="2">
        <f>SJC!E25</f>
        <v>14154.58064516129</v>
      </c>
      <c r="G22" s="2">
        <f t="shared" si="0"/>
        <v>95920.612903225803</v>
      </c>
      <c r="H22" s="2">
        <f t="shared" si="1"/>
        <v>101771.98013312851</v>
      </c>
    </row>
    <row r="23" spans="3:8" x14ac:dyDescent="0.25">
      <c r="C23" t="s">
        <v>181</v>
      </c>
      <c r="D23" s="2">
        <f>SFO!E50</f>
        <v>72882.833333333328</v>
      </c>
      <c r="E23" s="2">
        <f>OAK!E30</f>
        <v>13234.466666666667</v>
      </c>
      <c r="F23" s="2">
        <f>SJC!E26</f>
        <v>14688.666666666666</v>
      </c>
      <c r="G23" s="2">
        <f t="shared" si="0"/>
        <v>100805.96666666666</v>
      </c>
      <c r="H23" s="2">
        <f t="shared" si="1"/>
        <v>101771.98013312851</v>
      </c>
    </row>
    <row r="24" spans="3:8" x14ac:dyDescent="0.25">
      <c r="C24" t="s">
        <v>182</v>
      </c>
      <c r="D24" s="2">
        <f>SFO!E51</f>
        <v>78648</v>
      </c>
      <c r="E24" s="2">
        <f>OAK!E31</f>
        <v>13509.774193548386</v>
      </c>
      <c r="F24" s="2">
        <f>SJC!E27</f>
        <v>14942.41935483871</v>
      </c>
      <c r="G24" s="2">
        <f t="shared" si="0"/>
        <v>107100.19354838711</v>
      </c>
      <c r="H24" s="2">
        <f t="shared" si="1"/>
        <v>101771.98013312851</v>
      </c>
    </row>
    <row r="25" spans="3:8" x14ac:dyDescent="0.25">
      <c r="C25" t="s">
        <v>183</v>
      </c>
      <c r="D25" s="2">
        <f>SFO!E52</f>
        <v>87795.766666666663</v>
      </c>
      <c r="E25" s="2">
        <f>OAK!E32</f>
        <v>13915.966666666667</v>
      </c>
      <c r="F25" s="2">
        <f>SJC!E28</f>
        <v>16975.233333333334</v>
      </c>
      <c r="G25" s="2">
        <f t="shared" si="0"/>
        <v>118686.96666666667</v>
      </c>
      <c r="H25" s="2">
        <f t="shared" si="1"/>
        <v>101771.98013312851</v>
      </c>
    </row>
    <row r="26" spans="3:8" x14ac:dyDescent="0.25">
      <c r="C26" t="s">
        <v>184</v>
      </c>
      <c r="D26" s="2">
        <f>SFO!E53</f>
        <v>82857.322580645166</v>
      </c>
      <c r="E26" s="2">
        <f>OAK!E33</f>
        <v>13280.41935483871</v>
      </c>
      <c r="F26" s="2">
        <f>SJC!E29</f>
        <v>16050.677419354839</v>
      </c>
      <c r="G26" s="2">
        <f t="shared" si="0"/>
        <v>112188.41935483871</v>
      </c>
      <c r="H26" s="2">
        <f t="shared" si="1"/>
        <v>101771.98013312851</v>
      </c>
    </row>
    <row r="27" spans="3:8" x14ac:dyDescent="0.25">
      <c r="C27" t="s">
        <v>185</v>
      </c>
      <c r="D27" s="2">
        <f>SFO!E54</f>
        <v>79695.129032258061</v>
      </c>
      <c r="E27" s="2">
        <f>OAK!E34</f>
        <v>12933.903225806451</v>
      </c>
      <c r="F27" s="2">
        <f>SJC!E30</f>
        <v>15652.322580645161</v>
      </c>
      <c r="G27" s="2">
        <f t="shared" si="0"/>
        <v>108281.35483870968</v>
      </c>
      <c r="H27" s="2">
        <f t="shared" si="1"/>
        <v>101771.98013312851</v>
      </c>
    </row>
    <row r="28" spans="3:8" x14ac:dyDescent="0.25">
      <c r="C28" t="s">
        <v>186</v>
      </c>
      <c r="D28" s="2">
        <f>SFO!E55</f>
        <v>73365.766666666663</v>
      </c>
      <c r="E28" s="2">
        <f>OAK!E35</f>
        <v>12383.866666666667</v>
      </c>
      <c r="F28" s="2">
        <f>SJC!E31</f>
        <v>14488.9</v>
      </c>
      <c r="G28" s="2">
        <f t="shared" si="0"/>
        <v>100238.53333333333</v>
      </c>
      <c r="H28" s="2">
        <f t="shared" si="1"/>
        <v>101771.98013312851</v>
      </c>
    </row>
    <row r="29" spans="3:8" x14ac:dyDescent="0.25">
      <c r="C29" t="s">
        <v>187</v>
      </c>
      <c r="D29" s="2">
        <f>SFO!E56</f>
        <v>77891.677419354834</v>
      </c>
      <c r="E29" s="2">
        <f>OAK!E36</f>
        <v>12427</v>
      </c>
      <c r="F29" s="2">
        <f>SJC!E32</f>
        <v>14860.354838709678</v>
      </c>
      <c r="G29" s="2">
        <f t="shared" si="0"/>
        <v>105179.03225806452</v>
      </c>
      <c r="H29" s="2">
        <f t="shared" si="1"/>
        <v>101771.98013312851</v>
      </c>
    </row>
    <row r="30" spans="3:8" x14ac:dyDescent="0.25">
      <c r="C30" t="s">
        <v>188</v>
      </c>
      <c r="D30" s="2">
        <f>SFO!E57</f>
        <v>72347.53333333334</v>
      </c>
      <c r="E30" s="2">
        <f>OAK!E37</f>
        <v>11766</v>
      </c>
      <c r="F30" s="2">
        <f>SJC!E33</f>
        <v>13848.466666666667</v>
      </c>
      <c r="G30" s="2">
        <f t="shared" si="0"/>
        <v>97962</v>
      </c>
      <c r="H30" s="2">
        <f t="shared" si="1"/>
        <v>101771.98013312851</v>
      </c>
    </row>
    <row r="31" spans="3:8" x14ac:dyDescent="0.25">
      <c r="C31" t="s">
        <v>189</v>
      </c>
      <c r="D31" s="2">
        <f>SFO!E58</f>
        <v>74327.838709677424</v>
      </c>
      <c r="E31" s="2">
        <f>OAK!E38</f>
        <v>12237.548387096775</v>
      </c>
      <c r="F31" s="2">
        <f>SJC!E34</f>
        <v>14093.709677419354</v>
      </c>
      <c r="G31" s="2">
        <f t="shared" si="0"/>
        <v>100659.09677419355</v>
      </c>
      <c r="H31" s="2">
        <f t="shared" si="1"/>
        <v>101771.98013312851</v>
      </c>
    </row>
    <row r="32" spans="3:8" x14ac:dyDescent="0.25">
      <c r="D32" s="48"/>
      <c r="E32" s="48"/>
      <c r="F32" s="4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B79A-B21F-4705-A9AF-CB5869F40C6B}">
  <dimension ref="A1:T315"/>
  <sheetViews>
    <sheetView workbookViewId="0">
      <selection activeCell="Q19" sqref="Q19"/>
    </sheetView>
  </sheetViews>
  <sheetFormatPr defaultRowHeight="15" x14ac:dyDescent="0.25"/>
  <cols>
    <col min="2" max="2" width="10.140625" bestFit="1" customWidth="1"/>
    <col min="4" max="4" width="10.140625" bestFit="1" customWidth="1"/>
    <col min="5" max="5" width="7.5703125" bestFit="1" customWidth="1"/>
    <col min="7" max="7" width="7.5703125" bestFit="1" customWidth="1"/>
    <col min="8" max="8" width="6.7109375" bestFit="1" customWidth="1"/>
    <col min="9" max="10" width="7.5703125" bestFit="1" customWidth="1"/>
    <col min="11" max="11" width="6.7109375" bestFit="1" customWidth="1"/>
    <col min="12" max="13" width="7.5703125" bestFit="1" customWidth="1"/>
    <col min="14" max="14" width="6.140625" bestFit="1" customWidth="1"/>
    <col min="15" max="15" width="6.42578125" bestFit="1" customWidth="1"/>
  </cols>
  <sheetData>
    <row r="1" spans="1:20" ht="18" x14ac:dyDescent="0.25">
      <c r="A1" s="59" t="s">
        <v>38</v>
      </c>
      <c r="S1" s="1" t="s">
        <v>194</v>
      </c>
      <c r="T1" s="135" t="s">
        <v>167</v>
      </c>
    </row>
    <row r="2" spans="1:20" ht="18" x14ac:dyDescent="0.25">
      <c r="A2" s="59" t="s">
        <v>39</v>
      </c>
    </row>
    <row r="6" spans="1:20" x14ac:dyDescent="0.25">
      <c r="A6" s="60" t="s">
        <v>40</v>
      </c>
    </row>
    <row r="9" spans="1:20" ht="15" customHeight="1" x14ac:dyDescent="0.25">
      <c r="A9" s="161"/>
      <c r="B9" s="161"/>
      <c r="C9" s="161"/>
      <c r="D9" s="161"/>
      <c r="E9" s="162" t="s">
        <v>41</v>
      </c>
      <c r="F9" s="162"/>
      <c r="G9" s="162"/>
      <c r="H9" s="162"/>
      <c r="I9" s="162"/>
      <c r="J9" s="162"/>
      <c r="K9" s="162"/>
      <c r="L9" s="162"/>
      <c r="M9" s="161"/>
      <c r="N9" s="161"/>
      <c r="O9" s="161"/>
    </row>
    <row r="10" spans="1:20" ht="15" customHeight="1" x14ac:dyDescent="0.25">
      <c r="A10" s="61"/>
      <c r="B10" s="162" t="s">
        <v>42</v>
      </c>
      <c r="C10" s="162"/>
      <c r="D10" s="162"/>
      <c r="E10" s="162" t="s">
        <v>43</v>
      </c>
      <c r="F10" s="162"/>
      <c r="G10" s="162"/>
      <c r="H10" s="162"/>
      <c r="I10" s="162"/>
      <c r="J10" s="162" t="s">
        <v>44</v>
      </c>
      <c r="K10" s="162"/>
      <c r="L10" s="162"/>
      <c r="M10" s="161"/>
      <c r="N10" s="161"/>
      <c r="O10" s="161"/>
    </row>
    <row r="11" spans="1:20" x14ac:dyDescent="0.25">
      <c r="A11" s="62" t="s">
        <v>45</v>
      </c>
      <c r="B11" s="62" t="s">
        <v>46</v>
      </c>
      <c r="C11" s="163" t="s">
        <v>48</v>
      </c>
      <c r="D11" s="163" t="s">
        <v>3</v>
      </c>
      <c r="E11" s="62" t="s">
        <v>46</v>
      </c>
      <c r="F11" s="62" t="s">
        <v>49</v>
      </c>
      <c r="G11" s="163" t="s">
        <v>50</v>
      </c>
      <c r="H11" s="163" t="s">
        <v>51</v>
      </c>
      <c r="I11" s="163" t="s">
        <v>3</v>
      </c>
      <c r="J11" s="163" t="s">
        <v>52</v>
      </c>
      <c r="K11" s="163" t="s">
        <v>51</v>
      </c>
      <c r="L11" s="163" t="s">
        <v>3</v>
      </c>
      <c r="M11" s="62" t="s">
        <v>3</v>
      </c>
      <c r="N11" s="62" t="s">
        <v>3</v>
      </c>
      <c r="O11" s="62" t="s">
        <v>55</v>
      </c>
    </row>
    <row r="12" spans="1:20" x14ac:dyDescent="0.25">
      <c r="A12" s="62" t="s">
        <v>4</v>
      </c>
      <c r="B12" s="62" t="s">
        <v>47</v>
      </c>
      <c r="C12" s="163"/>
      <c r="D12" s="163"/>
      <c r="E12" s="62" t="s">
        <v>47</v>
      </c>
      <c r="F12" s="62" t="s">
        <v>48</v>
      </c>
      <c r="G12" s="163"/>
      <c r="H12" s="163"/>
      <c r="I12" s="163"/>
      <c r="J12" s="163"/>
      <c r="K12" s="163"/>
      <c r="L12" s="163"/>
      <c r="M12" s="62" t="s">
        <v>53</v>
      </c>
      <c r="N12" s="62" t="s">
        <v>54</v>
      </c>
      <c r="O12" s="62" t="s">
        <v>56</v>
      </c>
    </row>
    <row r="13" spans="1:20" x14ac:dyDescent="0.25">
      <c r="A13" s="62"/>
      <c r="B13" s="62"/>
      <c r="C13" s="163"/>
      <c r="D13" s="163"/>
      <c r="E13" s="62"/>
      <c r="F13" s="62"/>
      <c r="G13" s="163"/>
      <c r="H13" s="163"/>
      <c r="I13" s="163"/>
      <c r="J13" s="163"/>
      <c r="K13" s="163"/>
      <c r="L13" s="163"/>
      <c r="M13" s="62"/>
      <c r="N13" s="62" t="s">
        <v>53</v>
      </c>
      <c r="O13" s="62"/>
    </row>
    <row r="14" spans="1:20" x14ac:dyDescent="0.25">
      <c r="A14" s="164"/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</row>
    <row r="15" spans="1:20" x14ac:dyDescent="0.25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</row>
    <row r="16" spans="1:20" ht="15" customHeight="1" x14ac:dyDescent="0.25">
      <c r="A16" s="166" t="s">
        <v>57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</row>
    <row r="17" spans="1:15" ht="15" customHeight="1" x14ac:dyDescent="0.25">
      <c r="A17" s="166" t="s">
        <v>58</v>
      </c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</row>
    <row r="18" spans="1:15" x14ac:dyDescent="0.25">
      <c r="A18" s="61">
        <v>1990</v>
      </c>
      <c r="B18" s="51">
        <v>2707091</v>
      </c>
      <c r="C18" s="51">
        <v>13411</v>
      </c>
      <c r="D18" s="51">
        <v>2720502</v>
      </c>
      <c r="E18" s="51">
        <v>64768</v>
      </c>
      <c r="F18" s="51">
        <v>39797</v>
      </c>
      <c r="G18" s="51">
        <v>105672</v>
      </c>
      <c r="H18" s="63">
        <v>709</v>
      </c>
      <c r="I18" s="51">
        <v>210946</v>
      </c>
      <c r="J18" s="51">
        <v>85290</v>
      </c>
      <c r="K18" s="63">
        <v>90</v>
      </c>
      <c r="L18" s="51">
        <v>85380</v>
      </c>
      <c r="M18" s="51">
        <v>296326</v>
      </c>
      <c r="N18" s="63">
        <v>0</v>
      </c>
      <c r="O18" s="63">
        <v>409</v>
      </c>
    </row>
    <row r="19" spans="1:15" x14ac:dyDescent="0.25">
      <c r="A19" s="61">
        <v>1991</v>
      </c>
      <c r="B19" s="51">
        <v>2951727</v>
      </c>
      <c r="C19" s="51">
        <v>48252</v>
      </c>
      <c r="D19" s="51">
        <v>2999979</v>
      </c>
      <c r="E19" s="51">
        <v>108401</v>
      </c>
      <c r="F19" s="51">
        <v>50772</v>
      </c>
      <c r="G19" s="51">
        <v>140407</v>
      </c>
      <c r="H19" s="63">
        <v>601</v>
      </c>
      <c r="I19" s="51">
        <v>300181</v>
      </c>
      <c r="J19" s="51">
        <v>113667</v>
      </c>
      <c r="K19" s="63">
        <v>68</v>
      </c>
      <c r="L19" s="51">
        <v>113735</v>
      </c>
      <c r="M19" s="51">
        <v>413916</v>
      </c>
      <c r="N19" s="63">
        <v>0</v>
      </c>
      <c r="O19" s="63">
        <v>303</v>
      </c>
    </row>
    <row r="20" spans="1:15" x14ac:dyDescent="0.25">
      <c r="A20" s="61">
        <v>1992</v>
      </c>
      <c r="B20" s="51">
        <v>3081399</v>
      </c>
      <c r="C20" s="51">
        <v>54333</v>
      </c>
      <c r="D20" s="51">
        <v>3135732</v>
      </c>
      <c r="E20" s="51">
        <v>107669</v>
      </c>
      <c r="F20" s="51">
        <v>51982</v>
      </c>
      <c r="G20" s="51">
        <v>140227</v>
      </c>
      <c r="H20" s="63">
        <v>838</v>
      </c>
      <c r="I20" s="51">
        <v>300716</v>
      </c>
      <c r="J20" s="51">
        <v>118415</v>
      </c>
      <c r="K20" s="63">
        <v>102</v>
      </c>
      <c r="L20" s="51">
        <v>118517</v>
      </c>
      <c r="M20" s="51">
        <v>419233</v>
      </c>
      <c r="N20" s="63">
        <v>0</v>
      </c>
      <c r="O20" s="63">
        <v>366</v>
      </c>
    </row>
    <row r="21" spans="1:15" x14ac:dyDescent="0.25">
      <c r="A21" s="61">
        <v>1993</v>
      </c>
      <c r="B21" s="51">
        <v>3537031</v>
      </c>
      <c r="C21" s="51">
        <v>48255</v>
      </c>
      <c r="D21" s="51">
        <v>3585286</v>
      </c>
      <c r="E21" s="51">
        <v>121953</v>
      </c>
      <c r="F21" s="51">
        <v>55164</v>
      </c>
      <c r="G21" s="51">
        <v>136876</v>
      </c>
      <c r="H21" s="63">
        <v>847</v>
      </c>
      <c r="I21" s="51">
        <v>314840</v>
      </c>
      <c r="J21" s="51">
        <v>124356</v>
      </c>
      <c r="K21" s="63">
        <v>18</v>
      </c>
      <c r="L21" s="51">
        <v>124374</v>
      </c>
      <c r="M21" s="51">
        <v>439214</v>
      </c>
      <c r="N21" s="63">
        <v>0</v>
      </c>
      <c r="O21" s="63">
        <v>366</v>
      </c>
    </row>
    <row r="22" spans="1:15" x14ac:dyDescent="0.25">
      <c r="A22" s="61">
        <v>1994</v>
      </c>
      <c r="B22" s="51">
        <v>3848105</v>
      </c>
      <c r="C22" s="51">
        <v>36317</v>
      </c>
      <c r="D22" s="51">
        <v>3884422</v>
      </c>
      <c r="E22" s="51">
        <v>130335</v>
      </c>
      <c r="F22" s="51">
        <v>57770</v>
      </c>
      <c r="G22" s="51">
        <v>142389</v>
      </c>
      <c r="H22" s="63">
        <v>702</v>
      </c>
      <c r="I22" s="51">
        <v>331196</v>
      </c>
      <c r="J22" s="51">
        <v>139563</v>
      </c>
      <c r="K22" s="63">
        <v>142</v>
      </c>
      <c r="L22" s="51">
        <v>139705</v>
      </c>
      <c r="M22" s="51">
        <v>470901</v>
      </c>
      <c r="N22" s="63">
        <v>0</v>
      </c>
      <c r="O22" s="63">
        <v>366</v>
      </c>
    </row>
    <row r="23" spans="1:15" x14ac:dyDescent="0.25">
      <c r="A23" s="61">
        <v>1995</v>
      </c>
      <c r="B23" s="51">
        <v>4698250</v>
      </c>
      <c r="C23" s="51">
        <v>22690</v>
      </c>
      <c r="D23" s="51">
        <v>4720940</v>
      </c>
      <c r="E23" s="51">
        <v>164371</v>
      </c>
      <c r="F23" s="51">
        <v>52357</v>
      </c>
      <c r="G23" s="51">
        <v>142621</v>
      </c>
      <c r="H23" s="63">
        <v>727</v>
      </c>
      <c r="I23" s="51">
        <v>360076</v>
      </c>
      <c r="J23" s="51">
        <v>142530</v>
      </c>
      <c r="K23" s="63">
        <v>346</v>
      </c>
      <c r="L23" s="51">
        <v>142876</v>
      </c>
      <c r="M23" s="51">
        <v>502952</v>
      </c>
      <c r="N23" s="63">
        <v>0</v>
      </c>
      <c r="O23" s="63">
        <v>366</v>
      </c>
    </row>
    <row r="24" spans="1:15" x14ac:dyDescent="0.25">
      <c r="A24" s="61">
        <v>1996</v>
      </c>
      <c r="B24" s="51">
        <v>4784598</v>
      </c>
      <c r="C24" s="51">
        <v>17713</v>
      </c>
      <c r="D24" s="51">
        <v>4802311</v>
      </c>
      <c r="E24" s="51">
        <v>169641</v>
      </c>
      <c r="F24" s="51">
        <v>64734</v>
      </c>
      <c r="G24" s="51">
        <v>166099</v>
      </c>
      <c r="H24" s="63">
        <v>831</v>
      </c>
      <c r="I24" s="51">
        <v>401305</v>
      </c>
      <c r="J24" s="51">
        <v>114701</v>
      </c>
      <c r="K24" s="63">
        <v>492</v>
      </c>
      <c r="L24" s="51">
        <v>115193</v>
      </c>
      <c r="M24" s="51">
        <v>516498</v>
      </c>
      <c r="N24" s="63">
        <v>0</v>
      </c>
      <c r="O24" s="63">
        <v>366</v>
      </c>
    </row>
    <row r="25" spans="1:15" x14ac:dyDescent="0.25">
      <c r="A25" s="61">
        <v>1997</v>
      </c>
      <c r="B25" s="51">
        <v>4508218</v>
      </c>
      <c r="C25" s="51">
        <v>7506</v>
      </c>
      <c r="D25" s="51">
        <v>4515724</v>
      </c>
      <c r="E25" s="51">
        <v>163007</v>
      </c>
      <c r="F25" s="51">
        <v>59145</v>
      </c>
      <c r="G25" s="51">
        <v>160395</v>
      </c>
      <c r="H25" s="63">
        <v>520</v>
      </c>
      <c r="I25" s="51">
        <v>383067</v>
      </c>
      <c r="J25" s="51">
        <v>104689</v>
      </c>
      <c r="K25" s="63">
        <v>720</v>
      </c>
      <c r="L25" s="51">
        <v>105409</v>
      </c>
      <c r="M25" s="51">
        <v>488476</v>
      </c>
      <c r="N25" s="63">
        <v>0</v>
      </c>
      <c r="O25" s="63">
        <v>366</v>
      </c>
    </row>
    <row r="26" spans="1:15" x14ac:dyDescent="0.25">
      <c r="A26" s="61">
        <v>1998</v>
      </c>
      <c r="B26" s="51">
        <v>4455223</v>
      </c>
      <c r="C26" s="51">
        <v>2332</v>
      </c>
      <c r="D26" s="51">
        <v>4457555</v>
      </c>
      <c r="E26" s="51">
        <v>160456</v>
      </c>
      <c r="F26" s="51">
        <v>60628</v>
      </c>
      <c r="G26" s="51">
        <v>169499</v>
      </c>
      <c r="H26" s="63">
        <v>692</v>
      </c>
      <c r="I26" s="51">
        <v>391275</v>
      </c>
      <c r="J26" s="51">
        <v>124491</v>
      </c>
      <c r="K26" s="63">
        <v>160</v>
      </c>
      <c r="L26" s="51">
        <v>124651</v>
      </c>
      <c r="M26" s="51">
        <v>515926</v>
      </c>
      <c r="N26" s="63">
        <v>0</v>
      </c>
      <c r="O26" s="63">
        <v>366</v>
      </c>
    </row>
    <row r="27" spans="1:15" x14ac:dyDescent="0.25">
      <c r="A27" s="61">
        <v>1999</v>
      </c>
      <c r="B27" s="51">
        <v>4733764</v>
      </c>
      <c r="C27" s="63">
        <v>0</v>
      </c>
      <c r="D27" s="51">
        <v>4733764</v>
      </c>
      <c r="E27" s="51">
        <v>162766</v>
      </c>
      <c r="F27" s="51">
        <v>54646</v>
      </c>
      <c r="G27" s="51">
        <v>167339</v>
      </c>
      <c r="H27" s="63">
        <v>580</v>
      </c>
      <c r="I27" s="51">
        <v>385331</v>
      </c>
      <c r="J27" s="51">
        <v>122836</v>
      </c>
      <c r="K27" s="63">
        <v>287</v>
      </c>
      <c r="L27" s="51">
        <v>123123</v>
      </c>
      <c r="M27" s="51">
        <v>508454</v>
      </c>
      <c r="N27" s="63">
        <v>0</v>
      </c>
      <c r="O27" s="63">
        <v>370</v>
      </c>
    </row>
    <row r="28" spans="1:15" x14ac:dyDescent="0.25">
      <c r="A28" s="61">
        <v>2000</v>
      </c>
      <c r="B28" s="51">
        <v>5087602</v>
      </c>
      <c r="C28" s="63">
        <v>0</v>
      </c>
      <c r="D28" s="51">
        <v>5087602</v>
      </c>
      <c r="E28" s="51">
        <v>149007</v>
      </c>
      <c r="F28" s="51">
        <v>45633</v>
      </c>
      <c r="G28" s="51">
        <v>161531</v>
      </c>
      <c r="H28" s="63">
        <v>416</v>
      </c>
      <c r="I28" s="51">
        <v>356587</v>
      </c>
      <c r="J28" s="51">
        <v>121793</v>
      </c>
      <c r="K28" s="63">
        <v>178</v>
      </c>
      <c r="L28" s="51">
        <v>121971</v>
      </c>
      <c r="M28" s="51">
        <v>478558</v>
      </c>
      <c r="N28" s="63">
        <v>0</v>
      </c>
      <c r="O28" s="63">
        <v>370</v>
      </c>
    </row>
    <row r="29" spans="1:15" x14ac:dyDescent="0.25">
      <c r="A29" s="61">
        <v>2001</v>
      </c>
      <c r="B29" s="51">
        <v>5623479</v>
      </c>
      <c r="C29" s="63">
        <v>0</v>
      </c>
      <c r="D29" s="51">
        <v>5623479</v>
      </c>
      <c r="E29" s="51">
        <v>158700</v>
      </c>
      <c r="F29" s="51">
        <v>43001</v>
      </c>
      <c r="G29" s="51">
        <v>143600</v>
      </c>
      <c r="H29" s="63">
        <v>533</v>
      </c>
      <c r="I29" s="51">
        <v>345834</v>
      </c>
      <c r="J29" s="51">
        <v>64280</v>
      </c>
      <c r="K29" s="63">
        <v>41</v>
      </c>
      <c r="L29" s="51">
        <v>64321</v>
      </c>
      <c r="M29" s="51">
        <v>410155</v>
      </c>
      <c r="N29" s="63">
        <v>0</v>
      </c>
      <c r="O29" s="63">
        <v>370</v>
      </c>
    </row>
    <row r="30" spans="1:15" x14ac:dyDescent="0.25">
      <c r="A30" s="61">
        <v>2002</v>
      </c>
      <c r="B30" s="51">
        <v>5705643</v>
      </c>
      <c r="C30" s="51">
        <v>138909</v>
      </c>
      <c r="D30" s="51">
        <v>5844552</v>
      </c>
      <c r="E30" s="51">
        <v>156212</v>
      </c>
      <c r="F30" s="51">
        <v>43396</v>
      </c>
      <c r="G30" s="51">
        <v>114958</v>
      </c>
      <c r="H30" s="63">
        <v>257</v>
      </c>
      <c r="I30" s="51">
        <v>314823</v>
      </c>
      <c r="J30" s="51">
        <v>59286</v>
      </c>
      <c r="K30" s="63">
        <v>107</v>
      </c>
      <c r="L30" s="51">
        <v>59393</v>
      </c>
      <c r="M30" s="51">
        <v>374216</v>
      </c>
      <c r="N30" s="63">
        <v>0</v>
      </c>
      <c r="O30" s="63">
        <v>370</v>
      </c>
    </row>
    <row r="31" spans="1:15" x14ac:dyDescent="0.25">
      <c r="A31" s="61">
        <v>2003</v>
      </c>
      <c r="B31" s="51">
        <v>6452651</v>
      </c>
      <c r="C31" s="51">
        <v>139652</v>
      </c>
      <c r="D31" s="51">
        <v>6592303</v>
      </c>
      <c r="E31" s="51">
        <v>160075</v>
      </c>
      <c r="F31" s="51">
        <v>41299</v>
      </c>
      <c r="G31" s="51">
        <v>99585</v>
      </c>
      <c r="H31" s="63">
        <v>679</v>
      </c>
      <c r="I31" s="51">
        <v>301638</v>
      </c>
      <c r="J31" s="51">
        <v>54069</v>
      </c>
      <c r="K31" s="63">
        <v>17</v>
      </c>
      <c r="L31" s="51">
        <v>54086</v>
      </c>
      <c r="M31" s="51">
        <v>355724</v>
      </c>
      <c r="N31" s="63">
        <v>0</v>
      </c>
      <c r="O31" s="63">
        <v>374</v>
      </c>
    </row>
    <row r="32" spans="1:15" x14ac:dyDescent="0.25">
      <c r="A32" s="61">
        <v>2004</v>
      </c>
      <c r="B32" s="51">
        <v>6684440</v>
      </c>
      <c r="C32" s="51">
        <v>188839</v>
      </c>
      <c r="D32" s="51">
        <v>6873279</v>
      </c>
      <c r="E32" s="51">
        <v>166829</v>
      </c>
      <c r="F32" s="51">
        <v>36558</v>
      </c>
      <c r="G32" s="51">
        <v>80817</v>
      </c>
      <c r="H32" s="63">
        <v>538</v>
      </c>
      <c r="I32" s="51">
        <v>284742</v>
      </c>
      <c r="J32" s="51">
        <v>54527</v>
      </c>
      <c r="K32" s="63">
        <v>33</v>
      </c>
      <c r="L32" s="51">
        <v>54560</v>
      </c>
      <c r="M32" s="51">
        <v>339302</v>
      </c>
      <c r="N32" s="63">
        <v>0</v>
      </c>
      <c r="O32" s="63">
        <v>370</v>
      </c>
    </row>
    <row r="33" spans="1:15" x14ac:dyDescent="0.25">
      <c r="A33" s="61">
        <v>2005</v>
      </c>
      <c r="B33" s="51">
        <v>6868638</v>
      </c>
      <c r="C33" s="51">
        <v>218636</v>
      </c>
      <c r="D33" s="51">
        <v>7087274</v>
      </c>
      <c r="E33" s="51">
        <v>171903</v>
      </c>
      <c r="F33" s="51">
        <v>25215</v>
      </c>
      <c r="G33" s="51">
        <v>83269</v>
      </c>
      <c r="H33" s="63">
        <v>474</v>
      </c>
      <c r="I33" s="51">
        <v>280861</v>
      </c>
      <c r="J33" s="51">
        <v>64800</v>
      </c>
      <c r="K33" s="63">
        <v>34</v>
      </c>
      <c r="L33" s="51">
        <v>64834</v>
      </c>
      <c r="M33" s="51">
        <v>345695</v>
      </c>
      <c r="N33" s="63">
        <v>0</v>
      </c>
      <c r="O33" s="63">
        <v>370</v>
      </c>
    </row>
    <row r="34" spans="1:15" x14ac:dyDescent="0.25">
      <c r="A34" s="61">
        <v>2006</v>
      </c>
      <c r="B34" s="51">
        <v>6808124</v>
      </c>
      <c r="C34" s="51">
        <v>183830</v>
      </c>
      <c r="D34" s="51">
        <v>6991954</v>
      </c>
      <c r="E34" s="51">
        <v>172257</v>
      </c>
      <c r="F34" s="51">
        <v>26890</v>
      </c>
      <c r="G34" s="51">
        <v>68342</v>
      </c>
      <c r="H34" s="63">
        <v>625</v>
      </c>
      <c r="I34" s="51">
        <v>268114</v>
      </c>
      <c r="J34" s="51">
        <v>65407</v>
      </c>
      <c r="K34" s="63">
        <v>98</v>
      </c>
      <c r="L34" s="51">
        <v>65505</v>
      </c>
      <c r="M34" s="51">
        <v>333619</v>
      </c>
      <c r="N34" s="63">
        <v>0</v>
      </c>
      <c r="O34" s="63">
        <v>370</v>
      </c>
    </row>
    <row r="35" spans="1:15" x14ac:dyDescent="0.25">
      <c r="A35" s="61">
        <v>2007</v>
      </c>
      <c r="B35" s="51">
        <v>6963820</v>
      </c>
      <c r="C35" s="51">
        <v>252014</v>
      </c>
      <c r="D35" s="51">
        <v>7215834</v>
      </c>
      <c r="E35" s="51">
        <v>175289</v>
      </c>
      <c r="F35" s="51">
        <v>31295</v>
      </c>
      <c r="G35" s="51">
        <v>60528</v>
      </c>
      <c r="H35" s="63">
        <v>265</v>
      </c>
      <c r="I35" s="51">
        <v>267377</v>
      </c>
      <c r="J35" s="51">
        <v>81602</v>
      </c>
      <c r="K35" s="63">
        <v>90</v>
      </c>
      <c r="L35" s="51">
        <v>81692</v>
      </c>
      <c r="M35" s="51">
        <v>349069</v>
      </c>
      <c r="N35" s="63">
        <v>0</v>
      </c>
      <c r="O35" s="63">
        <v>277</v>
      </c>
    </row>
    <row r="36" spans="1:15" x14ac:dyDescent="0.25">
      <c r="A36" s="61">
        <v>2008</v>
      </c>
      <c r="B36" s="51">
        <v>5835888</v>
      </c>
      <c r="C36" s="51">
        <v>251830</v>
      </c>
      <c r="D36" s="51">
        <v>6087718</v>
      </c>
      <c r="E36" s="51">
        <v>159764</v>
      </c>
      <c r="F36" s="51">
        <v>29799</v>
      </c>
      <c r="G36" s="51">
        <v>51889</v>
      </c>
      <c r="H36" s="63">
        <v>548</v>
      </c>
      <c r="I36" s="51">
        <v>242000</v>
      </c>
      <c r="J36" s="51">
        <v>53903</v>
      </c>
      <c r="K36" s="63">
        <v>696</v>
      </c>
      <c r="L36" s="51">
        <v>54599</v>
      </c>
      <c r="M36" s="51">
        <v>296599</v>
      </c>
      <c r="N36" s="63">
        <v>0</v>
      </c>
      <c r="O36" s="63">
        <v>277</v>
      </c>
    </row>
    <row r="37" spans="1:15" x14ac:dyDescent="0.25">
      <c r="A37" s="61">
        <v>2009</v>
      </c>
      <c r="B37" s="51">
        <v>4442335</v>
      </c>
      <c r="C37" s="51">
        <v>200206</v>
      </c>
      <c r="D37" s="51">
        <v>4642541</v>
      </c>
      <c r="E37" s="51">
        <v>122213</v>
      </c>
      <c r="F37" s="51">
        <v>23270</v>
      </c>
      <c r="G37" s="51">
        <v>44686</v>
      </c>
      <c r="H37" s="51">
        <v>1032</v>
      </c>
      <c r="I37" s="51">
        <v>191201</v>
      </c>
      <c r="J37" s="51">
        <v>44983</v>
      </c>
      <c r="K37" s="51">
        <v>2966</v>
      </c>
      <c r="L37" s="51">
        <v>47949</v>
      </c>
      <c r="M37" s="51">
        <v>239150</v>
      </c>
      <c r="N37" s="63">
        <v>0</v>
      </c>
      <c r="O37" s="63">
        <v>256</v>
      </c>
    </row>
    <row r="38" spans="1:15" x14ac:dyDescent="0.25">
      <c r="A38" s="61">
        <v>2010</v>
      </c>
      <c r="B38" s="51">
        <v>4496613</v>
      </c>
      <c r="C38" s="51">
        <v>186563</v>
      </c>
      <c r="D38" s="51">
        <v>4683176</v>
      </c>
      <c r="E38" s="51">
        <v>114435</v>
      </c>
      <c r="F38" s="51">
        <v>23015</v>
      </c>
      <c r="G38" s="51">
        <v>43362</v>
      </c>
      <c r="H38" s="51">
        <v>1690</v>
      </c>
      <c r="I38" s="51">
        <v>182502</v>
      </c>
      <c r="J38" s="51">
        <v>40293</v>
      </c>
      <c r="K38" s="51">
        <v>2897</v>
      </c>
      <c r="L38" s="51">
        <v>43190</v>
      </c>
      <c r="M38" s="51">
        <v>225692</v>
      </c>
      <c r="N38" s="63">
        <v>0</v>
      </c>
      <c r="O38" s="63">
        <v>239</v>
      </c>
    </row>
    <row r="39" spans="1:15" x14ac:dyDescent="0.25">
      <c r="A39" s="61">
        <v>2011</v>
      </c>
      <c r="B39" s="51">
        <v>4370323</v>
      </c>
      <c r="C39" s="51">
        <v>176311</v>
      </c>
      <c r="D39" s="51">
        <v>4546634</v>
      </c>
      <c r="E39" s="51">
        <v>108688</v>
      </c>
      <c r="F39" s="51">
        <v>22955</v>
      </c>
      <c r="G39" s="51">
        <v>41860</v>
      </c>
      <c r="H39" s="51">
        <v>1336</v>
      </c>
      <c r="I39" s="51">
        <v>174839</v>
      </c>
      <c r="J39" s="51">
        <v>34304</v>
      </c>
      <c r="K39" s="51">
        <v>3133</v>
      </c>
      <c r="L39" s="51">
        <v>37437</v>
      </c>
      <c r="M39" s="51">
        <v>212276</v>
      </c>
      <c r="N39" s="63">
        <v>0</v>
      </c>
      <c r="O39" s="63">
        <v>239</v>
      </c>
    </row>
    <row r="40" spans="1:15" x14ac:dyDescent="0.25">
      <c r="A40" s="61">
        <v>2012</v>
      </c>
      <c r="B40" s="51">
        <v>4590282</v>
      </c>
      <c r="C40" s="51">
        <v>281862</v>
      </c>
      <c r="D40" s="51">
        <v>4872144</v>
      </c>
      <c r="E40" s="51">
        <v>112266</v>
      </c>
      <c r="F40" s="51">
        <v>22160</v>
      </c>
      <c r="G40" s="51">
        <v>44657</v>
      </c>
      <c r="H40" s="51">
        <v>1200</v>
      </c>
      <c r="I40" s="51">
        <v>180283</v>
      </c>
      <c r="J40" s="51">
        <v>33816</v>
      </c>
      <c r="K40" s="51">
        <v>1262</v>
      </c>
      <c r="L40" s="51">
        <v>35078</v>
      </c>
      <c r="M40" s="51">
        <v>215361</v>
      </c>
      <c r="N40" s="63">
        <v>0</v>
      </c>
      <c r="O40" s="63">
        <v>240</v>
      </c>
    </row>
    <row r="41" spans="1:15" x14ac:dyDescent="0.25">
      <c r="A41" s="61">
        <v>2013</v>
      </c>
      <c r="B41" s="51">
        <v>4541104</v>
      </c>
      <c r="C41" s="51">
        <v>260133</v>
      </c>
      <c r="D41" s="51">
        <v>4801237</v>
      </c>
      <c r="E41" s="51">
        <v>111336</v>
      </c>
      <c r="F41" s="51">
        <v>14330</v>
      </c>
      <c r="G41" s="51">
        <v>42890</v>
      </c>
      <c r="H41" s="51">
        <v>1196</v>
      </c>
      <c r="I41" s="51">
        <v>169752</v>
      </c>
      <c r="J41" s="51">
        <v>31883</v>
      </c>
      <c r="K41" s="63">
        <v>794</v>
      </c>
      <c r="L41" s="51">
        <v>32677</v>
      </c>
      <c r="M41" s="51">
        <v>202429</v>
      </c>
      <c r="N41" s="63">
        <v>0</v>
      </c>
      <c r="O41" s="63">
        <v>239</v>
      </c>
    </row>
    <row r="42" spans="1:15" x14ac:dyDescent="0.25">
      <c r="A42" s="61">
        <v>2014</v>
      </c>
      <c r="B42" s="51">
        <v>4710472</v>
      </c>
      <c r="C42" s="51">
        <v>249062</v>
      </c>
      <c r="D42" s="51">
        <v>4959534</v>
      </c>
      <c r="E42" s="51">
        <v>109780</v>
      </c>
      <c r="F42" s="51">
        <v>15636</v>
      </c>
      <c r="G42" s="51">
        <v>43250</v>
      </c>
      <c r="H42" s="51">
        <v>1180</v>
      </c>
      <c r="I42" s="51">
        <v>169846</v>
      </c>
      <c r="J42" s="51">
        <v>32036</v>
      </c>
      <c r="K42" s="63">
        <v>464</v>
      </c>
      <c r="L42" s="51">
        <v>32500</v>
      </c>
      <c r="M42" s="51">
        <v>202346</v>
      </c>
      <c r="N42" s="63">
        <v>0</v>
      </c>
      <c r="O42" s="63">
        <v>258</v>
      </c>
    </row>
    <row r="43" spans="1:15" x14ac:dyDescent="0.25">
      <c r="A43" s="61">
        <v>2015</v>
      </c>
      <c r="B43" s="51">
        <v>5114325</v>
      </c>
      <c r="C43" s="51">
        <v>276694</v>
      </c>
      <c r="D43" s="51">
        <v>5391019</v>
      </c>
      <c r="E43" s="51">
        <v>114713</v>
      </c>
      <c r="F43" s="51">
        <v>20432</v>
      </c>
      <c r="G43" s="51">
        <v>42449</v>
      </c>
      <c r="H43" s="51">
        <v>1303</v>
      </c>
      <c r="I43" s="51">
        <v>178897</v>
      </c>
      <c r="J43" s="51">
        <v>30015</v>
      </c>
      <c r="K43" s="63">
        <v>766</v>
      </c>
      <c r="L43" s="51">
        <v>30781</v>
      </c>
      <c r="M43" s="51">
        <v>209678</v>
      </c>
      <c r="N43" s="63">
        <v>0</v>
      </c>
      <c r="O43" s="63">
        <v>277</v>
      </c>
    </row>
    <row r="44" spans="1:15" x14ac:dyDescent="0.25">
      <c r="A44" s="61">
        <v>2016</v>
      </c>
      <c r="B44" s="51">
        <v>5612469</v>
      </c>
      <c r="C44" s="51">
        <v>204348</v>
      </c>
      <c r="D44" s="51">
        <v>5816817</v>
      </c>
      <c r="E44" s="51">
        <v>122222</v>
      </c>
      <c r="F44" s="51">
        <v>24721</v>
      </c>
      <c r="G44" s="51">
        <v>41102</v>
      </c>
      <c r="H44" s="51">
        <v>1451</v>
      </c>
      <c r="I44" s="51">
        <v>189496</v>
      </c>
      <c r="J44" s="51">
        <v>34151</v>
      </c>
      <c r="K44" s="63">
        <v>944</v>
      </c>
      <c r="L44" s="51">
        <v>35095</v>
      </c>
      <c r="M44" s="51">
        <v>224591</v>
      </c>
      <c r="N44" s="63">
        <v>0</v>
      </c>
      <c r="O44" s="63">
        <v>260</v>
      </c>
    </row>
    <row r="45" spans="1:15" x14ac:dyDescent="0.25">
      <c r="A45" s="61">
        <v>2017</v>
      </c>
      <c r="B45" s="51">
        <v>6149292</v>
      </c>
      <c r="C45" s="51">
        <v>171781</v>
      </c>
      <c r="D45" s="51">
        <v>6321073</v>
      </c>
      <c r="E45" s="51">
        <v>128390</v>
      </c>
      <c r="F45" s="51">
        <v>24451</v>
      </c>
      <c r="G45" s="51">
        <v>40449</v>
      </c>
      <c r="H45" s="51">
        <v>1548</v>
      </c>
      <c r="I45" s="51">
        <v>194838</v>
      </c>
      <c r="J45" s="51">
        <v>35987</v>
      </c>
      <c r="K45" s="63">
        <v>976</v>
      </c>
      <c r="L45" s="51">
        <v>36963</v>
      </c>
      <c r="M45" s="51">
        <v>231801</v>
      </c>
      <c r="N45" s="63">
        <v>0</v>
      </c>
      <c r="O45" s="63">
        <v>275</v>
      </c>
    </row>
    <row r="46" spans="1:15" x14ac:dyDescent="0.25">
      <c r="A46" s="61">
        <v>2018</v>
      </c>
      <c r="B46" s="51">
        <v>6489598</v>
      </c>
      <c r="C46" s="51">
        <v>169348</v>
      </c>
      <c r="D46" s="51">
        <v>6658946</v>
      </c>
      <c r="E46" s="51">
        <v>132661</v>
      </c>
      <c r="F46" s="51">
        <v>25990</v>
      </c>
      <c r="G46" s="51">
        <v>40967</v>
      </c>
      <c r="H46" s="51">
        <v>1156</v>
      </c>
      <c r="I46" s="51">
        <v>200774</v>
      </c>
      <c r="J46" s="51">
        <v>40022</v>
      </c>
      <c r="K46" s="63">
        <v>505</v>
      </c>
      <c r="L46" s="51">
        <v>40527</v>
      </c>
      <c r="M46" s="51">
        <v>241301</v>
      </c>
      <c r="N46" s="63">
        <v>0</v>
      </c>
      <c r="O46" s="63">
        <v>264</v>
      </c>
    </row>
    <row r="47" spans="1:15" x14ac:dyDescent="0.25">
      <c r="A47" s="61">
        <v>2019</v>
      </c>
      <c r="B47" s="51">
        <v>6413830</v>
      </c>
      <c r="C47" s="51">
        <v>171061</v>
      </c>
      <c r="D47" s="51">
        <v>6584891</v>
      </c>
      <c r="E47" s="51">
        <v>131544</v>
      </c>
      <c r="F47" s="51">
        <v>31622</v>
      </c>
      <c r="G47" s="51">
        <v>39390</v>
      </c>
      <c r="H47" s="63">
        <v>534</v>
      </c>
      <c r="I47" s="51">
        <v>203090</v>
      </c>
      <c r="J47" s="51">
        <v>40883</v>
      </c>
      <c r="K47" s="63">
        <v>468</v>
      </c>
      <c r="L47" s="51">
        <v>41351</v>
      </c>
      <c r="M47" s="51">
        <v>244441</v>
      </c>
      <c r="N47" s="63">
        <v>0</v>
      </c>
      <c r="O47" s="63">
        <v>264</v>
      </c>
    </row>
    <row r="49" spans="1:15" ht="18" x14ac:dyDescent="0.25">
      <c r="A49" s="59" t="s">
        <v>38</v>
      </c>
    </row>
    <row r="50" spans="1:15" ht="18" x14ac:dyDescent="0.25">
      <c r="A50" s="59" t="s">
        <v>39</v>
      </c>
    </row>
    <row r="54" spans="1:15" x14ac:dyDescent="0.25">
      <c r="A54" s="60" t="s">
        <v>40</v>
      </c>
    </row>
    <row r="57" spans="1:15" ht="15" customHeight="1" x14ac:dyDescent="0.25">
      <c r="A57" s="161"/>
      <c r="B57" s="161"/>
      <c r="C57" s="161"/>
      <c r="D57" s="161"/>
      <c r="E57" s="162" t="s">
        <v>41</v>
      </c>
      <c r="F57" s="162"/>
      <c r="G57" s="162"/>
      <c r="H57" s="162"/>
      <c r="I57" s="162"/>
      <c r="J57" s="162"/>
      <c r="K57" s="162"/>
      <c r="L57" s="162"/>
      <c r="M57" s="161"/>
      <c r="N57" s="161"/>
      <c r="O57" s="161"/>
    </row>
    <row r="58" spans="1:15" ht="15" customHeight="1" x14ac:dyDescent="0.25">
      <c r="A58" s="61"/>
      <c r="B58" s="162" t="s">
        <v>42</v>
      </c>
      <c r="C58" s="162"/>
      <c r="D58" s="162"/>
      <c r="E58" s="162" t="s">
        <v>43</v>
      </c>
      <c r="F58" s="162"/>
      <c r="G58" s="162"/>
      <c r="H58" s="162"/>
      <c r="I58" s="162"/>
      <c r="J58" s="162" t="s">
        <v>44</v>
      </c>
      <c r="K58" s="162"/>
      <c r="L58" s="162"/>
      <c r="M58" s="161"/>
      <c r="N58" s="161"/>
      <c r="O58" s="161"/>
    </row>
    <row r="59" spans="1:15" x14ac:dyDescent="0.25">
      <c r="A59" s="62" t="s">
        <v>45</v>
      </c>
      <c r="B59" s="62" t="s">
        <v>46</v>
      </c>
      <c r="C59" s="163" t="s">
        <v>48</v>
      </c>
      <c r="D59" s="163" t="s">
        <v>3</v>
      </c>
      <c r="E59" s="62" t="s">
        <v>46</v>
      </c>
      <c r="F59" s="62" t="s">
        <v>49</v>
      </c>
      <c r="G59" s="163" t="s">
        <v>50</v>
      </c>
      <c r="H59" s="163" t="s">
        <v>51</v>
      </c>
      <c r="I59" s="163" t="s">
        <v>3</v>
      </c>
      <c r="J59" s="163" t="s">
        <v>52</v>
      </c>
      <c r="K59" s="163" t="s">
        <v>51</v>
      </c>
      <c r="L59" s="163" t="s">
        <v>3</v>
      </c>
      <c r="M59" s="62" t="s">
        <v>3</v>
      </c>
      <c r="N59" s="62" t="s">
        <v>3</v>
      </c>
      <c r="O59" s="62" t="s">
        <v>55</v>
      </c>
    </row>
    <row r="60" spans="1:15" x14ac:dyDescent="0.25">
      <c r="A60" s="62" t="s">
        <v>4</v>
      </c>
      <c r="B60" s="62" t="s">
        <v>47</v>
      </c>
      <c r="C60" s="163"/>
      <c r="D60" s="163"/>
      <c r="E60" s="62" t="s">
        <v>47</v>
      </c>
      <c r="F60" s="62" t="s">
        <v>48</v>
      </c>
      <c r="G60" s="163"/>
      <c r="H60" s="163"/>
      <c r="I60" s="163"/>
      <c r="J60" s="163"/>
      <c r="K60" s="163"/>
      <c r="L60" s="163"/>
      <c r="M60" s="62" t="s">
        <v>53</v>
      </c>
      <c r="N60" s="62" t="s">
        <v>54</v>
      </c>
      <c r="O60" s="62" t="s">
        <v>56</v>
      </c>
    </row>
    <row r="61" spans="1:15" x14ac:dyDescent="0.25">
      <c r="A61" s="62"/>
      <c r="B61" s="62"/>
      <c r="C61" s="163"/>
      <c r="D61" s="163"/>
      <c r="E61" s="62"/>
      <c r="F61" s="62"/>
      <c r="G61" s="163"/>
      <c r="H61" s="163"/>
      <c r="I61" s="163"/>
      <c r="J61" s="163"/>
      <c r="K61" s="163"/>
      <c r="L61" s="163"/>
      <c r="M61" s="62"/>
      <c r="N61" s="62" t="s">
        <v>53</v>
      </c>
      <c r="O61" s="62"/>
    </row>
    <row r="62" spans="1:15" x14ac:dyDescent="0.25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</row>
    <row r="63" spans="1:15" x14ac:dyDescent="0.25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</row>
    <row r="64" spans="1:15" x14ac:dyDescent="0.25">
      <c r="A64" s="61">
        <v>2020</v>
      </c>
      <c r="B64" s="51">
        <v>3287247</v>
      </c>
      <c r="C64" s="51">
        <v>151170</v>
      </c>
      <c r="D64" s="51">
        <v>3438417</v>
      </c>
      <c r="E64" s="51">
        <v>94914</v>
      </c>
      <c r="F64" s="51">
        <v>26123</v>
      </c>
      <c r="G64" s="51">
        <v>27043</v>
      </c>
      <c r="H64" s="63">
        <v>449</v>
      </c>
      <c r="I64" s="51">
        <v>148529</v>
      </c>
      <c r="J64" s="51">
        <v>26964</v>
      </c>
      <c r="K64" s="63">
        <v>362</v>
      </c>
      <c r="L64" s="51">
        <v>27326</v>
      </c>
      <c r="M64" s="51">
        <v>175855</v>
      </c>
      <c r="N64" s="63">
        <v>0</v>
      </c>
      <c r="O64" s="63">
        <v>264</v>
      </c>
    </row>
    <row r="65" spans="1:15" x14ac:dyDescent="0.25">
      <c r="A65" s="61">
        <v>2021</v>
      </c>
      <c r="B65" s="51">
        <v>3105628</v>
      </c>
      <c r="C65" s="51">
        <v>196763</v>
      </c>
      <c r="D65" s="51">
        <v>3302391</v>
      </c>
      <c r="E65" s="51">
        <v>86716</v>
      </c>
      <c r="F65" s="51">
        <v>25876</v>
      </c>
      <c r="G65" s="51">
        <v>30690</v>
      </c>
      <c r="H65" s="63">
        <v>402</v>
      </c>
      <c r="I65" s="51">
        <v>143684</v>
      </c>
      <c r="J65" s="51">
        <v>32930</v>
      </c>
      <c r="K65" s="63">
        <v>288</v>
      </c>
      <c r="L65" s="51">
        <v>33218</v>
      </c>
      <c r="M65" s="51">
        <v>176902</v>
      </c>
      <c r="N65" s="63">
        <v>0</v>
      </c>
      <c r="O65" s="63">
        <v>264</v>
      </c>
    </row>
    <row r="66" spans="1:15" x14ac:dyDescent="0.25">
      <c r="A66" s="61">
        <v>2022</v>
      </c>
      <c r="B66" s="51">
        <v>5036598</v>
      </c>
      <c r="C66" s="51">
        <v>263844</v>
      </c>
      <c r="D66" s="51">
        <v>5300442</v>
      </c>
      <c r="E66" s="51">
        <v>113237</v>
      </c>
      <c r="F66" s="51">
        <v>28447</v>
      </c>
      <c r="G66" s="51">
        <v>32624</v>
      </c>
      <c r="H66" s="63">
        <v>509</v>
      </c>
      <c r="I66" s="51">
        <v>174817</v>
      </c>
      <c r="J66" s="51">
        <v>35774</v>
      </c>
      <c r="K66" s="63">
        <v>529</v>
      </c>
      <c r="L66" s="51">
        <v>36303</v>
      </c>
      <c r="M66" s="51">
        <v>211120</v>
      </c>
      <c r="N66" s="63">
        <v>0</v>
      </c>
      <c r="O66" s="63">
        <v>264</v>
      </c>
    </row>
    <row r="67" spans="1:15" x14ac:dyDescent="0.25">
      <c r="A67" s="61">
        <v>2023</v>
      </c>
      <c r="B67" s="51">
        <v>5311542</v>
      </c>
      <c r="C67" s="51">
        <v>235015</v>
      </c>
      <c r="D67" s="51">
        <v>5546557</v>
      </c>
      <c r="E67" s="51">
        <v>115119</v>
      </c>
      <c r="F67" s="51">
        <v>25412</v>
      </c>
      <c r="G67" s="51">
        <v>28375</v>
      </c>
      <c r="H67" s="63">
        <v>399</v>
      </c>
      <c r="I67" s="51">
        <v>169305</v>
      </c>
      <c r="J67" s="51">
        <v>38616</v>
      </c>
      <c r="K67" s="63">
        <v>306</v>
      </c>
      <c r="L67" s="51">
        <v>38922</v>
      </c>
      <c r="M67" s="51">
        <v>208227</v>
      </c>
      <c r="N67" s="63">
        <v>0</v>
      </c>
      <c r="O67" s="63">
        <v>268</v>
      </c>
    </row>
    <row r="68" spans="1:15" x14ac:dyDescent="0.25">
      <c r="A68" s="61">
        <v>2024</v>
      </c>
      <c r="B68" s="51">
        <v>5233237</v>
      </c>
      <c r="C68" s="51">
        <v>215784</v>
      </c>
      <c r="D68" s="51">
        <v>5449021</v>
      </c>
      <c r="E68" s="51">
        <v>109458</v>
      </c>
      <c r="F68" s="51">
        <v>24947</v>
      </c>
      <c r="G68" s="51">
        <v>28603</v>
      </c>
      <c r="H68" s="63">
        <v>487</v>
      </c>
      <c r="I68" s="51">
        <v>163495</v>
      </c>
      <c r="J68" s="51">
        <v>41723</v>
      </c>
      <c r="K68" s="63">
        <v>129</v>
      </c>
      <c r="L68" s="51">
        <v>41852</v>
      </c>
      <c r="M68" s="51">
        <v>205347</v>
      </c>
      <c r="N68" s="63">
        <v>0</v>
      </c>
      <c r="O68" s="63">
        <v>264</v>
      </c>
    </row>
    <row r="69" spans="1:15" x14ac:dyDescent="0.25">
      <c r="A69" s="61" t="s">
        <v>59</v>
      </c>
      <c r="B69" s="51">
        <v>4478822</v>
      </c>
      <c r="C69" s="51">
        <v>206603</v>
      </c>
      <c r="D69" s="51">
        <v>4685425</v>
      </c>
      <c r="E69" s="51">
        <v>98591</v>
      </c>
      <c r="F69" s="51">
        <v>25187</v>
      </c>
      <c r="G69" s="51">
        <v>28954</v>
      </c>
      <c r="H69" s="63">
        <v>372</v>
      </c>
      <c r="I69" s="51">
        <v>153104</v>
      </c>
      <c r="J69" s="51">
        <v>52237</v>
      </c>
      <c r="K69" s="63">
        <v>183</v>
      </c>
      <c r="L69" s="51">
        <v>52420</v>
      </c>
      <c r="M69" s="51">
        <v>205524</v>
      </c>
      <c r="N69" s="63">
        <v>0</v>
      </c>
      <c r="O69" s="63">
        <v>264</v>
      </c>
    </row>
    <row r="70" spans="1:15" x14ac:dyDescent="0.25">
      <c r="A70" s="61" t="s">
        <v>60</v>
      </c>
      <c r="B70" s="51">
        <v>3823642</v>
      </c>
      <c r="C70" s="51">
        <v>217190</v>
      </c>
      <c r="D70" s="51">
        <v>4040832</v>
      </c>
      <c r="E70" s="51">
        <v>87945</v>
      </c>
      <c r="F70" s="51">
        <v>25275</v>
      </c>
      <c r="G70" s="51">
        <v>29556</v>
      </c>
      <c r="H70" s="63">
        <v>372</v>
      </c>
      <c r="I70" s="51">
        <v>143148</v>
      </c>
      <c r="J70" s="51">
        <v>54722</v>
      </c>
      <c r="K70" s="63">
        <v>183</v>
      </c>
      <c r="L70" s="51">
        <v>54905</v>
      </c>
      <c r="M70" s="51">
        <v>198053</v>
      </c>
      <c r="N70" s="63">
        <v>0</v>
      </c>
      <c r="O70" s="63">
        <v>269</v>
      </c>
    </row>
    <row r="71" spans="1:15" x14ac:dyDescent="0.25">
      <c r="A71" s="61" t="s">
        <v>61</v>
      </c>
      <c r="B71" s="51">
        <v>4245690</v>
      </c>
      <c r="C71" s="51">
        <v>241825</v>
      </c>
      <c r="D71" s="51">
        <v>4487515</v>
      </c>
      <c r="E71" s="51">
        <v>97319</v>
      </c>
      <c r="F71" s="51">
        <v>25194</v>
      </c>
      <c r="G71" s="51">
        <v>30157</v>
      </c>
      <c r="H71" s="63">
        <v>372</v>
      </c>
      <c r="I71" s="51">
        <v>153042</v>
      </c>
      <c r="J71" s="51">
        <v>54804</v>
      </c>
      <c r="K71" s="63">
        <v>183</v>
      </c>
      <c r="L71" s="51">
        <v>54987</v>
      </c>
      <c r="M71" s="51">
        <v>208029</v>
      </c>
      <c r="N71" s="63">
        <v>0</v>
      </c>
      <c r="O71" s="63">
        <v>274</v>
      </c>
    </row>
    <row r="72" spans="1:15" x14ac:dyDescent="0.25">
      <c r="A72" s="61" t="s">
        <v>62</v>
      </c>
      <c r="B72" s="51">
        <v>4549556</v>
      </c>
      <c r="C72" s="51">
        <v>259092</v>
      </c>
      <c r="D72" s="51">
        <v>4808648</v>
      </c>
      <c r="E72" s="51">
        <v>103725</v>
      </c>
      <c r="F72" s="51">
        <v>25331</v>
      </c>
      <c r="G72" s="51">
        <v>30852</v>
      </c>
      <c r="H72" s="63">
        <v>372</v>
      </c>
      <c r="I72" s="51">
        <v>160280</v>
      </c>
      <c r="J72" s="51">
        <v>54885</v>
      </c>
      <c r="K72" s="63">
        <v>183</v>
      </c>
      <c r="L72" s="51">
        <v>55068</v>
      </c>
      <c r="M72" s="51">
        <v>215348</v>
      </c>
      <c r="N72" s="63">
        <v>0</v>
      </c>
      <c r="O72" s="63">
        <v>279</v>
      </c>
    </row>
    <row r="73" spans="1:15" x14ac:dyDescent="0.25">
      <c r="A73" s="61" t="s">
        <v>63</v>
      </c>
      <c r="B73" s="51">
        <v>4763942</v>
      </c>
      <c r="C73" s="51">
        <v>270741</v>
      </c>
      <c r="D73" s="51">
        <v>5034683</v>
      </c>
      <c r="E73" s="51">
        <v>107980</v>
      </c>
      <c r="F73" s="51">
        <v>25593</v>
      </c>
      <c r="G73" s="51">
        <v>31630</v>
      </c>
      <c r="H73" s="63">
        <v>372</v>
      </c>
      <c r="I73" s="51">
        <v>165575</v>
      </c>
      <c r="J73" s="51">
        <v>54967</v>
      </c>
      <c r="K73" s="63">
        <v>183</v>
      </c>
      <c r="L73" s="51">
        <v>55150</v>
      </c>
      <c r="M73" s="51">
        <v>220725</v>
      </c>
      <c r="N73" s="63">
        <v>0</v>
      </c>
      <c r="O73" s="63">
        <v>284</v>
      </c>
    </row>
    <row r="74" spans="1:15" x14ac:dyDescent="0.25">
      <c r="A74" s="61" t="s">
        <v>64</v>
      </c>
      <c r="B74" s="51">
        <v>4926137</v>
      </c>
      <c r="C74" s="51">
        <v>279020</v>
      </c>
      <c r="D74" s="51">
        <v>5205157</v>
      </c>
      <c r="E74" s="51">
        <v>111128</v>
      </c>
      <c r="F74" s="51">
        <v>25858</v>
      </c>
      <c r="G74" s="51">
        <v>31630</v>
      </c>
      <c r="H74" s="63">
        <v>372</v>
      </c>
      <c r="I74" s="51">
        <v>168988</v>
      </c>
      <c r="J74" s="51">
        <v>55049</v>
      </c>
      <c r="K74" s="63">
        <v>183</v>
      </c>
      <c r="L74" s="51">
        <v>55232</v>
      </c>
      <c r="M74" s="51">
        <v>224220</v>
      </c>
      <c r="N74" s="63">
        <v>0</v>
      </c>
      <c r="O74" s="63">
        <v>289</v>
      </c>
    </row>
    <row r="75" spans="1:15" x14ac:dyDescent="0.25">
      <c r="A75" s="61" t="s">
        <v>65</v>
      </c>
      <c r="B75" s="51">
        <v>5081985</v>
      </c>
      <c r="C75" s="51">
        <v>286824</v>
      </c>
      <c r="D75" s="51">
        <v>5368809</v>
      </c>
      <c r="E75" s="51">
        <v>114127</v>
      </c>
      <c r="F75" s="51">
        <v>26126</v>
      </c>
      <c r="G75" s="51">
        <v>31630</v>
      </c>
      <c r="H75" s="63">
        <v>372</v>
      </c>
      <c r="I75" s="51">
        <v>172255</v>
      </c>
      <c r="J75" s="51">
        <v>55132</v>
      </c>
      <c r="K75" s="63">
        <v>183</v>
      </c>
      <c r="L75" s="51">
        <v>55315</v>
      </c>
      <c r="M75" s="51">
        <v>227570</v>
      </c>
      <c r="N75" s="63">
        <v>0</v>
      </c>
      <c r="O75" s="63">
        <v>294</v>
      </c>
    </row>
    <row r="76" spans="1:15" x14ac:dyDescent="0.25">
      <c r="A76" s="61" t="s">
        <v>66</v>
      </c>
      <c r="B76" s="51">
        <v>5241683</v>
      </c>
      <c r="C76" s="51">
        <v>294795</v>
      </c>
      <c r="D76" s="51">
        <v>5536478</v>
      </c>
      <c r="E76" s="51">
        <v>117189</v>
      </c>
      <c r="F76" s="51">
        <v>26397</v>
      </c>
      <c r="G76" s="51">
        <v>31630</v>
      </c>
      <c r="H76" s="63">
        <v>372</v>
      </c>
      <c r="I76" s="51">
        <v>175588</v>
      </c>
      <c r="J76" s="51">
        <v>55214</v>
      </c>
      <c r="K76" s="63">
        <v>183</v>
      </c>
      <c r="L76" s="51">
        <v>55397</v>
      </c>
      <c r="M76" s="51">
        <v>230985</v>
      </c>
      <c r="N76" s="63">
        <v>0</v>
      </c>
      <c r="O76" s="63">
        <v>299</v>
      </c>
    </row>
    <row r="77" spans="1:15" x14ac:dyDescent="0.25">
      <c r="A77" s="61" t="s">
        <v>67</v>
      </c>
      <c r="B77" s="51">
        <v>5408312</v>
      </c>
      <c r="C77" s="51">
        <v>303070</v>
      </c>
      <c r="D77" s="51">
        <v>5711382</v>
      </c>
      <c r="E77" s="51">
        <v>120371</v>
      </c>
      <c r="F77" s="51">
        <v>26671</v>
      </c>
      <c r="G77" s="51">
        <v>31630</v>
      </c>
      <c r="H77" s="63">
        <v>372</v>
      </c>
      <c r="I77" s="51">
        <v>179044</v>
      </c>
      <c r="J77" s="51">
        <v>55296</v>
      </c>
      <c r="K77" s="63">
        <v>183</v>
      </c>
      <c r="L77" s="51">
        <v>55479</v>
      </c>
      <c r="M77" s="51">
        <v>234523</v>
      </c>
      <c r="N77" s="63">
        <v>0</v>
      </c>
      <c r="O77" s="63">
        <v>304</v>
      </c>
    </row>
    <row r="78" spans="1:15" x14ac:dyDescent="0.25">
      <c r="A78" s="61" t="s">
        <v>68</v>
      </c>
      <c r="B78" s="51">
        <v>5582572</v>
      </c>
      <c r="C78" s="51">
        <v>311688</v>
      </c>
      <c r="D78" s="51">
        <v>5894260</v>
      </c>
      <c r="E78" s="51">
        <v>123686</v>
      </c>
      <c r="F78" s="51">
        <v>26948</v>
      </c>
      <c r="G78" s="51">
        <v>31630</v>
      </c>
      <c r="H78" s="63">
        <v>372</v>
      </c>
      <c r="I78" s="51">
        <v>182636</v>
      </c>
      <c r="J78" s="51">
        <v>55379</v>
      </c>
      <c r="K78" s="63">
        <v>183</v>
      </c>
      <c r="L78" s="51">
        <v>55562</v>
      </c>
      <c r="M78" s="51">
        <v>238198</v>
      </c>
      <c r="N78" s="63">
        <v>0</v>
      </c>
      <c r="O78" s="63">
        <v>309</v>
      </c>
    </row>
    <row r="79" spans="1:15" x14ac:dyDescent="0.25">
      <c r="A79" s="61" t="s">
        <v>69</v>
      </c>
      <c r="B79" s="51">
        <v>5766760</v>
      </c>
      <c r="C79" s="51">
        <v>320941</v>
      </c>
      <c r="D79" s="51">
        <v>6087701</v>
      </c>
      <c r="E79" s="51">
        <v>127187</v>
      </c>
      <c r="F79" s="51">
        <v>27228</v>
      </c>
      <c r="G79" s="51">
        <v>31630</v>
      </c>
      <c r="H79" s="63">
        <v>372</v>
      </c>
      <c r="I79" s="51">
        <v>186417</v>
      </c>
      <c r="J79" s="51">
        <v>55462</v>
      </c>
      <c r="K79" s="63">
        <v>183</v>
      </c>
      <c r="L79" s="51">
        <v>55645</v>
      </c>
      <c r="M79" s="51">
        <v>242062</v>
      </c>
      <c r="N79" s="63">
        <v>0</v>
      </c>
      <c r="O79" s="63">
        <v>314</v>
      </c>
    </row>
    <row r="80" spans="1:15" x14ac:dyDescent="0.25">
      <c r="A80" s="61" t="s">
        <v>70</v>
      </c>
      <c r="B80" s="51">
        <v>5964333</v>
      </c>
      <c r="C80" s="51">
        <v>331013</v>
      </c>
      <c r="D80" s="51">
        <v>6295346</v>
      </c>
      <c r="E80" s="51">
        <v>130944</v>
      </c>
      <c r="F80" s="51">
        <v>27511</v>
      </c>
      <c r="G80" s="51">
        <v>31630</v>
      </c>
      <c r="H80" s="63">
        <v>372</v>
      </c>
      <c r="I80" s="51">
        <v>190457</v>
      </c>
      <c r="J80" s="51">
        <v>55545</v>
      </c>
      <c r="K80" s="63">
        <v>183</v>
      </c>
      <c r="L80" s="51">
        <v>55728</v>
      </c>
      <c r="M80" s="51">
        <v>246185</v>
      </c>
      <c r="N80" s="63">
        <v>0</v>
      </c>
      <c r="O80" s="63">
        <v>319</v>
      </c>
    </row>
    <row r="81" spans="1:15" x14ac:dyDescent="0.25">
      <c r="A81" s="61" t="s">
        <v>71</v>
      </c>
      <c r="B81" s="51">
        <v>6164565</v>
      </c>
      <c r="C81" s="51">
        <v>341193</v>
      </c>
      <c r="D81" s="51">
        <v>6505758</v>
      </c>
      <c r="E81" s="51">
        <v>134732</v>
      </c>
      <c r="F81" s="51">
        <v>27797</v>
      </c>
      <c r="G81" s="51">
        <v>31630</v>
      </c>
      <c r="H81" s="63">
        <v>372</v>
      </c>
      <c r="I81" s="51">
        <v>194531</v>
      </c>
      <c r="J81" s="51">
        <v>55627</v>
      </c>
      <c r="K81" s="63">
        <v>183</v>
      </c>
      <c r="L81" s="51">
        <v>55810</v>
      </c>
      <c r="M81" s="51">
        <v>250341</v>
      </c>
      <c r="N81" s="63">
        <v>0</v>
      </c>
      <c r="O81" s="63">
        <v>324</v>
      </c>
    </row>
    <row r="82" spans="1:15" x14ac:dyDescent="0.25">
      <c r="A82" s="61" t="s">
        <v>72</v>
      </c>
      <c r="B82" s="51">
        <v>6366949</v>
      </c>
      <c r="C82" s="51">
        <v>351399</v>
      </c>
      <c r="D82" s="51">
        <v>6718348</v>
      </c>
      <c r="E82" s="51">
        <v>138542</v>
      </c>
      <c r="F82" s="51">
        <v>28086</v>
      </c>
      <c r="G82" s="51">
        <v>31630</v>
      </c>
      <c r="H82" s="63">
        <v>372</v>
      </c>
      <c r="I82" s="51">
        <v>198630</v>
      </c>
      <c r="J82" s="51">
        <v>55711</v>
      </c>
      <c r="K82" s="63">
        <v>183</v>
      </c>
      <c r="L82" s="51">
        <v>55894</v>
      </c>
      <c r="M82" s="51">
        <v>254524</v>
      </c>
      <c r="N82" s="63">
        <v>0</v>
      </c>
      <c r="O82" s="63">
        <v>329</v>
      </c>
    </row>
    <row r="83" spans="1:15" x14ac:dyDescent="0.25">
      <c r="A83" s="61" t="s">
        <v>73</v>
      </c>
      <c r="B83" s="51">
        <v>6574306</v>
      </c>
      <c r="C83" s="51">
        <v>361855</v>
      </c>
      <c r="D83" s="51">
        <v>6936161</v>
      </c>
      <c r="E83" s="51">
        <v>142432</v>
      </c>
      <c r="F83" s="51">
        <v>28379</v>
      </c>
      <c r="G83" s="51">
        <v>31630</v>
      </c>
      <c r="H83" s="63">
        <v>372</v>
      </c>
      <c r="I83" s="51">
        <v>202813</v>
      </c>
      <c r="J83" s="51">
        <v>55794</v>
      </c>
      <c r="K83" s="63">
        <v>183</v>
      </c>
      <c r="L83" s="51">
        <v>55977</v>
      </c>
      <c r="M83" s="51">
        <v>258790</v>
      </c>
      <c r="N83" s="63">
        <v>0</v>
      </c>
      <c r="O83" s="63">
        <v>334</v>
      </c>
    </row>
    <row r="84" spans="1:15" x14ac:dyDescent="0.25">
      <c r="A84" s="61" t="s">
        <v>74</v>
      </c>
      <c r="B84" s="51">
        <v>6789175</v>
      </c>
      <c r="C84" s="51">
        <v>372723</v>
      </c>
      <c r="D84" s="51">
        <v>7161898</v>
      </c>
      <c r="E84" s="51">
        <v>146451</v>
      </c>
      <c r="F84" s="51">
        <v>28675</v>
      </c>
      <c r="G84" s="51">
        <v>31630</v>
      </c>
      <c r="H84" s="63">
        <v>372</v>
      </c>
      <c r="I84" s="51">
        <v>207128</v>
      </c>
      <c r="J84" s="51">
        <v>55877</v>
      </c>
      <c r="K84" s="63">
        <v>183</v>
      </c>
      <c r="L84" s="51">
        <v>56060</v>
      </c>
      <c r="M84" s="51">
        <v>263188</v>
      </c>
      <c r="N84" s="63">
        <v>0</v>
      </c>
      <c r="O84" s="63">
        <v>339</v>
      </c>
    </row>
    <row r="85" spans="1:15" x14ac:dyDescent="0.25">
      <c r="A85" s="61" t="s">
        <v>75</v>
      </c>
      <c r="B85" s="51">
        <v>7004764</v>
      </c>
      <c r="C85" s="51">
        <v>383618</v>
      </c>
      <c r="D85" s="51">
        <v>7388382</v>
      </c>
      <c r="E85" s="51">
        <v>150473</v>
      </c>
      <c r="F85" s="51">
        <v>28974</v>
      </c>
      <c r="G85" s="51">
        <v>31630</v>
      </c>
      <c r="H85" s="63">
        <v>372</v>
      </c>
      <c r="I85" s="51">
        <v>211449</v>
      </c>
      <c r="J85" s="51">
        <v>55961</v>
      </c>
      <c r="K85" s="63">
        <v>183</v>
      </c>
      <c r="L85" s="51">
        <v>56144</v>
      </c>
      <c r="M85" s="51">
        <v>267593</v>
      </c>
      <c r="N85" s="63">
        <v>0</v>
      </c>
      <c r="O85" s="63">
        <v>344</v>
      </c>
    </row>
    <row r="86" spans="1:15" x14ac:dyDescent="0.25">
      <c r="A86" s="61" t="s">
        <v>76</v>
      </c>
      <c r="B86" s="51">
        <v>7225194</v>
      </c>
      <c r="C86" s="51">
        <v>394713</v>
      </c>
      <c r="D86" s="51">
        <v>7619907</v>
      </c>
      <c r="E86" s="51">
        <v>154567</v>
      </c>
      <c r="F86" s="51">
        <v>29277</v>
      </c>
      <c r="G86" s="51">
        <v>31630</v>
      </c>
      <c r="H86" s="63">
        <v>372</v>
      </c>
      <c r="I86" s="51">
        <v>215846</v>
      </c>
      <c r="J86" s="51">
        <v>56044</v>
      </c>
      <c r="K86" s="63">
        <v>183</v>
      </c>
      <c r="L86" s="51">
        <v>56227</v>
      </c>
      <c r="M86" s="51">
        <v>272073</v>
      </c>
      <c r="N86" s="63">
        <v>0</v>
      </c>
      <c r="O86" s="63">
        <v>349</v>
      </c>
    </row>
    <row r="87" spans="1:15" x14ac:dyDescent="0.25">
      <c r="A87" s="61" t="s">
        <v>77</v>
      </c>
      <c r="B87" s="51">
        <v>7453132</v>
      </c>
      <c r="C87" s="51">
        <v>406139</v>
      </c>
      <c r="D87" s="51">
        <v>7859271</v>
      </c>
      <c r="E87" s="51">
        <v>158787</v>
      </c>
      <c r="F87" s="51">
        <v>29583</v>
      </c>
      <c r="G87" s="51">
        <v>31630</v>
      </c>
      <c r="H87" s="63">
        <v>372</v>
      </c>
      <c r="I87" s="51">
        <v>220372</v>
      </c>
      <c r="J87" s="51">
        <v>56128</v>
      </c>
      <c r="K87" s="63">
        <v>183</v>
      </c>
      <c r="L87" s="51">
        <v>56311</v>
      </c>
      <c r="M87" s="51">
        <v>276683</v>
      </c>
      <c r="N87" s="63">
        <v>0</v>
      </c>
      <c r="O87" s="63">
        <v>354</v>
      </c>
    </row>
    <row r="88" spans="1:15" x14ac:dyDescent="0.25">
      <c r="A88" s="61" t="s">
        <v>78</v>
      </c>
      <c r="B88" s="51">
        <v>7683901</v>
      </c>
      <c r="C88" s="51">
        <v>417636</v>
      </c>
      <c r="D88" s="51">
        <v>8101537</v>
      </c>
      <c r="E88" s="51">
        <v>163044</v>
      </c>
      <c r="F88" s="51">
        <v>29893</v>
      </c>
      <c r="G88" s="51">
        <v>31630</v>
      </c>
      <c r="H88" s="63">
        <v>372</v>
      </c>
      <c r="I88" s="51">
        <v>224939</v>
      </c>
      <c r="J88" s="51">
        <v>56212</v>
      </c>
      <c r="K88" s="63">
        <v>183</v>
      </c>
      <c r="L88" s="51">
        <v>56395</v>
      </c>
      <c r="M88" s="51">
        <v>281334</v>
      </c>
      <c r="N88" s="63">
        <v>0</v>
      </c>
      <c r="O88" s="63">
        <v>359</v>
      </c>
    </row>
    <row r="89" spans="1:15" x14ac:dyDescent="0.25">
      <c r="A89" s="61" t="s">
        <v>79</v>
      </c>
      <c r="B89" s="51">
        <v>7918180</v>
      </c>
      <c r="C89" s="51">
        <v>429255</v>
      </c>
      <c r="D89" s="51">
        <v>8347435</v>
      </c>
      <c r="E89" s="51">
        <v>167353</v>
      </c>
      <c r="F89" s="51">
        <v>30206</v>
      </c>
      <c r="G89" s="51">
        <v>31630</v>
      </c>
      <c r="H89" s="63">
        <v>372</v>
      </c>
      <c r="I89" s="51">
        <v>229561</v>
      </c>
      <c r="J89" s="51">
        <v>56296</v>
      </c>
      <c r="K89" s="63">
        <v>183</v>
      </c>
      <c r="L89" s="51">
        <v>56479</v>
      </c>
      <c r="M89" s="51">
        <v>286040</v>
      </c>
      <c r="N89" s="63">
        <v>0</v>
      </c>
      <c r="O89" s="63">
        <v>364</v>
      </c>
    </row>
    <row r="90" spans="1:15" x14ac:dyDescent="0.25">
      <c r="A90" s="61" t="s">
        <v>80</v>
      </c>
      <c r="B90" s="51">
        <v>8159861</v>
      </c>
      <c r="C90" s="51">
        <v>441247</v>
      </c>
      <c r="D90" s="51">
        <v>8601108</v>
      </c>
      <c r="E90" s="51">
        <v>171789</v>
      </c>
      <c r="F90" s="51">
        <v>30523</v>
      </c>
      <c r="G90" s="51">
        <v>31630</v>
      </c>
      <c r="H90" s="63">
        <v>372</v>
      </c>
      <c r="I90" s="51">
        <v>234314</v>
      </c>
      <c r="J90" s="51">
        <v>56380</v>
      </c>
      <c r="K90" s="63">
        <v>183</v>
      </c>
      <c r="L90" s="51">
        <v>56563</v>
      </c>
      <c r="M90" s="51">
        <v>290877</v>
      </c>
      <c r="N90" s="63">
        <v>0</v>
      </c>
      <c r="O90" s="63">
        <v>369</v>
      </c>
    </row>
    <row r="91" spans="1:15" x14ac:dyDescent="0.25">
      <c r="A91" s="61" t="s">
        <v>81</v>
      </c>
      <c r="B91" s="51">
        <v>8408993</v>
      </c>
      <c r="C91" s="51">
        <v>453620</v>
      </c>
      <c r="D91" s="51">
        <v>8862613</v>
      </c>
      <c r="E91" s="51">
        <v>176353</v>
      </c>
      <c r="F91" s="51">
        <v>30843</v>
      </c>
      <c r="G91" s="51">
        <v>31630</v>
      </c>
      <c r="H91" s="63">
        <v>372</v>
      </c>
      <c r="I91" s="51">
        <v>239198</v>
      </c>
      <c r="J91" s="51">
        <v>56464</v>
      </c>
      <c r="K91" s="63">
        <v>183</v>
      </c>
      <c r="L91" s="51">
        <v>56647</v>
      </c>
      <c r="M91" s="51">
        <v>295845</v>
      </c>
      <c r="N91" s="63">
        <v>0</v>
      </c>
      <c r="O91" s="63">
        <v>374</v>
      </c>
    </row>
    <row r="92" spans="1:15" x14ac:dyDescent="0.25">
      <c r="A92" s="61" t="s">
        <v>82</v>
      </c>
      <c r="B92" s="51">
        <v>8660960</v>
      </c>
      <c r="C92" s="51">
        <v>466093</v>
      </c>
      <c r="D92" s="51">
        <v>9127053</v>
      </c>
      <c r="E92" s="51">
        <v>180949</v>
      </c>
      <c r="F92" s="51">
        <v>31167</v>
      </c>
      <c r="G92" s="51">
        <v>31630</v>
      </c>
      <c r="H92" s="63">
        <v>372</v>
      </c>
      <c r="I92" s="51">
        <v>244118</v>
      </c>
      <c r="J92" s="51">
        <v>56548</v>
      </c>
      <c r="K92" s="63">
        <v>183</v>
      </c>
      <c r="L92" s="51">
        <v>56731</v>
      </c>
      <c r="M92" s="51">
        <v>300849</v>
      </c>
      <c r="N92" s="63">
        <v>0</v>
      </c>
      <c r="O92" s="63">
        <v>379</v>
      </c>
    </row>
    <row r="93" spans="1:15" x14ac:dyDescent="0.25">
      <c r="A93" s="61" t="s">
        <v>83</v>
      </c>
      <c r="B93" s="51">
        <v>8921665</v>
      </c>
      <c r="C93" s="51">
        <v>479014</v>
      </c>
      <c r="D93" s="51">
        <v>9400679</v>
      </c>
      <c r="E93" s="51">
        <v>185694</v>
      </c>
      <c r="F93" s="51">
        <v>31495</v>
      </c>
      <c r="G93" s="51">
        <v>31630</v>
      </c>
      <c r="H93" s="63">
        <v>372</v>
      </c>
      <c r="I93" s="51">
        <v>249191</v>
      </c>
      <c r="J93" s="51">
        <v>56633</v>
      </c>
      <c r="K93" s="63">
        <v>183</v>
      </c>
      <c r="L93" s="51">
        <v>56816</v>
      </c>
      <c r="M93" s="51">
        <v>306007</v>
      </c>
      <c r="N93" s="63">
        <v>0</v>
      </c>
      <c r="O93" s="63">
        <v>384</v>
      </c>
    </row>
    <row r="95" spans="1:15" ht="18" x14ac:dyDescent="0.25">
      <c r="A95" s="59" t="s">
        <v>38</v>
      </c>
    </row>
    <row r="96" spans="1:15" ht="18" x14ac:dyDescent="0.25">
      <c r="A96" s="59" t="s">
        <v>39</v>
      </c>
    </row>
    <row r="100" spans="1:15" x14ac:dyDescent="0.25">
      <c r="A100" s="60" t="s">
        <v>40</v>
      </c>
    </row>
    <row r="103" spans="1:15" ht="15" customHeight="1" x14ac:dyDescent="0.25">
      <c r="A103" s="161"/>
      <c r="B103" s="161"/>
      <c r="C103" s="161"/>
      <c r="D103" s="161"/>
      <c r="E103" s="162" t="s">
        <v>41</v>
      </c>
      <c r="F103" s="162"/>
      <c r="G103" s="162"/>
      <c r="H103" s="162"/>
      <c r="I103" s="162"/>
      <c r="J103" s="162"/>
      <c r="K103" s="162"/>
      <c r="L103" s="162"/>
      <c r="M103" s="161"/>
      <c r="N103" s="161"/>
      <c r="O103" s="161"/>
    </row>
    <row r="104" spans="1:15" ht="15" customHeight="1" x14ac:dyDescent="0.25">
      <c r="A104" s="61"/>
      <c r="B104" s="162" t="s">
        <v>42</v>
      </c>
      <c r="C104" s="162"/>
      <c r="D104" s="162"/>
      <c r="E104" s="162" t="s">
        <v>43</v>
      </c>
      <c r="F104" s="162"/>
      <c r="G104" s="162"/>
      <c r="H104" s="162"/>
      <c r="I104" s="162"/>
      <c r="J104" s="162" t="s">
        <v>44</v>
      </c>
      <c r="K104" s="162"/>
      <c r="L104" s="162"/>
      <c r="M104" s="161"/>
      <c r="N104" s="161"/>
      <c r="O104" s="161"/>
    </row>
    <row r="105" spans="1:15" x14ac:dyDescent="0.25">
      <c r="A105" s="62" t="s">
        <v>45</v>
      </c>
      <c r="B105" s="62" t="s">
        <v>46</v>
      </c>
      <c r="C105" s="163" t="s">
        <v>48</v>
      </c>
      <c r="D105" s="163" t="s">
        <v>3</v>
      </c>
      <c r="E105" s="62" t="s">
        <v>46</v>
      </c>
      <c r="F105" s="62" t="s">
        <v>49</v>
      </c>
      <c r="G105" s="163" t="s">
        <v>50</v>
      </c>
      <c r="H105" s="163" t="s">
        <v>51</v>
      </c>
      <c r="I105" s="163" t="s">
        <v>3</v>
      </c>
      <c r="J105" s="163" t="s">
        <v>52</v>
      </c>
      <c r="K105" s="163" t="s">
        <v>51</v>
      </c>
      <c r="L105" s="163" t="s">
        <v>3</v>
      </c>
      <c r="M105" s="62" t="s">
        <v>3</v>
      </c>
      <c r="N105" s="62" t="s">
        <v>3</v>
      </c>
      <c r="O105" s="62" t="s">
        <v>55</v>
      </c>
    </row>
    <row r="106" spans="1:15" x14ac:dyDescent="0.25">
      <c r="A106" s="62" t="s">
        <v>4</v>
      </c>
      <c r="B106" s="62" t="s">
        <v>47</v>
      </c>
      <c r="C106" s="163"/>
      <c r="D106" s="163"/>
      <c r="E106" s="62" t="s">
        <v>47</v>
      </c>
      <c r="F106" s="62" t="s">
        <v>48</v>
      </c>
      <c r="G106" s="163"/>
      <c r="H106" s="163"/>
      <c r="I106" s="163"/>
      <c r="J106" s="163"/>
      <c r="K106" s="163"/>
      <c r="L106" s="163"/>
      <c r="M106" s="62" t="s">
        <v>53</v>
      </c>
      <c r="N106" s="62" t="s">
        <v>54</v>
      </c>
      <c r="O106" s="62" t="s">
        <v>56</v>
      </c>
    </row>
    <row r="107" spans="1:15" x14ac:dyDescent="0.25">
      <c r="A107" s="62"/>
      <c r="B107" s="62"/>
      <c r="C107" s="163"/>
      <c r="D107" s="163"/>
      <c r="E107" s="62"/>
      <c r="F107" s="62"/>
      <c r="G107" s="163"/>
      <c r="H107" s="163"/>
      <c r="I107" s="163"/>
      <c r="J107" s="163"/>
      <c r="K107" s="163"/>
      <c r="L107" s="163"/>
      <c r="M107" s="62"/>
      <c r="N107" s="62" t="s">
        <v>53</v>
      </c>
      <c r="O107" s="62"/>
    </row>
    <row r="108" spans="1:15" x14ac:dyDescent="0.25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</row>
    <row r="109" spans="1:15" x14ac:dyDescent="0.25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</row>
    <row r="110" spans="1:15" x14ac:dyDescent="0.25">
      <c r="A110" s="61" t="s">
        <v>84</v>
      </c>
      <c r="B110" s="51">
        <v>9193097</v>
      </c>
      <c r="C110" s="51">
        <v>492519</v>
      </c>
      <c r="D110" s="51">
        <v>9685616</v>
      </c>
      <c r="E110" s="51">
        <v>190625</v>
      </c>
      <c r="F110" s="51">
        <v>31827</v>
      </c>
      <c r="G110" s="51">
        <v>31630</v>
      </c>
      <c r="H110" s="63">
        <v>372</v>
      </c>
      <c r="I110" s="51">
        <v>254454</v>
      </c>
      <c r="J110" s="51">
        <v>56717</v>
      </c>
      <c r="K110" s="63">
        <v>183</v>
      </c>
      <c r="L110" s="51">
        <v>56900</v>
      </c>
      <c r="M110" s="51">
        <v>311354</v>
      </c>
      <c r="N110" s="63">
        <v>0</v>
      </c>
      <c r="O110" s="63">
        <v>389</v>
      </c>
    </row>
    <row r="111" spans="1:15" x14ac:dyDescent="0.25">
      <c r="A111" s="61" t="s">
        <v>85</v>
      </c>
      <c r="B111" s="51">
        <v>9466950</v>
      </c>
      <c r="C111" s="51">
        <v>506026</v>
      </c>
      <c r="D111" s="51">
        <v>9972976</v>
      </c>
      <c r="E111" s="51">
        <v>195582</v>
      </c>
      <c r="F111" s="51">
        <v>32163</v>
      </c>
      <c r="G111" s="51">
        <v>31630</v>
      </c>
      <c r="H111" s="63">
        <v>372</v>
      </c>
      <c r="I111" s="51">
        <v>259747</v>
      </c>
      <c r="J111" s="51">
        <v>56802</v>
      </c>
      <c r="K111" s="63">
        <v>183</v>
      </c>
      <c r="L111" s="51">
        <v>56985</v>
      </c>
      <c r="M111" s="51">
        <v>316732</v>
      </c>
      <c r="N111" s="63">
        <v>0</v>
      </c>
      <c r="O111" s="63">
        <v>394</v>
      </c>
    </row>
    <row r="112" spans="1:15" x14ac:dyDescent="0.25">
      <c r="A112" s="61" t="s">
        <v>86</v>
      </c>
      <c r="B112" s="51">
        <v>9754781</v>
      </c>
      <c r="C112" s="51">
        <v>520224</v>
      </c>
      <c r="D112" s="51">
        <v>10275005</v>
      </c>
      <c r="E112" s="51">
        <v>200779</v>
      </c>
      <c r="F112" s="51">
        <v>32503</v>
      </c>
      <c r="G112" s="51">
        <v>31630</v>
      </c>
      <c r="H112" s="63">
        <v>372</v>
      </c>
      <c r="I112" s="51">
        <v>265284</v>
      </c>
      <c r="J112" s="51">
        <v>56887</v>
      </c>
      <c r="K112" s="63">
        <v>183</v>
      </c>
      <c r="L112" s="51">
        <v>57070</v>
      </c>
      <c r="M112" s="51">
        <v>322354</v>
      </c>
      <c r="N112" s="63">
        <v>0</v>
      </c>
      <c r="O112" s="63">
        <v>399</v>
      </c>
    </row>
    <row r="113" spans="1:15" x14ac:dyDescent="0.25">
      <c r="A113" s="61" t="s">
        <v>87</v>
      </c>
      <c r="B113" s="51">
        <v>10052069</v>
      </c>
      <c r="C113" s="51">
        <v>534858</v>
      </c>
      <c r="D113" s="51">
        <v>10586927</v>
      </c>
      <c r="E113" s="51">
        <v>206131</v>
      </c>
      <c r="F113" s="51">
        <v>32847</v>
      </c>
      <c r="G113" s="51">
        <v>31630</v>
      </c>
      <c r="H113" s="63">
        <v>372</v>
      </c>
      <c r="I113" s="51">
        <v>270980</v>
      </c>
      <c r="J113" s="51">
        <v>56972</v>
      </c>
      <c r="K113" s="63">
        <v>183</v>
      </c>
      <c r="L113" s="51">
        <v>57155</v>
      </c>
      <c r="M113" s="51">
        <v>328135</v>
      </c>
      <c r="N113" s="63">
        <v>0</v>
      </c>
      <c r="O113" s="63">
        <v>404</v>
      </c>
    </row>
    <row r="114" spans="1:15" x14ac:dyDescent="0.25">
      <c r="A114" s="61" t="s">
        <v>88</v>
      </c>
      <c r="B114" s="51">
        <v>10358159</v>
      </c>
      <c r="C114" s="51">
        <v>549931</v>
      </c>
      <c r="D114" s="51">
        <v>10908090</v>
      </c>
      <c r="E114" s="51">
        <v>211627</v>
      </c>
      <c r="F114" s="51">
        <v>33195</v>
      </c>
      <c r="G114" s="51">
        <v>31630</v>
      </c>
      <c r="H114" s="63">
        <v>372</v>
      </c>
      <c r="I114" s="51">
        <v>276824</v>
      </c>
      <c r="J114" s="51">
        <v>57057</v>
      </c>
      <c r="K114" s="63">
        <v>183</v>
      </c>
      <c r="L114" s="51">
        <v>57240</v>
      </c>
      <c r="M114" s="51">
        <v>334064</v>
      </c>
      <c r="N114" s="63">
        <v>0</v>
      </c>
      <c r="O114" s="63">
        <v>409</v>
      </c>
    </row>
    <row r="115" spans="1:15" x14ac:dyDescent="0.25">
      <c r="A115" s="61" t="s">
        <v>89</v>
      </c>
      <c r="B115" s="51">
        <v>10675309</v>
      </c>
      <c r="C115" s="51">
        <v>565535</v>
      </c>
      <c r="D115" s="51">
        <v>11240844</v>
      </c>
      <c r="E115" s="51">
        <v>217308</v>
      </c>
      <c r="F115" s="51">
        <v>33547</v>
      </c>
      <c r="G115" s="51">
        <v>31630</v>
      </c>
      <c r="H115" s="63">
        <v>372</v>
      </c>
      <c r="I115" s="51">
        <v>282857</v>
      </c>
      <c r="J115" s="51">
        <v>57142</v>
      </c>
      <c r="K115" s="63">
        <v>183</v>
      </c>
      <c r="L115" s="51">
        <v>57325</v>
      </c>
      <c r="M115" s="51">
        <v>340182</v>
      </c>
      <c r="N115" s="63">
        <v>0</v>
      </c>
      <c r="O115" s="63">
        <v>414</v>
      </c>
    </row>
    <row r="116" spans="1:15" ht="15" customHeight="1" x14ac:dyDescent="0.25">
      <c r="A116" s="166" t="s">
        <v>90</v>
      </c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</row>
    <row r="117" spans="1:15" ht="15" customHeight="1" x14ac:dyDescent="0.25">
      <c r="A117" s="166" t="s">
        <v>91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</row>
    <row r="118" spans="1:15" x14ac:dyDescent="0.25">
      <c r="A118" s="61">
        <v>1990</v>
      </c>
      <c r="B118" s="51">
        <v>14599154</v>
      </c>
      <c r="C118" s="51">
        <v>92625</v>
      </c>
      <c r="D118" s="51">
        <v>14691779</v>
      </c>
      <c r="E118" s="51">
        <v>313321</v>
      </c>
      <c r="F118" s="51">
        <v>77791</v>
      </c>
      <c r="G118" s="51">
        <v>32190</v>
      </c>
      <c r="H118" s="51">
        <v>2574</v>
      </c>
      <c r="I118" s="51">
        <v>425876</v>
      </c>
      <c r="J118" s="51">
        <v>11254</v>
      </c>
      <c r="K118" s="63">
        <v>0</v>
      </c>
      <c r="L118" s="51">
        <v>11254</v>
      </c>
      <c r="M118" s="51">
        <v>437130</v>
      </c>
      <c r="N118" s="63">
        <v>0</v>
      </c>
      <c r="O118" s="63">
        <v>29</v>
      </c>
    </row>
    <row r="119" spans="1:15" x14ac:dyDescent="0.25">
      <c r="A119" s="61">
        <v>1991</v>
      </c>
      <c r="B119" s="51">
        <v>15043625</v>
      </c>
      <c r="C119" s="51">
        <v>705570</v>
      </c>
      <c r="D119" s="51">
        <v>15749195</v>
      </c>
      <c r="E119" s="51">
        <v>310013</v>
      </c>
      <c r="F119" s="51">
        <v>85969</v>
      </c>
      <c r="G119" s="51">
        <v>26195</v>
      </c>
      <c r="H119" s="51">
        <v>2361</v>
      </c>
      <c r="I119" s="51">
        <v>424538</v>
      </c>
      <c r="J119" s="51">
        <v>10771</v>
      </c>
      <c r="K119" s="63">
        <v>0</v>
      </c>
      <c r="L119" s="51">
        <v>10771</v>
      </c>
      <c r="M119" s="51">
        <v>435309</v>
      </c>
      <c r="N119" s="63">
        <v>0</v>
      </c>
      <c r="O119" s="63">
        <v>26</v>
      </c>
    </row>
    <row r="120" spans="1:15" x14ac:dyDescent="0.25">
      <c r="A120" s="61">
        <v>1992</v>
      </c>
      <c r="B120" s="51">
        <v>15257080</v>
      </c>
      <c r="C120" s="51">
        <v>678583</v>
      </c>
      <c r="D120" s="51">
        <v>15935663</v>
      </c>
      <c r="E120" s="51">
        <v>296904</v>
      </c>
      <c r="F120" s="51">
        <v>92850</v>
      </c>
      <c r="G120" s="51">
        <v>22870</v>
      </c>
      <c r="H120" s="51">
        <v>2419</v>
      </c>
      <c r="I120" s="51">
        <v>415043</v>
      </c>
      <c r="J120" s="51">
        <v>9786</v>
      </c>
      <c r="K120" s="63">
        <v>0</v>
      </c>
      <c r="L120" s="51">
        <v>9786</v>
      </c>
      <c r="M120" s="51">
        <v>424829</v>
      </c>
      <c r="N120" s="63">
        <v>0</v>
      </c>
      <c r="O120" s="63">
        <v>25</v>
      </c>
    </row>
    <row r="121" spans="1:15" x14ac:dyDescent="0.25">
      <c r="A121" s="61">
        <v>1993</v>
      </c>
      <c r="B121" s="51">
        <v>14935725</v>
      </c>
      <c r="C121" s="51">
        <v>702898</v>
      </c>
      <c r="D121" s="51">
        <v>15638623</v>
      </c>
      <c r="E121" s="51">
        <v>287404</v>
      </c>
      <c r="F121" s="51">
        <v>101982</v>
      </c>
      <c r="G121" s="51">
        <v>22211</v>
      </c>
      <c r="H121" s="51">
        <v>2322</v>
      </c>
      <c r="I121" s="51">
        <v>413919</v>
      </c>
      <c r="J121" s="51">
        <v>9485</v>
      </c>
      <c r="K121" s="63">
        <v>0</v>
      </c>
      <c r="L121" s="51">
        <v>9485</v>
      </c>
      <c r="M121" s="51">
        <v>423404</v>
      </c>
      <c r="N121" s="63">
        <v>0</v>
      </c>
      <c r="O121" s="63">
        <v>25</v>
      </c>
    </row>
    <row r="122" spans="1:15" x14ac:dyDescent="0.25">
      <c r="A122" s="61">
        <v>1994</v>
      </c>
      <c r="B122" s="51">
        <v>15594959</v>
      </c>
      <c r="C122" s="51">
        <v>801104</v>
      </c>
      <c r="D122" s="51">
        <v>16396063</v>
      </c>
      <c r="E122" s="51">
        <v>287742</v>
      </c>
      <c r="F122" s="51">
        <v>105492</v>
      </c>
      <c r="G122" s="51">
        <v>24427</v>
      </c>
      <c r="H122" s="51">
        <v>2672</v>
      </c>
      <c r="I122" s="51">
        <v>420333</v>
      </c>
      <c r="J122" s="51">
        <v>10047</v>
      </c>
      <c r="K122" s="63">
        <v>0</v>
      </c>
      <c r="L122" s="51">
        <v>10047</v>
      </c>
      <c r="M122" s="51">
        <v>430380</v>
      </c>
      <c r="N122" s="63">
        <v>0</v>
      </c>
      <c r="O122" s="63">
        <v>25</v>
      </c>
    </row>
    <row r="123" spans="1:15" x14ac:dyDescent="0.25">
      <c r="A123" s="61">
        <v>1995</v>
      </c>
      <c r="B123" s="51">
        <v>16179584</v>
      </c>
      <c r="C123" s="51">
        <v>707763</v>
      </c>
      <c r="D123" s="51">
        <v>16887347</v>
      </c>
      <c r="E123" s="51">
        <v>299444</v>
      </c>
      <c r="F123" s="51">
        <v>96936</v>
      </c>
      <c r="G123" s="51">
        <v>25664</v>
      </c>
      <c r="H123" s="51">
        <v>2465</v>
      </c>
      <c r="I123" s="51">
        <v>424509</v>
      </c>
      <c r="J123" s="51">
        <v>12398</v>
      </c>
      <c r="K123" s="63">
        <v>0</v>
      </c>
      <c r="L123" s="51">
        <v>12398</v>
      </c>
      <c r="M123" s="51">
        <v>436907</v>
      </c>
      <c r="N123" s="63">
        <v>0</v>
      </c>
      <c r="O123" s="63">
        <v>25</v>
      </c>
    </row>
    <row r="124" spans="1:15" x14ac:dyDescent="0.25">
      <c r="A124" s="61">
        <v>1996</v>
      </c>
      <c r="B124" s="51">
        <v>17731701</v>
      </c>
      <c r="C124" s="51">
        <v>615548</v>
      </c>
      <c r="D124" s="51">
        <v>18347249</v>
      </c>
      <c r="E124" s="51">
        <v>322328</v>
      </c>
      <c r="F124" s="51">
        <v>77387</v>
      </c>
      <c r="G124" s="51">
        <v>26704</v>
      </c>
      <c r="H124" s="51">
        <v>2396</v>
      </c>
      <c r="I124" s="51">
        <v>428815</v>
      </c>
      <c r="J124" s="51">
        <v>13362</v>
      </c>
      <c r="K124" s="63">
        <v>104</v>
      </c>
      <c r="L124" s="51">
        <v>13466</v>
      </c>
      <c r="M124" s="51">
        <v>442281</v>
      </c>
      <c r="N124" s="63">
        <v>0</v>
      </c>
      <c r="O124" s="63">
        <v>25</v>
      </c>
    </row>
    <row r="125" spans="1:15" x14ac:dyDescent="0.25">
      <c r="A125" s="61">
        <v>1997</v>
      </c>
      <c r="B125" s="51">
        <v>18413138</v>
      </c>
      <c r="C125" s="51">
        <v>591576</v>
      </c>
      <c r="D125" s="51">
        <v>19004714</v>
      </c>
      <c r="E125" s="51">
        <v>329238</v>
      </c>
      <c r="F125" s="51">
        <v>73155</v>
      </c>
      <c r="G125" s="51">
        <v>26291</v>
      </c>
      <c r="H125" s="51">
        <v>2657</v>
      </c>
      <c r="I125" s="51">
        <v>431341</v>
      </c>
      <c r="J125" s="51">
        <v>15666</v>
      </c>
      <c r="K125" s="63">
        <v>110</v>
      </c>
      <c r="L125" s="51">
        <v>15776</v>
      </c>
      <c r="M125" s="51">
        <v>447117</v>
      </c>
      <c r="N125" s="63">
        <v>0</v>
      </c>
      <c r="O125" s="63">
        <v>25</v>
      </c>
    </row>
    <row r="126" spans="1:15" x14ac:dyDescent="0.25">
      <c r="A126" s="61">
        <v>1998</v>
      </c>
      <c r="B126" s="51">
        <v>18615701</v>
      </c>
      <c r="C126" s="51">
        <v>589747</v>
      </c>
      <c r="D126" s="51">
        <v>19205448</v>
      </c>
      <c r="E126" s="51">
        <v>334354</v>
      </c>
      <c r="F126" s="51">
        <v>71824</v>
      </c>
      <c r="G126" s="51">
        <v>26023</v>
      </c>
      <c r="H126" s="51">
        <v>2807</v>
      </c>
      <c r="I126" s="51">
        <v>435008</v>
      </c>
      <c r="J126" s="63">
        <v>0</v>
      </c>
      <c r="K126" s="63">
        <v>0</v>
      </c>
      <c r="L126" s="63">
        <v>0</v>
      </c>
      <c r="M126" s="51">
        <v>435008</v>
      </c>
      <c r="N126" s="63">
        <v>0</v>
      </c>
      <c r="O126" s="63">
        <v>25</v>
      </c>
    </row>
    <row r="127" spans="1:15" x14ac:dyDescent="0.25">
      <c r="A127" s="61">
        <v>1999</v>
      </c>
      <c r="B127" s="51">
        <v>18618549</v>
      </c>
      <c r="C127" s="51">
        <v>606425</v>
      </c>
      <c r="D127" s="51">
        <v>19224974</v>
      </c>
      <c r="E127" s="51">
        <v>332161</v>
      </c>
      <c r="F127" s="51">
        <v>74293</v>
      </c>
      <c r="G127" s="51">
        <v>26332</v>
      </c>
      <c r="H127" s="51">
        <v>2526</v>
      </c>
      <c r="I127" s="51">
        <v>435312</v>
      </c>
      <c r="J127" s="51">
        <v>1347</v>
      </c>
      <c r="K127" s="63">
        <v>0</v>
      </c>
      <c r="L127" s="51">
        <v>1347</v>
      </c>
      <c r="M127" s="51">
        <v>436659</v>
      </c>
      <c r="N127" s="63">
        <v>0</v>
      </c>
      <c r="O127" s="63">
        <v>25</v>
      </c>
    </row>
    <row r="128" spans="1:15" x14ac:dyDescent="0.25">
      <c r="A128" s="61">
        <v>2000</v>
      </c>
      <c r="B128" s="51">
        <v>19023989</v>
      </c>
      <c r="C128" s="51">
        <v>623527</v>
      </c>
      <c r="D128" s="51">
        <v>19647516</v>
      </c>
      <c r="E128" s="51">
        <v>330225</v>
      </c>
      <c r="F128" s="51">
        <v>77240</v>
      </c>
      <c r="G128" s="51">
        <v>26732</v>
      </c>
      <c r="H128" s="51">
        <v>2234</v>
      </c>
      <c r="I128" s="51">
        <v>436431</v>
      </c>
      <c r="J128" s="51">
        <v>1329</v>
      </c>
      <c r="K128" s="63">
        <v>3</v>
      </c>
      <c r="L128" s="51">
        <v>1332</v>
      </c>
      <c r="M128" s="51">
        <v>437763</v>
      </c>
      <c r="N128" s="63">
        <v>0</v>
      </c>
      <c r="O128" s="63">
        <v>25</v>
      </c>
    </row>
    <row r="129" spans="1:15" x14ac:dyDescent="0.25">
      <c r="A129" s="61">
        <v>2001</v>
      </c>
      <c r="B129" s="51">
        <v>17325346</v>
      </c>
      <c r="C129" s="51">
        <v>550580</v>
      </c>
      <c r="D129" s="51">
        <v>17875926</v>
      </c>
      <c r="E129" s="51">
        <v>318595</v>
      </c>
      <c r="F129" s="51">
        <v>66220</v>
      </c>
      <c r="G129" s="51">
        <v>19858</v>
      </c>
      <c r="H129" s="51">
        <v>2362</v>
      </c>
      <c r="I129" s="51">
        <v>407035</v>
      </c>
      <c r="J129" s="63">
        <v>5</v>
      </c>
      <c r="K129" s="63">
        <v>0</v>
      </c>
      <c r="L129" s="63">
        <v>5</v>
      </c>
      <c r="M129" s="51">
        <v>407040</v>
      </c>
      <c r="N129" s="63">
        <v>0</v>
      </c>
      <c r="O129" s="63">
        <v>25</v>
      </c>
    </row>
    <row r="130" spans="1:15" x14ac:dyDescent="0.25">
      <c r="A130" s="61">
        <v>2002</v>
      </c>
      <c r="B130" s="51">
        <v>14162944</v>
      </c>
      <c r="C130" s="51">
        <v>483010</v>
      </c>
      <c r="D130" s="51">
        <v>14645954</v>
      </c>
      <c r="E130" s="51">
        <v>260501</v>
      </c>
      <c r="F130" s="51">
        <v>70587</v>
      </c>
      <c r="G130" s="51">
        <v>16386</v>
      </c>
      <c r="H130" s="51">
        <v>2659</v>
      </c>
      <c r="I130" s="51">
        <v>350133</v>
      </c>
      <c r="J130" s="63">
        <v>0</v>
      </c>
      <c r="K130" s="63">
        <v>0</v>
      </c>
      <c r="L130" s="63">
        <v>0</v>
      </c>
      <c r="M130" s="51">
        <v>350133</v>
      </c>
      <c r="N130" s="63">
        <v>0</v>
      </c>
      <c r="O130" s="63">
        <v>25</v>
      </c>
    </row>
    <row r="131" spans="1:15" x14ac:dyDescent="0.25">
      <c r="A131" s="61">
        <v>2003</v>
      </c>
      <c r="B131" s="51">
        <v>13167468</v>
      </c>
      <c r="C131" s="51">
        <v>834928</v>
      </c>
      <c r="D131" s="51">
        <v>14002396</v>
      </c>
      <c r="E131" s="51">
        <v>237228</v>
      </c>
      <c r="F131" s="51">
        <v>79633</v>
      </c>
      <c r="G131" s="51">
        <v>16137</v>
      </c>
      <c r="H131" s="51">
        <v>2787</v>
      </c>
      <c r="I131" s="51">
        <v>335785</v>
      </c>
      <c r="J131" s="63">
        <v>0</v>
      </c>
      <c r="K131" s="63">
        <v>0</v>
      </c>
      <c r="L131" s="63">
        <v>0</v>
      </c>
      <c r="M131" s="51">
        <v>335785</v>
      </c>
      <c r="N131" s="63">
        <v>0</v>
      </c>
      <c r="O131" s="63">
        <v>25</v>
      </c>
    </row>
    <row r="132" spans="1:15" x14ac:dyDescent="0.25">
      <c r="A132" s="61">
        <v>2004</v>
      </c>
      <c r="B132" s="51">
        <v>14283232</v>
      </c>
      <c r="C132" s="51">
        <v>1106235</v>
      </c>
      <c r="D132" s="51">
        <v>15389467</v>
      </c>
      <c r="E132" s="51">
        <v>242886</v>
      </c>
      <c r="F132" s="51">
        <v>88612</v>
      </c>
      <c r="G132" s="51">
        <v>18446</v>
      </c>
      <c r="H132" s="51">
        <v>2673</v>
      </c>
      <c r="I132" s="51">
        <v>352617</v>
      </c>
      <c r="J132" s="63">
        <v>0</v>
      </c>
      <c r="K132" s="63">
        <v>0</v>
      </c>
      <c r="L132" s="63">
        <v>0</v>
      </c>
      <c r="M132" s="51">
        <v>352617</v>
      </c>
      <c r="N132" s="63">
        <v>0</v>
      </c>
      <c r="O132" s="63">
        <v>18</v>
      </c>
    </row>
    <row r="133" spans="1:15" x14ac:dyDescent="0.25">
      <c r="A133" s="61">
        <v>2005</v>
      </c>
      <c r="B133" s="51">
        <v>14625017</v>
      </c>
      <c r="C133" s="51">
        <v>1314815</v>
      </c>
      <c r="D133" s="51">
        <v>15939832</v>
      </c>
      <c r="E133" s="51">
        <v>239325</v>
      </c>
      <c r="F133" s="51">
        <v>89053</v>
      </c>
      <c r="G133" s="51">
        <v>19296</v>
      </c>
      <c r="H133" s="51">
        <v>2609</v>
      </c>
      <c r="I133" s="51">
        <v>350283</v>
      </c>
      <c r="J133" s="63">
        <v>224</v>
      </c>
      <c r="K133" s="63">
        <v>1</v>
      </c>
      <c r="L133" s="63">
        <v>225</v>
      </c>
      <c r="M133" s="51">
        <v>350508</v>
      </c>
      <c r="N133" s="63">
        <v>0</v>
      </c>
      <c r="O133" s="63">
        <v>18</v>
      </c>
    </row>
    <row r="134" spans="1:15" x14ac:dyDescent="0.25">
      <c r="A134" s="61">
        <v>2006</v>
      </c>
      <c r="B134" s="51">
        <v>14838388</v>
      </c>
      <c r="C134" s="51">
        <v>1353589</v>
      </c>
      <c r="D134" s="51">
        <v>16191977</v>
      </c>
      <c r="E134" s="51">
        <v>247223</v>
      </c>
      <c r="F134" s="51">
        <v>89638</v>
      </c>
      <c r="G134" s="51">
        <v>18384</v>
      </c>
      <c r="H134" s="51">
        <v>2499</v>
      </c>
      <c r="I134" s="51">
        <v>357744</v>
      </c>
      <c r="J134" s="63">
        <v>213</v>
      </c>
      <c r="K134" s="63">
        <v>0</v>
      </c>
      <c r="L134" s="63">
        <v>213</v>
      </c>
      <c r="M134" s="51">
        <v>357957</v>
      </c>
      <c r="N134" s="63">
        <v>0</v>
      </c>
      <c r="O134" s="63">
        <v>18</v>
      </c>
    </row>
    <row r="135" spans="1:15" x14ac:dyDescent="0.25">
      <c r="A135" s="61">
        <v>2007</v>
      </c>
      <c r="B135" s="51">
        <v>15508129</v>
      </c>
      <c r="C135" s="51">
        <v>1406691</v>
      </c>
      <c r="D135" s="51">
        <v>16914820</v>
      </c>
      <c r="E135" s="51">
        <v>254918</v>
      </c>
      <c r="F135" s="51">
        <v>94603</v>
      </c>
      <c r="G135" s="51">
        <v>19169</v>
      </c>
      <c r="H135" s="51">
        <v>2579</v>
      </c>
      <c r="I135" s="51">
        <v>371269</v>
      </c>
      <c r="J135" s="63">
        <v>22</v>
      </c>
      <c r="K135" s="63">
        <v>0</v>
      </c>
      <c r="L135" s="63">
        <v>22</v>
      </c>
      <c r="M135" s="51">
        <v>371291</v>
      </c>
      <c r="N135" s="63">
        <v>0</v>
      </c>
      <c r="O135" s="63">
        <v>16</v>
      </c>
    </row>
    <row r="136" spans="1:15" x14ac:dyDescent="0.25">
      <c r="A136" s="61">
        <v>2008</v>
      </c>
      <c r="B136" s="51">
        <v>16824191</v>
      </c>
      <c r="C136" s="51">
        <v>1290564</v>
      </c>
      <c r="D136" s="51">
        <v>18114755</v>
      </c>
      <c r="E136" s="51">
        <v>285978</v>
      </c>
      <c r="F136" s="51">
        <v>88364</v>
      </c>
      <c r="G136" s="51">
        <v>16604</v>
      </c>
      <c r="H136" s="51">
        <v>2691</v>
      </c>
      <c r="I136" s="51">
        <v>393637</v>
      </c>
      <c r="J136" s="63">
        <v>77</v>
      </c>
      <c r="K136" s="63">
        <v>0</v>
      </c>
      <c r="L136" s="63">
        <v>77</v>
      </c>
      <c r="M136" s="51">
        <v>393714</v>
      </c>
      <c r="N136" s="63">
        <v>0</v>
      </c>
      <c r="O136" s="63">
        <v>10</v>
      </c>
    </row>
    <row r="137" spans="1:15" x14ac:dyDescent="0.25">
      <c r="A137" s="61">
        <v>2009</v>
      </c>
      <c r="B137" s="51">
        <v>16738574</v>
      </c>
      <c r="C137" s="51">
        <v>1434387</v>
      </c>
      <c r="D137" s="51">
        <v>18172961</v>
      </c>
      <c r="E137" s="51">
        <v>277394</v>
      </c>
      <c r="F137" s="51">
        <v>84654</v>
      </c>
      <c r="G137" s="51">
        <v>13119</v>
      </c>
      <c r="H137" s="51">
        <v>2935</v>
      </c>
      <c r="I137" s="51">
        <v>378102</v>
      </c>
      <c r="J137" s="63">
        <v>103</v>
      </c>
      <c r="K137" s="63">
        <v>0</v>
      </c>
      <c r="L137" s="63">
        <v>103</v>
      </c>
      <c r="M137" s="51">
        <v>378205</v>
      </c>
      <c r="N137" s="63">
        <v>0</v>
      </c>
      <c r="O137" s="63">
        <v>17</v>
      </c>
    </row>
    <row r="138" spans="1:15" x14ac:dyDescent="0.25">
      <c r="A138" s="61">
        <v>2010</v>
      </c>
      <c r="B138" s="51">
        <v>17261496</v>
      </c>
      <c r="C138" s="51">
        <v>1780027</v>
      </c>
      <c r="D138" s="51">
        <v>19041523</v>
      </c>
      <c r="E138" s="51">
        <v>286342</v>
      </c>
      <c r="F138" s="51">
        <v>83002</v>
      </c>
      <c r="G138" s="51">
        <v>13448</v>
      </c>
      <c r="H138" s="51">
        <v>3272</v>
      </c>
      <c r="I138" s="51">
        <v>386064</v>
      </c>
      <c r="J138" s="63">
        <v>0</v>
      </c>
      <c r="K138" s="63">
        <v>0</v>
      </c>
      <c r="L138" s="63">
        <v>0</v>
      </c>
      <c r="M138" s="51">
        <v>386064</v>
      </c>
      <c r="N138" s="63">
        <v>0</v>
      </c>
      <c r="O138" s="63">
        <v>12</v>
      </c>
    </row>
    <row r="139" spans="1:15" x14ac:dyDescent="0.25">
      <c r="A139" s="61">
        <v>2011</v>
      </c>
      <c r="B139" s="51">
        <v>17912336</v>
      </c>
      <c r="C139" s="51">
        <v>1955147</v>
      </c>
      <c r="D139" s="51">
        <v>19867483</v>
      </c>
      <c r="E139" s="51">
        <v>292899</v>
      </c>
      <c r="F139" s="51">
        <v>88620</v>
      </c>
      <c r="G139" s="51">
        <v>13641</v>
      </c>
      <c r="H139" s="51">
        <v>3212</v>
      </c>
      <c r="I139" s="51">
        <v>398372</v>
      </c>
      <c r="J139" s="63">
        <v>0</v>
      </c>
      <c r="K139" s="63">
        <v>0</v>
      </c>
      <c r="L139" s="63">
        <v>0</v>
      </c>
      <c r="M139" s="51">
        <v>398372</v>
      </c>
      <c r="N139" s="63">
        <v>0</v>
      </c>
      <c r="O139" s="63">
        <v>12</v>
      </c>
    </row>
    <row r="140" spans="1:15" x14ac:dyDescent="0.25">
      <c r="A140" s="61">
        <v>2012</v>
      </c>
      <c r="B140" s="51">
        <v>19084618</v>
      </c>
      <c r="C140" s="51">
        <v>2078823</v>
      </c>
      <c r="D140" s="51">
        <v>21163441</v>
      </c>
      <c r="E140" s="51">
        <v>315830</v>
      </c>
      <c r="F140" s="51">
        <v>90212</v>
      </c>
      <c r="G140" s="51">
        <v>13291</v>
      </c>
      <c r="H140" s="51">
        <v>3392</v>
      </c>
      <c r="I140" s="51">
        <v>422725</v>
      </c>
      <c r="J140" s="63">
        <v>0</v>
      </c>
      <c r="K140" s="63">
        <v>0</v>
      </c>
      <c r="L140" s="63">
        <v>0</v>
      </c>
      <c r="M140" s="51">
        <v>422725</v>
      </c>
      <c r="N140" s="63">
        <v>0</v>
      </c>
      <c r="O140" s="63">
        <v>10</v>
      </c>
    </row>
    <row r="141" spans="1:15" x14ac:dyDescent="0.25">
      <c r="A141" s="61">
        <v>2013</v>
      </c>
      <c r="B141" s="51">
        <v>19396150</v>
      </c>
      <c r="C141" s="51">
        <v>2063519</v>
      </c>
      <c r="D141" s="51">
        <v>21459669</v>
      </c>
      <c r="E141" s="51">
        <v>315544</v>
      </c>
      <c r="F141" s="51">
        <v>85965</v>
      </c>
      <c r="G141" s="51">
        <v>12643</v>
      </c>
      <c r="H141" s="51">
        <v>3066</v>
      </c>
      <c r="I141" s="51">
        <v>417218</v>
      </c>
      <c r="J141" s="63">
        <v>0</v>
      </c>
      <c r="K141" s="63">
        <v>0</v>
      </c>
      <c r="L141" s="63">
        <v>0</v>
      </c>
      <c r="M141" s="51">
        <v>417218</v>
      </c>
      <c r="N141" s="63">
        <v>0</v>
      </c>
      <c r="O141" s="63">
        <v>10</v>
      </c>
    </row>
    <row r="143" spans="1:15" ht="18" x14ac:dyDescent="0.25">
      <c r="A143" s="59" t="s">
        <v>38</v>
      </c>
    </row>
    <row r="144" spans="1:15" ht="18" x14ac:dyDescent="0.25">
      <c r="A144" s="59" t="s">
        <v>39</v>
      </c>
    </row>
    <row r="148" spans="1:15" x14ac:dyDescent="0.25">
      <c r="A148" s="60" t="s">
        <v>40</v>
      </c>
    </row>
    <row r="151" spans="1:15" ht="15" customHeight="1" x14ac:dyDescent="0.25">
      <c r="A151" s="161"/>
      <c r="B151" s="161"/>
      <c r="C151" s="161"/>
      <c r="D151" s="161"/>
      <c r="E151" s="162" t="s">
        <v>41</v>
      </c>
      <c r="F151" s="162"/>
      <c r="G151" s="162"/>
      <c r="H151" s="162"/>
      <c r="I151" s="162"/>
      <c r="J151" s="162"/>
      <c r="K151" s="162"/>
      <c r="L151" s="162"/>
      <c r="M151" s="161"/>
      <c r="N151" s="161"/>
      <c r="O151" s="161"/>
    </row>
    <row r="152" spans="1:15" ht="15" customHeight="1" x14ac:dyDescent="0.25">
      <c r="A152" s="61"/>
      <c r="B152" s="162" t="s">
        <v>42</v>
      </c>
      <c r="C152" s="162"/>
      <c r="D152" s="162"/>
      <c r="E152" s="162" t="s">
        <v>43</v>
      </c>
      <c r="F152" s="162"/>
      <c r="G152" s="162"/>
      <c r="H152" s="162"/>
      <c r="I152" s="162"/>
      <c r="J152" s="162" t="s">
        <v>44</v>
      </c>
      <c r="K152" s="162"/>
      <c r="L152" s="162"/>
      <c r="M152" s="161"/>
      <c r="N152" s="161"/>
      <c r="O152" s="161"/>
    </row>
    <row r="153" spans="1:15" x14ac:dyDescent="0.25">
      <c r="A153" s="62" t="s">
        <v>45</v>
      </c>
      <c r="B153" s="62" t="s">
        <v>46</v>
      </c>
      <c r="C153" s="163" t="s">
        <v>48</v>
      </c>
      <c r="D153" s="163" t="s">
        <v>3</v>
      </c>
      <c r="E153" s="62" t="s">
        <v>46</v>
      </c>
      <c r="F153" s="62" t="s">
        <v>49</v>
      </c>
      <c r="G153" s="163" t="s">
        <v>50</v>
      </c>
      <c r="H153" s="163" t="s">
        <v>51</v>
      </c>
      <c r="I153" s="163" t="s">
        <v>3</v>
      </c>
      <c r="J153" s="163" t="s">
        <v>52</v>
      </c>
      <c r="K153" s="163" t="s">
        <v>51</v>
      </c>
      <c r="L153" s="163" t="s">
        <v>3</v>
      </c>
      <c r="M153" s="62" t="s">
        <v>3</v>
      </c>
      <c r="N153" s="62" t="s">
        <v>3</v>
      </c>
      <c r="O153" s="62" t="s">
        <v>55</v>
      </c>
    </row>
    <row r="154" spans="1:15" x14ac:dyDescent="0.25">
      <c r="A154" s="62" t="s">
        <v>4</v>
      </c>
      <c r="B154" s="62" t="s">
        <v>47</v>
      </c>
      <c r="C154" s="163"/>
      <c r="D154" s="163"/>
      <c r="E154" s="62" t="s">
        <v>47</v>
      </c>
      <c r="F154" s="62" t="s">
        <v>48</v>
      </c>
      <c r="G154" s="163"/>
      <c r="H154" s="163"/>
      <c r="I154" s="163"/>
      <c r="J154" s="163"/>
      <c r="K154" s="163"/>
      <c r="L154" s="163"/>
      <c r="M154" s="62" t="s">
        <v>53</v>
      </c>
      <c r="N154" s="62" t="s">
        <v>54</v>
      </c>
      <c r="O154" s="62" t="s">
        <v>56</v>
      </c>
    </row>
    <row r="155" spans="1:15" x14ac:dyDescent="0.25">
      <c r="A155" s="62"/>
      <c r="B155" s="62"/>
      <c r="C155" s="163"/>
      <c r="D155" s="163"/>
      <c r="E155" s="62"/>
      <c r="F155" s="62"/>
      <c r="G155" s="163"/>
      <c r="H155" s="163"/>
      <c r="I155" s="163"/>
      <c r="J155" s="163"/>
      <c r="K155" s="163"/>
      <c r="L155" s="163"/>
      <c r="M155" s="62"/>
      <c r="N155" s="62" t="s">
        <v>53</v>
      </c>
      <c r="O155" s="62"/>
    </row>
    <row r="156" spans="1:15" x14ac:dyDescent="0.25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</row>
    <row r="157" spans="1:15" x14ac:dyDescent="0.25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</row>
    <row r="158" spans="1:15" x14ac:dyDescent="0.25">
      <c r="A158" s="61">
        <v>2014</v>
      </c>
      <c r="B158" s="51">
        <v>20355004</v>
      </c>
      <c r="C158" s="51">
        <v>2214876</v>
      </c>
      <c r="D158" s="51">
        <v>22569880</v>
      </c>
      <c r="E158" s="51">
        <v>332564</v>
      </c>
      <c r="F158" s="51">
        <v>83492</v>
      </c>
      <c r="G158" s="51">
        <v>12851</v>
      </c>
      <c r="H158" s="51">
        <v>2963</v>
      </c>
      <c r="I158" s="51">
        <v>431870</v>
      </c>
      <c r="J158" s="63">
        <v>0</v>
      </c>
      <c r="K158" s="63">
        <v>0</v>
      </c>
      <c r="L158" s="63">
        <v>0</v>
      </c>
      <c r="M158" s="51">
        <v>431870</v>
      </c>
      <c r="N158" s="63">
        <v>0</v>
      </c>
      <c r="O158" s="63">
        <v>10</v>
      </c>
    </row>
    <row r="159" spans="1:15" x14ac:dyDescent="0.25">
      <c r="A159" s="61">
        <v>2015</v>
      </c>
      <c r="B159" s="51">
        <v>21334201</v>
      </c>
      <c r="C159" s="51">
        <v>2397514</v>
      </c>
      <c r="D159" s="51">
        <v>23731715</v>
      </c>
      <c r="E159" s="51">
        <v>348592</v>
      </c>
      <c r="F159" s="51">
        <v>64410</v>
      </c>
      <c r="G159" s="51">
        <v>13651</v>
      </c>
      <c r="H159" s="51">
        <v>2550</v>
      </c>
      <c r="I159" s="51">
        <v>429203</v>
      </c>
      <c r="J159" s="63">
        <v>0</v>
      </c>
      <c r="K159" s="63">
        <v>0</v>
      </c>
      <c r="L159" s="63">
        <v>0</v>
      </c>
      <c r="M159" s="51">
        <v>429203</v>
      </c>
      <c r="N159" s="63">
        <v>0</v>
      </c>
      <c r="O159" s="63">
        <v>11</v>
      </c>
    </row>
    <row r="160" spans="1:15" x14ac:dyDescent="0.25">
      <c r="A160" s="61">
        <v>2016</v>
      </c>
      <c r="B160" s="51">
        <v>23141613</v>
      </c>
      <c r="C160" s="51">
        <v>2252526</v>
      </c>
      <c r="D160" s="51">
        <v>25394139</v>
      </c>
      <c r="E160" s="51">
        <v>373774</v>
      </c>
      <c r="F160" s="51">
        <v>57899</v>
      </c>
      <c r="G160" s="51">
        <v>12973</v>
      </c>
      <c r="H160" s="51">
        <v>2606</v>
      </c>
      <c r="I160" s="51">
        <v>447252</v>
      </c>
      <c r="J160" s="63">
        <v>0</v>
      </c>
      <c r="K160" s="63">
        <v>0</v>
      </c>
      <c r="L160" s="63">
        <v>0</v>
      </c>
      <c r="M160" s="51">
        <v>447252</v>
      </c>
      <c r="N160" s="63">
        <v>0</v>
      </c>
      <c r="O160" s="63">
        <v>15</v>
      </c>
    </row>
    <row r="161" spans="1:15" x14ac:dyDescent="0.25">
      <c r="A161" s="61">
        <v>2017</v>
      </c>
      <c r="B161" s="51">
        <v>24298468</v>
      </c>
      <c r="C161" s="51">
        <v>2184475</v>
      </c>
      <c r="D161" s="51">
        <v>26482943</v>
      </c>
      <c r="E161" s="51">
        <v>390375</v>
      </c>
      <c r="F161" s="51">
        <v>48659</v>
      </c>
      <c r="G161" s="51">
        <v>11824</v>
      </c>
      <c r="H161" s="51">
        <v>2539</v>
      </c>
      <c r="I161" s="51">
        <v>453397</v>
      </c>
      <c r="J161" s="63">
        <v>0</v>
      </c>
      <c r="K161" s="63">
        <v>0</v>
      </c>
      <c r="L161" s="63">
        <v>0</v>
      </c>
      <c r="M161" s="51">
        <v>453397</v>
      </c>
      <c r="N161" s="63">
        <v>0</v>
      </c>
      <c r="O161" s="63">
        <v>9</v>
      </c>
    </row>
    <row r="162" spans="1:15" x14ac:dyDescent="0.25">
      <c r="A162" s="61">
        <v>2018</v>
      </c>
      <c r="B162" s="51">
        <v>25547481</v>
      </c>
      <c r="C162" s="51">
        <v>2285080</v>
      </c>
      <c r="D162" s="51">
        <v>27832561</v>
      </c>
      <c r="E162" s="51">
        <v>410847</v>
      </c>
      <c r="F162" s="51">
        <v>47730</v>
      </c>
      <c r="G162" s="51">
        <v>11934</v>
      </c>
      <c r="H162" s="51">
        <v>2637</v>
      </c>
      <c r="I162" s="51">
        <v>473148</v>
      </c>
      <c r="J162" s="63">
        <v>0</v>
      </c>
      <c r="K162" s="63">
        <v>0</v>
      </c>
      <c r="L162" s="63">
        <v>0</v>
      </c>
      <c r="M162" s="51">
        <v>473148</v>
      </c>
      <c r="N162" s="63">
        <v>0</v>
      </c>
      <c r="O162" s="63">
        <v>13</v>
      </c>
    </row>
    <row r="163" spans="1:15" x14ac:dyDescent="0.25">
      <c r="A163" s="61">
        <v>2019</v>
      </c>
      <c r="B163" s="51">
        <v>25266537</v>
      </c>
      <c r="C163" s="51">
        <v>2387359</v>
      </c>
      <c r="D163" s="51">
        <v>27653896</v>
      </c>
      <c r="E163" s="51">
        <v>396826</v>
      </c>
      <c r="F163" s="51">
        <v>50086</v>
      </c>
      <c r="G163" s="51">
        <v>11135</v>
      </c>
      <c r="H163" s="51">
        <v>2673</v>
      </c>
      <c r="I163" s="51">
        <v>460720</v>
      </c>
      <c r="J163" s="63">
        <v>0</v>
      </c>
      <c r="K163" s="63">
        <v>0</v>
      </c>
      <c r="L163" s="63">
        <v>0</v>
      </c>
      <c r="M163" s="51">
        <v>460720</v>
      </c>
      <c r="N163" s="63">
        <v>0</v>
      </c>
      <c r="O163" s="63">
        <v>11</v>
      </c>
    </row>
    <row r="164" spans="1:15" x14ac:dyDescent="0.25">
      <c r="A164" s="61">
        <v>2020</v>
      </c>
      <c r="B164" s="51">
        <v>11631865</v>
      </c>
      <c r="C164" s="51">
        <v>1430091</v>
      </c>
      <c r="D164" s="51">
        <v>13061956</v>
      </c>
      <c r="E164" s="51">
        <v>245471</v>
      </c>
      <c r="F164" s="51">
        <v>37322</v>
      </c>
      <c r="G164" s="51">
        <v>6800</v>
      </c>
      <c r="H164" s="51">
        <v>2797</v>
      </c>
      <c r="I164" s="51">
        <v>292390</v>
      </c>
      <c r="J164" s="63">
        <v>0</v>
      </c>
      <c r="K164" s="63">
        <v>0</v>
      </c>
      <c r="L164" s="63">
        <v>0</v>
      </c>
      <c r="M164" s="51">
        <v>292390</v>
      </c>
      <c r="N164" s="63">
        <v>0</v>
      </c>
      <c r="O164" s="63">
        <v>14</v>
      </c>
    </row>
    <row r="165" spans="1:15" x14ac:dyDescent="0.25">
      <c r="A165" s="61">
        <v>2021</v>
      </c>
      <c r="B165" s="51">
        <v>7481785</v>
      </c>
      <c r="C165" s="51">
        <v>1620613</v>
      </c>
      <c r="D165" s="51">
        <v>9102398</v>
      </c>
      <c r="E165" s="51">
        <v>194464</v>
      </c>
      <c r="F165" s="51">
        <v>32968</v>
      </c>
      <c r="G165" s="51">
        <v>6195</v>
      </c>
      <c r="H165" s="51">
        <v>3004</v>
      </c>
      <c r="I165" s="51">
        <v>236631</v>
      </c>
      <c r="J165" s="63">
        <v>0</v>
      </c>
      <c r="K165" s="63">
        <v>0</v>
      </c>
      <c r="L165" s="63">
        <v>0</v>
      </c>
      <c r="M165" s="51">
        <v>236631</v>
      </c>
      <c r="N165" s="63">
        <v>0</v>
      </c>
      <c r="O165" s="63">
        <v>14</v>
      </c>
    </row>
    <row r="166" spans="1:15" x14ac:dyDescent="0.25">
      <c r="A166" s="61">
        <v>2022</v>
      </c>
      <c r="B166" s="51">
        <v>16801767</v>
      </c>
      <c r="C166" s="51">
        <v>2164551</v>
      </c>
      <c r="D166" s="51">
        <v>18966318</v>
      </c>
      <c r="E166" s="51">
        <v>289532</v>
      </c>
      <c r="F166" s="51">
        <v>45038</v>
      </c>
      <c r="G166" s="51">
        <v>9184</v>
      </c>
      <c r="H166" s="51">
        <v>2831</v>
      </c>
      <c r="I166" s="51">
        <v>346585</v>
      </c>
      <c r="J166" s="63">
        <v>0</v>
      </c>
      <c r="K166" s="63">
        <v>0</v>
      </c>
      <c r="L166" s="63">
        <v>0</v>
      </c>
      <c r="M166" s="51">
        <v>346585</v>
      </c>
      <c r="N166" s="63">
        <v>0</v>
      </c>
      <c r="O166" s="63">
        <v>12</v>
      </c>
    </row>
    <row r="167" spans="1:15" x14ac:dyDescent="0.25">
      <c r="A167" s="61">
        <v>2023</v>
      </c>
      <c r="B167" s="51">
        <v>21407904</v>
      </c>
      <c r="C167" s="51">
        <v>2136506</v>
      </c>
      <c r="D167" s="51">
        <v>23544410</v>
      </c>
      <c r="E167" s="51">
        <v>335490</v>
      </c>
      <c r="F167" s="51">
        <v>31215</v>
      </c>
      <c r="G167" s="51">
        <v>7405</v>
      </c>
      <c r="H167" s="51">
        <v>2790</v>
      </c>
      <c r="I167" s="51">
        <v>376900</v>
      </c>
      <c r="J167" s="63">
        <v>0</v>
      </c>
      <c r="K167" s="63">
        <v>0</v>
      </c>
      <c r="L167" s="63">
        <v>0</v>
      </c>
      <c r="M167" s="51">
        <v>376900</v>
      </c>
      <c r="N167" s="63">
        <v>0</v>
      </c>
      <c r="O167" s="63">
        <v>12</v>
      </c>
    </row>
    <row r="168" spans="1:15" x14ac:dyDescent="0.25">
      <c r="A168" s="61">
        <v>2024</v>
      </c>
      <c r="B168" s="51">
        <v>22658454</v>
      </c>
      <c r="C168" s="51">
        <v>2107019</v>
      </c>
      <c r="D168" s="51">
        <v>24765473</v>
      </c>
      <c r="E168" s="51">
        <v>350805</v>
      </c>
      <c r="F168" s="51">
        <v>21071</v>
      </c>
      <c r="G168" s="51">
        <v>6725</v>
      </c>
      <c r="H168" s="51">
        <v>2703</v>
      </c>
      <c r="I168" s="51">
        <v>381304</v>
      </c>
      <c r="J168" s="63">
        <v>0</v>
      </c>
      <c r="K168" s="63">
        <v>0</v>
      </c>
      <c r="L168" s="63">
        <v>0</v>
      </c>
      <c r="M168" s="51">
        <v>381304</v>
      </c>
      <c r="N168" s="63">
        <v>0</v>
      </c>
      <c r="O168" s="63">
        <v>12</v>
      </c>
    </row>
    <row r="169" spans="1:15" x14ac:dyDescent="0.25">
      <c r="A169" s="61" t="s">
        <v>59</v>
      </c>
      <c r="B169" s="51">
        <v>23793545</v>
      </c>
      <c r="C169" s="51">
        <v>2313177</v>
      </c>
      <c r="D169" s="51">
        <v>26106722</v>
      </c>
      <c r="E169" s="51">
        <v>380290</v>
      </c>
      <c r="F169" s="51">
        <v>25930</v>
      </c>
      <c r="G169" s="51">
        <v>7243</v>
      </c>
      <c r="H169" s="51">
        <v>2263</v>
      </c>
      <c r="I169" s="51">
        <v>415726</v>
      </c>
      <c r="J169" s="63">
        <v>0</v>
      </c>
      <c r="K169" s="63">
        <v>0</v>
      </c>
      <c r="L169" s="63">
        <v>0</v>
      </c>
      <c r="M169" s="51">
        <v>415726</v>
      </c>
      <c r="N169" s="63">
        <v>0</v>
      </c>
      <c r="O169" s="63">
        <v>11</v>
      </c>
    </row>
    <row r="170" spans="1:15" x14ac:dyDescent="0.25">
      <c r="A170" s="61" t="s">
        <v>60</v>
      </c>
      <c r="B170" s="51">
        <v>24296724</v>
      </c>
      <c r="C170" s="51">
        <v>2387462</v>
      </c>
      <c r="D170" s="51">
        <v>26684186</v>
      </c>
      <c r="E170" s="51">
        <v>384215</v>
      </c>
      <c r="F170" s="51">
        <v>31185</v>
      </c>
      <c r="G170" s="51">
        <v>7695</v>
      </c>
      <c r="H170" s="51">
        <v>2263</v>
      </c>
      <c r="I170" s="51">
        <v>425358</v>
      </c>
      <c r="J170" s="63">
        <v>0</v>
      </c>
      <c r="K170" s="63">
        <v>0</v>
      </c>
      <c r="L170" s="63">
        <v>0</v>
      </c>
      <c r="M170" s="51">
        <v>425358</v>
      </c>
      <c r="N170" s="63">
        <v>0</v>
      </c>
      <c r="O170" s="63">
        <v>11</v>
      </c>
    </row>
    <row r="171" spans="1:15" x14ac:dyDescent="0.25">
      <c r="A171" s="61" t="s">
        <v>61</v>
      </c>
      <c r="B171" s="51">
        <v>25363467</v>
      </c>
      <c r="C171" s="51">
        <v>2492685</v>
      </c>
      <c r="D171" s="51">
        <v>27856152</v>
      </c>
      <c r="E171" s="51">
        <v>400849</v>
      </c>
      <c r="F171" s="51">
        <v>28449</v>
      </c>
      <c r="G171" s="51">
        <v>8205</v>
      </c>
      <c r="H171" s="51">
        <v>2263</v>
      </c>
      <c r="I171" s="51">
        <v>439766</v>
      </c>
      <c r="J171" s="63">
        <v>0</v>
      </c>
      <c r="K171" s="63">
        <v>0</v>
      </c>
      <c r="L171" s="63">
        <v>0</v>
      </c>
      <c r="M171" s="51">
        <v>439766</v>
      </c>
      <c r="N171" s="63">
        <v>0</v>
      </c>
      <c r="O171" s="63">
        <v>11</v>
      </c>
    </row>
    <row r="172" spans="1:15" x14ac:dyDescent="0.25">
      <c r="A172" s="61" t="s">
        <v>62</v>
      </c>
      <c r="B172" s="51">
        <v>26282848</v>
      </c>
      <c r="C172" s="51">
        <v>2575734</v>
      </c>
      <c r="D172" s="51">
        <v>28858582</v>
      </c>
      <c r="E172" s="51">
        <v>414312</v>
      </c>
      <c r="F172" s="51">
        <v>27477</v>
      </c>
      <c r="G172" s="51">
        <v>8742</v>
      </c>
      <c r="H172" s="51">
        <v>2263</v>
      </c>
      <c r="I172" s="51">
        <v>452794</v>
      </c>
      <c r="J172" s="63">
        <v>0</v>
      </c>
      <c r="K172" s="63">
        <v>0</v>
      </c>
      <c r="L172" s="63">
        <v>0</v>
      </c>
      <c r="M172" s="51">
        <v>452794</v>
      </c>
      <c r="N172" s="63">
        <v>0</v>
      </c>
      <c r="O172" s="63">
        <v>11</v>
      </c>
    </row>
    <row r="173" spans="1:15" x14ac:dyDescent="0.25">
      <c r="A173" s="61" t="s">
        <v>63</v>
      </c>
      <c r="B173" s="51">
        <v>27079799</v>
      </c>
      <c r="C173" s="51">
        <v>2641165</v>
      </c>
      <c r="D173" s="51">
        <v>29720964</v>
      </c>
      <c r="E173" s="51">
        <v>425306</v>
      </c>
      <c r="F173" s="51">
        <v>27763</v>
      </c>
      <c r="G173" s="51">
        <v>9346</v>
      </c>
      <c r="H173" s="51">
        <v>2263</v>
      </c>
      <c r="I173" s="51">
        <v>464678</v>
      </c>
      <c r="J173" s="63">
        <v>0</v>
      </c>
      <c r="K173" s="63">
        <v>0</v>
      </c>
      <c r="L173" s="63">
        <v>0</v>
      </c>
      <c r="M173" s="51">
        <v>464678</v>
      </c>
      <c r="N173" s="63">
        <v>0</v>
      </c>
      <c r="O173" s="63">
        <v>11</v>
      </c>
    </row>
    <row r="174" spans="1:15" x14ac:dyDescent="0.25">
      <c r="A174" s="61" t="s">
        <v>64</v>
      </c>
      <c r="B174" s="51">
        <v>27818125</v>
      </c>
      <c r="C174" s="51">
        <v>2698132</v>
      </c>
      <c r="D174" s="51">
        <v>30516257</v>
      </c>
      <c r="E174" s="51">
        <v>435218</v>
      </c>
      <c r="F174" s="51">
        <v>28050</v>
      </c>
      <c r="G174" s="51">
        <v>9393</v>
      </c>
      <c r="H174" s="51">
        <v>2263</v>
      </c>
      <c r="I174" s="51">
        <v>474924</v>
      </c>
      <c r="J174" s="63">
        <v>0</v>
      </c>
      <c r="K174" s="63">
        <v>0</v>
      </c>
      <c r="L174" s="63">
        <v>0</v>
      </c>
      <c r="M174" s="51">
        <v>474924</v>
      </c>
      <c r="N174" s="63">
        <v>0</v>
      </c>
      <c r="O174" s="63">
        <v>11</v>
      </c>
    </row>
    <row r="175" spans="1:15" x14ac:dyDescent="0.25">
      <c r="A175" s="61" t="s">
        <v>65</v>
      </c>
      <c r="B175" s="51">
        <v>28536281</v>
      </c>
      <c r="C175" s="51">
        <v>2751849</v>
      </c>
      <c r="D175" s="51">
        <v>31288130</v>
      </c>
      <c r="E175" s="51">
        <v>444718</v>
      </c>
      <c r="F175" s="51">
        <v>28338</v>
      </c>
      <c r="G175" s="51">
        <v>9440</v>
      </c>
      <c r="H175" s="51">
        <v>2263</v>
      </c>
      <c r="I175" s="51">
        <v>484759</v>
      </c>
      <c r="J175" s="63">
        <v>0</v>
      </c>
      <c r="K175" s="63">
        <v>0</v>
      </c>
      <c r="L175" s="63">
        <v>0</v>
      </c>
      <c r="M175" s="51">
        <v>484759</v>
      </c>
      <c r="N175" s="63">
        <v>0</v>
      </c>
      <c r="O175" s="63">
        <v>11</v>
      </c>
    </row>
    <row r="176" spans="1:15" x14ac:dyDescent="0.25">
      <c r="A176" s="61" t="s">
        <v>66</v>
      </c>
      <c r="B176" s="51">
        <v>29266488</v>
      </c>
      <c r="C176" s="51">
        <v>2806286</v>
      </c>
      <c r="D176" s="51">
        <v>32072774</v>
      </c>
      <c r="E176" s="51">
        <v>454352</v>
      </c>
      <c r="F176" s="51">
        <v>28629</v>
      </c>
      <c r="G176" s="51">
        <v>9487</v>
      </c>
      <c r="H176" s="51">
        <v>2263</v>
      </c>
      <c r="I176" s="51">
        <v>494731</v>
      </c>
      <c r="J176" s="63">
        <v>0</v>
      </c>
      <c r="K176" s="63">
        <v>0</v>
      </c>
      <c r="L176" s="63">
        <v>0</v>
      </c>
      <c r="M176" s="51">
        <v>494731</v>
      </c>
      <c r="N176" s="63">
        <v>0</v>
      </c>
      <c r="O176" s="63">
        <v>11</v>
      </c>
    </row>
    <row r="177" spans="1:15" x14ac:dyDescent="0.25">
      <c r="A177" s="61" t="s">
        <v>67</v>
      </c>
      <c r="B177" s="51">
        <v>30016684</v>
      </c>
      <c r="C177" s="51">
        <v>2862459</v>
      </c>
      <c r="D177" s="51">
        <v>32879143</v>
      </c>
      <c r="E177" s="51">
        <v>464251</v>
      </c>
      <c r="F177" s="51">
        <v>28923</v>
      </c>
      <c r="G177" s="51">
        <v>9534</v>
      </c>
      <c r="H177" s="51">
        <v>2263</v>
      </c>
      <c r="I177" s="51">
        <v>504971</v>
      </c>
      <c r="J177" s="63">
        <v>0</v>
      </c>
      <c r="K177" s="63">
        <v>0</v>
      </c>
      <c r="L177" s="63">
        <v>0</v>
      </c>
      <c r="M177" s="51">
        <v>504971</v>
      </c>
      <c r="N177" s="63">
        <v>0</v>
      </c>
      <c r="O177" s="63">
        <v>11</v>
      </c>
    </row>
    <row r="178" spans="1:15" x14ac:dyDescent="0.25">
      <c r="A178" s="61" t="s">
        <v>68</v>
      </c>
      <c r="B178" s="51">
        <v>30787541</v>
      </c>
      <c r="C178" s="51">
        <v>2920507</v>
      </c>
      <c r="D178" s="51">
        <v>33708048</v>
      </c>
      <c r="E178" s="51">
        <v>474428</v>
      </c>
      <c r="F178" s="51">
        <v>29220</v>
      </c>
      <c r="G178" s="51">
        <v>9581</v>
      </c>
      <c r="H178" s="51">
        <v>2263</v>
      </c>
      <c r="I178" s="51">
        <v>515492</v>
      </c>
      <c r="J178" s="63">
        <v>0</v>
      </c>
      <c r="K178" s="63">
        <v>0</v>
      </c>
      <c r="L178" s="63">
        <v>0</v>
      </c>
      <c r="M178" s="51">
        <v>515492</v>
      </c>
      <c r="N178" s="63">
        <v>0</v>
      </c>
      <c r="O178" s="63">
        <v>11</v>
      </c>
    </row>
    <row r="179" spans="1:15" x14ac:dyDescent="0.25">
      <c r="A179" s="61" t="s">
        <v>69</v>
      </c>
      <c r="B179" s="51">
        <v>31585677</v>
      </c>
      <c r="C179" s="51">
        <v>2981624</v>
      </c>
      <c r="D179" s="51">
        <v>34567301</v>
      </c>
      <c r="E179" s="51">
        <v>485007</v>
      </c>
      <c r="F179" s="51">
        <v>29520</v>
      </c>
      <c r="G179" s="51">
        <v>9629</v>
      </c>
      <c r="H179" s="51">
        <v>2263</v>
      </c>
      <c r="I179" s="51">
        <v>526419</v>
      </c>
      <c r="J179" s="63">
        <v>0</v>
      </c>
      <c r="K179" s="63">
        <v>0</v>
      </c>
      <c r="L179" s="63">
        <v>0</v>
      </c>
      <c r="M179" s="51">
        <v>526419</v>
      </c>
      <c r="N179" s="63">
        <v>0</v>
      </c>
      <c r="O179" s="63">
        <v>11</v>
      </c>
    </row>
    <row r="180" spans="1:15" x14ac:dyDescent="0.25">
      <c r="A180" s="61" t="s">
        <v>70</v>
      </c>
      <c r="B180" s="51">
        <v>32418443</v>
      </c>
      <c r="C180" s="51">
        <v>3046683</v>
      </c>
      <c r="D180" s="51">
        <v>35465126</v>
      </c>
      <c r="E180" s="51">
        <v>496109</v>
      </c>
      <c r="F180" s="51">
        <v>29823</v>
      </c>
      <c r="G180" s="51">
        <v>9677</v>
      </c>
      <c r="H180" s="51">
        <v>2263</v>
      </c>
      <c r="I180" s="51">
        <v>537872</v>
      </c>
      <c r="J180" s="63">
        <v>0</v>
      </c>
      <c r="K180" s="63">
        <v>0</v>
      </c>
      <c r="L180" s="63">
        <v>0</v>
      </c>
      <c r="M180" s="51">
        <v>537872</v>
      </c>
      <c r="N180" s="63">
        <v>0</v>
      </c>
      <c r="O180" s="63">
        <v>11</v>
      </c>
    </row>
    <row r="181" spans="1:15" x14ac:dyDescent="0.25">
      <c r="A181" s="61" t="s">
        <v>71</v>
      </c>
      <c r="B181" s="51">
        <v>33253432</v>
      </c>
      <c r="C181" s="51">
        <v>3111346</v>
      </c>
      <c r="D181" s="51">
        <v>36364778</v>
      </c>
      <c r="E181" s="51">
        <v>507177</v>
      </c>
      <c r="F181" s="51">
        <v>30128</v>
      </c>
      <c r="G181" s="51">
        <v>9725</v>
      </c>
      <c r="H181" s="51">
        <v>2263</v>
      </c>
      <c r="I181" s="51">
        <v>549293</v>
      </c>
      <c r="J181" s="63">
        <v>0</v>
      </c>
      <c r="K181" s="63">
        <v>0</v>
      </c>
      <c r="L181" s="63">
        <v>0</v>
      </c>
      <c r="M181" s="51">
        <v>549293</v>
      </c>
      <c r="N181" s="63">
        <v>0</v>
      </c>
      <c r="O181" s="63">
        <v>11</v>
      </c>
    </row>
    <row r="182" spans="1:15" x14ac:dyDescent="0.25">
      <c r="A182" s="61" t="s">
        <v>72</v>
      </c>
      <c r="B182" s="51">
        <v>34093125</v>
      </c>
      <c r="C182" s="51">
        <v>3175913</v>
      </c>
      <c r="D182" s="51">
        <v>37269038</v>
      </c>
      <c r="E182" s="51">
        <v>518251</v>
      </c>
      <c r="F182" s="51">
        <v>30436</v>
      </c>
      <c r="G182" s="51">
        <v>9773</v>
      </c>
      <c r="H182" s="51">
        <v>2263</v>
      </c>
      <c r="I182" s="51">
        <v>560723</v>
      </c>
      <c r="J182" s="63">
        <v>0</v>
      </c>
      <c r="K182" s="63">
        <v>0</v>
      </c>
      <c r="L182" s="63">
        <v>0</v>
      </c>
      <c r="M182" s="51">
        <v>560723</v>
      </c>
      <c r="N182" s="63">
        <v>0</v>
      </c>
      <c r="O182" s="63">
        <v>11</v>
      </c>
    </row>
    <row r="183" spans="1:15" x14ac:dyDescent="0.25">
      <c r="A183" s="61" t="s">
        <v>73</v>
      </c>
      <c r="B183" s="51">
        <v>34944572</v>
      </c>
      <c r="C183" s="51">
        <v>3241372</v>
      </c>
      <c r="D183" s="51">
        <v>38185944</v>
      </c>
      <c r="E183" s="51">
        <v>529455</v>
      </c>
      <c r="F183" s="51">
        <v>30746</v>
      </c>
      <c r="G183" s="51">
        <v>9822</v>
      </c>
      <c r="H183" s="51">
        <v>2263</v>
      </c>
      <c r="I183" s="51">
        <v>572286</v>
      </c>
      <c r="J183" s="63">
        <v>0</v>
      </c>
      <c r="K183" s="63">
        <v>0</v>
      </c>
      <c r="L183" s="63">
        <v>0</v>
      </c>
      <c r="M183" s="51">
        <v>572286</v>
      </c>
      <c r="N183" s="63">
        <v>0</v>
      </c>
      <c r="O183" s="63">
        <v>11</v>
      </c>
    </row>
    <row r="184" spans="1:15" x14ac:dyDescent="0.25">
      <c r="A184" s="61" t="s">
        <v>74</v>
      </c>
      <c r="B184" s="51">
        <v>35812851</v>
      </c>
      <c r="C184" s="51">
        <v>3308342</v>
      </c>
      <c r="D184" s="51">
        <v>39121193</v>
      </c>
      <c r="E184" s="51">
        <v>540866</v>
      </c>
      <c r="F184" s="51">
        <v>31059</v>
      </c>
      <c r="G184" s="51">
        <v>9871</v>
      </c>
      <c r="H184" s="51">
        <v>2263</v>
      </c>
      <c r="I184" s="51">
        <v>584059</v>
      </c>
      <c r="J184" s="63">
        <v>0</v>
      </c>
      <c r="K184" s="63">
        <v>0</v>
      </c>
      <c r="L184" s="63">
        <v>0</v>
      </c>
      <c r="M184" s="51">
        <v>584059</v>
      </c>
      <c r="N184" s="63">
        <v>0</v>
      </c>
      <c r="O184" s="63">
        <v>11</v>
      </c>
    </row>
    <row r="185" spans="1:15" x14ac:dyDescent="0.25">
      <c r="A185" s="61" t="s">
        <v>75</v>
      </c>
      <c r="B185" s="51">
        <v>36680325</v>
      </c>
      <c r="C185" s="51">
        <v>3374707</v>
      </c>
      <c r="D185" s="51">
        <v>40055032</v>
      </c>
      <c r="E185" s="51">
        <v>552209</v>
      </c>
      <c r="F185" s="51">
        <v>31375</v>
      </c>
      <c r="G185" s="51">
        <v>9920</v>
      </c>
      <c r="H185" s="51">
        <v>2263</v>
      </c>
      <c r="I185" s="51">
        <v>595767</v>
      </c>
      <c r="J185" s="63">
        <v>0</v>
      </c>
      <c r="K185" s="63">
        <v>0</v>
      </c>
      <c r="L185" s="63">
        <v>0</v>
      </c>
      <c r="M185" s="51">
        <v>595767</v>
      </c>
      <c r="N185" s="63">
        <v>0</v>
      </c>
      <c r="O185" s="63">
        <v>11</v>
      </c>
    </row>
    <row r="186" spans="1:15" x14ac:dyDescent="0.25">
      <c r="A186" s="61" t="s">
        <v>76</v>
      </c>
      <c r="B186" s="51">
        <v>37559309</v>
      </c>
      <c r="C186" s="51">
        <v>3441918</v>
      </c>
      <c r="D186" s="51">
        <v>41001227</v>
      </c>
      <c r="E186" s="51">
        <v>563668</v>
      </c>
      <c r="F186" s="51">
        <v>31694</v>
      </c>
      <c r="G186" s="51">
        <v>9969</v>
      </c>
      <c r="H186" s="51">
        <v>2263</v>
      </c>
      <c r="I186" s="51">
        <v>607594</v>
      </c>
      <c r="J186" s="63">
        <v>0</v>
      </c>
      <c r="K186" s="63">
        <v>0</v>
      </c>
      <c r="L186" s="63">
        <v>0</v>
      </c>
      <c r="M186" s="51">
        <v>607594</v>
      </c>
      <c r="N186" s="63">
        <v>0</v>
      </c>
      <c r="O186" s="63">
        <v>11</v>
      </c>
    </row>
    <row r="187" spans="1:15" x14ac:dyDescent="0.25">
      <c r="A187" s="61" t="s">
        <v>77</v>
      </c>
      <c r="B187" s="51">
        <v>38453419</v>
      </c>
      <c r="C187" s="51">
        <v>3510546</v>
      </c>
      <c r="D187" s="51">
        <v>41963965</v>
      </c>
      <c r="E187" s="51">
        <v>575312</v>
      </c>
      <c r="F187" s="51">
        <v>32015</v>
      </c>
      <c r="G187" s="51">
        <v>10019</v>
      </c>
      <c r="H187" s="51">
        <v>2263</v>
      </c>
      <c r="I187" s="51">
        <v>619609</v>
      </c>
      <c r="J187" s="63">
        <v>0</v>
      </c>
      <c r="K187" s="63">
        <v>0</v>
      </c>
      <c r="L187" s="63">
        <v>0</v>
      </c>
      <c r="M187" s="51">
        <v>619609</v>
      </c>
      <c r="N187" s="63">
        <v>0</v>
      </c>
      <c r="O187" s="63">
        <v>11</v>
      </c>
    </row>
    <row r="189" spans="1:15" ht="18" x14ac:dyDescent="0.25">
      <c r="A189" s="59" t="s">
        <v>38</v>
      </c>
    </row>
    <row r="190" spans="1:15" ht="18" x14ac:dyDescent="0.25">
      <c r="A190" s="59" t="s">
        <v>39</v>
      </c>
    </row>
    <row r="194" spans="1:15" x14ac:dyDescent="0.25">
      <c r="A194" s="60" t="s">
        <v>40</v>
      </c>
    </row>
    <row r="197" spans="1:15" ht="15" customHeight="1" x14ac:dyDescent="0.25">
      <c r="A197" s="161"/>
      <c r="B197" s="161"/>
      <c r="C197" s="161"/>
      <c r="D197" s="161"/>
      <c r="E197" s="162" t="s">
        <v>41</v>
      </c>
      <c r="F197" s="162"/>
      <c r="G197" s="162"/>
      <c r="H197" s="162"/>
      <c r="I197" s="162"/>
      <c r="J197" s="162"/>
      <c r="K197" s="162"/>
      <c r="L197" s="162"/>
      <c r="M197" s="161"/>
      <c r="N197" s="161"/>
      <c r="O197" s="161"/>
    </row>
    <row r="198" spans="1:15" ht="15" customHeight="1" x14ac:dyDescent="0.25">
      <c r="A198" s="61"/>
      <c r="B198" s="162" t="s">
        <v>42</v>
      </c>
      <c r="C198" s="162"/>
      <c r="D198" s="162"/>
      <c r="E198" s="162" t="s">
        <v>43</v>
      </c>
      <c r="F198" s="162"/>
      <c r="G198" s="162"/>
      <c r="H198" s="162"/>
      <c r="I198" s="162"/>
      <c r="J198" s="162" t="s">
        <v>44</v>
      </c>
      <c r="K198" s="162"/>
      <c r="L198" s="162"/>
      <c r="M198" s="161"/>
      <c r="N198" s="161"/>
      <c r="O198" s="161"/>
    </row>
    <row r="199" spans="1:15" x14ac:dyDescent="0.25">
      <c r="A199" s="62" t="s">
        <v>45</v>
      </c>
      <c r="B199" s="62" t="s">
        <v>46</v>
      </c>
      <c r="C199" s="163" t="s">
        <v>48</v>
      </c>
      <c r="D199" s="163" t="s">
        <v>3</v>
      </c>
      <c r="E199" s="62" t="s">
        <v>46</v>
      </c>
      <c r="F199" s="62" t="s">
        <v>49</v>
      </c>
      <c r="G199" s="163" t="s">
        <v>50</v>
      </c>
      <c r="H199" s="163" t="s">
        <v>51</v>
      </c>
      <c r="I199" s="163" t="s">
        <v>3</v>
      </c>
      <c r="J199" s="163" t="s">
        <v>52</v>
      </c>
      <c r="K199" s="163" t="s">
        <v>51</v>
      </c>
      <c r="L199" s="163" t="s">
        <v>3</v>
      </c>
      <c r="M199" s="62" t="s">
        <v>3</v>
      </c>
      <c r="N199" s="62" t="s">
        <v>3</v>
      </c>
      <c r="O199" s="62" t="s">
        <v>55</v>
      </c>
    </row>
    <row r="200" spans="1:15" x14ac:dyDescent="0.25">
      <c r="A200" s="62" t="s">
        <v>4</v>
      </c>
      <c r="B200" s="62" t="s">
        <v>47</v>
      </c>
      <c r="C200" s="163"/>
      <c r="D200" s="163"/>
      <c r="E200" s="62" t="s">
        <v>47</v>
      </c>
      <c r="F200" s="62" t="s">
        <v>48</v>
      </c>
      <c r="G200" s="163"/>
      <c r="H200" s="163"/>
      <c r="I200" s="163"/>
      <c r="J200" s="163"/>
      <c r="K200" s="163"/>
      <c r="L200" s="163"/>
      <c r="M200" s="62" t="s">
        <v>53</v>
      </c>
      <c r="N200" s="62" t="s">
        <v>54</v>
      </c>
      <c r="O200" s="62" t="s">
        <v>56</v>
      </c>
    </row>
    <row r="201" spans="1:15" x14ac:dyDescent="0.25">
      <c r="A201" s="62"/>
      <c r="B201" s="62"/>
      <c r="C201" s="163"/>
      <c r="D201" s="163"/>
      <c r="E201" s="62"/>
      <c r="F201" s="62"/>
      <c r="G201" s="163"/>
      <c r="H201" s="163"/>
      <c r="I201" s="163"/>
      <c r="J201" s="163"/>
      <c r="K201" s="163"/>
      <c r="L201" s="163"/>
      <c r="M201" s="62"/>
      <c r="N201" s="62" t="s">
        <v>53</v>
      </c>
      <c r="O201" s="62"/>
    </row>
    <row r="202" spans="1:15" x14ac:dyDescent="0.25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</row>
    <row r="203" spans="1:15" x14ac:dyDescent="0.25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</row>
    <row r="204" spans="1:15" x14ac:dyDescent="0.25">
      <c r="A204" s="61" t="s">
        <v>78</v>
      </c>
      <c r="B204" s="51">
        <v>39351549</v>
      </c>
      <c r="C204" s="51">
        <v>3578861</v>
      </c>
      <c r="D204" s="51">
        <v>42930410</v>
      </c>
      <c r="E204" s="51">
        <v>586947</v>
      </c>
      <c r="F204" s="51">
        <v>32339</v>
      </c>
      <c r="G204" s="51">
        <v>10069</v>
      </c>
      <c r="H204" s="51">
        <v>2263</v>
      </c>
      <c r="I204" s="51">
        <v>631618</v>
      </c>
      <c r="J204" s="63">
        <v>0</v>
      </c>
      <c r="K204" s="63">
        <v>0</v>
      </c>
      <c r="L204" s="63">
        <v>0</v>
      </c>
      <c r="M204" s="51">
        <v>631618</v>
      </c>
      <c r="N204" s="63">
        <v>0</v>
      </c>
      <c r="O204" s="63">
        <v>11</v>
      </c>
    </row>
    <row r="205" spans="1:15" x14ac:dyDescent="0.25">
      <c r="A205" s="61" t="s">
        <v>79</v>
      </c>
      <c r="B205" s="51">
        <v>40255313</v>
      </c>
      <c r="C205" s="51">
        <v>3647314</v>
      </c>
      <c r="D205" s="51">
        <v>43902627</v>
      </c>
      <c r="E205" s="51">
        <v>598607</v>
      </c>
      <c r="F205" s="51">
        <v>32666</v>
      </c>
      <c r="G205" s="51">
        <v>10119</v>
      </c>
      <c r="H205" s="51">
        <v>2263</v>
      </c>
      <c r="I205" s="51">
        <v>643655</v>
      </c>
      <c r="J205" s="63">
        <v>0</v>
      </c>
      <c r="K205" s="63">
        <v>0</v>
      </c>
      <c r="L205" s="63">
        <v>0</v>
      </c>
      <c r="M205" s="51">
        <v>643655</v>
      </c>
      <c r="N205" s="63">
        <v>0</v>
      </c>
      <c r="O205" s="63">
        <v>11</v>
      </c>
    </row>
    <row r="206" spans="1:15" x14ac:dyDescent="0.25">
      <c r="A206" s="61" t="s">
        <v>80</v>
      </c>
      <c r="B206" s="51">
        <v>41175365</v>
      </c>
      <c r="C206" s="51">
        <v>3717200</v>
      </c>
      <c r="D206" s="51">
        <v>44892565</v>
      </c>
      <c r="E206" s="51">
        <v>610464</v>
      </c>
      <c r="F206" s="51">
        <v>32996</v>
      </c>
      <c r="G206" s="51">
        <v>10169</v>
      </c>
      <c r="H206" s="51">
        <v>2263</v>
      </c>
      <c r="I206" s="51">
        <v>655892</v>
      </c>
      <c r="J206" s="63">
        <v>0</v>
      </c>
      <c r="K206" s="63">
        <v>0</v>
      </c>
      <c r="L206" s="63">
        <v>0</v>
      </c>
      <c r="M206" s="51">
        <v>655892</v>
      </c>
      <c r="N206" s="63">
        <v>0</v>
      </c>
      <c r="O206" s="63">
        <v>11</v>
      </c>
    </row>
    <row r="207" spans="1:15" x14ac:dyDescent="0.25">
      <c r="A207" s="61" t="s">
        <v>81</v>
      </c>
      <c r="B207" s="51">
        <v>42108934</v>
      </c>
      <c r="C207" s="51">
        <v>3788671</v>
      </c>
      <c r="D207" s="51">
        <v>45897605</v>
      </c>
      <c r="E207" s="51">
        <v>622493</v>
      </c>
      <c r="F207" s="51">
        <v>33329</v>
      </c>
      <c r="G207" s="51">
        <v>10220</v>
      </c>
      <c r="H207" s="51">
        <v>2263</v>
      </c>
      <c r="I207" s="51">
        <v>668305</v>
      </c>
      <c r="J207" s="63">
        <v>0</v>
      </c>
      <c r="K207" s="63">
        <v>0</v>
      </c>
      <c r="L207" s="63">
        <v>0</v>
      </c>
      <c r="M207" s="51">
        <v>668305</v>
      </c>
      <c r="N207" s="63">
        <v>0</v>
      </c>
      <c r="O207" s="63">
        <v>11</v>
      </c>
    </row>
    <row r="208" spans="1:15" x14ac:dyDescent="0.25">
      <c r="A208" s="61" t="s">
        <v>82</v>
      </c>
      <c r="B208" s="51">
        <v>43045225</v>
      </c>
      <c r="C208" s="51">
        <v>3859898</v>
      </c>
      <c r="D208" s="51">
        <v>46905123</v>
      </c>
      <c r="E208" s="51">
        <v>634494</v>
      </c>
      <c r="F208" s="51">
        <v>33665</v>
      </c>
      <c r="G208" s="51">
        <v>10271</v>
      </c>
      <c r="H208" s="51">
        <v>2263</v>
      </c>
      <c r="I208" s="51">
        <v>680693</v>
      </c>
      <c r="J208" s="63">
        <v>0</v>
      </c>
      <c r="K208" s="63">
        <v>0</v>
      </c>
      <c r="L208" s="63">
        <v>0</v>
      </c>
      <c r="M208" s="51">
        <v>680693</v>
      </c>
      <c r="N208" s="63">
        <v>0</v>
      </c>
      <c r="O208" s="63">
        <v>11</v>
      </c>
    </row>
    <row r="209" spans="1:15" x14ac:dyDescent="0.25">
      <c r="A209" s="61" t="s">
        <v>83</v>
      </c>
      <c r="B209" s="51">
        <v>44000030</v>
      </c>
      <c r="C209" s="51">
        <v>3932873</v>
      </c>
      <c r="D209" s="51">
        <v>47932903</v>
      </c>
      <c r="E209" s="51">
        <v>646730</v>
      </c>
      <c r="F209" s="51">
        <v>34004</v>
      </c>
      <c r="G209" s="51">
        <v>10322</v>
      </c>
      <c r="H209" s="51">
        <v>2263</v>
      </c>
      <c r="I209" s="51">
        <v>693319</v>
      </c>
      <c r="J209" s="63">
        <v>0</v>
      </c>
      <c r="K209" s="63">
        <v>0</v>
      </c>
      <c r="L209" s="63">
        <v>0</v>
      </c>
      <c r="M209" s="51">
        <v>693319</v>
      </c>
      <c r="N209" s="63">
        <v>0</v>
      </c>
      <c r="O209" s="63">
        <v>11</v>
      </c>
    </row>
    <row r="210" spans="1:15" x14ac:dyDescent="0.25">
      <c r="A210" s="61" t="s">
        <v>84</v>
      </c>
      <c r="B210" s="51">
        <v>44977806</v>
      </c>
      <c r="C210" s="51">
        <v>4007987</v>
      </c>
      <c r="D210" s="51">
        <v>48985793</v>
      </c>
      <c r="E210" s="51">
        <v>659264</v>
      </c>
      <c r="F210" s="51">
        <v>34346</v>
      </c>
      <c r="G210" s="51">
        <v>10373</v>
      </c>
      <c r="H210" s="51">
        <v>2263</v>
      </c>
      <c r="I210" s="51">
        <v>706246</v>
      </c>
      <c r="J210" s="63">
        <v>0</v>
      </c>
      <c r="K210" s="63">
        <v>0</v>
      </c>
      <c r="L210" s="63">
        <v>0</v>
      </c>
      <c r="M210" s="51">
        <v>706246</v>
      </c>
      <c r="N210" s="63">
        <v>0</v>
      </c>
      <c r="O210" s="63">
        <v>11</v>
      </c>
    </row>
    <row r="211" spans="1:15" x14ac:dyDescent="0.25">
      <c r="A211" s="61" t="s">
        <v>85</v>
      </c>
      <c r="B211" s="51">
        <v>45957074</v>
      </c>
      <c r="C211" s="51">
        <v>4082756</v>
      </c>
      <c r="D211" s="51">
        <v>50039830</v>
      </c>
      <c r="E211" s="51">
        <v>671759</v>
      </c>
      <c r="F211" s="51">
        <v>34691</v>
      </c>
      <c r="G211" s="51">
        <v>10425</v>
      </c>
      <c r="H211" s="51">
        <v>2263</v>
      </c>
      <c r="I211" s="51">
        <v>719138</v>
      </c>
      <c r="J211" s="63">
        <v>0</v>
      </c>
      <c r="K211" s="63">
        <v>0</v>
      </c>
      <c r="L211" s="63">
        <v>0</v>
      </c>
      <c r="M211" s="51">
        <v>719138</v>
      </c>
      <c r="N211" s="63">
        <v>0</v>
      </c>
      <c r="O211" s="63">
        <v>11</v>
      </c>
    </row>
    <row r="212" spans="1:15" x14ac:dyDescent="0.25">
      <c r="A212" s="61" t="s">
        <v>86</v>
      </c>
      <c r="B212" s="51">
        <v>46965574</v>
      </c>
      <c r="C212" s="51">
        <v>4161002</v>
      </c>
      <c r="D212" s="51">
        <v>51126576</v>
      </c>
      <c r="E212" s="51">
        <v>684669</v>
      </c>
      <c r="F212" s="51">
        <v>35040</v>
      </c>
      <c r="G212" s="51">
        <v>10477</v>
      </c>
      <c r="H212" s="51">
        <v>2263</v>
      </c>
      <c r="I212" s="51">
        <v>732449</v>
      </c>
      <c r="J212" s="63">
        <v>0</v>
      </c>
      <c r="K212" s="63">
        <v>0</v>
      </c>
      <c r="L212" s="63">
        <v>0</v>
      </c>
      <c r="M212" s="51">
        <v>732449</v>
      </c>
      <c r="N212" s="63">
        <v>0</v>
      </c>
      <c r="O212" s="63">
        <v>11</v>
      </c>
    </row>
    <row r="213" spans="1:15" x14ac:dyDescent="0.25">
      <c r="A213" s="61" t="s">
        <v>87</v>
      </c>
      <c r="B213" s="51">
        <v>47991408</v>
      </c>
      <c r="C213" s="51">
        <v>4241006</v>
      </c>
      <c r="D213" s="51">
        <v>52232414</v>
      </c>
      <c r="E213" s="51">
        <v>697799</v>
      </c>
      <c r="F213" s="51">
        <v>35392</v>
      </c>
      <c r="G213" s="51">
        <v>10529</v>
      </c>
      <c r="H213" s="51">
        <v>2263</v>
      </c>
      <c r="I213" s="51">
        <v>745983</v>
      </c>
      <c r="J213" s="63">
        <v>0</v>
      </c>
      <c r="K213" s="63">
        <v>0</v>
      </c>
      <c r="L213" s="63">
        <v>0</v>
      </c>
      <c r="M213" s="51">
        <v>745983</v>
      </c>
      <c r="N213" s="63">
        <v>0</v>
      </c>
      <c r="O213" s="63">
        <v>11</v>
      </c>
    </row>
    <row r="214" spans="1:15" x14ac:dyDescent="0.25">
      <c r="A214" s="61" t="s">
        <v>88</v>
      </c>
      <c r="B214" s="51">
        <v>49035003</v>
      </c>
      <c r="C214" s="51">
        <v>4322365</v>
      </c>
      <c r="D214" s="51">
        <v>53357368</v>
      </c>
      <c r="E214" s="51">
        <v>711136</v>
      </c>
      <c r="F214" s="51">
        <v>35748</v>
      </c>
      <c r="G214" s="51">
        <v>10581</v>
      </c>
      <c r="H214" s="51">
        <v>2263</v>
      </c>
      <c r="I214" s="51">
        <v>759728</v>
      </c>
      <c r="J214" s="63">
        <v>0</v>
      </c>
      <c r="K214" s="63">
        <v>0</v>
      </c>
      <c r="L214" s="63">
        <v>0</v>
      </c>
      <c r="M214" s="51">
        <v>759728</v>
      </c>
      <c r="N214" s="63">
        <v>0</v>
      </c>
      <c r="O214" s="63">
        <v>11</v>
      </c>
    </row>
    <row r="215" spans="1:15" x14ac:dyDescent="0.25">
      <c r="A215" s="61" t="s">
        <v>89</v>
      </c>
      <c r="B215" s="51">
        <v>50099406</v>
      </c>
      <c r="C215" s="51">
        <v>4405692</v>
      </c>
      <c r="D215" s="51">
        <v>54505098</v>
      </c>
      <c r="E215" s="51">
        <v>724739</v>
      </c>
      <c r="F215" s="51">
        <v>36107</v>
      </c>
      <c r="G215" s="51">
        <v>10634</v>
      </c>
      <c r="H215" s="51">
        <v>2263</v>
      </c>
      <c r="I215" s="51">
        <v>773743</v>
      </c>
      <c r="J215" s="63">
        <v>0</v>
      </c>
      <c r="K215" s="63">
        <v>0</v>
      </c>
      <c r="L215" s="63">
        <v>0</v>
      </c>
      <c r="M215" s="51">
        <v>773743</v>
      </c>
      <c r="N215" s="63">
        <v>0</v>
      </c>
      <c r="O215" s="63">
        <v>11</v>
      </c>
    </row>
    <row r="216" spans="1:15" ht="15" customHeight="1" x14ac:dyDescent="0.25">
      <c r="A216" s="166" t="s">
        <v>92</v>
      </c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</row>
    <row r="217" spans="1:15" ht="15" customHeight="1" x14ac:dyDescent="0.25">
      <c r="A217" s="166" t="s">
        <v>93</v>
      </c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</row>
    <row r="218" spans="1:15" x14ac:dyDescent="0.25">
      <c r="A218" s="61">
        <v>1990</v>
      </c>
      <c r="B218" s="51">
        <v>3166035</v>
      </c>
      <c r="C218" s="51">
        <v>178636</v>
      </c>
      <c r="D218" s="51">
        <v>3344671</v>
      </c>
      <c r="E218" s="51">
        <v>95949</v>
      </c>
      <c r="F218" s="51">
        <v>50985</v>
      </c>
      <c r="G218" s="51">
        <v>114714</v>
      </c>
      <c r="H218" s="63">
        <v>631</v>
      </c>
      <c r="I218" s="51">
        <v>262279</v>
      </c>
      <c r="J218" s="51">
        <v>56234</v>
      </c>
      <c r="K218" s="63">
        <v>38</v>
      </c>
      <c r="L218" s="51">
        <v>56272</v>
      </c>
      <c r="M218" s="51">
        <v>318551</v>
      </c>
      <c r="N218" s="63">
        <v>0</v>
      </c>
      <c r="O218" s="63">
        <v>680</v>
      </c>
    </row>
    <row r="219" spans="1:15" x14ac:dyDescent="0.25">
      <c r="A219" s="61">
        <v>1991</v>
      </c>
      <c r="B219" s="51">
        <v>3239706</v>
      </c>
      <c r="C219" s="51">
        <v>216072</v>
      </c>
      <c r="D219" s="51">
        <v>3455778</v>
      </c>
      <c r="E219" s="51">
        <v>101040</v>
      </c>
      <c r="F219" s="51">
        <v>54868</v>
      </c>
      <c r="G219" s="51">
        <v>115098</v>
      </c>
      <c r="H219" s="63">
        <v>606</v>
      </c>
      <c r="I219" s="51">
        <v>271612</v>
      </c>
      <c r="J219" s="51">
        <v>65292</v>
      </c>
      <c r="K219" s="63">
        <v>24</v>
      </c>
      <c r="L219" s="51">
        <v>65316</v>
      </c>
      <c r="M219" s="51">
        <v>336928</v>
      </c>
      <c r="N219" s="63">
        <v>0</v>
      </c>
      <c r="O219" s="63">
        <v>680</v>
      </c>
    </row>
    <row r="220" spans="1:15" x14ac:dyDescent="0.25">
      <c r="A220" s="61">
        <v>1992</v>
      </c>
      <c r="B220" s="51">
        <v>3266672</v>
      </c>
      <c r="C220" s="51">
        <v>244842</v>
      </c>
      <c r="D220" s="51">
        <v>3511514</v>
      </c>
      <c r="E220" s="51">
        <v>95874</v>
      </c>
      <c r="F220" s="51">
        <v>55792</v>
      </c>
      <c r="G220" s="51">
        <v>122382</v>
      </c>
      <c r="H220" s="51">
        <v>1023</v>
      </c>
      <c r="I220" s="51">
        <v>275071</v>
      </c>
      <c r="J220" s="51">
        <v>67823</v>
      </c>
      <c r="K220" s="63">
        <v>24</v>
      </c>
      <c r="L220" s="51">
        <v>67847</v>
      </c>
      <c r="M220" s="51">
        <v>342918</v>
      </c>
      <c r="N220" s="63">
        <v>0</v>
      </c>
      <c r="O220" s="63">
        <v>680</v>
      </c>
    </row>
    <row r="221" spans="1:15" x14ac:dyDescent="0.25">
      <c r="A221" s="61">
        <v>1993</v>
      </c>
      <c r="B221" s="51">
        <v>3073481</v>
      </c>
      <c r="C221" s="51">
        <v>230823</v>
      </c>
      <c r="D221" s="51">
        <v>3304304</v>
      </c>
      <c r="E221" s="51">
        <v>88984</v>
      </c>
      <c r="F221" s="51">
        <v>46116</v>
      </c>
      <c r="G221" s="51">
        <v>110504</v>
      </c>
      <c r="H221" s="51">
        <v>1027</v>
      </c>
      <c r="I221" s="51">
        <v>246631</v>
      </c>
      <c r="J221" s="51">
        <v>65774</v>
      </c>
      <c r="K221" s="63">
        <v>0</v>
      </c>
      <c r="L221" s="51">
        <v>65774</v>
      </c>
      <c r="M221" s="51">
        <v>312405</v>
      </c>
      <c r="N221" s="63">
        <v>0</v>
      </c>
      <c r="O221" s="63">
        <v>680</v>
      </c>
    </row>
    <row r="222" spans="1:15" x14ac:dyDescent="0.25">
      <c r="A222" s="61">
        <v>1994</v>
      </c>
      <c r="B222" s="51">
        <v>3925910</v>
      </c>
      <c r="C222" s="51">
        <v>59802</v>
      </c>
      <c r="D222" s="51">
        <v>3985712</v>
      </c>
      <c r="E222" s="51">
        <v>105314</v>
      </c>
      <c r="F222" s="51">
        <v>17405</v>
      </c>
      <c r="G222" s="51">
        <v>104157</v>
      </c>
      <c r="H222" s="63">
        <v>844</v>
      </c>
      <c r="I222" s="51">
        <v>227720</v>
      </c>
      <c r="J222" s="51">
        <v>70500</v>
      </c>
      <c r="K222" s="63">
        <v>0</v>
      </c>
      <c r="L222" s="51">
        <v>70500</v>
      </c>
      <c r="M222" s="51">
        <v>298220</v>
      </c>
      <c r="N222" s="63">
        <v>0</v>
      </c>
      <c r="O222" s="63">
        <v>680</v>
      </c>
    </row>
    <row r="223" spans="1:15" x14ac:dyDescent="0.25">
      <c r="A223" s="61">
        <v>1995</v>
      </c>
      <c r="B223" s="51">
        <v>4265347</v>
      </c>
      <c r="C223" s="51">
        <v>70559</v>
      </c>
      <c r="D223" s="51">
        <v>4335906</v>
      </c>
      <c r="E223" s="51">
        <v>103373</v>
      </c>
      <c r="F223" s="51">
        <v>20135</v>
      </c>
      <c r="G223" s="51">
        <v>85805</v>
      </c>
      <c r="H223" s="63">
        <v>729</v>
      </c>
      <c r="I223" s="51">
        <v>210042</v>
      </c>
      <c r="J223" s="51">
        <v>60477</v>
      </c>
      <c r="K223" s="63">
        <v>0</v>
      </c>
      <c r="L223" s="51">
        <v>60477</v>
      </c>
      <c r="M223" s="51">
        <v>270519</v>
      </c>
      <c r="N223" s="63">
        <v>0</v>
      </c>
      <c r="O223" s="63">
        <v>680</v>
      </c>
    </row>
    <row r="224" spans="1:15" x14ac:dyDescent="0.25">
      <c r="A224" s="61">
        <v>1996</v>
      </c>
      <c r="B224" s="51">
        <v>4720710</v>
      </c>
      <c r="C224" s="51">
        <v>56309</v>
      </c>
      <c r="D224" s="51">
        <v>4777019</v>
      </c>
      <c r="E224" s="51">
        <v>115785</v>
      </c>
      <c r="F224" s="51">
        <v>9125</v>
      </c>
      <c r="G224" s="51">
        <v>85503</v>
      </c>
      <c r="H224" s="63">
        <v>431</v>
      </c>
      <c r="I224" s="51">
        <v>210844</v>
      </c>
      <c r="J224" s="51">
        <v>68097</v>
      </c>
      <c r="K224" s="63">
        <v>0</v>
      </c>
      <c r="L224" s="51">
        <v>68097</v>
      </c>
      <c r="M224" s="51">
        <v>278941</v>
      </c>
      <c r="N224" s="63">
        <v>0</v>
      </c>
      <c r="O224" s="63">
        <v>680</v>
      </c>
    </row>
    <row r="225" spans="1:15" x14ac:dyDescent="0.25">
      <c r="A225" s="61">
        <v>1997</v>
      </c>
      <c r="B225" s="51">
        <v>5009705</v>
      </c>
      <c r="C225" s="51">
        <v>57371</v>
      </c>
      <c r="D225" s="51">
        <v>5067076</v>
      </c>
      <c r="E225" s="51">
        <v>126790</v>
      </c>
      <c r="F225" s="51">
        <v>7225</v>
      </c>
      <c r="G225" s="51">
        <v>91035</v>
      </c>
      <c r="H225" s="63">
        <v>266</v>
      </c>
      <c r="I225" s="51">
        <v>225316</v>
      </c>
      <c r="J225" s="51">
        <v>77667</v>
      </c>
      <c r="K225" s="63">
        <v>531</v>
      </c>
      <c r="L225" s="51">
        <v>78198</v>
      </c>
      <c r="M225" s="51">
        <v>303514</v>
      </c>
      <c r="N225" s="63">
        <v>0</v>
      </c>
      <c r="O225" s="63">
        <v>680</v>
      </c>
    </row>
    <row r="226" spans="1:15" x14ac:dyDescent="0.25">
      <c r="A226" s="61">
        <v>1998</v>
      </c>
      <c r="B226" s="51">
        <v>4933367</v>
      </c>
      <c r="C226" s="51">
        <v>106053</v>
      </c>
      <c r="D226" s="51">
        <v>5039420</v>
      </c>
      <c r="E226" s="51">
        <v>130517</v>
      </c>
      <c r="F226" s="51">
        <v>9084</v>
      </c>
      <c r="G226" s="51">
        <v>81454</v>
      </c>
      <c r="H226" s="63">
        <v>467</v>
      </c>
      <c r="I226" s="51">
        <v>221522</v>
      </c>
      <c r="J226" s="51">
        <v>66450</v>
      </c>
      <c r="K226" s="63">
        <v>6</v>
      </c>
      <c r="L226" s="51">
        <v>66456</v>
      </c>
      <c r="M226" s="51">
        <v>287978</v>
      </c>
      <c r="N226" s="63">
        <v>0</v>
      </c>
      <c r="O226" s="63">
        <v>680</v>
      </c>
    </row>
    <row r="227" spans="1:15" x14ac:dyDescent="0.25">
      <c r="A227" s="61">
        <v>1999</v>
      </c>
      <c r="B227" s="51">
        <v>5444470</v>
      </c>
      <c r="C227" s="51">
        <v>57695</v>
      </c>
      <c r="D227" s="51">
        <v>5502165</v>
      </c>
      <c r="E227" s="51">
        <v>145321</v>
      </c>
      <c r="F227" s="51">
        <v>6475</v>
      </c>
      <c r="G227" s="51">
        <v>89495</v>
      </c>
      <c r="H227" s="63">
        <v>407</v>
      </c>
      <c r="I227" s="51">
        <v>241698</v>
      </c>
      <c r="J227" s="51">
        <v>62662</v>
      </c>
      <c r="K227" s="63">
        <v>4</v>
      </c>
      <c r="L227" s="51">
        <v>62666</v>
      </c>
      <c r="M227" s="51">
        <v>304364</v>
      </c>
      <c r="N227" s="63">
        <v>0</v>
      </c>
      <c r="O227" s="63">
        <v>417</v>
      </c>
    </row>
    <row r="228" spans="1:15" x14ac:dyDescent="0.25">
      <c r="A228" s="61">
        <v>2000</v>
      </c>
      <c r="B228" s="51">
        <v>5964533</v>
      </c>
      <c r="C228" s="51">
        <v>60302</v>
      </c>
      <c r="D228" s="51">
        <v>6024835</v>
      </c>
      <c r="E228" s="51">
        <v>144070</v>
      </c>
      <c r="F228" s="51">
        <v>12550</v>
      </c>
      <c r="G228" s="51">
        <v>89099</v>
      </c>
      <c r="H228" s="63">
        <v>197</v>
      </c>
      <c r="I228" s="51">
        <v>245916</v>
      </c>
      <c r="J228" s="51">
        <v>53305</v>
      </c>
      <c r="K228" s="63">
        <v>16</v>
      </c>
      <c r="L228" s="51">
        <v>53321</v>
      </c>
      <c r="M228" s="51">
        <v>299237</v>
      </c>
      <c r="N228" s="63">
        <v>0</v>
      </c>
      <c r="O228" s="63">
        <v>417</v>
      </c>
    </row>
    <row r="229" spans="1:15" x14ac:dyDescent="0.25">
      <c r="A229" s="61">
        <v>2001</v>
      </c>
      <c r="B229" s="51">
        <v>6260031</v>
      </c>
      <c r="C229" s="51">
        <v>57585</v>
      </c>
      <c r="D229" s="51">
        <v>6317616</v>
      </c>
      <c r="E229" s="51">
        <v>155755</v>
      </c>
      <c r="F229" s="51">
        <v>20665</v>
      </c>
      <c r="G229" s="51">
        <v>71633</v>
      </c>
      <c r="H229" s="63">
        <v>252</v>
      </c>
      <c r="I229" s="51">
        <v>248305</v>
      </c>
      <c r="J229" s="51">
        <v>38017</v>
      </c>
      <c r="K229" s="63">
        <v>7</v>
      </c>
      <c r="L229" s="51">
        <v>38024</v>
      </c>
      <c r="M229" s="51">
        <v>286329</v>
      </c>
      <c r="N229" s="63">
        <v>0</v>
      </c>
      <c r="O229" s="63">
        <v>417</v>
      </c>
    </row>
    <row r="230" spans="1:15" x14ac:dyDescent="0.25">
      <c r="A230" s="61">
        <v>2002</v>
      </c>
      <c r="B230" s="51">
        <v>5004072</v>
      </c>
      <c r="C230" s="51">
        <v>218942</v>
      </c>
      <c r="D230" s="51">
        <v>5223014</v>
      </c>
      <c r="E230" s="51">
        <v>130330</v>
      </c>
      <c r="F230" s="51">
        <v>28318</v>
      </c>
      <c r="G230" s="51">
        <v>54508</v>
      </c>
      <c r="H230" s="63">
        <v>152</v>
      </c>
      <c r="I230" s="51">
        <v>213308</v>
      </c>
      <c r="J230" s="51">
        <v>15113</v>
      </c>
      <c r="K230" s="63">
        <v>26</v>
      </c>
      <c r="L230" s="51">
        <v>15139</v>
      </c>
      <c r="M230" s="51">
        <v>228447</v>
      </c>
      <c r="N230" s="63">
        <v>0</v>
      </c>
      <c r="O230" s="63">
        <v>417</v>
      </c>
    </row>
    <row r="231" spans="1:15" x14ac:dyDescent="0.25">
      <c r="A231" s="61">
        <v>2003</v>
      </c>
      <c r="B231" s="51">
        <v>4769318</v>
      </c>
      <c r="C231" s="51">
        <v>366391</v>
      </c>
      <c r="D231" s="51">
        <v>5135709</v>
      </c>
      <c r="E231" s="51">
        <v>121539</v>
      </c>
      <c r="F231" s="51">
        <v>35371</v>
      </c>
      <c r="G231" s="51">
        <v>50636</v>
      </c>
      <c r="H231" s="63">
        <v>143</v>
      </c>
      <c r="I231" s="51">
        <v>207689</v>
      </c>
      <c r="J231" s="51">
        <v>11894</v>
      </c>
      <c r="K231" s="63">
        <v>0</v>
      </c>
      <c r="L231" s="51">
        <v>11894</v>
      </c>
      <c r="M231" s="51">
        <v>219583</v>
      </c>
      <c r="N231" s="63">
        <v>0</v>
      </c>
      <c r="O231" s="63">
        <v>417</v>
      </c>
    </row>
    <row r="232" spans="1:15" x14ac:dyDescent="0.25">
      <c r="A232" s="61">
        <v>2004</v>
      </c>
      <c r="B232" s="51">
        <v>4711465</v>
      </c>
      <c r="C232" s="51">
        <v>510098</v>
      </c>
      <c r="D232" s="51">
        <v>5221563</v>
      </c>
      <c r="E232" s="51">
        <v>123944</v>
      </c>
      <c r="F232" s="51">
        <v>33455</v>
      </c>
      <c r="G232" s="51">
        <v>46069</v>
      </c>
      <c r="H232" s="63">
        <v>126</v>
      </c>
      <c r="I232" s="51">
        <v>203594</v>
      </c>
      <c r="J232" s="51">
        <v>14395</v>
      </c>
      <c r="K232" s="63">
        <v>0</v>
      </c>
      <c r="L232" s="51">
        <v>14395</v>
      </c>
      <c r="M232" s="51">
        <v>217989</v>
      </c>
      <c r="N232" s="63">
        <v>0</v>
      </c>
      <c r="O232" s="63">
        <v>417</v>
      </c>
    </row>
    <row r="233" spans="1:15" x14ac:dyDescent="0.25">
      <c r="A233" s="61">
        <v>2005</v>
      </c>
      <c r="B233" s="51">
        <v>4731842</v>
      </c>
      <c r="C233" s="51">
        <v>562543</v>
      </c>
      <c r="D233" s="51">
        <v>5294385</v>
      </c>
      <c r="E233" s="51">
        <v>125916</v>
      </c>
      <c r="F233" s="51">
        <v>29908</v>
      </c>
      <c r="G233" s="51">
        <v>45618</v>
      </c>
      <c r="H233" s="63">
        <v>77</v>
      </c>
      <c r="I233" s="51">
        <v>201519</v>
      </c>
      <c r="J233" s="51">
        <v>18660</v>
      </c>
      <c r="K233" s="63">
        <v>0</v>
      </c>
      <c r="L233" s="51">
        <v>18660</v>
      </c>
      <c r="M233" s="51">
        <v>220179</v>
      </c>
      <c r="N233" s="63">
        <v>0</v>
      </c>
      <c r="O233" s="63">
        <v>417</v>
      </c>
    </row>
    <row r="234" spans="1:15" x14ac:dyDescent="0.25">
      <c r="A234" s="61">
        <v>2006</v>
      </c>
      <c r="B234" s="51">
        <v>4745633</v>
      </c>
      <c r="C234" s="51">
        <v>552278</v>
      </c>
      <c r="D234" s="51">
        <v>5297911</v>
      </c>
      <c r="E234" s="51">
        <v>125441</v>
      </c>
      <c r="F234" s="51">
        <v>27188</v>
      </c>
      <c r="G234" s="51">
        <v>42016</v>
      </c>
      <c r="H234" s="63">
        <v>111</v>
      </c>
      <c r="I234" s="51">
        <v>194756</v>
      </c>
      <c r="J234" s="51">
        <v>19936</v>
      </c>
      <c r="K234" s="63">
        <v>58</v>
      </c>
      <c r="L234" s="51">
        <v>19994</v>
      </c>
      <c r="M234" s="51">
        <v>214750</v>
      </c>
      <c r="N234" s="63">
        <v>0</v>
      </c>
      <c r="O234" s="63">
        <v>185</v>
      </c>
    </row>
    <row r="235" spans="1:15" x14ac:dyDescent="0.25">
      <c r="A235" s="61">
        <v>2007</v>
      </c>
      <c r="B235" s="51">
        <v>4769778</v>
      </c>
      <c r="C235" s="51">
        <v>516674</v>
      </c>
      <c r="D235" s="51">
        <v>5286452</v>
      </c>
      <c r="E235" s="51">
        <v>123447</v>
      </c>
      <c r="F235" s="51">
        <v>28441</v>
      </c>
      <c r="G235" s="51">
        <v>40207</v>
      </c>
      <c r="H235" s="63">
        <v>89</v>
      </c>
      <c r="I235" s="51">
        <v>192184</v>
      </c>
      <c r="J235" s="51">
        <v>15250</v>
      </c>
      <c r="K235" s="63">
        <v>18</v>
      </c>
      <c r="L235" s="51">
        <v>15268</v>
      </c>
      <c r="M235" s="51">
        <v>207452</v>
      </c>
      <c r="N235" s="63">
        <v>0</v>
      </c>
      <c r="O235" s="63">
        <v>176</v>
      </c>
    </row>
    <row r="237" spans="1:15" ht="18" x14ac:dyDescent="0.25">
      <c r="A237" s="59" t="s">
        <v>38</v>
      </c>
    </row>
    <row r="238" spans="1:15" ht="18" x14ac:dyDescent="0.25">
      <c r="A238" s="59" t="s">
        <v>39</v>
      </c>
    </row>
    <row r="242" spans="1:15" x14ac:dyDescent="0.25">
      <c r="A242" s="60" t="s">
        <v>40</v>
      </c>
    </row>
    <row r="245" spans="1:15" ht="15" customHeight="1" x14ac:dyDescent="0.25">
      <c r="A245" s="161"/>
      <c r="B245" s="161"/>
      <c r="C245" s="161"/>
      <c r="D245" s="161"/>
      <c r="E245" s="162" t="s">
        <v>41</v>
      </c>
      <c r="F245" s="162"/>
      <c r="G245" s="162"/>
      <c r="H245" s="162"/>
      <c r="I245" s="162"/>
      <c r="J245" s="162"/>
      <c r="K245" s="162"/>
      <c r="L245" s="162"/>
      <c r="M245" s="161"/>
      <c r="N245" s="161"/>
      <c r="O245" s="161"/>
    </row>
    <row r="246" spans="1:15" ht="15" customHeight="1" x14ac:dyDescent="0.25">
      <c r="A246" s="61"/>
      <c r="B246" s="162" t="s">
        <v>42</v>
      </c>
      <c r="C246" s="162"/>
      <c r="D246" s="162"/>
      <c r="E246" s="162" t="s">
        <v>43</v>
      </c>
      <c r="F246" s="162"/>
      <c r="G246" s="162"/>
      <c r="H246" s="162"/>
      <c r="I246" s="162"/>
      <c r="J246" s="162" t="s">
        <v>44</v>
      </c>
      <c r="K246" s="162"/>
      <c r="L246" s="162"/>
      <c r="M246" s="161"/>
      <c r="N246" s="161"/>
      <c r="O246" s="161"/>
    </row>
    <row r="247" spans="1:15" x14ac:dyDescent="0.25">
      <c r="A247" s="62" t="s">
        <v>45</v>
      </c>
      <c r="B247" s="62" t="s">
        <v>46</v>
      </c>
      <c r="C247" s="163" t="s">
        <v>48</v>
      </c>
      <c r="D247" s="163" t="s">
        <v>3</v>
      </c>
      <c r="E247" s="62" t="s">
        <v>46</v>
      </c>
      <c r="F247" s="62" t="s">
        <v>49</v>
      </c>
      <c r="G247" s="163" t="s">
        <v>50</v>
      </c>
      <c r="H247" s="163" t="s">
        <v>51</v>
      </c>
      <c r="I247" s="163" t="s">
        <v>3</v>
      </c>
      <c r="J247" s="163" t="s">
        <v>52</v>
      </c>
      <c r="K247" s="163" t="s">
        <v>51</v>
      </c>
      <c r="L247" s="163" t="s">
        <v>3</v>
      </c>
      <c r="M247" s="62" t="s">
        <v>3</v>
      </c>
      <c r="N247" s="62" t="s">
        <v>3</v>
      </c>
      <c r="O247" s="62" t="s">
        <v>55</v>
      </c>
    </row>
    <row r="248" spans="1:15" x14ac:dyDescent="0.25">
      <c r="A248" s="62" t="s">
        <v>4</v>
      </c>
      <c r="B248" s="62" t="s">
        <v>47</v>
      </c>
      <c r="C248" s="163"/>
      <c r="D248" s="163"/>
      <c r="E248" s="62" t="s">
        <v>47</v>
      </c>
      <c r="F248" s="62" t="s">
        <v>48</v>
      </c>
      <c r="G248" s="163"/>
      <c r="H248" s="163"/>
      <c r="I248" s="163"/>
      <c r="J248" s="163"/>
      <c r="K248" s="163"/>
      <c r="L248" s="163"/>
      <c r="M248" s="62" t="s">
        <v>53</v>
      </c>
      <c r="N248" s="62" t="s">
        <v>54</v>
      </c>
      <c r="O248" s="62" t="s">
        <v>56</v>
      </c>
    </row>
    <row r="249" spans="1:15" x14ac:dyDescent="0.25">
      <c r="A249" s="62"/>
      <c r="B249" s="62"/>
      <c r="C249" s="163"/>
      <c r="D249" s="163"/>
      <c r="E249" s="62"/>
      <c r="F249" s="62"/>
      <c r="G249" s="163"/>
      <c r="H249" s="163"/>
      <c r="I249" s="163"/>
      <c r="J249" s="163"/>
      <c r="K249" s="163"/>
      <c r="L249" s="163"/>
      <c r="M249" s="62"/>
      <c r="N249" s="62" t="s">
        <v>53</v>
      </c>
      <c r="O249" s="62"/>
    </row>
    <row r="250" spans="1:15" x14ac:dyDescent="0.25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</row>
    <row r="251" spans="1:15" x14ac:dyDescent="0.25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</row>
    <row r="252" spans="1:15" x14ac:dyDescent="0.25">
      <c r="A252" s="61">
        <v>2008</v>
      </c>
      <c r="B252" s="51">
        <v>4470130</v>
      </c>
      <c r="C252" s="51">
        <v>488341</v>
      </c>
      <c r="D252" s="51">
        <v>4958471</v>
      </c>
      <c r="E252" s="51">
        <v>117753</v>
      </c>
      <c r="F252" s="51">
        <v>26749</v>
      </c>
      <c r="G252" s="51">
        <v>36901</v>
      </c>
      <c r="H252" s="63">
        <v>58</v>
      </c>
      <c r="I252" s="51">
        <v>181461</v>
      </c>
      <c r="J252" s="51">
        <v>15889</v>
      </c>
      <c r="K252" s="63">
        <v>72</v>
      </c>
      <c r="L252" s="51">
        <v>15961</v>
      </c>
      <c r="M252" s="51">
        <v>197422</v>
      </c>
      <c r="N252" s="63">
        <v>0</v>
      </c>
      <c r="O252" s="63">
        <v>166</v>
      </c>
    </row>
    <row r="253" spans="1:15" x14ac:dyDescent="0.25">
      <c r="A253" s="61">
        <v>2009</v>
      </c>
      <c r="B253" s="51">
        <v>3731156</v>
      </c>
      <c r="C253" s="51">
        <v>425953</v>
      </c>
      <c r="D253" s="51">
        <v>4157109</v>
      </c>
      <c r="E253" s="51">
        <v>94214</v>
      </c>
      <c r="F253" s="51">
        <v>27351</v>
      </c>
      <c r="G253" s="51">
        <v>30049</v>
      </c>
      <c r="H253" s="63">
        <v>375</v>
      </c>
      <c r="I253" s="51">
        <v>151989</v>
      </c>
      <c r="J253" s="51">
        <v>16976</v>
      </c>
      <c r="K253" s="63">
        <v>16</v>
      </c>
      <c r="L253" s="51">
        <v>16992</v>
      </c>
      <c r="M253" s="51">
        <v>168981</v>
      </c>
      <c r="N253" s="63">
        <v>0</v>
      </c>
      <c r="O253" s="63">
        <v>161</v>
      </c>
    </row>
    <row r="254" spans="1:15" x14ac:dyDescent="0.25">
      <c r="A254" s="61">
        <v>2010</v>
      </c>
      <c r="B254" s="51">
        <v>3653789</v>
      </c>
      <c r="C254" s="51">
        <v>375496</v>
      </c>
      <c r="D254" s="51">
        <v>4029285</v>
      </c>
      <c r="E254" s="51">
        <v>85113</v>
      </c>
      <c r="F254" s="51">
        <v>23167</v>
      </c>
      <c r="G254" s="51">
        <v>26099</v>
      </c>
      <c r="H254" s="63">
        <v>285</v>
      </c>
      <c r="I254" s="51">
        <v>134664</v>
      </c>
      <c r="J254" s="51">
        <v>4353</v>
      </c>
      <c r="K254" s="63">
        <v>3</v>
      </c>
      <c r="L254" s="51">
        <v>4356</v>
      </c>
      <c r="M254" s="51">
        <v>139020</v>
      </c>
      <c r="N254" s="63">
        <v>0</v>
      </c>
      <c r="O254" s="63">
        <v>161</v>
      </c>
    </row>
    <row r="255" spans="1:15" x14ac:dyDescent="0.25">
      <c r="A255" s="61">
        <v>2011</v>
      </c>
      <c r="B255" s="51">
        <v>3734255</v>
      </c>
      <c r="C255" s="51">
        <v>390048</v>
      </c>
      <c r="D255" s="51">
        <v>4124303</v>
      </c>
      <c r="E255" s="51">
        <v>84294</v>
      </c>
      <c r="F255" s="51">
        <v>23035</v>
      </c>
      <c r="G255" s="51">
        <v>25320</v>
      </c>
      <c r="H255" s="63">
        <v>245</v>
      </c>
      <c r="I255" s="51">
        <v>132894</v>
      </c>
      <c r="J255" s="51">
        <v>4918</v>
      </c>
      <c r="K255" s="63">
        <v>2</v>
      </c>
      <c r="L255" s="51">
        <v>4920</v>
      </c>
      <c r="M255" s="51">
        <v>137814</v>
      </c>
      <c r="N255" s="63">
        <v>0</v>
      </c>
      <c r="O255" s="63">
        <v>138</v>
      </c>
    </row>
    <row r="256" spans="1:15" x14ac:dyDescent="0.25">
      <c r="A256" s="61">
        <v>2012</v>
      </c>
      <c r="B256" s="51">
        <v>3677059</v>
      </c>
      <c r="C256" s="51">
        <v>379448</v>
      </c>
      <c r="D256" s="51">
        <v>4056507</v>
      </c>
      <c r="E256" s="51">
        <v>81198</v>
      </c>
      <c r="F256" s="51">
        <v>22287</v>
      </c>
      <c r="G256" s="51">
        <v>25817</v>
      </c>
      <c r="H256" s="63">
        <v>234</v>
      </c>
      <c r="I256" s="51">
        <v>129536</v>
      </c>
      <c r="J256" s="51">
        <v>5813</v>
      </c>
      <c r="K256" s="63">
        <v>230</v>
      </c>
      <c r="L256" s="51">
        <v>6043</v>
      </c>
      <c r="M256" s="51">
        <v>135579</v>
      </c>
      <c r="N256" s="63">
        <v>0</v>
      </c>
      <c r="O256" s="63">
        <v>123</v>
      </c>
    </row>
    <row r="257" spans="1:15" x14ac:dyDescent="0.25">
      <c r="A257" s="61">
        <v>2013</v>
      </c>
      <c r="B257" s="51">
        <v>3820929</v>
      </c>
      <c r="C257" s="51">
        <v>407892</v>
      </c>
      <c r="D257" s="51">
        <v>4228821</v>
      </c>
      <c r="E257" s="51">
        <v>84388</v>
      </c>
      <c r="F257" s="51">
        <v>20883</v>
      </c>
      <c r="G257" s="51">
        <v>26674</v>
      </c>
      <c r="H257" s="63">
        <v>232</v>
      </c>
      <c r="I257" s="51">
        <v>132177</v>
      </c>
      <c r="J257" s="51">
        <v>4210</v>
      </c>
      <c r="K257" s="63">
        <v>64</v>
      </c>
      <c r="L257" s="51">
        <v>4274</v>
      </c>
      <c r="M257" s="51">
        <v>136451</v>
      </c>
      <c r="N257" s="63">
        <v>0</v>
      </c>
      <c r="O257" s="63">
        <v>133</v>
      </c>
    </row>
    <row r="258" spans="1:15" x14ac:dyDescent="0.25">
      <c r="A258" s="61">
        <v>2014</v>
      </c>
      <c r="B258" s="51">
        <v>4067245</v>
      </c>
      <c r="C258" s="51">
        <v>478800</v>
      </c>
      <c r="D258" s="51">
        <v>4546045</v>
      </c>
      <c r="E258" s="51">
        <v>87880</v>
      </c>
      <c r="F258" s="51">
        <v>23102</v>
      </c>
      <c r="G258" s="51">
        <v>25753</v>
      </c>
      <c r="H258" s="63">
        <v>197</v>
      </c>
      <c r="I258" s="51">
        <v>136932</v>
      </c>
      <c r="J258" s="51">
        <v>4214</v>
      </c>
      <c r="K258" s="63">
        <v>46</v>
      </c>
      <c r="L258" s="51">
        <v>4260</v>
      </c>
      <c r="M258" s="51">
        <v>141192</v>
      </c>
      <c r="N258" s="63">
        <v>0</v>
      </c>
      <c r="O258" s="63">
        <v>133</v>
      </c>
    </row>
    <row r="259" spans="1:15" x14ac:dyDescent="0.25">
      <c r="A259" s="61">
        <v>2015</v>
      </c>
      <c r="B259" s="51">
        <v>4215615</v>
      </c>
      <c r="C259" s="51">
        <v>537950</v>
      </c>
      <c r="D259" s="51">
        <v>4753565</v>
      </c>
      <c r="E259" s="51">
        <v>89714</v>
      </c>
      <c r="F259" s="51">
        <v>23507</v>
      </c>
      <c r="G259" s="51">
        <v>29241</v>
      </c>
      <c r="H259" s="63">
        <v>220</v>
      </c>
      <c r="I259" s="51">
        <v>142682</v>
      </c>
      <c r="J259" s="51">
        <v>4634</v>
      </c>
      <c r="K259" s="63">
        <v>54</v>
      </c>
      <c r="L259" s="51">
        <v>4688</v>
      </c>
      <c r="M259" s="51">
        <v>147370</v>
      </c>
      <c r="N259" s="63">
        <v>0</v>
      </c>
      <c r="O259" s="63">
        <v>133</v>
      </c>
    </row>
    <row r="260" spans="1:15" x14ac:dyDescent="0.25">
      <c r="A260" s="61">
        <v>2016</v>
      </c>
      <c r="B260" s="51">
        <v>4606411</v>
      </c>
      <c r="C260" s="51">
        <v>539934</v>
      </c>
      <c r="D260" s="51">
        <v>5146345</v>
      </c>
      <c r="E260" s="51">
        <v>98908</v>
      </c>
      <c r="F260" s="51">
        <v>23450</v>
      </c>
      <c r="G260" s="51">
        <v>29594</v>
      </c>
      <c r="H260" s="63">
        <v>252</v>
      </c>
      <c r="I260" s="51">
        <v>152204</v>
      </c>
      <c r="J260" s="51">
        <v>4237</v>
      </c>
      <c r="K260" s="63">
        <v>20</v>
      </c>
      <c r="L260" s="51">
        <v>4257</v>
      </c>
      <c r="M260" s="51">
        <v>156461</v>
      </c>
      <c r="N260" s="63">
        <v>0</v>
      </c>
      <c r="O260" s="63">
        <v>133</v>
      </c>
    </row>
    <row r="261" spans="1:15" x14ac:dyDescent="0.25">
      <c r="A261" s="61">
        <v>2017</v>
      </c>
      <c r="B261" s="51">
        <v>5198612</v>
      </c>
      <c r="C261" s="51">
        <v>701005</v>
      </c>
      <c r="D261" s="51">
        <v>5899617</v>
      </c>
      <c r="E261" s="51">
        <v>115361</v>
      </c>
      <c r="F261" s="51">
        <v>23289</v>
      </c>
      <c r="G261" s="51">
        <v>29550</v>
      </c>
      <c r="H261" s="63">
        <v>240</v>
      </c>
      <c r="I261" s="51">
        <v>168440</v>
      </c>
      <c r="J261" s="51">
        <v>4630</v>
      </c>
      <c r="K261" s="63">
        <v>8</v>
      </c>
      <c r="L261" s="51">
        <v>4638</v>
      </c>
      <c r="M261" s="51">
        <v>173078</v>
      </c>
      <c r="N261" s="63">
        <v>0</v>
      </c>
      <c r="O261" s="63">
        <v>133</v>
      </c>
    </row>
    <row r="262" spans="1:15" x14ac:dyDescent="0.25">
      <c r="A262" s="61">
        <v>2018</v>
      </c>
      <c r="B262" s="51">
        <v>5932283</v>
      </c>
      <c r="C262" s="51">
        <v>925028</v>
      </c>
      <c r="D262" s="51">
        <v>6857311</v>
      </c>
      <c r="E262" s="51">
        <v>133497</v>
      </c>
      <c r="F262" s="51">
        <v>23048</v>
      </c>
      <c r="G262" s="51">
        <v>32317</v>
      </c>
      <c r="H262" s="63">
        <v>250</v>
      </c>
      <c r="I262" s="51">
        <v>189112</v>
      </c>
      <c r="J262" s="51">
        <v>3845</v>
      </c>
      <c r="K262" s="63">
        <v>4</v>
      </c>
      <c r="L262" s="51">
        <v>3849</v>
      </c>
      <c r="M262" s="51">
        <v>192961</v>
      </c>
      <c r="N262" s="63">
        <v>0</v>
      </c>
      <c r="O262" s="63">
        <v>133</v>
      </c>
    </row>
    <row r="263" spans="1:15" x14ac:dyDescent="0.25">
      <c r="A263" s="61">
        <v>2019</v>
      </c>
      <c r="B263" s="51">
        <v>6532864</v>
      </c>
      <c r="C263" s="51">
        <v>977917</v>
      </c>
      <c r="D263" s="51">
        <v>7510781</v>
      </c>
      <c r="E263" s="51">
        <v>146401</v>
      </c>
      <c r="F263" s="51">
        <v>21586</v>
      </c>
      <c r="G263" s="51">
        <v>32885</v>
      </c>
      <c r="H263" s="63">
        <v>212</v>
      </c>
      <c r="I263" s="51">
        <v>201084</v>
      </c>
      <c r="J263" s="51">
        <v>3363</v>
      </c>
      <c r="K263" s="63">
        <v>56</v>
      </c>
      <c r="L263" s="51">
        <v>3419</v>
      </c>
      <c r="M263" s="51">
        <v>204503</v>
      </c>
      <c r="N263" s="63">
        <v>0</v>
      </c>
      <c r="O263" s="63">
        <v>126</v>
      </c>
    </row>
    <row r="264" spans="1:15" x14ac:dyDescent="0.25">
      <c r="A264" s="61">
        <v>2020</v>
      </c>
      <c r="B264" s="51">
        <v>3422588</v>
      </c>
      <c r="C264" s="51">
        <v>305458</v>
      </c>
      <c r="D264" s="51">
        <v>3728046</v>
      </c>
      <c r="E264" s="51">
        <v>96255</v>
      </c>
      <c r="F264" s="51">
        <v>16770</v>
      </c>
      <c r="G264" s="51">
        <v>23795</v>
      </c>
      <c r="H264" s="63">
        <v>174</v>
      </c>
      <c r="I264" s="51">
        <v>136994</v>
      </c>
      <c r="J264" s="51">
        <v>3884</v>
      </c>
      <c r="K264" s="63">
        <v>45</v>
      </c>
      <c r="L264" s="51">
        <v>3929</v>
      </c>
      <c r="M264" s="51">
        <v>140923</v>
      </c>
      <c r="N264" s="63">
        <v>0</v>
      </c>
      <c r="O264" s="63">
        <v>142</v>
      </c>
    </row>
    <row r="265" spans="1:15" x14ac:dyDescent="0.25">
      <c r="A265" s="61">
        <v>2021</v>
      </c>
      <c r="B265" s="51">
        <v>2337334</v>
      </c>
      <c r="C265" s="51">
        <v>474393</v>
      </c>
      <c r="D265" s="51">
        <v>2811727</v>
      </c>
      <c r="E265" s="51">
        <v>69889</v>
      </c>
      <c r="F265" s="51">
        <v>18819</v>
      </c>
      <c r="G265" s="51">
        <v>25726</v>
      </c>
      <c r="H265" s="63">
        <v>912</v>
      </c>
      <c r="I265" s="51">
        <v>115346</v>
      </c>
      <c r="J265" s="51">
        <v>7438</v>
      </c>
      <c r="K265" s="63">
        <v>30</v>
      </c>
      <c r="L265" s="51">
        <v>7468</v>
      </c>
      <c r="M265" s="51">
        <v>122814</v>
      </c>
      <c r="N265" s="63">
        <v>0</v>
      </c>
      <c r="O265" s="63">
        <v>142</v>
      </c>
    </row>
    <row r="266" spans="1:15" x14ac:dyDescent="0.25">
      <c r="A266" s="61">
        <v>2022</v>
      </c>
      <c r="B266" s="51">
        <v>4715489</v>
      </c>
      <c r="C266" s="51">
        <v>599368</v>
      </c>
      <c r="D266" s="51">
        <v>5314857</v>
      </c>
      <c r="E266" s="51">
        <v>105264</v>
      </c>
      <c r="F266" s="51">
        <v>22263</v>
      </c>
      <c r="G266" s="51">
        <v>28249</v>
      </c>
      <c r="H266" s="63">
        <v>994</v>
      </c>
      <c r="I266" s="51">
        <v>156770</v>
      </c>
      <c r="J266" s="51">
        <v>4982</v>
      </c>
      <c r="K266" s="63">
        <v>6</v>
      </c>
      <c r="L266" s="51">
        <v>4988</v>
      </c>
      <c r="M266" s="51">
        <v>161758</v>
      </c>
      <c r="N266" s="63">
        <v>0</v>
      </c>
      <c r="O266" s="63">
        <v>142</v>
      </c>
    </row>
    <row r="267" spans="1:15" x14ac:dyDescent="0.25">
      <c r="A267" s="61">
        <v>2023</v>
      </c>
      <c r="B267" s="51">
        <v>5422322</v>
      </c>
      <c r="C267" s="51">
        <v>540263</v>
      </c>
      <c r="D267" s="51">
        <v>5962585</v>
      </c>
      <c r="E267" s="51">
        <v>113265</v>
      </c>
      <c r="F267" s="51">
        <v>22093</v>
      </c>
      <c r="G267" s="51">
        <v>25436</v>
      </c>
      <c r="H267" s="63">
        <v>317</v>
      </c>
      <c r="I267" s="51">
        <v>161111</v>
      </c>
      <c r="J267" s="51">
        <v>4568</v>
      </c>
      <c r="K267" s="63">
        <v>36</v>
      </c>
      <c r="L267" s="51">
        <v>4604</v>
      </c>
      <c r="M267" s="51">
        <v>165715</v>
      </c>
      <c r="N267" s="63">
        <v>0</v>
      </c>
      <c r="O267" s="63">
        <v>142</v>
      </c>
    </row>
    <row r="268" spans="1:15" x14ac:dyDescent="0.25">
      <c r="A268" s="61">
        <v>2024</v>
      </c>
      <c r="B268" s="51">
        <v>5210993</v>
      </c>
      <c r="C268" s="51">
        <v>600132</v>
      </c>
      <c r="D268" s="51">
        <v>5811125</v>
      </c>
      <c r="E268" s="51">
        <v>107866</v>
      </c>
      <c r="F268" s="51">
        <v>24063</v>
      </c>
      <c r="G268" s="51">
        <v>26297</v>
      </c>
      <c r="H268" s="63">
        <v>125</v>
      </c>
      <c r="I268" s="51">
        <v>158351</v>
      </c>
      <c r="J268" s="51">
        <v>5630</v>
      </c>
      <c r="K268" s="63">
        <v>2</v>
      </c>
      <c r="L268" s="51">
        <v>5632</v>
      </c>
      <c r="M268" s="51">
        <v>163983</v>
      </c>
      <c r="N268" s="63">
        <v>0</v>
      </c>
      <c r="O268" s="63">
        <v>142</v>
      </c>
    </row>
    <row r="269" spans="1:15" x14ac:dyDescent="0.25">
      <c r="A269" s="61" t="s">
        <v>59</v>
      </c>
      <c r="B269" s="51">
        <v>4882247</v>
      </c>
      <c r="C269" s="51">
        <v>584462</v>
      </c>
      <c r="D269" s="51">
        <v>5466709</v>
      </c>
      <c r="E269" s="51">
        <v>103727</v>
      </c>
      <c r="F269" s="51">
        <v>24423</v>
      </c>
      <c r="G269" s="51">
        <v>26301</v>
      </c>
      <c r="H269" s="63">
        <v>162</v>
      </c>
      <c r="I269" s="51">
        <v>154613</v>
      </c>
      <c r="J269" s="51">
        <v>4756</v>
      </c>
      <c r="K269" s="63">
        <v>18</v>
      </c>
      <c r="L269" s="51">
        <v>4774</v>
      </c>
      <c r="M269" s="51">
        <v>159387</v>
      </c>
      <c r="N269" s="63">
        <v>0</v>
      </c>
      <c r="O269" s="63">
        <v>142</v>
      </c>
    </row>
    <row r="270" spans="1:15" x14ac:dyDescent="0.25">
      <c r="A270" s="61" t="s">
        <v>60</v>
      </c>
      <c r="B270" s="51">
        <v>4598457</v>
      </c>
      <c r="C270" s="51">
        <v>568288</v>
      </c>
      <c r="D270" s="51">
        <v>5166745</v>
      </c>
      <c r="E270" s="51">
        <v>97604</v>
      </c>
      <c r="F270" s="51">
        <v>24777</v>
      </c>
      <c r="G270" s="51">
        <v>27091</v>
      </c>
      <c r="H270" s="63">
        <v>162</v>
      </c>
      <c r="I270" s="51">
        <v>149634</v>
      </c>
      <c r="J270" s="51">
        <v>4756</v>
      </c>
      <c r="K270" s="63">
        <v>18</v>
      </c>
      <c r="L270" s="51">
        <v>4774</v>
      </c>
      <c r="M270" s="51">
        <v>154408</v>
      </c>
      <c r="N270" s="63">
        <v>0</v>
      </c>
      <c r="O270" s="63">
        <v>142</v>
      </c>
    </row>
    <row r="271" spans="1:15" x14ac:dyDescent="0.25">
      <c r="A271" s="61" t="s">
        <v>61</v>
      </c>
      <c r="B271" s="51">
        <v>4955187</v>
      </c>
      <c r="C271" s="51">
        <v>612877</v>
      </c>
      <c r="D271" s="51">
        <v>5568064</v>
      </c>
      <c r="E271" s="51">
        <v>104682</v>
      </c>
      <c r="F271" s="51">
        <v>25025</v>
      </c>
      <c r="G271" s="51">
        <v>27984</v>
      </c>
      <c r="H271" s="63">
        <v>162</v>
      </c>
      <c r="I271" s="51">
        <v>157853</v>
      </c>
      <c r="J271" s="51">
        <v>4756</v>
      </c>
      <c r="K271" s="63">
        <v>18</v>
      </c>
      <c r="L271" s="51">
        <v>4774</v>
      </c>
      <c r="M271" s="51">
        <v>162627</v>
      </c>
      <c r="N271" s="63">
        <v>0</v>
      </c>
      <c r="O271" s="63">
        <v>142</v>
      </c>
    </row>
    <row r="272" spans="1:15" x14ac:dyDescent="0.25">
      <c r="A272" s="61" t="s">
        <v>62</v>
      </c>
      <c r="B272" s="51">
        <v>5215663</v>
      </c>
      <c r="C272" s="51">
        <v>644901</v>
      </c>
      <c r="D272" s="51">
        <v>5860564</v>
      </c>
      <c r="E272" s="51">
        <v>109709</v>
      </c>
      <c r="F272" s="51">
        <v>25275</v>
      </c>
      <c r="G272" s="51">
        <v>29013</v>
      </c>
      <c r="H272" s="63">
        <v>162</v>
      </c>
      <c r="I272" s="51">
        <v>164159</v>
      </c>
      <c r="J272" s="51">
        <v>4756</v>
      </c>
      <c r="K272" s="63">
        <v>18</v>
      </c>
      <c r="L272" s="51">
        <v>4774</v>
      </c>
      <c r="M272" s="51">
        <v>168933</v>
      </c>
      <c r="N272" s="63">
        <v>0</v>
      </c>
      <c r="O272" s="63">
        <v>142</v>
      </c>
    </row>
    <row r="273" spans="1:15" x14ac:dyDescent="0.25">
      <c r="A273" s="61" t="s">
        <v>63</v>
      </c>
      <c r="B273" s="51">
        <v>5402675</v>
      </c>
      <c r="C273" s="51">
        <v>667469</v>
      </c>
      <c r="D273" s="51">
        <v>6070144</v>
      </c>
      <c r="E273" s="51">
        <v>113186</v>
      </c>
      <c r="F273" s="51">
        <v>25528</v>
      </c>
      <c r="G273" s="51">
        <v>30057</v>
      </c>
      <c r="H273" s="63">
        <v>162</v>
      </c>
      <c r="I273" s="51">
        <v>168933</v>
      </c>
      <c r="J273" s="51">
        <v>4756</v>
      </c>
      <c r="K273" s="63">
        <v>18</v>
      </c>
      <c r="L273" s="51">
        <v>4774</v>
      </c>
      <c r="M273" s="51">
        <v>173707</v>
      </c>
      <c r="N273" s="63">
        <v>0</v>
      </c>
      <c r="O273" s="63">
        <v>142</v>
      </c>
    </row>
    <row r="274" spans="1:15" x14ac:dyDescent="0.25">
      <c r="A274" s="61" t="s">
        <v>64</v>
      </c>
      <c r="B274" s="51">
        <v>5555737</v>
      </c>
      <c r="C274" s="51">
        <v>685503</v>
      </c>
      <c r="D274" s="51">
        <v>6241240</v>
      </c>
      <c r="E274" s="51">
        <v>115936</v>
      </c>
      <c r="F274" s="51">
        <v>25783</v>
      </c>
      <c r="G274" s="51">
        <v>30156</v>
      </c>
      <c r="H274" s="63">
        <v>162</v>
      </c>
      <c r="I274" s="51">
        <v>172037</v>
      </c>
      <c r="J274" s="51">
        <v>4756</v>
      </c>
      <c r="K274" s="63">
        <v>18</v>
      </c>
      <c r="L274" s="51">
        <v>4774</v>
      </c>
      <c r="M274" s="51">
        <v>176811</v>
      </c>
      <c r="N274" s="63">
        <v>0</v>
      </c>
      <c r="O274" s="63">
        <v>142</v>
      </c>
    </row>
    <row r="275" spans="1:15" x14ac:dyDescent="0.25">
      <c r="A275" s="61" t="s">
        <v>65</v>
      </c>
      <c r="B275" s="51">
        <v>5699666</v>
      </c>
      <c r="C275" s="51">
        <v>702349</v>
      </c>
      <c r="D275" s="51">
        <v>6402015</v>
      </c>
      <c r="E275" s="51">
        <v>118484</v>
      </c>
      <c r="F275" s="51">
        <v>26041</v>
      </c>
      <c r="G275" s="51">
        <v>30256</v>
      </c>
      <c r="H275" s="63">
        <v>162</v>
      </c>
      <c r="I275" s="51">
        <v>174943</v>
      </c>
      <c r="J275" s="51">
        <v>4756</v>
      </c>
      <c r="K275" s="63">
        <v>18</v>
      </c>
      <c r="L275" s="51">
        <v>4774</v>
      </c>
      <c r="M275" s="51">
        <v>179717</v>
      </c>
      <c r="N275" s="63">
        <v>0</v>
      </c>
      <c r="O275" s="63">
        <v>142</v>
      </c>
    </row>
    <row r="276" spans="1:15" x14ac:dyDescent="0.25">
      <c r="A276" s="61" t="s">
        <v>66</v>
      </c>
      <c r="B276" s="51">
        <v>5845398</v>
      </c>
      <c r="C276" s="51">
        <v>719360</v>
      </c>
      <c r="D276" s="51">
        <v>6564758</v>
      </c>
      <c r="E276" s="51">
        <v>121051</v>
      </c>
      <c r="F276" s="51">
        <v>26301</v>
      </c>
      <c r="G276" s="51">
        <v>30356</v>
      </c>
      <c r="H276" s="63">
        <v>162</v>
      </c>
      <c r="I276" s="51">
        <v>177870</v>
      </c>
      <c r="J276" s="51">
        <v>4756</v>
      </c>
      <c r="K276" s="63">
        <v>18</v>
      </c>
      <c r="L276" s="51">
        <v>4774</v>
      </c>
      <c r="M276" s="51">
        <v>182644</v>
      </c>
      <c r="N276" s="63">
        <v>0</v>
      </c>
      <c r="O276" s="63">
        <v>142</v>
      </c>
    </row>
    <row r="277" spans="1:15" x14ac:dyDescent="0.25">
      <c r="A277" s="61" t="s">
        <v>67</v>
      </c>
      <c r="B277" s="51">
        <v>5996253</v>
      </c>
      <c r="C277" s="51">
        <v>736893</v>
      </c>
      <c r="D277" s="51">
        <v>6733146</v>
      </c>
      <c r="E277" s="51">
        <v>123700</v>
      </c>
      <c r="F277" s="51">
        <v>26564</v>
      </c>
      <c r="G277" s="51">
        <v>30457</v>
      </c>
      <c r="H277" s="63">
        <v>162</v>
      </c>
      <c r="I277" s="51">
        <v>180883</v>
      </c>
      <c r="J277" s="51">
        <v>4756</v>
      </c>
      <c r="K277" s="63">
        <v>18</v>
      </c>
      <c r="L277" s="51">
        <v>4774</v>
      </c>
      <c r="M277" s="51">
        <v>185657</v>
      </c>
      <c r="N277" s="63">
        <v>0</v>
      </c>
      <c r="O277" s="63">
        <v>142</v>
      </c>
    </row>
    <row r="278" spans="1:15" x14ac:dyDescent="0.25">
      <c r="A278" s="61" t="s">
        <v>68</v>
      </c>
      <c r="B278" s="51">
        <v>6150265</v>
      </c>
      <c r="C278" s="51">
        <v>754683</v>
      </c>
      <c r="D278" s="51">
        <v>6904948</v>
      </c>
      <c r="E278" s="51">
        <v>126390</v>
      </c>
      <c r="F278" s="51">
        <v>26830</v>
      </c>
      <c r="G278" s="51">
        <v>30557</v>
      </c>
      <c r="H278" s="63">
        <v>162</v>
      </c>
      <c r="I278" s="51">
        <v>183939</v>
      </c>
      <c r="J278" s="51">
        <v>4756</v>
      </c>
      <c r="K278" s="63">
        <v>18</v>
      </c>
      <c r="L278" s="51">
        <v>4774</v>
      </c>
      <c r="M278" s="51">
        <v>188713</v>
      </c>
      <c r="N278" s="63">
        <v>0</v>
      </c>
      <c r="O278" s="63">
        <v>142</v>
      </c>
    </row>
    <row r="279" spans="1:15" x14ac:dyDescent="0.25">
      <c r="A279" s="61" t="s">
        <v>69</v>
      </c>
      <c r="B279" s="51">
        <v>6313776</v>
      </c>
      <c r="C279" s="51">
        <v>773798</v>
      </c>
      <c r="D279" s="51">
        <v>7087574</v>
      </c>
      <c r="E279" s="51">
        <v>129259</v>
      </c>
      <c r="F279" s="51">
        <v>27098</v>
      </c>
      <c r="G279" s="51">
        <v>30658</v>
      </c>
      <c r="H279" s="63">
        <v>162</v>
      </c>
      <c r="I279" s="51">
        <v>187177</v>
      </c>
      <c r="J279" s="51">
        <v>4756</v>
      </c>
      <c r="K279" s="63">
        <v>18</v>
      </c>
      <c r="L279" s="51">
        <v>4774</v>
      </c>
      <c r="M279" s="51">
        <v>191951</v>
      </c>
      <c r="N279" s="63">
        <v>0</v>
      </c>
      <c r="O279" s="63">
        <v>142</v>
      </c>
    </row>
    <row r="280" spans="1:15" x14ac:dyDescent="0.25">
      <c r="A280" s="61" t="s">
        <v>70</v>
      </c>
      <c r="B280" s="51">
        <v>6494459</v>
      </c>
      <c r="C280" s="51">
        <v>795221</v>
      </c>
      <c r="D280" s="51">
        <v>7289680</v>
      </c>
      <c r="E280" s="51">
        <v>132459</v>
      </c>
      <c r="F280" s="51">
        <v>27369</v>
      </c>
      <c r="G280" s="51">
        <v>30760</v>
      </c>
      <c r="H280" s="63">
        <v>162</v>
      </c>
      <c r="I280" s="51">
        <v>190750</v>
      </c>
      <c r="J280" s="51">
        <v>4756</v>
      </c>
      <c r="K280" s="63">
        <v>18</v>
      </c>
      <c r="L280" s="51">
        <v>4774</v>
      </c>
      <c r="M280" s="51">
        <v>195524</v>
      </c>
      <c r="N280" s="63">
        <v>0</v>
      </c>
      <c r="O280" s="63">
        <v>142</v>
      </c>
    </row>
    <row r="281" spans="1:15" x14ac:dyDescent="0.25">
      <c r="A281" s="61" t="s">
        <v>71</v>
      </c>
      <c r="B281" s="51">
        <v>6677743</v>
      </c>
      <c r="C281" s="51">
        <v>816910</v>
      </c>
      <c r="D281" s="51">
        <v>7494653</v>
      </c>
      <c r="E281" s="51">
        <v>135688</v>
      </c>
      <c r="F281" s="51">
        <v>27643</v>
      </c>
      <c r="G281" s="51">
        <v>30862</v>
      </c>
      <c r="H281" s="63">
        <v>162</v>
      </c>
      <c r="I281" s="51">
        <v>194355</v>
      </c>
      <c r="J281" s="51">
        <v>4756</v>
      </c>
      <c r="K281" s="63">
        <v>18</v>
      </c>
      <c r="L281" s="51">
        <v>4774</v>
      </c>
      <c r="M281" s="51">
        <v>199129</v>
      </c>
      <c r="N281" s="63">
        <v>0</v>
      </c>
      <c r="O281" s="63">
        <v>142</v>
      </c>
    </row>
    <row r="283" spans="1:15" ht="18" x14ac:dyDescent="0.25">
      <c r="A283" s="59" t="s">
        <v>38</v>
      </c>
    </row>
    <row r="284" spans="1:15" ht="18" x14ac:dyDescent="0.25">
      <c r="A284" s="59" t="s">
        <v>39</v>
      </c>
    </row>
    <row r="288" spans="1:15" x14ac:dyDescent="0.25">
      <c r="A288" s="60" t="s">
        <v>40</v>
      </c>
    </row>
    <row r="291" spans="1:15" ht="15" customHeight="1" x14ac:dyDescent="0.25">
      <c r="A291" s="161"/>
      <c r="B291" s="161"/>
      <c r="C291" s="161"/>
      <c r="D291" s="161"/>
      <c r="E291" s="162" t="s">
        <v>41</v>
      </c>
      <c r="F291" s="162"/>
      <c r="G291" s="162"/>
      <c r="H291" s="162"/>
      <c r="I291" s="162"/>
      <c r="J291" s="162"/>
      <c r="K291" s="162"/>
      <c r="L291" s="162"/>
      <c r="M291" s="161"/>
      <c r="N291" s="161"/>
      <c r="O291" s="161"/>
    </row>
    <row r="292" spans="1:15" ht="15" customHeight="1" x14ac:dyDescent="0.25">
      <c r="A292" s="61"/>
      <c r="B292" s="162" t="s">
        <v>42</v>
      </c>
      <c r="C292" s="162"/>
      <c r="D292" s="162"/>
      <c r="E292" s="162" t="s">
        <v>43</v>
      </c>
      <c r="F292" s="162"/>
      <c r="G292" s="162"/>
      <c r="H292" s="162"/>
      <c r="I292" s="162"/>
      <c r="J292" s="162" t="s">
        <v>44</v>
      </c>
      <c r="K292" s="162"/>
      <c r="L292" s="162"/>
      <c r="M292" s="161"/>
      <c r="N292" s="161"/>
      <c r="O292" s="161"/>
    </row>
    <row r="293" spans="1:15" x14ac:dyDescent="0.25">
      <c r="A293" s="62" t="s">
        <v>45</v>
      </c>
      <c r="B293" s="62" t="s">
        <v>46</v>
      </c>
      <c r="C293" s="163" t="s">
        <v>48</v>
      </c>
      <c r="D293" s="163" t="s">
        <v>3</v>
      </c>
      <c r="E293" s="62" t="s">
        <v>46</v>
      </c>
      <c r="F293" s="62" t="s">
        <v>49</v>
      </c>
      <c r="G293" s="163" t="s">
        <v>50</v>
      </c>
      <c r="H293" s="163" t="s">
        <v>51</v>
      </c>
      <c r="I293" s="163" t="s">
        <v>3</v>
      </c>
      <c r="J293" s="163" t="s">
        <v>52</v>
      </c>
      <c r="K293" s="163" t="s">
        <v>51</v>
      </c>
      <c r="L293" s="163" t="s">
        <v>3</v>
      </c>
      <c r="M293" s="62" t="s">
        <v>3</v>
      </c>
      <c r="N293" s="62" t="s">
        <v>3</v>
      </c>
      <c r="O293" s="62" t="s">
        <v>55</v>
      </c>
    </row>
    <row r="294" spans="1:15" x14ac:dyDescent="0.25">
      <c r="A294" s="62" t="s">
        <v>4</v>
      </c>
      <c r="B294" s="62" t="s">
        <v>47</v>
      </c>
      <c r="C294" s="163"/>
      <c r="D294" s="163"/>
      <c r="E294" s="62" t="s">
        <v>47</v>
      </c>
      <c r="F294" s="62" t="s">
        <v>48</v>
      </c>
      <c r="G294" s="163"/>
      <c r="H294" s="163"/>
      <c r="I294" s="163"/>
      <c r="J294" s="163"/>
      <c r="K294" s="163"/>
      <c r="L294" s="163"/>
      <c r="M294" s="62" t="s">
        <v>53</v>
      </c>
      <c r="N294" s="62" t="s">
        <v>54</v>
      </c>
      <c r="O294" s="62" t="s">
        <v>56</v>
      </c>
    </row>
    <row r="295" spans="1:15" x14ac:dyDescent="0.25">
      <c r="A295" s="62"/>
      <c r="B295" s="62"/>
      <c r="C295" s="163"/>
      <c r="D295" s="163"/>
      <c r="E295" s="62"/>
      <c r="F295" s="62"/>
      <c r="G295" s="163"/>
      <c r="H295" s="163"/>
      <c r="I295" s="163"/>
      <c r="J295" s="163"/>
      <c r="K295" s="163"/>
      <c r="L295" s="163"/>
      <c r="M295" s="62"/>
      <c r="N295" s="62" t="s">
        <v>53</v>
      </c>
      <c r="O295" s="62"/>
    </row>
    <row r="296" spans="1:15" x14ac:dyDescent="0.25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</row>
    <row r="297" spans="1:15" x14ac:dyDescent="0.25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</row>
    <row r="298" spans="1:15" x14ac:dyDescent="0.25">
      <c r="A298" s="61" t="s">
        <v>72</v>
      </c>
      <c r="B298" s="51">
        <v>6860312</v>
      </c>
      <c r="C298" s="51">
        <v>838461</v>
      </c>
      <c r="D298" s="51">
        <v>7698773</v>
      </c>
      <c r="E298" s="51">
        <v>138882</v>
      </c>
      <c r="F298" s="51">
        <v>27919</v>
      </c>
      <c r="G298" s="51">
        <v>30964</v>
      </c>
      <c r="H298" s="63">
        <v>162</v>
      </c>
      <c r="I298" s="51">
        <v>197927</v>
      </c>
      <c r="J298" s="51">
        <v>4756</v>
      </c>
      <c r="K298" s="63">
        <v>18</v>
      </c>
      <c r="L298" s="51">
        <v>4774</v>
      </c>
      <c r="M298" s="51">
        <v>202701</v>
      </c>
      <c r="N298" s="63">
        <v>0</v>
      </c>
      <c r="O298" s="63">
        <v>142</v>
      </c>
    </row>
    <row r="299" spans="1:15" x14ac:dyDescent="0.25">
      <c r="A299" s="61" t="s">
        <v>73</v>
      </c>
      <c r="B299" s="51">
        <v>7045851</v>
      </c>
      <c r="C299" s="51">
        <v>860393</v>
      </c>
      <c r="D299" s="51">
        <v>7906244</v>
      </c>
      <c r="E299" s="51">
        <v>142115</v>
      </c>
      <c r="F299" s="51">
        <v>28198</v>
      </c>
      <c r="G299" s="51">
        <v>31066</v>
      </c>
      <c r="H299" s="63">
        <v>162</v>
      </c>
      <c r="I299" s="51">
        <v>201541</v>
      </c>
      <c r="J299" s="51">
        <v>4756</v>
      </c>
      <c r="K299" s="63">
        <v>18</v>
      </c>
      <c r="L299" s="51">
        <v>4774</v>
      </c>
      <c r="M299" s="51">
        <v>206315</v>
      </c>
      <c r="N299" s="63">
        <v>0</v>
      </c>
      <c r="O299" s="63">
        <v>142</v>
      </c>
    </row>
    <row r="300" spans="1:15" x14ac:dyDescent="0.25">
      <c r="A300" s="61" t="s">
        <v>74</v>
      </c>
      <c r="B300" s="51">
        <v>7241218</v>
      </c>
      <c r="C300" s="51">
        <v>883582</v>
      </c>
      <c r="D300" s="51">
        <v>8124800</v>
      </c>
      <c r="E300" s="51">
        <v>145521</v>
      </c>
      <c r="F300" s="51">
        <v>28480</v>
      </c>
      <c r="G300" s="51">
        <v>31169</v>
      </c>
      <c r="H300" s="63">
        <v>162</v>
      </c>
      <c r="I300" s="51">
        <v>205332</v>
      </c>
      <c r="J300" s="51">
        <v>4756</v>
      </c>
      <c r="K300" s="63">
        <v>18</v>
      </c>
      <c r="L300" s="51">
        <v>4774</v>
      </c>
      <c r="M300" s="51">
        <v>210106</v>
      </c>
      <c r="N300" s="63">
        <v>0</v>
      </c>
      <c r="O300" s="63">
        <v>142</v>
      </c>
    </row>
    <row r="301" spans="1:15" x14ac:dyDescent="0.25">
      <c r="A301" s="61" t="s">
        <v>75</v>
      </c>
      <c r="B301" s="51">
        <v>7435885</v>
      </c>
      <c r="C301" s="51">
        <v>906726</v>
      </c>
      <c r="D301" s="51">
        <v>8342611</v>
      </c>
      <c r="E301" s="51">
        <v>148898</v>
      </c>
      <c r="F301" s="51">
        <v>28765</v>
      </c>
      <c r="G301" s="51">
        <v>31272</v>
      </c>
      <c r="H301" s="63">
        <v>162</v>
      </c>
      <c r="I301" s="51">
        <v>209097</v>
      </c>
      <c r="J301" s="51">
        <v>4756</v>
      </c>
      <c r="K301" s="63">
        <v>18</v>
      </c>
      <c r="L301" s="51">
        <v>4774</v>
      </c>
      <c r="M301" s="51">
        <v>213871</v>
      </c>
      <c r="N301" s="63">
        <v>0</v>
      </c>
      <c r="O301" s="63">
        <v>142</v>
      </c>
    </row>
    <row r="302" spans="1:15" x14ac:dyDescent="0.25">
      <c r="A302" s="61" t="s">
        <v>76</v>
      </c>
      <c r="B302" s="51">
        <v>7630861</v>
      </c>
      <c r="C302" s="51">
        <v>929822</v>
      </c>
      <c r="D302" s="51">
        <v>8560683</v>
      </c>
      <c r="E302" s="51">
        <v>152257</v>
      </c>
      <c r="F302" s="51">
        <v>29053</v>
      </c>
      <c r="G302" s="51">
        <v>31376</v>
      </c>
      <c r="H302" s="63">
        <v>162</v>
      </c>
      <c r="I302" s="51">
        <v>212848</v>
      </c>
      <c r="J302" s="51">
        <v>4756</v>
      </c>
      <c r="K302" s="63">
        <v>18</v>
      </c>
      <c r="L302" s="51">
        <v>4774</v>
      </c>
      <c r="M302" s="51">
        <v>217622</v>
      </c>
      <c r="N302" s="63">
        <v>0</v>
      </c>
      <c r="O302" s="63">
        <v>142</v>
      </c>
    </row>
    <row r="303" spans="1:15" x14ac:dyDescent="0.25">
      <c r="A303" s="61" t="s">
        <v>77</v>
      </c>
      <c r="B303" s="51">
        <v>7829630</v>
      </c>
      <c r="C303" s="51">
        <v>953326</v>
      </c>
      <c r="D303" s="51">
        <v>8782956</v>
      </c>
      <c r="E303" s="51">
        <v>155668</v>
      </c>
      <c r="F303" s="51">
        <v>29344</v>
      </c>
      <c r="G303" s="51">
        <v>31480</v>
      </c>
      <c r="H303" s="63">
        <v>162</v>
      </c>
      <c r="I303" s="51">
        <v>216654</v>
      </c>
      <c r="J303" s="51">
        <v>4756</v>
      </c>
      <c r="K303" s="63">
        <v>18</v>
      </c>
      <c r="L303" s="51">
        <v>4774</v>
      </c>
      <c r="M303" s="51">
        <v>221428</v>
      </c>
      <c r="N303" s="63">
        <v>0</v>
      </c>
      <c r="O303" s="63">
        <v>142</v>
      </c>
    </row>
    <row r="304" spans="1:15" x14ac:dyDescent="0.25">
      <c r="A304" s="61" t="s">
        <v>78</v>
      </c>
      <c r="B304" s="51">
        <v>8029054</v>
      </c>
      <c r="C304" s="51">
        <v>976874</v>
      </c>
      <c r="D304" s="51">
        <v>9005928</v>
      </c>
      <c r="E304" s="51">
        <v>159072</v>
      </c>
      <c r="F304" s="51">
        <v>29637</v>
      </c>
      <c r="G304" s="51">
        <v>31584</v>
      </c>
      <c r="H304" s="63">
        <v>162</v>
      </c>
      <c r="I304" s="51">
        <v>220455</v>
      </c>
      <c r="J304" s="51">
        <v>4756</v>
      </c>
      <c r="K304" s="63">
        <v>18</v>
      </c>
      <c r="L304" s="51">
        <v>4774</v>
      </c>
      <c r="M304" s="51">
        <v>225229</v>
      </c>
      <c r="N304" s="63">
        <v>0</v>
      </c>
      <c r="O304" s="63">
        <v>142</v>
      </c>
    </row>
    <row r="305" spans="1:15" x14ac:dyDescent="0.25">
      <c r="A305" s="61" t="s">
        <v>79</v>
      </c>
      <c r="B305" s="51">
        <v>8230117</v>
      </c>
      <c r="C305" s="51">
        <v>1000622</v>
      </c>
      <c r="D305" s="51">
        <v>9230739</v>
      </c>
      <c r="E305" s="51">
        <v>162489</v>
      </c>
      <c r="F305" s="51">
        <v>29933</v>
      </c>
      <c r="G305" s="51">
        <v>31689</v>
      </c>
      <c r="H305" s="63">
        <v>162</v>
      </c>
      <c r="I305" s="51">
        <v>224273</v>
      </c>
      <c r="J305" s="51">
        <v>4756</v>
      </c>
      <c r="K305" s="63">
        <v>18</v>
      </c>
      <c r="L305" s="51">
        <v>4774</v>
      </c>
      <c r="M305" s="51">
        <v>229047</v>
      </c>
      <c r="N305" s="63">
        <v>0</v>
      </c>
      <c r="O305" s="63">
        <v>142</v>
      </c>
    </row>
    <row r="306" spans="1:15" x14ac:dyDescent="0.25">
      <c r="A306" s="61" t="s">
        <v>80</v>
      </c>
      <c r="B306" s="51">
        <v>8437185</v>
      </c>
      <c r="C306" s="51">
        <v>1025097</v>
      </c>
      <c r="D306" s="51">
        <v>9462282</v>
      </c>
      <c r="E306" s="51">
        <v>166000</v>
      </c>
      <c r="F306" s="51">
        <v>30232</v>
      </c>
      <c r="G306" s="51">
        <v>31794</v>
      </c>
      <c r="H306" s="63">
        <v>162</v>
      </c>
      <c r="I306" s="51">
        <v>228188</v>
      </c>
      <c r="J306" s="51">
        <v>4756</v>
      </c>
      <c r="K306" s="63">
        <v>18</v>
      </c>
      <c r="L306" s="51">
        <v>4774</v>
      </c>
      <c r="M306" s="51">
        <v>232962</v>
      </c>
      <c r="N306" s="63">
        <v>0</v>
      </c>
      <c r="O306" s="63">
        <v>142</v>
      </c>
    </row>
    <row r="307" spans="1:15" x14ac:dyDescent="0.25">
      <c r="A307" s="61" t="s">
        <v>81</v>
      </c>
      <c r="B307" s="51">
        <v>8649180</v>
      </c>
      <c r="C307" s="51">
        <v>1050217</v>
      </c>
      <c r="D307" s="51">
        <v>9699397</v>
      </c>
      <c r="E307" s="51">
        <v>169588</v>
      </c>
      <c r="F307" s="51">
        <v>30534</v>
      </c>
      <c r="G307" s="51">
        <v>31899</v>
      </c>
      <c r="H307" s="63">
        <v>162</v>
      </c>
      <c r="I307" s="51">
        <v>232183</v>
      </c>
      <c r="J307" s="51">
        <v>4756</v>
      </c>
      <c r="K307" s="63">
        <v>18</v>
      </c>
      <c r="L307" s="51">
        <v>4774</v>
      </c>
      <c r="M307" s="51">
        <v>236957</v>
      </c>
      <c r="N307" s="63">
        <v>0</v>
      </c>
      <c r="O307" s="63">
        <v>142</v>
      </c>
    </row>
    <row r="308" spans="1:15" x14ac:dyDescent="0.25">
      <c r="A308" s="61" t="s">
        <v>82</v>
      </c>
      <c r="B308" s="51">
        <v>8861070</v>
      </c>
      <c r="C308" s="51">
        <v>1075253</v>
      </c>
      <c r="D308" s="51">
        <v>9936323</v>
      </c>
      <c r="E308" s="51">
        <v>173151</v>
      </c>
      <c r="F308" s="51">
        <v>30839</v>
      </c>
      <c r="G308" s="51">
        <v>32004</v>
      </c>
      <c r="H308" s="63">
        <v>162</v>
      </c>
      <c r="I308" s="51">
        <v>236156</v>
      </c>
      <c r="J308" s="51">
        <v>4756</v>
      </c>
      <c r="K308" s="63">
        <v>18</v>
      </c>
      <c r="L308" s="51">
        <v>4774</v>
      </c>
      <c r="M308" s="51">
        <v>240930</v>
      </c>
      <c r="N308" s="63">
        <v>0</v>
      </c>
      <c r="O308" s="63">
        <v>142</v>
      </c>
    </row>
    <row r="309" spans="1:15" x14ac:dyDescent="0.25">
      <c r="A309" s="61" t="s">
        <v>83</v>
      </c>
      <c r="B309" s="51">
        <v>9077956</v>
      </c>
      <c r="C309" s="51">
        <v>1100914</v>
      </c>
      <c r="D309" s="51">
        <v>10178870</v>
      </c>
      <c r="E309" s="51">
        <v>176792</v>
      </c>
      <c r="F309" s="51">
        <v>31147</v>
      </c>
      <c r="G309" s="51">
        <v>32110</v>
      </c>
      <c r="H309" s="63">
        <v>162</v>
      </c>
      <c r="I309" s="51">
        <v>240211</v>
      </c>
      <c r="J309" s="51">
        <v>4756</v>
      </c>
      <c r="K309" s="63">
        <v>18</v>
      </c>
      <c r="L309" s="51">
        <v>4774</v>
      </c>
      <c r="M309" s="51">
        <v>244985</v>
      </c>
      <c r="N309" s="63">
        <v>0</v>
      </c>
      <c r="O309" s="63">
        <v>142</v>
      </c>
    </row>
    <row r="310" spans="1:15" x14ac:dyDescent="0.25">
      <c r="A310" s="61" t="s">
        <v>84</v>
      </c>
      <c r="B310" s="51">
        <v>9299477</v>
      </c>
      <c r="C310" s="51">
        <v>1127129</v>
      </c>
      <c r="D310" s="51">
        <v>10426606</v>
      </c>
      <c r="E310" s="51">
        <v>180500</v>
      </c>
      <c r="F310" s="51">
        <v>31458</v>
      </c>
      <c r="G310" s="51">
        <v>32217</v>
      </c>
      <c r="H310" s="63">
        <v>162</v>
      </c>
      <c r="I310" s="51">
        <v>244337</v>
      </c>
      <c r="J310" s="51">
        <v>4756</v>
      </c>
      <c r="K310" s="63">
        <v>18</v>
      </c>
      <c r="L310" s="51">
        <v>4774</v>
      </c>
      <c r="M310" s="51">
        <v>249111</v>
      </c>
      <c r="N310" s="63">
        <v>0</v>
      </c>
      <c r="O310" s="63">
        <v>142</v>
      </c>
    </row>
    <row r="311" spans="1:15" x14ac:dyDescent="0.25">
      <c r="A311" s="61" t="s">
        <v>85</v>
      </c>
      <c r="B311" s="51">
        <v>9521212</v>
      </c>
      <c r="C311" s="51">
        <v>1153375</v>
      </c>
      <c r="D311" s="51">
        <v>10674587</v>
      </c>
      <c r="E311" s="51">
        <v>184198</v>
      </c>
      <c r="F311" s="51">
        <v>31773</v>
      </c>
      <c r="G311" s="51">
        <v>32323</v>
      </c>
      <c r="H311" s="63">
        <v>162</v>
      </c>
      <c r="I311" s="51">
        <v>248456</v>
      </c>
      <c r="J311" s="51">
        <v>4756</v>
      </c>
      <c r="K311" s="63">
        <v>18</v>
      </c>
      <c r="L311" s="51">
        <v>4774</v>
      </c>
      <c r="M311" s="51">
        <v>253230</v>
      </c>
      <c r="N311" s="63">
        <v>0</v>
      </c>
      <c r="O311" s="63">
        <v>142</v>
      </c>
    </row>
    <row r="312" spans="1:15" x14ac:dyDescent="0.25">
      <c r="A312" s="61" t="s">
        <v>86</v>
      </c>
      <c r="B312" s="51">
        <v>9754626</v>
      </c>
      <c r="C312" s="51">
        <v>1181012</v>
      </c>
      <c r="D312" s="51">
        <v>10935638</v>
      </c>
      <c r="E312" s="51">
        <v>188098</v>
      </c>
      <c r="F312" s="51">
        <v>32091</v>
      </c>
      <c r="G312" s="51">
        <v>32430</v>
      </c>
      <c r="H312" s="63">
        <v>162</v>
      </c>
      <c r="I312" s="51">
        <v>252781</v>
      </c>
      <c r="J312" s="51">
        <v>4756</v>
      </c>
      <c r="K312" s="63">
        <v>18</v>
      </c>
      <c r="L312" s="51">
        <v>4774</v>
      </c>
      <c r="M312" s="51">
        <v>257555</v>
      </c>
      <c r="N312" s="63">
        <v>0</v>
      </c>
      <c r="O312" s="63">
        <v>142</v>
      </c>
    </row>
    <row r="313" spans="1:15" x14ac:dyDescent="0.25">
      <c r="A313" s="61" t="s">
        <v>87</v>
      </c>
      <c r="B313" s="51">
        <v>9992662</v>
      </c>
      <c r="C313" s="51">
        <v>1209192</v>
      </c>
      <c r="D313" s="51">
        <v>11201854</v>
      </c>
      <c r="E313" s="51">
        <v>192064</v>
      </c>
      <c r="F313" s="51">
        <v>32412</v>
      </c>
      <c r="G313" s="51">
        <v>32538</v>
      </c>
      <c r="H313" s="63">
        <v>162</v>
      </c>
      <c r="I313" s="51">
        <v>257176</v>
      </c>
      <c r="J313" s="51">
        <v>4756</v>
      </c>
      <c r="K313" s="63">
        <v>18</v>
      </c>
      <c r="L313" s="51">
        <v>4774</v>
      </c>
      <c r="M313" s="51">
        <v>261950</v>
      </c>
      <c r="N313" s="63">
        <v>0</v>
      </c>
      <c r="O313" s="63">
        <v>142</v>
      </c>
    </row>
    <row r="314" spans="1:15" x14ac:dyDescent="0.25">
      <c r="A314" s="61" t="s">
        <v>88</v>
      </c>
      <c r="B314" s="51">
        <v>10236493</v>
      </c>
      <c r="C314" s="51">
        <v>1238075</v>
      </c>
      <c r="D314" s="51">
        <v>11474568</v>
      </c>
      <c r="E314" s="51">
        <v>196116</v>
      </c>
      <c r="F314" s="51">
        <v>32736</v>
      </c>
      <c r="G314" s="51">
        <v>32645</v>
      </c>
      <c r="H314" s="63">
        <v>162</v>
      </c>
      <c r="I314" s="51">
        <v>261659</v>
      </c>
      <c r="J314" s="51">
        <v>4756</v>
      </c>
      <c r="K314" s="63">
        <v>18</v>
      </c>
      <c r="L314" s="51">
        <v>4774</v>
      </c>
      <c r="M314" s="51">
        <v>266433</v>
      </c>
      <c r="N314" s="63">
        <v>0</v>
      </c>
      <c r="O314" s="63">
        <v>142</v>
      </c>
    </row>
    <row r="315" spans="1:15" x14ac:dyDescent="0.25">
      <c r="A315" s="61" t="s">
        <v>89</v>
      </c>
      <c r="B315" s="51">
        <v>10488338</v>
      </c>
      <c r="C315" s="51">
        <v>1267935</v>
      </c>
      <c r="D315" s="51">
        <v>11756273</v>
      </c>
      <c r="E315" s="51">
        <v>200300</v>
      </c>
      <c r="F315" s="51">
        <v>33063</v>
      </c>
      <c r="G315" s="51">
        <v>32753</v>
      </c>
      <c r="H315" s="63">
        <v>162</v>
      </c>
      <c r="I315" s="51">
        <v>266278</v>
      </c>
      <c r="J315" s="51">
        <v>4756</v>
      </c>
      <c r="K315" s="63">
        <v>18</v>
      </c>
      <c r="L315" s="51">
        <v>4774</v>
      </c>
      <c r="M315" s="51">
        <v>271052</v>
      </c>
      <c r="N315" s="63">
        <v>0</v>
      </c>
      <c r="O315" s="63">
        <v>142</v>
      </c>
    </row>
  </sheetData>
  <mergeCells count="118">
    <mergeCell ref="K293:K295"/>
    <mergeCell ref="L293:L295"/>
    <mergeCell ref="A296:O297"/>
    <mergeCell ref="B292:D292"/>
    <mergeCell ref="E292:I292"/>
    <mergeCell ref="J292:L292"/>
    <mergeCell ref="M292:O292"/>
    <mergeCell ref="C293:C295"/>
    <mergeCell ref="D293:D295"/>
    <mergeCell ref="G293:G295"/>
    <mergeCell ref="H293:H295"/>
    <mergeCell ref="I293:I295"/>
    <mergeCell ref="J293:J295"/>
    <mergeCell ref="K247:K249"/>
    <mergeCell ref="L247:L249"/>
    <mergeCell ref="A250:O251"/>
    <mergeCell ref="A291:D291"/>
    <mergeCell ref="E291:L291"/>
    <mergeCell ref="M291:O291"/>
    <mergeCell ref="B246:D246"/>
    <mergeCell ref="E246:I246"/>
    <mergeCell ref="J246:L246"/>
    <mergeCell ref="M246:O246"/>
    <mergeCell ref="C247:C249"/>
    <mergeCell ref="D247:D249"/>
    <mergeCell ref="G247:G249"/>
    <mergeCell ref="H247:H249"/>
    <mergeCell ref="I247:I249"/>
    <mergeCell ref="J247:J249"/>
    <mergeCell ref="K199:K201"/>
    <mergeCell ref="L199:L201"/>
    <mergeCell ref="A202:O203"/>
    <mergeCell ref="A216:O216"/>
    <mergeCell ref="A217:O217"/>
    <mergeCell ref="A245:D245"/>
    <mergeCell ref="E245:L245"/>
    <mergeCell ref="M245:O245"/>
    <mergeCell ref="B198:D198"/>
    <mergeCell ref="E198:I198"/>
    <mergeCell ref="J198:L198"/>
    <mergeCell ref="M198:O198"/>
    <mergeCell ref="C199:C201"/>
    <mergeCell ref="D199:D201"/>
    <mergeCell ref="G199:G201"/>
    <mergeCell ref="H199:H201"/>
    <mergeCell ref="I199:I201"/>
    <mergeCell ref="J199:J201"/>
    <mergeCell ref="K153:K155"/>
    <mergeCell ref="L153:L155"/>
    <mergeCell ref="A156:O157"/>
    <mergeCell ref="A197:D197"/>
    <mergeCell ref="E197:L197"/>
    <mergeCell ref="M197:O197"/>
    <mergeCell ref="B152:D152"/>
    <mergeCell ref="E152:I152"/>
    <mergeCell ref="J152:L152"/>
    <mergeCell ref="M152:O152"/>
    <mergeCell ref="C153:C155"/>
    <mergeCell ref="D153:D155"/>
    <mergeCell ref="G153:G155"/>
    <mergeCell ref="H153:H155"/>
    <mergeCell ref="I153:I155"/>
    <mergeCell ref="J153:J155"/>
    <mergeCell ref="K105:K107"/>
    <mergeCell ref="L105:L107"/>
    <mergeCell ref="A108:O109"/>
    <mergeCell ref="A116:O116"/>
    <mergeCell ref="A117:O117"/>
    <mergeCell ref="A151:D151"/>
    <mergeCell ref="E151:L151"/>
    <mergeCell ref="M151:O151"/>
    <mergeCell ref="B104:D104"/>
    <mergeCell ref="E104:I104"/>
    <mergeCell ref="J104:L104"/>
    <mergeCell ref="M104:O104"/>
    <mergeCell ref="C105:C107"/>
    <mergeCell ref="D105:D107"/>
    <mergeCell ref="G105:G107"/>
    <mergeCell ref="H105:H107"/>
    <mergeCell ref="I105:I107"/>
    <mergeCell ref="J105:J107"/>
    <mergeCell ref="K59:K61"/>
    <mergeCell ref="L59:L61"/>
    <mergeCell ref="A62:O63"/>
    <mergeCell ref="A103:D103"/>
    <mergeCell ref="E103:L103"/>
    <mergeCell ref="M103:O103"/>
    <mergeCell ref="B58:D58"/>
    <mergeCell ref="E58:I58"/>
    <mergeCell ref="J58:L58"/>
    <mergeCell ref="M58:O58"/>
    <mergeCell ref="C59:C61"/>
    <mergeCell ref="D59:D61"/>
    <mergeCell ref="G59:G61"/>
    <mergeCell ref="H59:H61"/>
    <mergeCell ref="I59:I61"/>
    <mergeCell ref="J59:J61"/>
    <mergeCell ref="A14:O15"/>
    <mergeCell ref="A16:O16"/>
    <mergeCell ref="A17:O17"/>
    <mergeCell ref="A57:D57"/>
    <mergeCell ref="E57:L57"/>
    <mergeCell ref="M57:O57"/>
    <mergeCell ref="C11:C13"/>
    <mergeCell ref="D11:D13"/>
    <mergeCell ref="G11:G13"/>
    <mergeCell ref="H11:H13"/>
    <mergeCell ref="I11:I13"/>
    <mergeCell ref="J11:J13"/>
    <mergeCell ref="A9:D9"/>
    <mergeCell ref="E9:L9"/>
    <mergeCell ref="M9:O9"/>
    <mergeCell ref="B10:D10"/>
    <mergeCell ref="E10:I10"/>
    <mergeCell ref="J10:L10"/>
    <mergeCell ref="M10:O10"/>
    <mergeCell ref="K11:K13"/>
    <mergeCell ref="L11:L13"/>
  </mergeCells>
  <hyperlinks>
    <hyperlink ref="T1" r:id="rId1" xr:uid="{358D8E1C-DCBC-4F9D-AD05-C8BDA9BFC7B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AB42-F028-4396-A6B6-068E2AB15B8C}">
  <dimension ref="B2:W80"/>
  <sheetViews>
    <sheetView workbookViewId="0">
      <selection activeCell="B2" sqref="B2"/>
    </sheetView>
  </sheetViews>
  <sheetFormatPr defaultRowHeight="15" x14ac:dyDescent="0.25"/>
  <cols>
    <col min="2" max="2" width="5" bestFit="1" customWidth="1"/>
    <col min="3" max="3" width="12.140625" customWidth="1"/>
    <col min="4" max="4" width="12.5703125" bestFit="1" customWidth="1"/>
    <col min="5" max="5" width="10.140625" bestFit="1" customWidth="1"/>
    <col min="6" max="6" width="12.5703125" customWidth="1"/>
    <col min="7" max="7" width="12.5703125" bestFit="1" customWidth="1"/>
    <col min="8" max="8" width="10.140625" bestFit="1" customWidth="1"/>
    <col min="9" max="9" width="10.42578125" customWidth="1"/>
    <col min="10" max="10" width="12.5703125" bestFit="1" customWidth="1"/>
    <col min="11" max="11" width="10.140625" bestFit="1" customWidth="1"/>
    <col min="12" max="12" width="11" bestFit="1" customWidth="1"/>
  </cols>
  <sheetData>
    <row r="2" spans="2:23" ht="15.75" thickBot="1" x14ac:dyDescent="0.3">
      <c r="B2" s="17" t="s">
        <v>25</v>
      </c>
      <c r="N2" s="17" t="s">
        <v>102</v>
      </c>
    </row>
    <row r="3" spans="2:23" ht="15.75" thickBot="1" x14ac:dyDescent="0.3">
      <c r="B3" s="167" t="s">
        <v>4</v>
      </c>
      <c r="C3" s="169" t="s">
        <v>5</v>
      </c>
      <c r="D3" s="170"/>
      <c r="E3" s="171"/>
      <c r="F3" s="170" t="s">
        <v>6</v>
      </c>
      <c r="G3" s="170"/>
      <c r="H3" s="171"/>
      <c r="I3" s="170" t="s">
        <v>7</v>
      </c>
      <c r="J3" s="170"/>
      <c r="K3" s="171"/>
      <c r="N3" s="167" t="s">
        <v>4</v>
      </c>
      <c r="O3" s="169" t="s">
        <v>5</v>
      </c>
      <c r="P3" s="170"/>
      <c r="Q3" s="171"/>
      <c r="R3" s="170" t="s">
        <v>6</v>
      </c>
      <c r="S3" s="170"/>
      <c r="T3" s="171"/>
      <c r="U3" s="170" t="s">
        <v>7</v>
      </c>
      <c r="V3" s="170"/>
      <c r="W3" s="171"/>
    </row>
    <row r="4" spans="2:23" ht="15.75" thickBot="1" x14ac:dyDescent="0.3">
      <c r="B4" s="168"/>
      <c r="C4" s="8" t="s">
        <v>8</v>
      </c>
      <c r="D4" s="10" t="s">
        <v>9</v>
      </c>
      <c r="E4" s="13" t="s">
        <v>3</v>
      </c>
      <c r="F4" s="14" t="s">
        <v>8</v>
      </c>
      <c r="G4" s="14" t="s">
        <v>9</v>
      </c>
      <c r="H4" s="13" t="s">
        <v>3</v>
      </c>
      <c r="I4" s="14" t="s">
        <v>8</v>
      </c>
      <c r="J4" s="14" t="s">
        <v>9</v>
      </c>
      <c r="K4" s="9" t="s">
        <v>3</v>
      </c>
      <c r="N4" s="168"/>
      <c r="O4" s="8" t="s">
        <v>8</v>
      </c>
      <c r="P4" s="10" t="s">
        <v>9</v>
      </c>
      <c r="Q4" s="13" t="s">
        <v>3</v>
      </c>
      <c r="R4" s="14" t="s">
        <v>8</v>
      </c>
      <c r="S4" s="14" t="s">
        <v>9</v>
      </c>
      <c r="T4" s="13" t="s">
        <v>3</v>
      </c>
      <c r="U4" s="14" t="s">
        <v>8</v>
      </c>
      <c r="V4" s="14" t="s">
        <v>9</v>
      </c>
      <c r="W4" s="9" t="s">
        <v>3</v>
      </c>
    </row>
    <row r="5" spans="2:23" x14ac:dyDescent="0.25">
      <c r="B5" s="3">
        <v>1990</v>
      </c>
      <c r="C5" s="2">
        <v>9726530</v>
      </c>
      <c r="D5" s="11">
        <v>1487229</v>
      </c>
      <c r="E5" s="5">
        <v>11213759</v>
      </c>
      <c r="F5" s="15">
        <v>3449157</v>
      </c>
      <c r="G5" s="15">
        <v>512030</v>
      </c>
      <c r="H5" s="5">
        <v>3961187</v>
      </c>
      <c r="I5" s="15">
        <v>13175687</v>
      </c>
      <c r="J5" s="15">
        <v>1999259</v>
      </c>
      <c r="K5" s="5">
        <v>15174946</v>
      </c>
      <c r="L5" s="40"/>
      <c r="N5" s="3">
        <v>1990</v>
      </c>
      <c r="O5" s="174" t="s">
        <v>232</v>
      </c>
      <c r="P5" s="175"/>
      <c r="Q5" s="175"/>
      <c r="R5" s="175"/>
      <c r="S5" s="175"/>
      <c r="T5" s="175"/>
      <c r="U5" s="175"/>
      <c r="V5" s="175"/>
      <c r="W5" s="176"/>
    </row>
    <row r="6" spans="2:23" x14ac:dyDescent="0.25">
      <c r="B6" s="3">
        <v>1991</v>
      </c>
      <c r="C6" s="2">
        <v>10093080</v>
      </c>
      <c r="D6" s="11">
        <v>1360258</v>
      </c>
      <c r="E6" s="5">
        <v>11453338</v>
      </c>
      <c r="F6" s="15">
        <v>3599557</v>
      </c>
      <c r="G6" s="15">
        <v>545000</v>
      </c>
      <c r="H6" s="5">
        <v>4144557</v>
      </c>
      <c r="I6" s="15">
        <v>13692637</v>
      </c>
      <c r="J6" s="15">
        <v>1905258</v>
      </c>
      <c r="K6" s="5">
        <v>15597895</v>
      </c>
      <c r="L6" s="40"/>
      <c r="N6" s="3">
        <v>1991</v>
      </c>
      <c r="O6" s="177"/>
      <c r="P6" s="178"/>
      <c r="Q6" s="178"/>
      <c r="R6" s="178"/>
      <c r="S6" s="178"/>
      <c r="T6" s="178"/>
      <c r="U6" s="178"/>
      <c r="V6" s="178"/>
      <c r="W6" s="179"/>
    </row>
    <row r="7" spans="2:23" x14ac:dyDescent="0.25">
      <c r="B7" s="3">
        <v>1992</v>
      </c>
      <c r="C7" s="2">
        <v>9957850</v>
      </c>
      <c r="D7" s="11">
        <v>1494359</v>
      </c>
      <c r="E7" s="5">
        <v>11452209</v>
      </c>
      <c r="F7" s="15">
        <v>3801224</v>
      </c>
      <c r="G7" s="15">
        <v>616910</v>
      </c>
      <c r="H7" s="5">
        <v>4418134</v>
      </c>
      <c r="I7" s="15">
        <v>13759074</v>
      </c>
      <c r="J7" s="15">
        <v>2111269</v>
      </c>
      <c r="K7" s="5">
        <v>15870343</v>
      </c>
      <c r="L7" s="40"/>
      <c r="N7" s="3">
        <v>1992</v>
      </c>
      <c r="O7" s="177"/>
      <c r="P7" s="178"/>
      <c r="Q7" s="178"/>
      <c r="R7" s="178"/>
      <c r="S7" s="178"/>
      <c r="T7" s="178"/>
      <c r="U7" s="178"/>
      <c r="V7" s="178"/>
      <c r="W7" s="179"/>
    </row>
    <row r="8" spans="2:23" x14ac:dyDescent="0.25">
      <c r="B8" s="3">
        <v>1993</v>
      </c>
      <c r="C8" s="2">
        <v>10042010</v>
      </c>
      <c r="D8" s="11">
        <v>1646580</v>
      </c>
      <c r="E8" s="5">
        <v>11688590</v>
      </c>
      <c r="F8" s="15">
        <v>3658011</v>
      </c>
      <c r="G8" s="15">
        <v>675220</v>
      </c>
      <c r="H8" s="5">
        <v>4333231</v>
      </c>
      <c r="I8" s="15">
        <v>13700021</v>
      </c>
      <c r="J8" s="15">
        <v>2321800</v>
      </c>
      <c r="K8" s="5">
        <v>16021821</v>
      </c>
      <c r="L8" s="40"/>
      <c r="N8" s="3">
        <v>1993</v>
      </c>
      <c r="O8" s="177"/>
      <c r="P8" s="178"/>
      <c r="Q8" s="178"/>
      <c r="R8" s="178"/>
      <c r="S8" s="178"/>
      <c r="T8" s="178"/>
      <c r="U8" s="178"/>
      <c r="V8" s="178"/>
      <c r="W8" s="179"/>
    </row>
    <row r="9" spans="2:23" x14ac:dyDescent="0.25">
      <c r="B9" s="3">
        <v>1994</v>
      </c>
      <c r="C9" s="2">
        <v>9950060</v>
      </c>
      <c r="D9" s="11">
        <v>1919648</v>
      </c>
      <c r="E9" s="5">
        <v>11869708</v>
      </c>
      <c r="F9" s="15">
        <v>4427022</v>
      </c>
      <c r="G9" s="15">
        <v>706090</v>
      </c>
      <c r="H9" s="5">
        <v>5133112</v>
      </c>
      <c r="I9" s="15">
        <v>14377082</v>
      </c>
      <c r="J9" s="15">
        <v>2625738</v>
      </c>
      <c r="K9" s="5">
        <v>17002820</v>
      </c>
      <c r="L9" s="40"/>
      <c r="N9" s="3">
        <v>1994</v>
      </c>
      <c r="O9" s="177"/>
      <c r="P9" s="178"/>
      <c r="Q9" s="178"/>
      <c r="R9" s="178"/>
      <c r="S9" s="178"/>
      <c r="T9" s="178"/>
      <c r="U9" s="178"/>
      <c r="V9" s="178"/>
      <c r="W9" s="179"/>
    </row>
    <row r="10" spans="2:23" x14ac:dyDescent="0.25">
      <c r="B10" s="3">
        <v>1995</v>
      </c>
      <c r="C10" s="2">
        <v>10538170</v>
      </c>
      <c r="D10" s="11">
        <v>2171642</v>
      </c>
      <c r="E10" s="5">
        <v>12709812</v>
      </c>
      <c r="F10" s="15">
        <v>4327055</v>
      </c>
      <c r="G10" s="15">
        <v>761890</v>
      </c>
      <c r="H10" s="5">
        <v>5088945</v>
      </c>
      <c r="I10" s="15">
        <v>14865225</v>
      </c>
      <c r="J10" s="15">
        <v>2933532</v>
      </c>
      <c r="K10" s="5">
        <v>17798757</v>
      </c>
      <c r="L10" s="40"/>
      <c r="N10" s="3">
        <v>1995</v>
      </c>
      <c r="O10" s="177"/>
      <c r="P10" s="178"/>
      <c r="Q10" s="178"/>
      <c r="R10" s="178"/>
      <c r="S10" s="178"/>
      <c r="T10" s="178"/>
      <c r="U10" s="178"/>
      <c r="V10" s="178"/>
      <c r="W10" s="179"/>
    </row>
    <row r="11" spans="2:23" x14ac:dyDescent="0.25">
      <c r="B11" s="3">
        <v>1996</v>
      </c>
      <c r="C11" s="2">
        <v>11295130</v>
      </c>
      <c r="D11" s="11">
        <v>2408858</v>
      </c>
      <c r="E11" s="5">
        <v>13703988</v>
      </c>
      <c r="F11" s="15">
        <v>4711014</v>
      </c>
      <c r="G11" s="15">
        <v>871560</v>
      </c>
      <c r="H11" s="5">
        <v>5582574</v>
      </c>
      <c r="I11" s="15">
        <v>16006144</v>
      </c>
      <c r="J11" s="15">
        <v>3280418</v>
      </c>
      <c r="K11" s="5">
        <v>19286562</v>
      </c>
      <c r="L11" s="40"/>
      <c r="N11" s="3">
        <v>1996</v>
      </c>
      <c r="O11" s="177"/>
      <c r="P11" s="178"/>
      <c r="Q11" s="178"/>
      <c r="R11" s="178"/>
      <c r="S11" s="178"/>
      <c r="T11" s="178"/>
      <c r="U11" s="178"/>
      <c r="V11" s="178"/>
      <c r="W11" s="179"/>
    </row>
    <row r="12" spans="2:23" x14ac:dyDescent="0.25">
      <c r="B12" s="3">
        <v>1997</v>
      </c>
      <c r="C12" s="2">
        <v>11879460</v>
      </c>
      <c r="D12" s="11">
        <v>2618419</v>
      </c>
      <c r="E12" s="5">
        <v>14497879</v>
      </c>
      <c r="F12" s="15">
        <v>4588409</v>
      </c>
      <c r="G12" s="15">
        <v>876520</v>
      </c>
      <c r="H12" s="5">
        <v>5464929</v>
      </c>
      <c r="I12" s="15">
        <v>16467869</v>
      </c>
      <c r="J12" s="15">
        <v>3494939</v>
      </c>
      <c r="K12" s="5">
        <v>19962808</v>
      </c>
      <c r="L12" s="40"/>
      <c r="N12" s="3">
        <v>1997</v>
      </c>
      <c r="O12" s="177"/>
      <c r="P12" s="178"/>
      <c r="Q12" s="178"/>
      <c r="R12" s="178"/>
      <c r="S12" s="178"/>
      <c r="T12" s="178"/>
      <c r="U12" s="178"/>
      <c r="V12" s="178"/>
      <c r="W12" s="179"/>
    </row>
    <row r="13" spans="2:23" x14ac:dyDescent="0.25">
      <c r="B13" s="3">
        <v>1998</v>
      </c>
      <c r="C13" s="2">
        <v>11806860</v>
      </c>
      <c r="D13" s="11">
        <v>2601321</v>
      </c>
      <c r="E13" s="5">
        <v>14408181</v>
      </c>
      <c r="F13" s="15">
        <v>4525445</v>
      </c>
      <c r="G13" s="15">
        <v>725360</v>
      </c>
      <c r="H13" s="5">
        <v>5250805</v>
      </c>
      <c r="I13" s="15">
        <v>16332305</v>
      </c>
      <c r="J13" s="15">
        <v>3326681</v>
      </c>
      <c r="K13" s="5">
        <v>19658986</v>
      </c>
      <c r="L13" s="40"/>
      <c r="N13" s="3">
        <v>1998</v>
      </c>
      <c r="O13" s="177"/>
      <c r="P13" s="178"/>
      <c r="Q13" s="178"/>
      <c r="R13" s="178"/>
      <c r="S13" s="178"/>
      <c r="T13" s="178"/>
      <c r="U13" s="178"/>
      <c r="V13" s="178"/>
      <c r="W13" s="179"/>
    </row>
    <row r="14" spans="2:23" x14ac:dyDescent="0.25">
      <c r="B14" s="3">
        <v>1999</v>
      </c>
      <c r="C14" s="2">
        <v>11998930</v>
      </c>
      <c r="D14" s="11">
        <v>2862701</v>
      </c>
      <c r="E14" s="5">
        <v>14861631</v>
      </c>
      <c r="F14" s="15">
        <v>4194881</v>
      </c>
      <c r="G14" s="15">
        <v>726810</v>
      </c>
      <c r="H14" s="5">
        <v>4921691</v>
      </c>
      <c r="I14" s="15">
        <v>16193811</v>
      </c>
      <c r="J14" s="15">
        <v>3589511</v>
      </c>
      <c r="K14" s="5">
        <v>19783322</v>
      </c>
      <c r="L14" s="40"/>
      <c r="N14" s="3">
        <v>1999</v>
      </c>
      <c r="O14" s="177"/>
      <c r="P14" s="178"/>
      <c r="Q14" s="178"/>
      <c r="R14" s="178"/>
      <c r="S14" s="178"/>
      <c r="T14" s="178"/>
      <c r="U14" s="178"/>
      <c r="V14" s="178"/>
      <c r="W14" s="179"/>
    </row>
    <row r="15" spans="2:23" x14ac:dyDescent="0.25">
      <c r="B15" s="3">
        <v>2000</v>
      </c>
      <c r="C15" s="2">
        <v>12258500</v>
      </c>
      <c r="D15" s="11">
        <v>3201319</v>
      </c>
      <c r="E15" s="5">
        <v>15459819</v>
      </c>
      <c r="F15" s="15">
        <v>3874966</v>
      </c>
      <c r="G15" s="15">
        <v>873240</v>
      </c>
      <c r="H15" s="5">
        <v>4748206</v>
      </c>
      <c r="I15" s="15">
        <v>16133466</v>
      </c>
      <c r="J15" s="15">
        <v>4074559</v>
      </c>
      <c r="K15" s="5">
        <v>20208025</v>
      </c>
      <c r="L15" s="40"/>
      <c r="N15" s="3">
        <v>2000</v>
      </c>
      <c r="O15" s="177"/>
      <c r="P15" s="178"/>
      <c r="Q15" s="178"/>
      <c r="R15" s="178"/>
      <c r="S15" s="178"/>
      <c r="T15" s="178"/>
      <c r="U15" s="178"/>
      <c r="V15" s="178"/>
      <c r="W15" s="179"/>
    </row>
    <row r="16" spans="2:23" x14ac:dyDescent="0.25">
      <c r="B16" s="3">
        <v>2001</v>
      </c>
      <c r="C16" s="2">
        <v>9512850</v>
      </c>
      <c r="D16" s="11">
        <v>2941926</v>
      </c>
      <c r="E16" s="5">
        <v>12454776</v>
      </c>
      <c r="F16" s="15">
        <v>3750783</v>
      </c>
      <c r="G16" s="15">
        <v>846140</v>
      </c>
      <c r="H16" s="5">
        <v>4596923</v>
      </c>
      <c r="I16" s="15">
        <v>13263633</v>
      </c>
      <c r="J16" s="15">
        <v>3788066</v>
      </c>
      <c r="K16" s="5">
        <v>17051699</v>
      </c>
      <c r="L16" s="40"/>
      <c r="N16" s="3">
        <v>2001</v>
      </c>
      <c r="O16" s="177"/>
      <c r="P16" s="178"/>
      <c r="Q16" s="178"/>
      <c r="R16" s="178"/>
      <c r="S16" s="178"/>
      <c r="T16" s="178"/>
      <c r="U16" s="178"/>
      <c r="V16" s="178"/>
      <c r="W16" s="179"/>
    </row>
    <row r="17" spans="2:23" x14ac:dyDescent="0.25">
      <c r="B17" s="3">
        <v>2002</v>
      </c>
      <c r="C17" s="2">
        <v>8346560</v>
      </c>
      <c r="D17" s="11">
        <v>2786500</v>
      </c>
      <c r="E17" s="5">
        <v>11133060</v>
      </c>
      <c r="F17" s="15">
        <v>3425029</v>
      </c>
      <c r="G17" s="15">
        <v>863290</v>
      </c>
      <c r="H17" s="5">
        <v>4288319</v>
      </c>
      <c r="I17" s="15">
        <v>11771589</v>
      </c>
      <c r="J17" s="15">
        <v>3649790</v>
      </c>
      <c r="K17" s="5">
        <v>15421379</v>
      </c>
      <c r="L17" s="40"/>
      <c r="N17" s="3">
        <v>2002</v>
      </c>
      <c r="O17" s="177"/>
      <c r="P17" s="178"/>
      <c r="Q17" s="178"/>
      <c r="R17" s="178"/>
      <c r="S17" s="178"/>
      <c r="T17" s="178"/>
      <c r="U17" s="178"/>
      <c r="V17" s="178"/>
      <c r="W17" s="179"/>
    </row>
    <row r="18" spans="2:23" x14ac:dyDescent="0.25">
      <c r="B18" s="3">
        <v>2003</v>
      </c>
      <c r="C18" s="2">
        <v>7912720</v>
      </c>
      <c r="D18" s="11">
        <v>2596872</v>
      </c>
      <c r="E18" s="5">
        <v>10509592</v>
      </c>
      <c r="F18" s="15">
        <v>3147023</v>
      </c>
      <c r="G18" s="15">
        <v>756600</v>
      </c>
      <c r="H18" s="5">
        <v>3903623</v>
      </c>
      <c r="I18" s="15">
        <v>11059743</v>
      </c>
      <c r="J18" s="15">
        <v>3353472</v>
      </c>
      <c r="K18" s="5">
        <v>14413215</v>
      </c>
      <c r="L18" s="40"/>
      <c r="N18" s="3">
        <v>2003</v>
      </c>
      <c r="O18" s="177"/>
      <c r="P18" s="178"/>
      <c r="Q18" s="178"/>
      <c r="R18" s="178"/>
      <c r="S18" s="178"/>
      <c r="T18" s="178"/>
      <c r="U18" s="178"/>
      <c r="V18" s="178"/>
      <c r="W18" s="179"/>
    </row>
    <row r="19" spans="2:23" x14ac:dyDescent="0.25">
      <c r="B19" s="3">
        <v>2004</v>
      </c>
      <c r="C19" s="2">
        <v>8771380</v>
      </c>
      <c r="D19" s="11">
        <v>2908177</v>
      </c>
      <c r="E19" s="5">
        <v>11679557</v>
      </c>
      <c r="F19" s="15">
        <v>3462434</v>
      </c>
      <c r="G19" s="15">
        <v>883560</v>
      </c>
      <c r="H19" s="5">
        <v>4345994</v>
      </c>
      <c r="I19" s="15">
        <v>12233814</v>
      </c>
      <c r="J19" s="15">
        <v>3791737</v>
      </c>
      <c r="K19" s="5">
        <v>16025551</v>
      </c>
      <c r="L19" s="40"/>
      <c r="N19" s="3">
        <v>2004</v>
      </c>
      <c r="O19" s="177"/>
      <c r="P19" s="178"/>
      <c r="Q19" s="178"/>
      <c r="R19" s="178"/>
      <c r="S19" s="178"/>
      <c r="T19" s="178"/>
      <c r="U19" s="178"/>
      <c r="V19" s="178"/>
      <c r="W19" s="179"/>
    </row>
    <row r="20" spans="2:23" x14ac:dyDescent="0.25">
      <c r="B20" s="3">
        <v>2005</v>
      </c>
      <c r="C20" s="2">
        <v>9071520</v>
      </c>
      <c r="D20" s="11">
        <v>3135038</v>
      </c>
      <c r="E20" s="5">
        <v>12206558</v>
      </c>
      <c r="F20" s="15">
        <v>3237448</v>
      </c>
      <c r="G20" s="15">
        <v>919460</v>
      </c>
      <c r="H20" s="5">
        <v>4156908</v>
      </c>
      <c r="I20" s="15">
        <v>12308968</v>
      </c>
      <c r="J20" s="15">
        <v>4054498</v>
      </c>
      <c r="K20" s="5">
        <v>16363466</v>
      </c>
      <c r="L20" s="40"/>
      <c r="N20" s="3">
        <v>2005</v>
      </c>
      <c r="O20" s="177"/>
      <c r="P20" s="178"/>
      <c r="Q20" s="178"/>
      <c r="R20" s="178"/>
      <c r="S20" s="178"/>
      <c r="T20" s="178"/>
      <c r="U20" s="178"/>
      <c r="V20" s="178"/>
      <c r="W20" s="179"/>
    </row>
    <row r="21" spans="2:23" x14ac:dyDescent="0.25">
      <c r="B21" s="3">
        <v>2006</v>
      </c>
      <c r="C21" s="2">
        <v>9063560</v>
      </c>
      <c r="D21" s="11">
        <v>3263390</v>
      </c>
      <c r="E21" s="5">
        <v>12326950</v>
      </c>
      <c r="F21" s="15">
        <v>3252887</v>
      </c>
      <c r="G21" s="15">
        <v>978170</v>
      </c>
      <c r="H21" s="5">
        <v>4231057</v>
      </c>
      <c r="I21" s="15">
        <v>12316447</v>
      </c>
      <c r="J21" s="15">
        <v>4241560</v>
      </c>
      <c r="K21" s="5">
        <v>16558007</v>
      </c>
      <c r="L21" s="40"/>
      <c r="N21" s="3">
        <v>2006</v>
      </c>
      <c r="O21" s="177"/>
      <c r="P21" s="178"/>
      <c r="Q21" s="178"/>
      <c r="R21" s="178"/>
      <c r="S21" s="178"/>
      <c r="T21" s="178"/>
      <c r="U21" s="178"/>
      <c r="V21" s="178"/>
      <c r="W21" s="179"/>
    </row>
    <row r="22" spans="2:23" x14ac:dyDescent="0.25">
      <c r="B22" s="3">
        <v>2007</v>
      </c>
      <c r="C22" s="2">
        <v>9833650</v>
      </c>
      <c r="D22" s="11">
        <v>3448706</v>
      </c>
      <c r="E22" s="5">
        <v>13282356</v>
      </c>
      <c r="F22" s="15">
        <v>3378902</v>
      </c>
      <c r="G22" s="15">
        <v>1025410</v>
      </c>
      <c r="H22" s="5">
        <v>4404312</v>
      </c>
      <c r="I22" s="15">
        <v>13212552</v>
      </c>
      <c r="J22" s="15">
        <v>4474116</v>
      </c>
      <c r="K22" s="5">
        <v>17686668</v>
      </c>
      <c r="L22" s="40"/>
      <c r="N22" s="3">
        <v>2007</v>
      </c>
      <c r="O22" s="177"/>
      <c r="P22" s="178"/>
      <c r="Q22" s="178"/>
      <c r="R22" s="178"/>
      <c r="S22" s="178"/>
      <c r="T22" s="178"/>
      <c r="U22" s="178"/>
      <c r="V22" s="178"/>
      <c r="W22" s="179"/>
    </row>
    <row r="23" spans="2:23" x14ac:dyDescent="0.25">
      <c r="B23" s="3">
        <v>2008</v>
      </c>
      <c r="C23" s="2">
        <v>10936850</v>
      </c>
      <c r="D23" s="11">
        <v>3459097</v>
      </c>
      <c r="E23" s="5">
        <v>14395947</v>
      </c>
      <c r="F23" s="15">
        <v>3122357</v>
      </c>
      <c r="G23" s="15">
        <v>1009970</v>
      </c>
      <c r="H23" s="5">
        <v>4132327</v>
      </c>
      <c r="I23" s="15">
        <v>14059207</v>
      </c>
      <c r="J23" s="15">
        <v>4469067</v>
      </c>
      <c r="K23" s="5">
        <v>18528274</v>
      </c>
      <c r="L23" s="40"/>
      <c r="N23" s="3">
        <v>2008</v>
      </c>
      <c r="O23" s="177"/>
      <c r="P23" s="178"/>
      <c r="Q23" s="178"/>
      <c r="R23" s="178"/>
      <c r="S23" s="178"/>
      <c r="T23" s="178"/>
      <c r="U23" s="178"/>
      <c r="V23" s="178"/>
      <c r="W23" s="179"/>
    </row>
    <row r="24" spans="2:23" x14ac:dyDescent="0.25">
      <c r="B24" s="3">
        <v>2009</v>
      </c>
      <c r="C24" s="2">
        <v>11499980</v>
      </c>
      <c r="D24" s="11">
        <v>3281615</v>
      </c>
      <c r="E24" s="5">
        <v>14781595</v>
      </c>
      <c r="F24" s="15">
        <v>2950166</v>
      </c>
      <c r="G24" s="15">
        <v>879510</v>
      </c>
      <c r="H24" s="5">
        <v>3829676</v>
      </c>
      <c r="I24" s="15">
        <v>14450146</v>
      </c>
      <c r="J24" s="15">
        <v>4161125</v>
      </c>
      <c r="K24" s="5">
        <v>18611271</v>
      </c>
      <c r="L24" s="40"/>
      <c r="N24" s="3">
        <v>2009</v>
      </c>
      <c r="O24" s="177"/>
      <c r="P24" s="178"/>
      <c r="Q24" s="178"/>
      <c r="R24" s="178"/>
      <c r="S24" s="178"/>
      <c r="T24" s="178"/>
      <c r="U24" s="178"/>
      <c r="V24" s="178"/>
      <c r="W24" s="179"/>
    </row>
    <row r="25" spans="2:23" x14ac:dyDescent="0.25">
      <c r="B25" s="3">
        <v>2010</v>
      </c>
      <c r="C25" s="2">
        <v>11929210</v>
      </c>
      <c r="D25" s="11">
        <v>3422366</v>
      </c>
      <c r="E25" s="5">
        <v>15351576</v>
      </c>
      <c r="F25" s="15">
        <v>3216666</v>
      </c>
      <c r="G25" s="15">
        <v>971450</v>
      </c>
      <c r="H25" s="5">
        <v>4188116</v>
      </c>
      <c r="I25" s="15">
        <v>15145876</v>
      </c>
      <c r="J25" s="15">
        <v>4393816</v>
      </c>
      <c r="K25" s="5">
        <v>19539692</v>
      </c>
      <c r="L25" s="40"/>
      <c r="N25" s="3">
        <v>2010</v>
      </c>
      <c r="O25" s="177"/>
      <c r="P25" s="178"/>
      <c r="Q25" s="178"/>
      <c r="R25" s="178"/>
      <c r="S25" s="178"/>
      <c r="T25" s="178"/>
      <c r="U25" s="178"/>
      <c r="V25" s="178"/>
      <c r="W25" s="179"/>
    </row>
    <row r="26" spans="2:23" x14ac:dyDescent="0.25">
      <c r="B26" s="3">
        <v>2011</v>
      </c>
      <c r="C26" s="2">
        <v>12412490</v>
      </c>
      <c r="D26" s="11">
        <v>3559324</v>
      </c>
      <c r="E26" s="5">
        <v>15971814</v>
      </c>
      <c r="F26" s="15">
        <v>3486833</v>
      </c>
      <c r="G26" s="15">
        <v>930070</v>
      </c>
      <c r="H26" s="5">
        <v>4416903</v>
      </c>
      <c r="I26" s="15">
        <v>15899323</v>
      </c>
      <c r="J26" s="15">
        <v>4489394</v>
      </c>
      <c r="K26" s="5">
        <v>20388717</v>
      </c>
      <c r="L26" s="40"/>
      <c r="N26" s="3">
        <v>2011</v>
      </c>
      <c r="O26" s="177"/>
      <c r="P26" s="178"/>
      <c r="Q26" s="178"/>
      <c r="R26" s="178"/>
      <c r="S26" s="178"/>
      <c r="T26" s="178"/>
      <c r="U26" s="178"/>
      <c r="V26" s="178"/>
      <c r="W26" s="179"/>
    </row>
    <row r="27" spans="2:23" x14ac:dyDescent="0.25">
      <c r="B27" s="3">
        <v>2012</v>
      </c>
      <c r="C27" s="2">
        <v>13164220</v>
      </c>
      <c r="D27" s="11">
        <v>3721223</v>
      </c>
      <c r="E27" s="5">
        <v>16885443</v>
      </c>
      <c r="F27" s="15">
        <v>4251066</v>
      </c>
      <c r="G27" s="15">
        <v>1011680</v>
      </c>
      <c r="H27" s="5">
        <v>5262746</v>
      </c>
      <c r="I27" s="15">
        <v>17415286</v>
      </c>
      <c r="J27" s="15">
        <v>4732903</v>
      </c>
      <c r="K27" s="5">
        <v>22148189</v>
      </c>
      <c r="L27" s="40"/>
      <c r="N27" s="3">
        <v>2012</v>
      </c>
      <c r="O27" s="177"/>
      <c r="P27" s="178"/>
      <c r="Q27" s="178"/>
      <c r="R27" s="178"/>
      <c r="S27" s="178"/>
      <c r="T27" s="178"/>
      <c r="U27" s="178"/>
      <c r="V27" s="178"/>
      <c r="W27" s="179"/>
    </row>
    <row r="28" spans="2:23" x14ac:dyDescent="0.25">
      <c r="B28" s="3">
        <v>2013</v>
      </c>
      <c r="C28" s="2">
        <v>13501594</v>
      </c>
      <c r="D28" s="11">
        <v>3840376</v>
      </c>
      <c r="E28" s="5">
        <v>17341970</v>
      </c>
      <c r="F28" s="15">
        <v>4075679</v>
      </c>
      <c r="G28" s="15">
        <v>1000136</v>
      </c>
      <c r="H28" s="5">
        <v>5075815</v>
      </c>
      <c r="I28" s="15">
        <v>17577273</v>
      </c>
      <c r="J28" s="15">
        <v>4840512</v>
      </c>
      <c r="K28" s="5">
        <v>22417785</v>
      </c>
      <c r="L28" s="40"/>
      <c r="N28" s="3">
        <v>2013</v>
      </c>
      <c r="O28" s="177"/>
      <c r="P28" s="178"/>
      <c r="Q28" s="178"/>
      <c r="R28" s="178"/>
      <c r="S28" s="178"/>
      <c r="T28" s="178"/>
      <c r="U28" s="178"/>
      <c r="V28" s="178"/>
      <c r="W28" s="179"/>
    </row>
    <row r="29" spans="2:23" x14ac:dyDescent="0.25">
      <c r="B29" s="3">
        <v>2014</v>
      </c>
      <c r="C29" s="2">
        <v>14148406</v>
      </c>
      <c r="D29" s="11">
        <v>4071415</v>
      </c>
      <c r="E29" s="5">
        <v>18219821</v>
      </c>
      <c r="F29" s="15">
        <v>4208951</v>
      </c>
      <c r="G29" s="15">
        <v>1035656</v>
      </c>
      <c r="H29" s="5">
        <v>5244607</v>
      </c>
      <c r="I29" s="15">
        <v>18357357</v>
      </c>
      <c r="J29" s="15">
        <v>5107071</v>
      </c>
      <c r="K29" s="5">
        <v>23464428</v>
      </c>
      <c r="L29" s="40"/>
      <c r="N29" s="3">
        <v>2014</v>
      </c>
      <c r="O29" s="177"/>
      <c r="P29" s="178"/>
      <c r="Q29" s="178"/>
      <c r="R29" s="178"/>
      <c r="S29" s="178"/>
      <c r="T29" s="178"/>
      <c r="U29" s="178"/>
      <c r="V29" s="178"/>
      <c r="W29" s="179"/>
    </row>
    <row r="30" spans="2:23" ht="15.75" thickBot="1" x14ac:dyDescent="0.3">
      <c r="B30" s="4">
        <v>2015</v>
      </c>
      <c r="C30" s="6">
        <v>14907093</v>
      </c>
      <c r="D30" s="12">
        <v>4527305</v>
      </c>
      <c r="E30" s="7">
        <v>19434398</v>
      </c>
      <c r="F30" s="16">
        <v>4493286</v>
      </c>
      <c r="G30" s="16">
        <v>1027335</v>
      </c>
      <c r="H30" s="7">
        <v>5520621</v>
      </c>
      <c r="I30" s="16">
        <v>19400379</v>
      </c>
      <c r="J30" s="16">
        <v>5554640</v>
      </c>
      <c r="K30" s="7">
        <v>24955019</v>
      </c>
      <c r="L30" s="40"/>
      <c r="N30" s="4">
        <v>2015</v>
      </c>
      <c r="O30" s="180"/>
      <c r="P30" s="181"/>
      <c r="Q30" s="181"/>
      <c r="R30" s="181"/>
      <c r="S30" s="181"/>
      <c r="T30" s="181"/>
      <c r="U30" s="181"/>
      <c r="V30" s="181"/>
      <c r="W30" s="182"/>
    </row>
    <row r="31" spans="2:23" x14ac:dyDescent="0.25">
      <c r="B31" s="21">
        <v>2016</v>
      </c>
      <c r="C31" s="29"/>
      <c r="D31" s="26"/>
      <c r="E31" s="22"/>
      <c r="F31" s="26"/>
      <c r="G31" s="26"/>
      <c r="H31" s="22"/>
      <c r="I31" s="25">
        <v>20331323</v>
      </c>
      <c r="J31" s="25">
        <v>6078819</v>
      </c>
      <c r="K31" s="18">
        <v>26410142</v>
      </c>
      <c r="N31" s="21">
        <v>2016</v>
      </c>
      <c r="O31" s="29"/>
      <c r="P31" s="26"/>
      <c r="Q31" s="22"/>
      <c r="R31" s="26"/>
      <c r="S31" s="26"/>
      <c r="T31" s="22"/>
      <c r="U31" s="174" t="s">
        <v>10</v>
      </c>
      <c r="V31" s="175"/>
      <c r="W31" s="176"/>
    </row>
    <row r="32" spans="2:23" x14ac:dyDescent="0.25">
      <c r="B32" s="19">
        <v>2017</v>
      </c>
      <c r="C32" s="30"/>
      <c r="D32" s="27"/>
      <c r="E32" s="23"/>
      <c r="F32" s="27"/>
      <c r="G32" s="27"/>
      <c r="H32" s="23"/>
      <c r="I32" s="15">
        <v>21220349</v>
      </c>
      <c r="J32" s="15">
        <v>6642080</v>
      </c>
      <c r="K32" s="5">
        <v>27862429</v>
      </c>
      <c r="N32" s="19">
        <v>2017</v>
      </c>
      <c r="O32" s="30"/>
      <c r="P32" s="27"/>
      <c r="Q32" s="23"/>
      <c r="R32" s="27"/>
      <c r="S32" s="27"/>
      <c r="T32" s="23"/>
      <c r="U32" s="177"/>
      <c r="V32" s="178"/>
      <c r="W32" s="179"/>
    </row>
    <row r="33" spans="2:23" x14ac:dyDescent="0.25">
      <c r="B33" s="19">
        <v>2018</v>
      </c>
      <c r="C33" s="30"/>
      <c r="D33" s="27"/>
      <c r="E33" s="23"/>
      <c r="F33" s="27"/>
      <c r="G33" s="27"/>
      <c r="H33" s="23"/>
      <c r="I33" s="15">
        <v>21695935</v>
      </c>
      <c r="J33" s="15">
        <v>7040356</v>
      </c>
      <c r="K33" s="5">
        <v>28736291</v>
      </c>
      <c r="N33" s="19">
        <v>2018</v>
      </c>
      <c r="O33" s="30"/>
      <c r="P33" s="27"/>
      <c r="Q33" s="23"/>
      <c r="R33" s="27"/>
      <c r="S33" s="27"/>
      <c r="T33" s="23"/>
      <c r="U33" s="177"/>
      <c r="V33" s="178"/>
      <c r="W33" s="179"/>
    </row>
    <row r="34" spans="2:23" x14ac:dyDescent="0.25">
      <c r="B34" s="19">
        <v>2019</v>
      </c>
      <c r="C34" s="30"/>
      <c r="D34" s="27"/>
      <c r="E34" s="23"/>
      <c r="F34" s="27"/>
      <c r="G34" s="27"/>
      <c r="H34" s="23"/>
      <c r="I34" s="15">
        <v>21116518</v>
      </c>
      <c r="J34" s="15">
        <v>7548553</v>
      </c>
      <c r="K34" s="5">
        <v>28665071</v>
      </c>
      <c r="L34" s="39"/>
      <c r="N34" s="19">
        <v>2019</v>
      </c>
      <c r="O34" s="30"/>
      <c r="P34" s="27"/>
      <c r="Q34" s="23"/>
      <c r="R34" s="27"/>
      <c r="S34" s="27"/>
      <c r="T34" s="23"/>
      <c r="U34" s="177"/>
      <c r="V34" s="178"/>
      <c r="W34" s="179"/>
    </row>
    <row r="35" spans="2:23" x14ac:dyDescent="0.25">
      <c r="B35" s="19">
        <v>2020</v>
      </c>
      <c r="C35" s="30"/>
      <c r="D35" s="27"/>
      <c r="E35" s="23"/>
      <c r="F35" s="27"/>
      <c r="G35" s="27"/>
      <c r="H35" s="23"/>
      <c r="I35" s="15">
        <v>6571602</v>
      </c>
      <c r="J35" s="15">
        <v>1609116</v>
      </c>
      <c r="K35" s="5">
        <v>8180718</v>
      </c>
      <c r="N35" s="19">
        <v>2020</v>
      </c>
      <c r="O35" s="30"/>
      <c r="P35" s="27"/>
      <c r="Q35" s="23"/>
      <c r="R35" s="27"/>
      <c r="S35" s="27"/>
      <c r="T35" s="23"/>
      <c r="U35" s="177"/>
      <c r="V35" s="178"/>
      <c r="W35" s="179"/>
    </row>
    <row r="36" spans="2:23" x14ac:dyDescent="0.25">
      <c r="B36" s="19">
        <v>2021</v>
      </c>
      <c r="C36" s="30"/>
      <c r="D36" s="27"/>
      <c r="E36" s="23"/>
      <c r="F36" s="27"/>
      <c r="G36" s="27"/>
      <c r="H36" s="23"/>
      <c r="I36" s="15">
        <v>10547727</v>
      </c>
      <c r="J36" s="15">
        <v>1614453</v>
      </c>
      <c r="K36" s="5">
        <v>12162180</v>
      </c>
      <c r="N36" s="19">
        <v>2021</v>
      </c>
      <c r="O36" s="30"/>
      <c r="P36" s="27"/>
      <c r="Q36" s="23"/>
      <c r="R36" s="27"/>
      <c r="S36" s="27"/>
      <c r="T36" s="23"/>
      <c r="U36" s="177"/>
      <c r="V36" s="178"/>
      <c r="W36" s="179"/>
    </row>
    <row r="37" spans="2:23" x14ac:dyDescent="0.25">
      <c r="B37" s="19">
        <v>2022</v>
      </c>
      <c r="C37" s="30"/>
      <c r="D37" s="27"/>
      <c r="E37" s="23"/>
      <c r="F37" s="27"/>
      <c r="G37" s="27"/>
      <c r="H37" s="23"/>
      <c r="I37" s="15">
        <v>16070630</v>
      </c>
      <c r="J37" s="15">
        <v>4976942</v>
      </c>
      <c r="K37" s="5">
        <v>21047572</v>
      </c>
      <c r="N37" s="19">
        <v>2022</v>
      </c>
      <c r="O37" s="30"/>
      <c r="P37" s="27"/>
      <c r="Q37" s="23"/>
      <c r="R37" s="27"/>
      <c r="S37" s="27"/>
      <c r="T37" s="23"/>
      <c r="U37" s="177"/>
      <c r="V37" s="178"/>
      <c r="W37" s="179"/>
    </row>
    <row r="38" spans="2:23" x14ac:dyDescent="0.25">
      <c r="B38" s="33">
        <v>2023</v>
      </c>
      <c r="C38" s="34"/>
      <c r="D38" s="35"/>
      <c r="E38" s="36"/>
      <c r="F38" s="35"/>
      <c r="G38" s="35"/>
      <c r="H38" s="36"/>
      <c r="I38" s="37">
        <v>17994192</v>
      </c>
      <c r="J38" s="37">
        <v>6985618</v>
      </c>
      <c r="K38" s="38">
        <v>24979810</v>
      </c>
      <c r="N38" s="19">
        <v>2023</v>
      </c>
      <c r="O38" s="31"/>
      <c r="P38" s="27"/>
      <c r="Q38" s="23"/>
      <c r="R38" s="27"/>
      <c r="S38" s="27"/>
      <c r="T38" s="23"/>
      <c r="U38" s="177"/>
      <c r="V38" s="178"/>
      <c r="W38" s="179"/>
    </row>
    <row r="39" spans="2:23" x14ac:dyDescent="0.25">
      <c r="B39" s="19">
        <v>2024</v>
      </c>
      <c r="C39" s="31"/>
      <c r="D39" s="27"/>
      <c r="E39" s="23"/>
      <c r="F39" s="27"/>
      <c r="G39" s="27"/>
      <c r="H39" s="23"/>
      <c r="I39" s="15">
        <v>18204966</v>
      </c>
      <c r="J39" s="15">
        <v>7849620</v>
      </c>
      <c r="K39" s="5">
        <v>26054586</v>
      </c>
      <c r="N39" s="19">
        <v>2024</v>
      </c>
      <c r="O39" s="31"/>
      <c r="P39" s="27"/>
      <c r="Q39" s="23"/>
      <c r="R39" s="27"/>
      <c r="S39" s="27"/>
      <c r="T39" s="23"/>
      <c r="U39" s="177"/>
      <c r="V39" s="178"/>
      <c r="W39" s="179"/>
    </row>
    <row r="40" spans="2:23" ht="15.75" thickBot="1" x14ac:dyDescent="0.3">
      <c r="B40" s="20">
        <v>2025</v>
      </c>
      <c r="C40" s="32"/>
      <c r="D40" s="28"/>
      <c r="E40" s="24"/>
      <c r="F40" s="28"/>
      <c r="G40" s="28"/>
      <c r="H40" s="24"/>
      <c r="I40" s="16">
        <v>19303101</v>
      </c>
      <c r="J40" s="16">
        <v>7947705</v>
      </c>
      <c r="K40" s="7">
        <v>27250806</v>
      </c>
      <c r="L40" s="39"/>
      <c r="N40" s="20">
        <v>2025</v>
      </c>
      <c r="O40" s="32"/>
      <c r="P40" s="28"/>
      <c r="Q40" s="24"/>
      <c r="R40" s="28"/>
      <c r="S40" s="28"/>
      <c r="T40" s="24"/>
      <c r="U40" s="180"/>
      <c r="V40" s="181"/>
      <c r="W40" s="182"/>
    </row>
    <row r="42" spans="2:23" x14ac:dyDescent="0.25">
      <c r="B42" t="s">
        <v>11</v>
      </c>
      <c r="H42" s="41">
        <f>SUM(H26:H30)/SUM(K26:K30)</f>
        <v>0.22510153065066743</v>
      </c>
      <c r="K42" s="2"/>
    </row>
    <row r="43" spans="2:23" x14ac:dyDescent="0.25">
      <c r="K43" s="2"/>
      <c r="L43" s="39"/>
    </row>
    <row r="44" spans="2:23" x14ac:dyDescent="0.25">
      <c r="K44" s="2"/>
      <c r="L44" s="39"/>
    </row>
    <row r="45" spans="2:23" x14ac:dyDescent="0.25">
      <c r="B45" s="17" t="s">
        <v>177</v>
      </c>
      <c r="F45" s="1" t="s">
        <v>233</v>
      </c>
      <c r="H45" s="135" t="s">
        <v>234</v>
      </c>
      <c r="K45" s="2"/>
      <c r="L45" s="39"/>
    </row>
    <row r="46" spans="2:23" x14ac:dyDescent="0.25">
      <c r="B46" s="1" t="s">
        <v>191</v>
      </c>
      <c r="C46" s="1" t="s">
        <v>192</v>
      </c>
      <c r="D46" s="1" t="s">
        <v>193</v>
      </c>
      <c r="E46" s="1" t="s">
        <v>196</v>
      </c>
      <c r="K46" s="2"/>
      <c r="L46" s="39"/>
    </row>
    <row r="47" spans="2:23" x14ac:dyDescent="0.25">
      <c r="B47" t="s">
        <v>178</v>
      </c>
      <c r="C47" s="2">
        <v>1946169</v>
      </c>
      <c r="D47">
        <v>31</v>
      </c>
      <c r="E47" s="64">
        <f>C47/D47</f>
        <v>62779.645161290326</v>
      </c>
      <c r="K47" s="2"/>
      <c r="L47" s="39"/>
    </row>
    <row r="48" spans="2:23" x14ac:dyDescent="0.25">
      <c r="B48" t="s">
        <v>179</v>
      </c>
      <c r="C48" s="2">
        <v>1776051</v>
      </c>
      <c r="D48">
        <v>28</v>
      </c>
      <c r="E48" s="64">
        <f t="shared" ref="E48:E59" si="0">C48/D48</f>
        <v>63430.392857142855</v>
      </c>
      <c r="K48" s="2"/>
      <c r="L48" s="39"/>
    </row>
    <row r="49" spans="2:12" x14ac:dyDescent="0.25">
      <c r="B49" t="s">
        <v>180</v>
      </c>
      <c r="C49" s="2">
        <v>2140810</v>
      </c>
      <c r="D49">
        <v>31</v>
      </c>
      <c r="E49" s="64">
        <f t="shared" si="0"/>
        <v>69058.387096774197</v>
      </c>
      <c r="K49" s="2"/>
      <c r="L49" s="39"/>
    </row>
    <row r="50" spans="2:12" x14ac:dyDescent="0.25">
      <c r="B50" t="s">
        <v>181</v>
      </c>
      <c r="C50" s="2">
        <v>2186485</v>
      </c>
      <c r="D50">
        <v>30</v>
      </c>
      <c r="E50" s="64">
        <f t="shared" si="0"/>
        <v>72882.833333333328</v>
      </c>
      <c r="K50" s="2"/>
      <c r="L50" s="39"/>
    </row>
    <row r="51" spans="2:12" x14ac:dyDescent="0.25">
      <c r="B51" t="s">
        <v>182</v>
      </c>
      <c r="C51" s="2">
        <v>2438088</v>
      </c>
      <c r="D51">
        <v>31</v>
      </c>
      <c r="E51" s="64">
        <f t="shared" si="0"/>
        <v>78648</v>
      </c>
      <c r="K51" s="2"/>
      <c r="L51" s="39"/>
    </row>
    <row r="52" spans="2:12" x14ac:dyDescent="0.25">
      <c r="B52" t="s">
        <v>183</v>
      </c>
      <c r="C52" s="2">
        <v>2633873</v>
      </c>
      <c r="D52">
        <v>30</v>
      </c>
      <c r="E52" s="64">
        <f t="shared" si="0"/>
        <v>87795.766666666663</v>
      </c>
      <c r="K52" s="2"/>
      <c r="L52" s="39"/>
    </row>
    <row r="53" spans="2:12" x14ac:dyDescent="0.25">
      <c r="B53" t="s">
        <v>184</v>
      </c>
      <c r="C53" s="2">
        <v>2568577</v>
      </c>
      <c r="D53">
        <v>31</v>
      </c>
      <c r="E53" s="64">
        <f t="shared" si="0"/>
        <v>82857.322580645166</v>
      </c>
      <c r="K53" s="2"/>
      <c r="L53" s="39"/>
    </row>
    <row r="54" spans="2:12" x14ac:dyDescent="0.25">
      <c r="B54" t="s">
        <v>185</v>
      </c>
      <c r="C54" s="2">
        <v>2470549</v>
      </c>
      <c r="D54">
        <v>31</v>
      </c>
      <c r="E54" s="64">
        <f t="shared" si="0"/>
        <v>79695.129032258061</v>
      </c>
      <c r="K54" s="2"/>
      <c r="L54" s="39"/>
    </row>
    <row r="55" spans="2:12" x14ac:dyDescent="0.25">
      <c r="B55" t="s">
        <v>186</v>
      </c>
      <c r="C55" s="2">
        <v>2200973</v>
      </c>
      <c r="D55">
        <v>30</v>
      </c>
      <c r="E55" s="64">
        <f t="shared" si="0"/>
        <v>73365.766666666663</v>
      </c>
      <c r="K55" s="2"/>
      <c r="L55" s="39"/>
    </row>
    <row r="56" spans="2:12" x14ac:dyDescent="0.25">
      <c r="B56" t="s">
        <v>187</v>
      </c>
      <c r="C56" s="2">
        <v>2414642</v>
      </c>
      <c r="D56">
        <v>31</v>
      </c>
      <c r="E56" s="64">
        <f t="shared" si="0"/>
        <v>77891.677419354834</v>
      </c>
      <c r="K56" s="2"/>
      <c r="L56" s="39"/>
    </row>
    <row r="57" spans="2:12" x14ac:dyDescent="0.25">
      <c r="B57" t="s">
        <v>188</v>
      </c>
      <c r="C57" s="2">
        <v>2170426</v>
      </c>
      <c r="D57">
        <v>30</v>
      </c>
      <c r="E57" s="64">
        <f t="shared" si="0"/>
        <v>72347.53333333334</v>
      </c>
      <c r="K57" s="2"/>
      <c r="L57" s="39"/>
    </row>
    <row r="58" spans="2:12" x14ac:dyDescent="0.25">
      <c r="B58" t="s">
        <v>189</v>
      </c>
      <c r="C58" s="2">
        <v>2304163</v>
      </c>
      <c r="D58">
        <v>31</v>
      </c>
      <c r="E58" s="64">
        <f t="shared" si="0"/>
        <v>74327.838709677424</v>
      </c>
      <c r="K58" s="2"/>
      <c r="L58" s="39"/>
    </row>
    <row r="59" spans="2:12" x14ac:dyDescent="0.25">
      <c r="B59" s="1" t="s">
        <v>3</v>
      </c>
      <c r="C59" s="48">
        <f>SUM(C47:C58)</f>
        <v>27250806</v>
      </c>
      <c r="D59" s="48">
        <f>SUM(D47:D58)</f>
        <v>365</v>
      </c>
      <c r="E59" s="112">
        <f t="shared" si="0"/>
        <v>74659.742465753428</v>
      </c>
      <c r="K59" s="2"/>
      <c r="L59" s="39"/>
    </row>
    <row r="60" spans="2:12" x14ac:dyDescent="0.25">
      <c r="B60" s="1"/>
      <c r="C60" s="48"/>
      <c r="K60" s="2"/>
      <c r="L60" s="39"/>
    </row>
    <row r="62" spans="2:12" ht="15.75" thickBot="1" x14ac:dyDescent="0.3">
      <c r="B62" s="17" t="s">
        <v>95</v>
      </c>
    </row>
    <row r="63" spans="2:12" ht="30.75" thickBot="1" x14ac:dyDescent="0.3">
      <c r="B63" s="68"/>
      <c r="C63" s="69" t="s">
        <v>101</v>
      </c>
      <c r="D63" s="143" t="s">
        <v>102</v>
      </c>
      <c r="E63" s="141" t="s">
        <v>103</v>
      </c>
      <c r="F63" s="143" t="s">
        <v>102</v>
      </c>
    </row>
    <row r="64" spans="2:12" x14ac:dyDescent="0.25">
      <c r="B64" s="19">
        <v>2015</v>
      </c>
      <c r="C64" s="65">
        <v>429815</v>
      </c>
      <c r="D64" s="172" t="s">
        <v>10</v>
      </c>
      <c r="F64" s="172" t="s">
        <v>231</v>
      </c>
    </row>
    <row r="65" spans="2:7" ht="15" customHeight="1" x14ac:dyDescent="0.25">
      <c r="B65" s="19">
        <v>2016</v>
      </c>
      <c r="C65" s="65">
        <v>450388</v>
      </c>
      <c r="D65" s="172"/>
      <c r="F65" s="172"/>
    </row>
    <row r="66" spans="2:7" x14ac:dyDescent="0.25">
      <c r="B66" s="19">
        <v>2017</v>
      </c>
      <c r="C66" s="65">
        <v>460343</v>
      </c>
      <c r="D66" s="172"/>
      <c r="F66" s="172"/>
    </row>
    <row r="67" spans="2:7" x14ac:dyDescent="0.25">
      <c r="B67" s="19">
        <v>2018</v>
      </c>
      <c r="C67" s="66">
        <v>470164</v>
      </c>
      <c r="D67" s="172"/>
      <c r="F67" s="172"/>
    </row>
    <row r="68" spans="2:7" x14ac:dyDescent="0.25">
      <c r="B68" s="19">
        <v>2019</v>
      </c>
      <c r="C68" s="66">
        <v>458496</v>
      </c>
      <c r="D68" s="172"/>
      <c r="F68" s="172"/>
    </row>
    <row r="69" spans="2:7" x14ac:dyDescent="0.25">
      <c r="B69" s="19">
        <v>2020</v>
      </c>
      <c r="C69" s="66">
        <v>231163</v>
      </c>
      <c r="D69" s="172"/>
      <c r="F69" s="172"/>
    </row>
    <row r="70" spans="2:7" x14ac:dyDescent="0.25">
      <c r="B70" s="19">
        <v>2021</v>
      </c>
      <c r="C70" s="66">
        <v>265597</v>
      </c>
      <c r="D70" s="172"/>
      <c r="F70" s="172"/>
    </row>
    <row r="71" spans="2:7" x14ac:dyDescent="0.25">
      <c r="B71" s="19">
        <v>2022</v>
      </c>
      <c r="C71" s="66">
        <v>355006</v>
      </c>
      <c r="D71" s="172"/>
      <c r="F71" s="172"/>
    </row>
    <row r="72" spans="2:7" x14ac:dyDescent="0.25">
      <c r="B72" s="19">
        <v>2023</v>
      </c>
      <c r="C72" s="66">
        <v>384871</v>
      </c>
      <c r="D72" s="172"/>
      <c r="E72" s="2">
        <f>FAA_TAF!M167</f>
        <v>376900</v>
      </c>
      <c r="F72" s="172"/>
    </row>
    <row r="73" spans="2:7" x14ac:dyDescent="0.25">
      <c r="B73" s="19">
        <v>2024</v>
      </c>
      <c r="C73" s="66">
        <v>386507</v>
      </c>
      <c r="D73" s="172"/>
      <c r="E73" s="2">
        <f>FAA_TAF!M168</f>
        <v>381304</v>
      </c>
      <c r="F73" s="172"/>
    </row>
    <row r="74" spans="2:7" ht="15.75" thickBot="1" x14ac:dyDescent="0.3">
      <c r="B74" s="20">
        <v>2025</v>
      </c>
      <c r="C74" s="67">
        <v>416288</v>
      </c>
      <c r="D74" s="173"/>
      <c r="E74" s="142">
        <f>FAA_TAF!M169</f>
        <v>415726</v>
      </c>
      <c r="F74" s="173"/>
      <c r="G74" s="71" t="s">
        <v>235</v>
      </c>
    </row>
    <row r="76" spans="2:7" x14ac:dyDescent="0.25">
      <c r="B76" t="s">
        <v>100</v>
      </c>
    </row>
    <row r="77" spans="2:7" x14ac:dyDescent="0.25">
      <c r="C77" t="s">
        <v>96</v>
      </c>
    </row>
    <row r="78" spans="2:7" x14ac:dyDescent="0.25">
      <c r="C78" t="s">
        <v>97</v>
      </c>
    </row>
    <row r="79" spans="2:7" x14ac:dyDescent="0.25">
      <c r="C79" t="s">
        <v>98</v>
      </c>
    </row>
    <row r="80" spans="2:7" x14ac:dyDescent="0.25">
      <c r="C80" t="s">
        <v>99</v>
      </c>
    </row>
  </sheetData>
  <mergeCells count="12">
    <mergeCell ref="D64:D74"/>
    <mergeCell ref="R3:T3"/>
    <mergeCell ref="U3:W3"/>
    <mergeCell ref="O5:W30"/>
    <mergeCell ref="U31:W40"/>
    <mergeCell ref="O3:Q3"/>
    <mergeCell ref="F64:F74"/>
    <mergeCell ref="B3:B4"/>
    <mergeCell ref="C3:E3"/>
    <mergeCell ref="F3:H3"/>
    <mergeCell ref="I3:K3"/>
    <mergeCell ref="N3:N4"/>
  </mergeCells>
  <phoneticPr fontId="12" type="noConversion"/>
  <hyperlinks>
    <hyperlink ref="H45" r:id="rId1" xr:uid="{A029BA26-6941-4419-A522-EFAC95B1F6A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0A87-3A43-4CD9-A78D-C959A61BD1FD}">
  <dimension ref="B2:L55"/>
  <sheetViews>
    <sheetView workbookViewId="0">
      <selection activeCell="K13" sqref="K13"/>
    </sheetView>
  </sheetViews>
  <sheetFormatPr defaultRowHeight="15" x14ac:dyDescent="0.25"/>
  <cols>
    <col min="3" max="3" width="12.7109375" customWidth="1"/>
    <col min="4" max="4" width="12.5703125" customWidth="1"/>
    <col min="5" max="5" width="12.140625" bestFit="1" customWidth="1"/>
  </cols>
  <sheetData>
    <row r="2" spans="2:4" ht="15.75" thickBot="1" x14ac:dyDescent="0.3">
      <c r="B2" s="17" t="s">
        <v>25</v>
      </c>
    </row>
    <row r="3" spans="2:4" ht="43.15" customHeight="1" thickBot="1" x14ac:dyDescent="0.3">
      <c r="B3" s="147" t="s">
        <v>4</v>
      </c>
      <c r="C3" s="148" t="s">
        <v>7</v>
      </c>
      <c r="D3" s="149" t="s">
        <v>102</v>
      </c>
    </row>
    <row r="4" spans="2:4" ht="15.75" thickBot="1" x14ac:dyDescent="0.3">
      <c r="B4" s="107">
        <v>2000</v>
      </c>
      <c r="C4" s="108">
        <v>5196451</v>
      </c>
      <c r="D4" s="144" t="s">
        <v>157</v>
      </c>
    </row>
    <row r="5" spans="2:4" ht="15" customHeight="1" x14ac:dyDescent="0.25">
      <c r="B5" s="3">
        <v>2008</v>
      </c>
      <c r="C5" s="115">
        <v>5724888</v>
      </c>
      <c r="D5" s="183" t="s">
        <v>105</v>
      </c>
    </row>
    <row r="6" spans="2:4" x14ac:dyDescent="0.25">
      <c r="B6" s="3">
        <v>2009</v>
      </c>
      <c r="C6" s="76">
        <v>4750185</v>
      </c>
      <c r="D6" s="184"/>
    </row>
    <row r="7" spans="2:4" x14ac:dyDescent="0.25">
      <c r="B7" s="3">
        <v>2010</v>
      </c>
      <c r="C7" s="76">
        <v>4769915</v>
      </c>
      <c r="D7" s="184"/>
    </row>
    <row r="8" spans="2:4" x14ac:dyDescent="0.25">
      <c r="B8" s="3">
        <v>2011</v>
      </c>
      <c r="C8" s="76">
        <v>4642107</v>
      </c>
      <c r="D8" s="184"/>
    </row>
    <row r="9" spans="2:4" x14ac:dyDescent="0.25">
      <c r="B9" s="3">
        <v>2012</v>
      </c>
      <c r="C9" s="76">
        <v>5022684</v>
      </c>
      <c r="D9" s="184"/>
    </row>
    <row r="10" spans="2:4" x14ac:dyDescent="0.25">
      <c r="B10" s="3">
        <v>2013</v>
      </c>
      <c r="C10" s="76">
        <v>4870006</v>
      </c>
      <c r="D10" s="184"/>
    </row>
    <row r="11" spans="2:4" x14ac:dyDescent="0.25">
      <c r="B11" s="3">
        <v>2014</v>
      </c>
      <c r="C11" s="76">
        <v>5167242</v>
      </c>
      <c r="D11" s="184"/>
    </row>
    <row r="12" spans="2:4" x14ac:dyDescent="0.25">
      <c r="B12" s="3">
        <v>2015</v>
      </c>
      <c r="C12" s="76">
        <v>5603543</v>
      </c>
      <c r="D12" s="184"/>
    </row>
    <row r="13" spans="2:4" x14ac:dyDescent="0.25">
      <c r="B13" s="3">
        <v>2016</v>
      </c>
      <c r="C13" s="76">
        <v>6041455</v>
      </c>
      <c r="D13" s="184"/>
    </row>
    <row r="14" spans="2:4" x14ac:dyDescent="0.25">
      <c r="B14" s="3">
        <v>2017</v>
      </c>
      <c r="C14" s="76">
        <v>6530308</v>
      </c>
      <c r="D14" s="184"/>
    </row>
    <row r="15" spans="2:4" x14ac:dyDescent="0.25">
      <c r="B15" s="3">
        <v>2018</v>
      </c>
      <c r="C15" s="76">
        <v>6798321</v>
      </c>
      <c r="D15" s="184"/>
    </row>
    <row r="16" spans="2:4" x14ac:dyDescent="0.25">
      <c r="B16" s="3">
        <v>2019</v>
      </c>
      <c r="C16" s="76">
        <v>6689457</v>
      </c>
      <c r="D16" s="184"/>
    </row>
    <row r="17" spans="2:12" x14ac:dyDescent="0.25">
      <c r="B17" s="3">
        <v>2020</v>
      </c>
      <c r="C17" s="76">
        <v>2306739</v>
      </c>
      <c r="D17" s="184"/>
    </row>
    <row r="18" spans="2:12" x14ac:dyDescent="0.25">
      <c r="B18" s="3">
        <v>2021</v>
      </c>
      <c r="C18" s="76">
        <v>4083962</v>
      </c>
      <c r="D18" s="184"/>
    </row>
    <row r="19" spans="2:12" x14ac:dyDescent="0.25">
      <c r="B19" s="3">
        <v>2022</v>
      </c>
      <c r="C19" s="76">
        <v>5579900</v>
      </c>
      <c r="D19" s="184"/>
      <c r="E19" s="2"/>
      <c r="I19" s="1" t="s">
        <v>31</v>
      </c>
    </row>
    <row r="20" spans="2:12" x14ac:dyDescent="0.25">
      <c r="B20" s="3">
        <v>2023</v>
      </c>
      <c r="C20" s="115">
        <v>5611677</v>
      </c>
      <c r="D20" s="184"/>
      <c r="I20" s="39">
        <f>63481/402504</f>
        <v>0.15771520283028242</v>
      </c>
      <c r="J20" s="49" t="s">
        <v>29</v>
      </c>
    </row>
    <row r="21" spans="2:12" x14ac:dyDescent="0.25">
      <c r="B21" s="3">
        <v>2024</v>
      </c>
      <c r="C21" s="76">
        <f>5080487+310503</f>
        <v>5390990</v>
      </c>
      <c r="D21" s="184"/>
      <c r="I21" s="39">
        <f>62233/441372</f>
        <v>0.14099897592053867</v>
      </c>
      <c r="J21" s="49" t="s">
        <v>30</v>
      </c>
    </row>
    <row r="22" spans="2:12" ht="15.75" thickBot="1" x14ac:dyDescent="0.3">
      <c r="B22" s="4">
        <v>2025</v>
      </c>
      <c r="C22" s="77">
        <f>4204915+390515</f>
        <v>4595430</v>
      </c>
      <c r="D22" s="185"/>
    </row>
    <row r="25" spans="2:12" x14ac:dyDescent="0.25">
      <c r="B25" s="17" t="s">
        <v>177</v>
      </c>
      <c r="K25" s="2"/>
      <c r="L25" s="39"/>
    </row>
    <row r="26" spans="2:12" x14ac:dyDescent="0.25">
      <c r="B26" s="1" t="s">
        <v>191</v>
      </c>
      <c r="C26" s="1" t="s">
        <v>192</v>
      </c>
      <c r="D26" s="1" t="s">
        <v>193</v>
      </c>
      <c r="E26" s="1" t="s">
        <v>196</v>
      </c>
      <c r="G26" s="1" t="s">
        <v>233</v>
      </c>
      <c r="J26" s="135" t="s">
        <v>236</v>
      </c>
      <c r="K26" s="2"/>
      <c r="L26" s="39"/>
    </row>
    <row r="27" spans="2:12" x14ac:dyDescent="0.25">
      <c r="B27" t="s">
        <v>178</v>
      </c>
      <c r="C27" s="2">
        <f>298970+30874</f>
        <v>329844</v>
      </c>
      <c r="D27">
        <v>31</v>
      </c>
      <c r="E27" s="64">
        <f>C27/D27</f>
        <v>10640.129032258064</v>
      </c>
      <c r="K27" s="2"/>
      <c r="L27" s="39"/>
    </row>
    <row r="28" spans="2:12" x14ac:dyDescent="0.25">
      <c r="B28" t="s">
        <v>179</v>
      </c>
      <c r="C28" s="2">
        <f>303119+33473</f>
        <v>336592</v>
      </c>
      <c r="D28">
        <v>28</v>
      </c>
      <c r="E28" s="64">
        <f t="shared" ref="E28:E39" si="0">C28/D28</f>
        <v>12021.142857142857</v>
      </c>
      <c r="K28" s="2"/>
      <c r="L28" s="39"/>
    </row>
    <row r="29" spans="2:12" x14ac:dyDescent="0.25">
      <c r="B29" t="s">
        <v>180</v>
      </c>
      <c r="C29" s="2">
        <f>366033+27904</f>
        <v>393937</v>
      </c>
      <c r="D29">
        <v>31</v>
      </c>
      <c r="E29" s="64">
        <f t="shared" si="0"/>
        <v>12707.645161290322</v>
      </c>
      <c r="K29" s="2"/>
      <c r="L29" s="39"/>
    </row>
    <row r="30" spans="2:12" x14ac:dyDescent="0.25">
      <c r="B30" t="s">
        <v>181</v>
      </c>
      <c r="C30" s="2">
        <f>366999+30035</f>
        <v>397034</v>
      </c>
      <c r="D30">
        <v>30</v>
      </c>
      <c r="E30" s="64">
        <f t="shared" si="0"/>
        <v>13234.466666666667</v>
      </c>
      <c r="K30" s="2"/>
      <c r="L30" s="39"/>
    </row>
    <row r="31" spans="2:12" x14ac:dyDescent="0.25">
      <c r="B31" t="s">
        <v>182</v>
      </c>
      <c r="C31" s="2">
        <f>391839+26964</f>
        <v>418803</v>
      </c>
      <c r="D31">
        <v>31</v>
      </c>
      <c r="E31" s="64">
        <f t="shared" si="0"/>
        <v>13509.774193548386</v>
      </c>
      <c r="K31" s="2"/>
      <c r="L31" s="39"/>
    </row>
    <row r="32" spans="2:12" x14ac:dyDescent="0.25">
      <c r="B32" t="s">
        <v>183</v>
      </c>
      <c r="C32" s="2">
        <f>383422+34057</f>
        <v>417479</v>
      </c>
      <c r="D32">
        <v>30</v>
      </c>
      <c r="E32" s="64">
        <f t="shared" si="0"/>
        <v>13915.966666666667</v>
      </c>
      <c r="K32" s="2"/>
      <c r="L32" s="39"/>
    </row>
    <row r="33" spans="2:12" x14ac:dyDescent="0.25">
      <c r="B33" t="s">
        <v>184</v>
      </c>
      <c r="C33" s="2">
        <f>379852+31841</f>
        <v>411693</v>
      </c>
      <c r="D33">
        <v>31</v>
      </c>
      <c r="E33" s="64">
        <f t="shared" si="0"/>
        <v>13280.41935483871</v>
      </c>
      <c r="K33" s="2"/>
      <c r="L33" s="39"/>
    </row>
    <row r="34" spans="2:12" x14ac:dyDescent="0.25">
      <c r="B34" t="s">
        <v>185</v>
      </c>
      <c r="C34" s="2">
        <f>372252+28699</f>
        <v>400951</v>
      </c>
      <c r="D34">
        <v>31</v>
      </c>
      <c r="E34" s="64">
        <f t="shared" si="0"/>
        <v>12933.903225806451</v>
      </c>
      <c r="K34" s="2"/>
      <c r="L34" s="39"/>
    </row>
    <row r="35" spans="2:12" x14ac:dyDescent="0.25">
      <c r="B35" t="s">
        <v>186</v>
      </c>
      <c r="C35" s="2">
        <f>343053+28463</f>
        <v>371516</v>
      </c>
      <c r="D35">
        <v>30</v>
      </c>
      <c r="E35" s="64">
        <f t="shared" si="0"/>
        <v>12383.866666666667</v>
      </c>
      <c r="K35" s="2"/>
      <c r="L35" s="39"/>
    </row>
    <row r="36" spans="2:12" x14ac:dyDescent="0.25">
      <c r="B36" t="s">
        <v>187</v>
      </c>
      <c r="C36" s="2">
        <f>352354+32883</f>
        <v>385237</v>
      </c>
      <c r="D36">
        <v>31</v>
      </c>
      <c r="E36" s="64">
        <f t="shared" si="0"/>
        <v>12427</v>
      </c>
      <c r="K36" s="2"/>
      <c r="L36" s="39"/>
    </row>
    <row r="37" spans="2:12" x14ac:dyDescent="0.25">
      <c r="B37" t="s">
        <v>188</v>
      </c>
      <c r="C37" s="2">
        <f>315854+37126</f>
        <v>352980</v>
      </c>
      <c r="D37">
        <v>30</v>
      </c>
      <c r="E37" s="64">
        <f t="shared" si="0"/>
        <v>11766</v>
      </c>
      <c r="K37" s="2"/>
      <c r="L37" s="39"/>
    </row>
    <row r="38" spans="2:12" x14ac:dyDescent="0.25">
      <c r="B38" t="s">
        <v>189</v>
      </c>
      <c r="C38" s="2">
        <f>331168+48196</f>
        <v>379364</v>
      </c>
      <c r="D38">
        <v>31</v>
      </c>
      <c r="E38" s="64">
        <f t="shared" si="0"/>
        <v>12237.548387096775</v>
      </c>
      <c r="K38" s="2"/>
      <c r="L38" s="39"/>
    </row>
    <row r="39" spans="2:12" x14ac:dyDescent="0.25">
      <c r="B39" s="1" t="s">
        <v>3</v>
      </c>
      <c r="C39" s="48">
        <f>SUM(C27:C38)</f>
        <v>4595430</v>
      </c>
      <c r="D39" s="48">
        <f>SUM(D27:D38)</f>
        <v>365</v>
      </c>
      <c r="E39" s="112">
        <f t="shared" si="0"/>
        <v>12590.219178082192</v>
      </c>
      <c r="K39" s="2"/>
      <c r="L39" s="39"/>
    </row>
    <row r="41" spans="2:12" x14ac:dyDescent="0.25">
      <c r="C41" s="51"/>
      <c r="D41" s="52"/>
    </row>
    <row r="43" spans="2:12" ht="15.75" thickBot="1" x14ac:dyDescent="0.3">
      <c r="B43" s="17" t="s">
        <v>95</v>
      </c>
    </row>
    <row r="44" spans="2:12" ht="33.6" customHeight="1" thickBot="1" x14ac:dyDescent="0.3">
      <c r="B44" s="145"/>
      <c r="C44" s="146" t="s">
        <v>101</v>
      </c>
      <c r="D44" s="143" t="s">
        <v>102</v>
      </c>
      <c r="E44" s="141" t="s">
        <v>103</v>
      </c>
      <c r="F44" s="143" t="s">
        <v>102</v>
      </c>
    </row>
    <row r="45" spans="2:12" x14ac:dyDescent="0.25">
      <c r="B45" s="19">
        <v>2015</v>
      </c>
      <c r="C45" s="66">
        <v>215750</v>
      </c>
      <c r="D45" s="172" t="s">
        <v>105</v>
      </c>
      <c r="E45" s="2">
        <f>FAA_TAF!M43</f>
        <v>209678</v>
      </c>
      <c r="F45" s="172" t="s">
        <v>231</v>
      </c>
    </row>
    <row r="46" spans="2:12" x14ac:dyDescent="0.25">
      <c r="B46" s="19">
        <v>2016</v>
      </c>
      <c r="C46" s="66">
        <v>222771</v>
      </c>
      <c r="D46" s="172"/>
      <c r="E46" s="2">
        <f>FAA_TAF!M44</f>
        <v>224591</v>
      </c>
      <c r="F46" s="172"/>
    </row>
    <row r="47" spans="2:12" x14ac:dyDescent="0.25">
      <c r="B47" s="19">
        <v>2017</v>
      </c>
      <c r="C47" s="66">
        <v>236601</v>
      </c>
      <c r="D47" s="172"/>
      <c r="E47" s="2">
        <f>FAA_TAF!M45</f>
        <v>231801</v>
      </c>
      <c r="F47" s="172"/>
    </row>
    <row r="48" spans="2:12" x14ac:dyDescent="0.25">
      <c r="B48" s="19">
        <v>2018</v>
      </c>
      <c r="C48" s="66">
        <v>241703</v>
      </c>
      <c r="D48" s="172"/>
      <c r="E48" s="2">
        <f>FAA_TAF!M46</f>
        <v>241301</v>
      </c>
      <c r="F48" s="172"/>
    </row>
    <row r="49" spans="2:7" x14ac:dyDescent="0.25">
      <c r="B49" s="19">
        <v>2019</v>
      </c>
      <c r="C49" s="66">
        <v>242757</v>
      </c>
      <c r="D49" s="172"/>
      <c r="E49" s="2">
        <f>FAA_TAF!M47</f>
        <v>244441</v>
      </c>
      <c r="F49" s="172"/>
    </row>
    <row r="50" spans="2:7" x14ac:dyDescent="0.25">
      <c r="B50" s="19">
        <v>2020</v>
      </c>
      <c r="C50" s="66">
        <v>158450</v>
      </c>
      <c r="D50" s="172"/>
      <c r="E50" s="2">
        <f>FAA_TAF!M64</f>
        <v>175855</v>
      </c>
      <c r="F50" s="172"/>
    </row>
    <row r="51" spans="2:7" x14ac:dyDescent="0.25">
      <c r="B51" s="19">
        <v>2021</v>
      </c>
      <c r="C51" s="66">
        <v>186095</v>
      </c>
      <c r="D51" s="172"/>
      <c r="E51" s="2">
        <f>FAA_TAF!M65</f>
        <v>176902</v>
      </c>
      <c r="F51" s="172"/>
    </row>
    <row r="52" spans="2:7" x14ac:dyDescent="0.25">
      <c r="B52" s="19">
        <v>2022</v>
      </c>
      <c r="C52" s="66">
        <v>213668</v>
      </c>
      <c r="D52" s="172"/>
      <c r="E52" s="2">
        <f>FAA_TAF!M66</f>
        <v>211120</v>
      </c>
      <c r="F52" s="172"/>
    </row>
    <row r="53" spans="2:7" x14ac:dyDescent="0.25">
      <c r="B53" s="19">
        <v>2023</v>
      </c>
      <c r="C53" s="66">
        <v>219807</v>
      </c>
      <c r="D53" s="172"/>
      <c r="E53" s="2">
        <f>FAA_TAF!M67</f>
        <v>208227</v>
      </c>
      <c r="F53" s="172"/>
    </row>
    <row r="54" spans="2:7" x14ac:dyDescent="0.25">
      <c r="B54" s="19">
        <v>2024</v>
      </c>
      <c r="C54" s="66">
        <v>205570</v>
      </c>
      <c r="D54" s="172"/>
      <c r="E54" s="2">
        <f>FAA_TAF!M68</f>
        <v>205347</v>
      </c>
      <c r="F54" s="172"/>
    </row>
    <row r="55" spans="2:7" ht="15.75" thickBot="1" x14ac:dyDescent="0.3">
      <c r="B55" s="20">
        <v>2025</v>
      </c>
      <c r="C55" s="67">
        <v>196017</v>
      </c>
      <c r="D55" s="173"/>
      <c r="E55" s="142">
        <f>FAA_TAF!M69</f>
        <v>205524</v>
      </c>
      <c r="F55" s="173"/>
      <c r="G55" s="71" t="s">
        <v>235</v>
      </c>
    </row>
  </sheetData>
  <mergeCells count="3">
    <mergeCell ref="D45:D55"/>
    <mergeCell ref="D5:D22"/>
    <mergeCell ref="F45:F55"/>
  </mergeCells>
  <hyperlinks>
    <hyperlink ref="J20" r:id="rId1" display="https://www.iflyoak.com/press_release/oakland-international-airport-saw-over-42-percent-jump-in-international-passengers-in-january/" xr:uid="{D100D5A8-2B23-47E0-A61C-1B2F513FD690}"/>
    <hyperlink ref="J21" r:id="rId2" display="https://www.iflyoak.com/press_release/oakland-international-airports-passenger-totals-for-2022-soar-to-over-11-million/" xr:uid="{EEB46134-98E8-4742-B7EA-67370749BFAA}"/>
    <hyperlink ref="J26" r:id="rId3" xr:uid="{4961C56E-5939-4AA2-A8AF-B845B87D11B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8D3D-20E7-445E-A6CD-57D0B38A30E2}">
  <dimension ref="B3:W51"/>
  <sheetViews>
    <sheetView workbookViewId="0">
      <selection activeCell="G51" sqref="G51"/>
    </sheetView>
  </sheetViews>
  <sheetFormatPr defaultRowHeight="15" x14ac:dyDescent="0.25"/>
  <cols>
    <col min="3" max="4" width="12.85546875" bestFit="1" customWidth="1"/>
    <col min="5" max="8" width="10.140625" bestFit="1" customWidth="1"/>
    <col min="13" max="13" width="38.140625" bestFit="1" customWidth="1"/>
    <col min="14" max="14" width="12.5703125" customWidth="1"/>
    <col min="20" max="21" width="10.140625" bestFit="1" customWidth="1"/>
  </cols>
  <sheetData>
    <row r="3" spans="2:23" x14ac:dyDescent="0.25">
      <c r="B3" s="17" t="s">
        <v>25</v>
      </c>
      <c r="M3" s="17" t="s">
        <v>102</v>
      </c>
    </row>
    <row r="4" spans="2:23" x14ac:dyDescent="0.25">
      <c r="E4" s="1">
        <v>2025</v>
      </c>
      <c r="F4" s="1">
        <v>2024</v>
      </c>
      <c r="G4" s="1">
        <v>2023</v>
      </c>
      <c r="H4" s="1">
        <v>2022</v>
      </c>
      <c r="I4" s="1">
        <v>2019</v>
      </c>
      <c r="J4" s="1">
        <v>2010</v>
      </c>
      <c r="K4" s="1">
        <v>2000</v>
      </c>
      <c r="M4" t="s">
        <v>237</v>
      </c>
      <c r="N4" s="135" t="s">
        <v>238</v>
      </c>
      <c r="O4" s="49"/>
      <c r="Q4" s="2"/>
      <c r="R4" s="2"/>
      <c r="S4" s="47"/>
      <c r="T4" s="2"/>
      <c r="U4" s="2"/>
      <c r="V4" s="47"/>
    </row>
    <row r="5" spans="2:23" x14ac:dyDescent="0.25">
      <c r="B5" t="s">
        <v>19</v>
      </c>
      <c r="C5" t="s">
        <v>20</v>
      </c>
      <c r="D5" t="s">
        <v>21</v>
      </c>
      <c r="E5" s="2">
        <v>4785692</v>
      </c>
      <c r="F5" s="2">
        <v>5251924</v>
      </c>
      <c r="G5" s="2">
        <v>5098677</v>
      </c>
      <c r="H5" s="2">
        <v>4823867</v>
      </c>
      <c r="M5" t="s">
        <v>239</v>
      </c>
      <c r="N5" s="135" t="s">
        <v>240</v>
      </c>
      <c r="Q5" s="2"/>
      <c r="R5" s="2"/>
      <c r="S5" s="47"/>
      <c r="T5" s="2"/>
      <c r="U5" s="2"/>
      <c r="V5" s="47"/>
    </row>
    <row r="6" spans="2:23" x14ac:dyDescent="0.25">
      <c r="B6" t="s">
        <v>19</v>
      </c>
      <c r="C6" t="s">
        <v>20</v>
      </c>
      <c r="D6" t="s">
        <v>22</v>
      </c>
      <c r="E6" s="2">
        <v>4801231</v>
      </c>
      <c r="F6" s="2">
        <v>5274752</v>
      </c>
      <c r="G6" s="2">
        <v>5094848</v>
      </c>
      <c r="H6" s="2">
        <v>4812012</v>
      </c>
      <c r="Q6" s="2"/>
      <c r="R6" s="2"/>
      <c r="S6" s="47"/>
      <c r="T6" s="2"/>
      <c r="U6" s="2"/>
      <c r="V6" s="47"/>
    </row>
    <row r="7" spans="2:23" x14ac:dyDescent="0.25">
      <c r="B7" t="s">
        <v>19</v>
      </c>
      <c r="C7" t="s">
        <v>23</v>
      </c>
      <c r="D7" t="s">
        <v>21</v>
      </c>
      <c r="E7" s="2">
        <v>270347</v>
      </c>
      <c r="F7" s="2">
        <v>318743</v>
      </c>
      <c r="G7" s="2">
        <v>358900</v>
      </c>
      <c r="H7" s="2">
        <v>247437</v>
      </c>
      <c r="Q7" s="2"/>
      <c r="R7" s="2"/>
      <c r="S7" s="47"/>
      <c r="T7" s="2"/>
      <c r="U7" s="2"/>
      <c r="V7" s="47"/>
    </row>
    <row r="8" spans="2:23" x14ac:dyDescent="0.25">
      <c r="B8" t="s">
        <v>19</v>
      </c>
      <c r="C8" t="s">
        <v>23</v>
      </c>
      <c r="D8" t="s">
        <v>22</v>
      </c>
      <c r="E8" s="2">
        <v>272771</v>
      </c>
      <c r="F8" s="2">
        <v>319881</v>
      </c>
      <c r="G8" s="2">
        <v>355019</v>
      </c>
      <c r="H8" s="2">
        <v>245513</v>
      </c>
      <c r="Q8" s="2"/>
      <c r="R8" s="2"/>
      <c r="S8" s="47"/>
      <c r="T8" s="2"/>
      <c r="U8" s="2"/>
      <c r="V8" s="47"/>
    </row>
    <row r="9" spans="2:23" x14ac:dyDescent="0.25">
      <c r="B9" t="s">
        <v>24</v>
      </c>
      <c r="C9" t="s">
        <v>20</v>
      </c>
      <c r="D9" t="s">
        <v>21</v>
      </c>
      <c r="E9" s="2">
        <v>272563</v>
      </c>
      <c r="F9" s="2">
        <v>342985</v>
      </c>
      <c r="G9" s="2">
        <v>594858</v>
      </c>
      <c r="H9" s="2">
        <v>602447</v>
      </c>
      <c r="Q9" s="2"/>
      <c r="R9" s="2"/>
      <c r="S9" s="47"/>
      <c r="T9" s="2"/>
      <c r="U9" s="2"/>
      <c r="V9" s="47"/>
    </row>
    <row r="10" spans="2:23" x14ac:dyDescent="0.25">
      <c r="B10" t="s">
        <v>24</v>
      </c>
      <c r="C10" t="s">
        <v>20</v>
      </c>
      <c r="D10" t="s">
        <v>22</v>
      </c>
      <c r="E10" s="2">
        <v>272563</v>
      </c>
      <c r="F10" s="2">
        <v>342985</v>
      </c>
      <c r="G10" s="2">
        <v>594858</v>
      </c>
      <c r="H10" s="2">
        <v>602447</v>
      </c>
      <c r="Q10" s="2"/>
      <c r="R10" s="2"/>
      <c r="S10" s="47"/>
      <c r="T10" s="2"/>
      <c r="U10" s="2"/>
      <c r="V10" s="47"/>
      <c r="W10" s="47"/>
    </row>
    <row r="11" spans="2:23" x14ac:dyDescent="0.25">
      <c r="B11" t="s">
        <v>24</v>
      </c>
      <c r="C11" t="s">
        <v>23</v>
      </c>
      <c r="D11" t="s">
        <v>21</v>
      </c>
      <c r="E11" s="2">
        <v>0</v>
      </c>
      <c r="F11">
        <v>0</v>
      </c>
      <c r="G11">
        <v>0</v>
      </c>
      <c r="H11">
        <v>0</v>
      </c>
      <c r="W11" s="47"/>
    </row>
    <row r="12" spans="2:23" x14ac:dyDescent="0.25">
      <c r="B12" t="s">
        <v>24</v>
      </c>
      <c r="C12" t="s">
        <v>23</v>
      </c>
      <c r="D12" t="s">
        <v>22</v>
      </c>
      <c r="E12">
        <v>0</v>
      </c>
      <c r="F12">
        <v>0</v>
      </c>
      <c r="G12">
        <v>0</v>
      </c>
      <c r="H12">
        <v>0</v>
      </c>
      <c r="Q12" s="2"/>
      <c r="R12" s="2"/>
      <c r="S12" s="47"/>
      <c r="T12" s="2"/>
      <c r="U12" s="2"/>
      <c r="V12" s="47"/>
      <c r="W12" s="47"/>
    </row>
    <row r="13" spans="2:23" x14ac:dyDescent="0.25">
      <c r="B13" s="1" t="s">
        <v>3</v>
      </c>
      <c r="E13" s="48">
        <v>10675167</v>
      </c>
      <c r="F13" s="48">
        <v>11851270</v>
      </c>
      <c r="G13" s="48">
        <v>12097160</v>
      </c>
      <c r="H13" s="48">
        <v>11333723</v>
      </c>
      <c r="Q13" s="2"/>
      <c r="R13" s="2"/>
      <c r="S13" s="47"/>
      <c r="T13" s="2"/>
      <c r="U13" s="2"/>
      <c r="V13" s="47"/>
    </row>
    <row r="14" spans="2:23" x14ac:dyDescent="0.25">
      <c r="D14" t="s">
        <v>26</v>
      </c>
      <c r="E14" s="2">
        <v>5328602</v>
      </c>
      <c r="F14" s="2">
        <v>5913652</v>
      </c>
      <c r="G14" s="2">
        <v>6052435</v>
      </c>
      <c r="H14" s="2">
        <v>5673751</v>
      </c>
      <c r="I14" s="2">
        <v>7688152</v>
      </c>
      <c r="J14" s="2">
        <v>4056167</v>
      </c>
      <c r="K14" s="2">
        <v>6170384</v>
      </c>
      <c r="Q14" s="2"/>
      <c r="R14" s="2"/>
      <c r="S14" s="47"/>
      <c r="T14" s="2"/>
      <c r="U14" s="2"/>
      <c r="V14" s="47"/>
    </row>
    <row r="15" spans="2:23" x14ac:dyDescent="0.25">
      <c r="D15" t="s">
        <v>27</v>
      </c>
      <c r="E15" s="2">
        <v>5346565</v>
      </c>
      <c r="F15" s="2">
        <v>5937618</v>
      </c>
      <c r="G15" s="2">
        <v>6044725</v>
      </c>
      <c r="H15" s="2">
        <v>5659972</v>
      </c>
      <c r="Q15" s="2"/>
      <c r="R15" s="2"/>
      <c r="S15" s="47"/>
      <c r="T15" s="2"/>
      <c r="U15" s="2"/>
      <c r="V15" s="47"/>
    </row>
    <row r="16" spans="2:23" x14ac:dyDescent="0.25">
      <c r="B16" s="1" t="s">
        <v>3</v>
      </c>
      <c r="E16" s="48">
        <v>10675167</v>
      </c>
      <c r="F16" s="48">
        <v>11851270</v>
      </c>
      <c r="G16" s="48">
        <v>12097160</v>
      </c>
      <c r="H16" s="48">
        <v>11333723</v>
      </c>
      <c r="Q16" s="2"/>
      <c r="R16" s="2"/>
      <c r="S16" s="47"/>
      <c r="T16" s="2"/>
      <c r="U16" s="2"/>
      <c r="V16" s="47"/>
    </row>
    <row r="17" spans="2:22" x14ac:dyDescent="0.25">
      <c r="Q17" s="2"/>
      <c r="R17" s="2"/>
      <c r="S17" s="47"/>
      <c r="T17" s="2"/>
      <c r="U17" s="2"/>
      <c r="V17" s="47"/>
    </row>
    <row r="18" spans="2:22" x14ac:dyDescent="0.25">
      <c r="D18" t="s">
        <v>28</v>
      </c>
      <c r="E18" s="39">
        <f>SUM(E9,E11)/E14</f>
        <v>5.1150939777450069E-2</v>
      </c>
      <c r="F18" s="39">
        <f>SUM(F9,F11)/F14</f>
        <v>5.7998847412732438E-2</v>
      </c>
      <c r="G18" s="39">
        <f>SUM(G9,G11)/G14</f>
        <v>9.828407905248053E-2</v>
      </c>
      <c r="H18" s="39">
        <f>SUM(H9,H11)/H14</f>
        <v>0.10618143094400864</v>
      </c>
    </row>
    <row r="21" spans="2:22" x14ac:dyDescent="0.25">
      <c r="B21" s="17" t="s">
        <v>177</v>
      </c>
      <c r="J21" s="2"/>
      <c r="K21" s="39"/>
    </row>
    <row r="22" spans="2:22" x14ac:dyDescent="0.25">
      <c r="B22" s="1" t="s">
        <v>191</v>
      </c>
      <c r="C22" s="1" t="s">
        <v>42</v>
      </c>
      <c r="D22" s="1" t="s">
        <v>193</v>
      </c>
      <c r="E22" s="1" t="s">
        <v>196</v>
      </c>
      <c r="G22" s="1" t="s">
        <v>233</v>
      </c>
      <c r="J22" s="135" t="s">
        <v>238</v>
      </c>
      <c r="K22" s="39"/>
    </row>
    <row r="23" spans="2:22" x14ac:dyDescent="0.25">
      <c r="B23" t="s">
        <v>178</v>
      </c>
      <c r="C23" s="2">
        <v>370143</v>
      </c>
      <c r="D23">
        <v>31</v>
      </c>
      <c r="E23" s="64">
        <f>C23/D23</f>
        <v>11940.096774193549</v>
      </c>
      <c r="J23" s="2"/>
      <c r="K23" s="39"/>
    </row>
    <row r="24" spans="2:22" x14ac:dyDescent="0.25">
      <c r="B24" t="s">
        <v>179</v>
      </c>
      <c r="C24" s="2">
        <v>376045</v>
      </c>
      <c r="D24">
        <v>28</v>
      </c>
      <c r="E24" s="64">
        <f t="shared" ref="E24:E35" si="0">C24/D24</f>
        <v>13430.178571428571</v>
      </c>
      <c r="J24" s="2"/>
      <c r="K24" s="39"/>
    </row>
    <row r="25" spans="2:22" x14ac:dyDescent="0.25">
      <c r="B25" t="s">
        <v>180</v>
      </c>
      <c r="C25" s="2">
        <v>438792</v>
      </c>
      <c r="D25">
        <v>31</v>
      </c>
      <c r="E25" s="64">
        <f t="shared" si="0"/>
        <v>14154.58064516129</v>
      </c>
      <c r="J25" s="2"/>
      <c r="K25" s="39"/>
    </row>
    <row r="26" spans="2:22" x14ac:dyDescent="0.25">
      <c r="B26" t="s">
        <v>181</v>
      </c>
      <c r="C26" s="2">
        <v>440660</v>
      </c>
      <c r="D26">
        <v>30</v>
      </c>
      <c r="E26" s="64">
        <f t="shared" si="0"/>
        <v>14688.666666666666</v>
      </c>
      <c r="J26" s="2"/>
      <c r="K26" s="39"/>
    </row>
    <row r="27" spans="2:22" x14ac:dyDescent="0.25">
      <c r="B27" t="s">
        <v>182</v>
      </c>
      <c r="C27" s="2">
        <v>463215</v>
      </c>
      <c r="D27">
        <v>31</v>
      </c>
      <c r="E27" s="64">
        <f t="shared" si="0"/>
        <v>14942.41935483871</v>
      </c>
      <c r="J27" s="2"/>
      <c r="K27" s="39"/>
    </row>
    <row r="28" spans="2:22" x14ac:dyDescent="0.25">
      <c r="B28" t="s">
        <v>183</v>
      </c>
      <c r="C28" s="2">
        <v>509257</v>
      </c>
      <c r="D28">
        <v>30</v>
      </c>
      <c r="E28" s="64">
        <f t="shared" si="0"/>
        <v>16975.233333333334</v>
      </c>
      <c r="J28" s="2"/>
      <c r="K28" s="39"/>
    </row>
    <row r="29" spans="2:22" x14ac:dyDescent="0.25">
      <c r="B29" t="s">
        <v>184</v>
      </c>
      <c r="C29" s="2">
        <v>497571</v>
      </c>
      <c r="D29">
        <v>31</v>
      </c>
      <c r="E29" s="64">
        <f t="shared" si="0"/>
        <v>16050.677419354839</v>
      </c>
      <c r="J29" s="2"/>
      <c r="K29" s="39"/>
    </row>
    <row r="30" spans="2:22" x14ac:dyDescent="0.25">
      <c r="B30" t="s">
        <v>185</v>
      </c>
      <c r="C30" s="2">
        <v>485222</v>
      </c>
      <c r="D30">
        <v>31</v>
      </c>
      <c r="E30" s="64">
        <f t="shared" si="0"/>
        <v>15652.322580645161</v>
      </c>
      <c r="J30" s="2"/>
      <c r="K30" s="39"/>
    </row>
    <row r="31" spans="2:22" x14ac:dyDescent="0.25">
      <c r="B31" t="s">
        <v>186</v>
      </c>
      <c r="C31" s="2">
        <v>434667</v>
      </c>
      <c r="D31">
        <v>30</v>
      </c>
      <c r="E31" s="64">
        <f t="shared" si="0"/>
        <v>14488.9</v>
      </c>
      <c r="J31" s="2"/>
      <c r="K31" s="39"/>
    </row>
    <row r="32" spans="2:22" x14ac:dyDescent="0.25">
      <c r="B32" t="s">
        <v>187</v>
      </c>
      <c r="C32" s="2">
        <v>460671</v>
      </c>
      <c r="D32">
        <v>31</v>
      </c>
      <c r="E32" s="64">
        <f t="shared" si="0"/>
        <v>14860.354838709678</v>
      </c>
      <c r="J32" s="2"/>
      <c r="K32" s="39"/>
    </row>
    <row r="33" spans="2:11" x14ac:dyDescent="0.25">
      <c r="B33" t="s">
        <v>188</v>
      </c>
      <c r="C33" s="2">
        <v>415454</v>
      </c>
      <c r="D33">
        <v>30</v>
      </c>
      <c r="E33" s="64">
        <f t="shared" si="0"/>
        <v>13848.466666666667</v>
      </c>
      <c r="J33" s="2"/>
      <c r="K33" s="39"/>
    </row>
    <row r="34" spans="2:11" x14ac:dyDescent="0.25">
      <c r="B34" t="s">
        <v>189</v>
      </c>
      <c r="C34" s="2">
        <v>436905</v>
      </c>
      <c r="D34">
        <v>31</v>
      </c>
      <c r="E34" s="64">
        <f t="shared" si="0"/>
        <v>14093.709677419354</v>
      </c>
      <c r="J34" s="2"/>
      <c r="K34" s="39"/>
    </row>
    <row r="35" spans="2:11" x14ac:dyDescent="0.25">
      <c r="B35" s="1" t="s">
        <v>3</v>
      </c>
      <c r="C35" s="48">
        <f>SUM(C23:C34)</f>
        <v>5328602</v>
      </c>
      <c r="D35" s="48">
        <f>SUM(D23:D34)</f>
        <v>365</v>
      </c>
      <c r="E35" s="112">
        <f t="shared" si="0"/>
        <v>14598.909589041095</v>
      </c>
      <c r="J35" s="2"/>
      <c r="K35" s="39"/>
    </row>
    <row r="37" spans="2:11" x14ac:dyDescent="0.25">
      <c r="C37" s="51"/>
      <c r="D37" s="52"/>
    </row>
    <row r="39" spans="2:11" ht="15.75" thickBot="1" x14ac:dyDescent="0.3">
      <c r="B39" s="17" t="s">
        <v>95</v>
      </c>
    </row>
    <row r="40" spans="2:11" ht="30.75" thickBot="1" x14ac:dyDescent="0.3">
      <c r="B40" s="145"/>
      <c r="C40" s="146" t="s">
        <v>101</v>
      </c>
      <c r="D40" s="143" t="s">
        <v>102</v>
      </c>
      <c r="E40" s="141" t="s">
        <v>103</v>
      </c>
      <c r="F40" s="143" t="s">
        <v>102</v>
      </c>
    </row>
    <row r="41" spans="2:11" x14ac:dyDescent="0.25">
      <c r="B41" s="19">
        <v>2015</v>
      </c>
      <c r="C41" s="66"/>
      <c r="D41" s="172" t="s">
        <v>105</v>
      </c>
      <c r="E41" s="2">
        <f>FAA_TAF!M259</f>
        <v>147370</v>
      </c>
      <c r="F41" s="172" t="s">
        <v>231</v>
      </c>
    </row>
    <row r="42" spans="2:11" x14ac:dyDescent="0.25">
      <c r="B42" s="19">
        <v>2016</v>
      </c>
      <c r="C42" s="66"/>
      <c r="D42" s="172"/>
      <c r="E42" s="2">
        <f>FAA_TAF!M260</f>
        <v>156461</v>
      </c>
      <c r="F42" s="172"/>
    </row>
    <row r="43" spans="2:11" x14ac:dyDescent="0.25">
      <c r="B43" s="19">
        <v>2017</v>
      </c>
      <c r="C43" s="66"/>
      <c r="D43" s="172"/>
      <c r="E43" s="2">
        <f>FAA_TAF!M261</f>
        <v>173078</v>
      </c>
      <c r="F43" s="172"/>
    </row>
    <row r="44" spans="2:11" x14ac:dyDescent="0.25">
      <c r="B44" s="19">
        <v>2018</v>
      </c>
      <c r="C44" s="66"/>
      <c r="D44" s="172"/>
      <c r="E44" s="2">
        <f>FAA_TAF!M262</f>
        <v>192961</v>
      </c>
      <c r="F44" s="172"/>
    </row>
    <row r="45" spans="2:11" x14ac:dyDescent="0.25">
      <c r="B45" s="19">
        <v>2019</v>
      </c>
      <c r="C45" s="66"/>
      <c r="D45" s="172"/>
      <c r="E45" s="2">
        <f>FAA_TAF!M263</f>
        <v>204503</v>
      </c>
      <c r="F45" s="172"/>
    </row>
    <row r="46" spans="2:11" x14ac:dyDescent="0.25">
      <c r="B46" s="19">
        <v>2020</v>
      </c>
      <c r="C46" s="66">
        <v>115952</v>
      </c>
      <c r="D46" s="172"/>
      <c r="E46" s="2">
        <f>FAA_TAF!M264</f>
        <v>140923</v>
      </c>
      <c r="F46" s="172"/>
    </row>
    <row r="47" spans="2:11" x14ac:dyDescent="0.25">
      <c r="B47" s="19">
        <v>2021</v>
      </c>
      <c r="C47" s="66">
        <v>133289</v>
      </c>
      <c r="D47" s="172"/>
      <c r="E47" s="2">
        <f>FAA_TAF!M265</f>
        <v>122814</v>
      </c>
      <c r="F47" s="172"/>
    </row>
    <row r="48" spans="2:11" x14ac:dyDescent="0.25">
      <c r="B48" s="19">
        <v>2022</v>
      </c>
      <c r="C48" s="66">
        <v>164291</v>
      </c>
      <c r="D48" s="172"/>
      <c r="E48" s="2">
        <f>FAA_TAF!M266</f>
        <v>161758</v>
      </c>
      <c r="F48" s="172"/>
    </row>
    <row r="49" spans="2:7" x14ac:dyDescent="0.25">
      <c r="B49" s="19">
        <v>2023</v>
      </c>
      <c r="C49" s="66">
        <v>164676</v>
      </c>
      <c r="D49" s="172"/>
      <c r="E49" s="2">
        <f>FAA_TAF!M267</f>
        <v>165715</v>
      </c>
      <c r="F49" s="172"/>
    </row>
    <row r="50" spans="2:7" x14ac:dyDescent="0.25">
      <c r="B50" s="19">
        <v>2024</v>
      </c>
      <c r="C50" s="66">
        <v>164886</v>
      </c>
      <c r="D50" s="172"/>
      <c r="E50" s="2">
        <f>FAA_TAF!M268</f>
        <v>163983</v>
      </c>
      <c r="F50" s="172"/>
    </row>
    <row r="51" spans="2:7" ht="15.75" thickBot="1" x14ac:dyDescent="0.3">
      <c r="B51" s="20">
        <v>2025</v>
      </c>
      <c r="C51" s="67">
        <v>157105</v>
      </c>
      <c r="D51" s="173"/>
      <c r="E51" s="142">
        <f>FAA_TAF!M269</f>
        <v>159387</v>
      </c>
      <c r="F51" s="173"/>
      <c r="G51" s="71" t="s">
        <v>235</v>
      </c>
    </row>
  </sheetData>
  <mergeCells count="2">
    <mergeCell ref="D41:D51"/>
    <mergeCell ref="F41:F51"/>
  </mergeCells>
  <hyperlinks>
    <hyperlink ref="N4" r:id="rId1" xr:uid="{F27BBC40-EE4B-4C1B-A316-71BA07314EB1}"/>
    <hyperlink ref="N5" r:id="rId2" xr:uid="{D9F4742D-480D-4109-83B1-0F93ACE627D3}"/>
    <hyperlink ref="J22" r:id="rId3" xr:uid="{7A832FB4-C3D6-4720-BD76-5112B511A3B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E074-A68E-4807-A1F0-9C06222C2BCA}">
  <dimension ref="C2:M14"/>
  <sheetViews>
    <sheetView workbookViewId="0">
      <selection activeCell="G22" sqref="G22"/>
    </sheetView>
  </sheetViews>
  <sheetFormatPr defaultRowHeight="15" x14ac:dyDescent="0.25"/>
  <cols>
    <col min="3" max="3" width="17.28515625" bestFit="1" customWidth="1"/>
    <col min="4" max="9" width="11" customWidth="1"/>
    <col min="10" max="10" width="11.28515625" customWidth="1"/>
  </cols>
  <sheetData>
    <row r="2" spans="3:13" ht="15.75" x14ac:dyDescent="0.25">
      <c r="C2" s="187" t="s">
        <v>248</v>
      </c>
    </row>
    <row r="3" spans="3:13" ht="15.75" x14ac:dyDescent="0.25">
      <c r="C3" s="187"/>
    </row>
    <row r="4" spans="3:13" x14ac:dyDescent="0.25">
      <c r="C4" s="188"/>
      <c r="D4" s="189">
        <v>2020</v>
      </c>
      <c r="E4" s="190">
        <v>2025</v>
      </c>
      <c r="F4" s="190">
        <v>2030</v>
      </c>
      <c r="G4" s="190">
        <v>2035</v>
      </c>
      <c r="H4" s="190">
        <v>2040</v>
      </c>
      <c r="I4" s="190">
        <v>2045</v>
      </c>
      <c r="J4" s="190">
        <v>2050</v>
      </c>
    </row>
    <row r="5" spans="3:13" x14ac:dyDescent="0.25">
      <c r="C5" s="191" t="s">
        <v>249</v>
      </c>
      <c r="D5" s="192">
        <v>7749000</v>
      </c>
      <c r="E5" s="76">
        <v>7723000</v>
      </c>
      <c r="F5" s="76">
        <v>8048000</v>
      </c>
      <c r="G5" s="76">
        <v>8476000</v>
      </c>
      <c r="H5" s="76">
        <v>8903000</v>
      </c>
      <c r="I5" s="76">
        <v>9266000</v>
      </c>
      <c r="J5" s="76">
        <v>9586000</v>
      </c>
      <c r="L5" s="1" t="s">
        <v>194</v>
      </c>
      <c r="M5" t="s">
        <v>255</v>
      </c>
    </row>
    <row r="6" spans="3:13" x14ac:dyDescent="0.25">
      <c r="C6" s="191" t="s">
        <v>250</v>
      </c>
      <c r="D6" s="192">
        <v>2798000</v>
      </c>
      <c r="E6" s="76">
        <v>2902000</v>
      </c>
      <c r="F6" s="76">
        <v>3027000</v>
      </c>
      <c r="G6" s="76">
        <v>3312000</v>
      </c>
      <c r="H6" s="76">
        <v>3511000</v>
      </c>
      <c r="I6" s="76">
        <v>3662000</v>
      </c>
      <c r="J6" s="76">
        <v>3796000</v>
      </c>
    </row>
    <row r="7" spans="3:13" x14ac:dyDescent="0.25">
      <c r="C7" s="191" t="s">
        <v>251</v>
      </c>
      <c r="D7" s="192">
        <v>2875000</v>
      </c>
      <c r="E7" s="76">
        <v>3018000</v>
      </c>
      <c r="F7" s="76">
        <v>3187000</v>
      </c>
      <c r="G7" s="76">
        <v>3486000</v>
      </c>
      <c r="H7" s="76">
        <v>3696000</v>
      </c>
      <c r="I7" s="76">
        <v>3855000</v>
      </c>
      <c r="J7" s="76">
        <v>3996000</v>
      </c>
    </row>
    <row r="8" spans="3:13" x14ac:dyDescent="0.25">
      <c r="C8" s="191" t="s">
        <v>252</v>
      </c>
      <c r="D8" s="192">
        <v>4025000</v>
      </c>
      <c r="E8" s="76">
        <v>4154000</v>
      </c>
      <c r="F8" s="76">
        <v>4661000</v>
      </c>
      <c r="G8" s="76">
        <v>4855000</v>
      </c>
      <c r="H8" s="76">
        <v>5079000</v>
      </c>
      <c r="I8" s="76">
        <v>5255000</v>
      </c>
      <c r="J8" s="76">
        <v>5436000</v>
      </c>
    </row>
    <row r="10" spans="3:13" x14ac:dyDescent="0.25">
      <c r="C10" s="193" t="s">
        <v>253</v>
      </c>
    </row>
    <row r="11" spans="3:13" x14ac:dyDescent="0.25">
      <c r="C11" s="193" t="s">
        <v>254</v>
      </c>
    </row>
    <row r="13" spans="3:13" x14ac:dyDescent="0.25">
      <c r="C13" t="s">
        <v>134</v>
      </c>
      <c r="D13" s="39">
        <f>J5/E5-1</f>
        <v>0.2412275022659589</v>
      </c>
    </row>
    <row r="14" spans="3:13" x14ac:dyDescent="0.25">
      <c r="C14" t="s">
        <v>135</v>
      </c>
      <c r="D14" s="78">
        <f>(J5/E5)^(1/25)-1</f>
        <v>8.6814999735074228E-3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29C0-AD1B-4E63-86B5-1CED1E6639C9}">
  <dimension ref="A1:P1097"/>
  <sheetViews>
    <sheetView workbookViewId="0">
      <selection activeCell="J15" sqref="J15"/>
    </sheetView>
  </sheetViews>
  <sheetFormatPr defaultRowHeight="15" x14ac:dyDescent="0.25"/>
  <cols>
    <col min="1" max="1" width="5" bestFit="1" customWidth="1"/>
    <col min="2" max="2" width="9.7109375" bestFit="1" customWidth="1"/>
    <col min="3" max="3" width="19.5703125" bestFit="1" customWidth="1"/>
    <col min="4" max="4" width="19.7109375" bestFit="1" customWidth="1"/>
    <col min="5" max="5" width="19" bestFit="1" customWidth="1"/>
    <col min="6" max="6" width="19.140625" bestFit="1" customWidth="1"/>
    <col min="7" max="8" width="22.28515625" bestFit="1" customWidth="1"/>
    <col min="10" max="10" width="16.28515625" bestFit="1" customWidth="1"/>
    <col min="12" max="12" width="10.28515625" bestFit="1" customWidth="1"/>
    <col min="13" max="13" width="9.140625" bestFit="1" customWidth="1"/>
    <col min="15" max="15" width="7.28515625" bestFit="1" customWidth="1"/>
  </cols>
  <sheetData>
    <row r="1" spans="1:16" ht="30" x14ac:dyDescent="0.25">
      <c r="A1" s="1" t="s">
        <v>4</v>
      </c>
      <c r="B1" s="1" t="s">
        <v>191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L1" s="1" t="s">
        <v>199</v>
      </c>
      <c r="M1" s="1" t="s">
        <v>200</v>
      </c>
      <c r="O1" s="150" t="s">
        <v>242</v>
      </c>
      <c r="P1" s="135" t="s">
        <v>241</v>
      </c>
    </row>
    <row r="2" spans="1:16" x14ac:dyDescent="0.25">
      <c r="A2">
        <v>2023</v>
      </c>
      <c r="B2" t="s">
        <v>207</v>
      </c>
      <c r="C2" s="64">
        <v>43271471</v>
      </c>
      <c r="D2" s="64">
        <v>17635411</v>
      </c>
      <c r="E2" s="64">
        <v>22</v>
      </c>
      <c r="F2" s="64">
        <v>9</v>
      </c>
      <c r="G2" s="64">
        <v>1966885.05</v>
      </c>
      <c r="H2" s="64">
        <v>1959490.11</v>
      </c>
      <c r="L2" s="113">
        <v>45658</v>
      </c>
      <c r="M2" s="2">
        <v>2317817</v>
      </c>
    </row>
    <row r="3" spans="1:16" x14ac:dyDescent="0.25">
      <c r="A3">
        <v>2023</v>
      </c>
      <c r="B3" t="s">
        <v>208</v>
      </c>
      <c r="C3" s="64">
        <v>41720599</v>
      </c>
      <c r="D3" s="64">
        <v>16640531</v>
      </c>
      <c r="E3" s="64">
        <v>20</v>
      </c>
      <c r="F3" s="64">
        <v>8</v>
      </c>
      <c r="G3" s="64">
        <v>2086029.95</v>
      </c>
      <c r="H3" s="64">
        <v>2080066.38</v>
      </c>
      <c r="J3" s="114" t="s">
        <v>219</v>
      </c>
      <c r="L3" s="113">
        <v>45659</v>
      </c>
      <c r="M3" s="2">
        <v>2612162</v>
      </c>
    </row>
    <row r="4" spans="1:16" x14ac:dyDescent="0.25">
      <c r="A4">
        <v>2023</v>
      </c>
      <c r="B4" t="s">
        <v>209</v>
      </c>
      <c r="C4" s="64">
        <v>53019728</v>
      </c>
      <c r="D4" s="64">
        <v>18899734</v>
      </c>
      <c r="E4" s="64">
        <v>23</v>
      </c>
      <c r="F4" s="64">
        <v>8</v>
      </c>
      <c r="G4" s="64">
        <v>2305205.5699999998</v>
      </c>
      <c r="H4" s="64">
        <v>2362466.75</v>
      </c>
      <c r="J4" s="114" t="s">
        <v>218</v>
      </c>
      <c r="L4" s="113">
        <v>45660</v>
      </c>
      <c r="M4" s="2">
        <v>2563751</v>
      </c>
    </row>
    <row r="5" spans="1:16" x14ac:dyDescent="0.25">
      <c r="A5">
        <v>2023</v>
      </c>
      <c r="B5" t="s">
        <v>210</v>
      </c>
      <c r="C5" s="64">
        <v>47031073</v>
      </c>
      <c r="D5" s="64">
        <v>23185853</v>
      </c>
      <c r="E5" s="64">
        <v>20</v>
      </c>
      <c r="F5" s="64">
        <v>10</v>
      </c>
      <c r="G5" s="64">
        <v>2351553.65</v>
      </c>
      <c r="H5" s="64">
        <v>2318585.2999999998</v>
      </c>
      <c r="L5" s="113">
        <v>45661</v>
      </c>
      <c r="M5" s="2">
        <v>2543303</v>
      </c>
    </row>
    <row r="6" spans="1:16" x14ac:dyDescent="0.25">
      <c r="A6">
        <v>2023</v>
      </c>
      <c r="B6" t="s">
        <v>182</v>
      </c>
      <c r="C6" s="64">
        <v>55952617</v>
      </c>
      <c r="D6" s="64">
        <v>18609139</v>
      </c>
      <c r="E6" s="64">
        <v>23</v>
      </c>
      <c r="F6" s="64">
        <v>8</v>
      </c>
      <c r="G6" s="64">
        <v>2432722.48</v>
      </c>
      <c r="H6" s="64">
        <v>2326142.38</v>
      </c>
      <c r="J6" s="186" t="s">
        <v>247</v>
      </c>
      <c r="L6" s="113">
        <v>45662</v>
      </c>
      <c r="M6" s="2">
        <v>2579257</v>
      </c>
    </row>
    <row r="7" spans="1:16" x14ac:dyDescent="0.25">
      <c r="A7">
        <v>2023</v>
      </c>
      <c r="B7" t="s">
        <v>211</v>
      </c>
      <c r="C7" s="64">
        <v>56920820</v>
      </c>
      <c r="D7" s="64">
        <v>20235378</v>
      </c>
      <c r="E7" s="64">
        <v>22</v>
      </c>
      <c r="F7" s="64">
        <v>8</v>
      </c>
      <c r="G7" s="64">
        <v>2587310</v>
      </c>
      <c r="H7" s="64">
        <v>2529422.25</v>
      </c>
      <c r="J7" s="186"/>
      <c r="L7" s="113">
        <v>45663</v>
      </c>
      <c r="M7" s="2">
        <v>2222167</v>
      </c>
    </row>
    <row r="8" spans="1:16" x14ac:dyDescent="0.25">
      <c r="A8">
        <v>2023</v>
      </c>
      <c r="B8" t="s">
        <v>212</v>
      </c>
      <c r="C8" s="64">
        <v>53865903</v>
      </c>
      <c r="D8" s="64">
        <v>25981148</v>
      </c>
      <c r="E8" s="64">
        <v>21</v>
      </c>
      <c r="F8" s="64">
        <v>10</v>
      </c>
      <c r="G8" s="64">
        <v>2565043</v>
      </c>
      <c r="H8" s="64">
        <v>2598114.7999999998</v>
      </c>
      <c r="J8" s="186"/>
      <c r="L8" s="113">
        <v>45664</v>
      </c>
      <c r="M8" s="2">
        <v>1915448</v>
      </c>
    </row>
    <row r="9" spans="1:16" ht="14.45" customHeight="1" x14ac:dyDescent="0.25">
      <c r="A9">
        <v>2023</v>
      </c>
      <c r="B9" t="s">
        <v>213</v>
      </c>
      <c r="C9" s="64">
        <v>55821296</v>
      </c>
      <c r="D9" s="64">
        <v>19544726</v>
      </c>
      <c r="E9" s="64">
        <v>23</v>
      </c>
      <c r="F9" s="64">
        <v>8</v>
      </c>
      <c r="G9" s="64">
        <v>2427012.87</v>
      </c>
      <c r="H9" s="64">
        <v>2443090.75</v>
      </c>
      <c r="J9" s="186"/>
      <c r="L9" s="113">
        <v>45665</v>
      </c>
      <c r="M9" s="2">
        <v>1885768</v>
      </c>
    </row>
    <row r="10" spans="1:16" x14ac:dyDescent="0.25">
      <c r="A10">
        <v>2023</v>
      </c>
      <c r="B10" t="s">
        <v>214</v>
      </c>
      <c r="C10" s="64">
        <v>49965046</v>
      </c>
      <c r="D10" s="64">
        <v>20248622</v>
      </c>
      <c r="E10" s="64">
        <v>21</v>
      </c>
      <c r="F10" s="64">
        <v>9</v>
      </c>
      <c r="G10" s="64">
        <v>2379287.9</v>
      </c>
      <c r="H10" s="64">
        <v>2249846.89</v>
      </c>
      <c r="J10" s="186"/>
      <c r="L10" s="113">
        <v>45666</v>
      </c>
      <c r="M10" s="2">
        <v>2033464</v>
      </c>
    </row>
    <row r="11" spans="1:16" x14ac:dyDescent="0.25">
      <c r="A11">
        <v>2023</v>
      </c>
      <c r="B11" t="s">
        <v>215</v>
      </c>
      <c r="C11" s="64">
        <v>53632271</v>
      </c>
      <c r="D11" s="64">
        <v>22096812</v>
      </c>
      <c r="E11" s="64">
        <v>22</v>
      </c>
      <c r="F11" s="64">
        <v>9</v>
      </c>
      <c r="G11" s="64">
        <v>2437830.5</v>
      </c>
      <c r="H11" s="64">
        <v>2455201.33</v>
      </c>
      <c r="J11" s="186"/>
      <c r="L11" s="113">
        <v>45667</v>
      </c>
      <c r="M11" s="2">
        <v>2000526</v>
      </c>
    </row>
    <row r="12" spans="1:16" x14ac:dyDescent="0.25">
      <c r="A12">
        <v>2023</v>
      </c>
      <c r="B12" t="s">
        <v>216</v>
      </c>
      <c r="C12" s="64">
        <v>51781167</v>
      </c>
      <c r="D12" s="64">
        <v>19926711</v>
      </c>
      <c r="E12" s="64">
        <v>22</v>
      </c>
      <c r="F12" s="64">
        <v>8</v>
      </c>
      <c r="G12" s="64">
        <v>2353689.41</v>
      </c>
      <c r="H12" s="64">
        <v>2490838.88</v>
      </c>
      <c r="L12" s="113">
        <v>45668</v>
      </c>
      <c r="M12" s="2">
        <v>1858186</v>
      </c>
    </row>
    <row r="13" spans="1:16" x14ac:dyDescent="0.25">
      <c r="A13">
        <v>2023</v>
      </c>
      <c r="B13" t="s">
        <v>217</v>
      </c>
      <c r="C13" s="64">
        <v>49971443</v>
      </c>
      <c r="D13" s="64">
        <v>22590697</v>
      </c>
      <c r="E13" s="64">
        <v>21</v>
      </c>
      <c r="F13" s="64">
        <v>10</v>
      </c>
      <c r="G13" s="64">
        <v>2379592.52</v>
      </c>
      <c r="H13" s="64">
        <v>2259069.7000000002</v>
      </c>
      <c r="L13" s="113">
        <v>45669</v>
      </c>
      <c r="M13" s="2">
        <v>2322779</v>
      </c>
    </row>
    <row r="14" spans="1:16" x14ac:dyDescent="0.25">
      <c r="A14" s="1">
        <v>2023</v>
      </c>
      <c r="B14" s="1" t="s">
        <v>3</v>
      </c>
      <c r="C14" s="112">
        <v>612953434</v>
      </c>
      <c r="D14" s="112">
        <v>245594762</v>
      </c>
      <c r="E14" s="112">
        <v>260</v>
      </c>
      <c r="F14" s="112">
        <v>105</v>
      </c>
      <c r="G14" s="112">
        <v>2357513.21</v>
      </c>
      <c r="H14" s="112">
        <v>2338997.73</v>
      </c>
      <c r="L14" s="113">
        <v>45670</v>
      </c>
      <c r="M14" s="2">
        <v>2063978</v>
      </c>
    </row>
    <row r="15" spans="1:16" x14ac:dyDescent="0.25">
      <c r="A15">
        <v>2024</v>
      </c>
      <c r="B15" t="s">
        <v>207</v>
      </c>
      <c r="C15" s="64">
        <v>48006907</v>
      </c>
      <c r="D15" s="64">
        <v>16640344</v>
      </c>
      <c r="E15" s="64">
        <v>23</v>
      </c>
      <c r="F15" s="64">
        <v>8</v>
      </c>
      <c r="G15" s="64">
        <v>2087256.83</v>
      </c>
      <c r="H15" s="64">
        <v>2080043</v>
      </c>
      <c r="L15" s="113">
        <v>45671</v>
      </c>
      <c r="M15" s="2">
        <v>1651244</v>
      </c>
    </row>
    <row r="16" spans="1:16" x14ac:dyDescent="0.25">
      <c r="A16">
        <v>2024</v>
      </c>
      <c r="B16" t="s">
        <v>208</v>
      </c>
      <c r="C16" s="64">
        <v>47091100</v>
      </c>
      <c r="D16" s="64">
        <v>17416138</v>
      </c>
      <c r="E16" s="64">
        <v>21</v>
      </c>
      <c r="F16" s="64">
        <v>8</v>
      </c>
      <c r="G16" s="64">
        <v>2242433.33</v>
      </c>
      <c r="H16" s="64">
        <v>2177017.25</v>
      </c>
      <c r="L16" s="113">
        <v>45672</v>
      </c>
      <c r="M16" s="2">
        <v>1844782</v>
      </c>
    </row>
    <row r="17" spans="1:13" x14ac:dyDescent="0.25">
      <c r="A17">
        <v>2024</v>
      </c>
      <c r="B17" t="s">
        <v>209</v>
      </c>
      <c r="C17" s="64">
        <v>52362511</v>
      </c>
      <c r="D17" s="64">
        <v>24999508</v>
      </c>
      <c r="E17" s="64">
        <v>21</v>
      </c>
      <c r="F17" s="64">
        <v>10</v>
      </c>
      <c r="G17" s="64">
        <v>2493452.9</v>
      </c>
      <c r="H17" s="64">
        <v>2499950.7999999998</v>
      </c>
      <c r="L17" s="113">
        <v>45673</v>
      </c>
      <c r="M17" s="2">
        <v>2369562</v>
      </c>
    </row>
    <row r="18" spans="1:13" x14ac:dyDescent="0.25">
      <c r="A18">
        <v>2024</v>
      </c>
      <c r="B18" t="s">
        <v>210</v>
      </c>
      <c r="C18" s="64">
        <v>54405207</v>
      </c>
      <c r="D18" s="64">
        <v>19634317</v>
      </c>
      <c r="E18" s="64">
        <v>22</v>
      </c>
      <c r="F18" s="64">
        <v>8</v>
      </c>
      <c r="G18" s="64">
        <v>2472963.9500000002</v>
      </c>
      <c r="H18" s="64">
        <v>2454289.62</v>
      </c>
      <c r="L18" s="113">
        <v>45674</v>
      </c>
      <c r="M18" s="2">
        <v>2526699</v>
      </c>
    </row>
    <row r="19" spans="1:13" x14ac:dyDescent="0.25">
      <c r="A19">
        <v>2024</v>
      </c>
      <c r="B19" t="s">
        <v>182</v>
      </c>
      <c r="C19" s="64">
        <v>60640773</v>
      </c>
      <c r="D19" s="64">
        <v>19916489</v>
      </c>
      <c r="E19" s="64">
        <v>23</v>
      </c>
      <c r="F19" s="64">
        <v>8</v>
      </c>
      <c r="G19" s="64">
        <v>2636555.35</v>
      </c>
      <c r="H19" s="64">
        <v>2489561.12</v>
      </c>
      <c r="L19" s="113">
        <v>45675</v>
      </c>
      <c r="M19" s="2">
        <v>1939355</v>
      </c>
    </row>
    <row r="20" spans="1:13" x14ac:dyDescent="0.25">
      <c r="A20">
        <v>2024</v>
      </c>
      <c r="B20" t="s">
        <v>211</v>
      </c>
      <c r="C20" s="64">
        <v>54891133</v>
      </c>
      <c r="D20" s="64">
        <v>27233967</v>
      </c>
      <c r="E20" s="64">
        <v>20</v>
      </c>
      <c r="F20" s="64">
        <v>10</v>
      </c>
      <c r="G20" s="64">
        <v>2744556.65</v>
      </c>
      <c r="H20" s="64">
        <v>2723396.7</v>
      </c>
      <c r="L20" s="113">
        <v>45676</v>
      </c>
      <c r="M20" s="2">
        <v>2113340</v>
      </c>
    </row>
    <row r="21" spans="1:13" x14ac:dyDescent="0.25">
      <c r="A21">
        <v>2024</v>
      </c>
      <c r="B21" t="s">
        <v>212</v>
      </c>
      <c r="C21" s="64">
        <v>61947172</v>
      </c>
      <c r="D21" s="64">
        <v>22172948</v>
      </c>
      <c r="E21" s="64">
        <v>23</v>
      </c>
      <c r="F21" s="64">
        <v>8</v>
      </c>
      <c r="G21" s="64">
        <v>2693355.3</v>
      </c>
      <c r="H21" s="64">
        <v>2771618.5</v>
      </c>
      <c r="L21" s="113">
        <v>45677</v>
      </c>
      <c r="M21" s="2">
        <v>2467069</v>
      </c>
    </row>
    <row r="22" spans="1:13" x14ac:dyDescent="0.25">
      <c r="A22">
        <v>2024</v>
      </c>
      <c r="B22" t="s">
        <v>213</v>
      </c>
      <c r="C22" s="64">
        <v>56634087</v>
      </c>
      <c r="D22" s="64">
        <v>22874351</v>
      </c>
      <c r="E22" s="64">
        <v>22</v>
      </c>
      <c r="F22" s="64">
        <v>9</v>
      </c>
      <c r="G22" s="64">
        <v>2574276.6800000002</v>
      </c>
      <c r="H22" s="64">
        <v>2541594.56</v>
      </c>
      <c r="L22" s="113">
        <v>45678</v>
      </c>
      <c r="M22" s="2">
        <v>1758401</v>
      </c>
    </row>
    <row r="23" spans="1:13" x14ac:dyDescent="0.25">
      <c r="A23">
        <v>2024</v>
      </c>
      <c r="B23" t="s">
        <v>214</v>
      </c>
      <c r="C23" s="64">
        <v>50225077</v>
      </c>
      <c r="D23" s="64">
        <v>21374026</v>
      </c>
      <c r="E23" s="64">
        <v>21</v>
      </c>
      <c r="F23" s="64">
        <v>9</v>
      </c>
      <c r="G23" s="64">
        <v>2391670.33</v>
      </c>
      <c r="H23" s="64">
        <v>2374891.7799999998</v>
      </c>
      <c r="L23" s="113">
        <v>45679</v>
      </c>
      <c r="M23" s="2">
        <v>1710944</v>
      </c>
    </row>
    <row r="24" spans="1:13" x14ac:dyDescent="0.25">
      <c r="A24">
        <v>2024</v>
      </c>
      <c r="B24" t="s">
        <v>215</v>
      </c>
      <c r="C24" s="64">
        <v>56273736</v>
      </c>
      <c r="D24" s="64">
        <v>20058304</v>
      </c>
      <c r="E24" s="64">
        <v>23</v>
      </c>
      <c r="F24" s="64">
        <v>8</v>
      </c>
      <c r="G24" s="64">
        <v>2446684.17</v>
      </c>
      <c r="H24" s="64">
        <v>2507288</v>
      </c>
      <c r="L24" s="113">
        <v>45680</v>
      </c>
      <c r="M24" s="2">
        <v>2158274</v>
      </c>
    </row>
    <row r="25" spans="1:13" x14ac:dyDescent="0.25">
      <c r="A25">
        <v>2024</v>
      </c>
      <c r="B25" t="s">
        <v>216</v>
      </c>
      <c r="C25" s="64">
        <v>49891276</v>
      </c>
      <c r="D25" s="64">
        <v>21994272</v>
      </c>
      <c r="E25" s="64">
        <v>21</v>
      </c>
      <c r="F25" s="64">
        <v>9</v>
      </c>
      <c r="G25" s="64">
        <v>2375775.0499999998</v>
      </c>
      <c r="H25" s="64">
        <v>2443808</v>
      </c>
      <c r="L25" s="113">
        <v>45681</v>
      </c>
      <c r="M25" s="2">
        <v>2257772</v>
      </c>
    </row>
    <row r="26" spans="1:13" x14ac:dyDescent="0.25">
      <c r="A26">
        <v>2024</v>
      </c>
      <c r="B26" t="s">
        <v>217</v>
      </c>
      <c r="C26" s="64">
        <v>53812366</v>
      </c>
      <c r="D26" s="64">
        <v>23572568</v>
      </c>
      <c r="E26" s="64">
        <v>22</v>
      </c>
      <c r="F26" s="64">
        <v>9</v>
      </c>
      <c r="G26" s="64">
        <v>2446016.64</v>
      </c>
      <c r="H26" s="64">
        <v>2619174.2200000002</v>
      </c>
      <c r="L26" s="113">
        <v>45682</v>
      </c>
      <c r="M26" s="2">
        <v>1785853</v>
      </c>
    </row>
    <row r="27" spans="1:13" x14ac:dyDescent="0.25">
      <c r="A27" s="1">
        <v>2024</v>
      </c>
      <c r="B27" s="1" t="s">
        <v>3</v>
      </c>
      <c r="C27" s="112">
        <v>646181345</v>
      </c>
      <c r="D27" s="112">
        <v>257887232</v>
      </c>
      <c r="E27" s="112">
        <v>262</v>
      </c>
      <c r="F27" s="112">
        <v>104</v>
      </c>
      <c r="G27" s="112">
        <v>2466341.0099999998</v>
      </c>
      <c r="H27" s="112">
        <v>2479684.92</v>
      </c>
      <c r="L27" s="113">
        <v>45683</v>
      </c>
      <c r="M27" s="2">
        <v>2302281</v>
      </c>
    </row>
    <row r="28" spans="1:13" x14ac:dyDescent="0.25">
      <c r="A28">
        <v>2025</v>
      </c>
      <c r="B28" t="s">
        <v>207</v>
      </c>
      <c r="C28" s="64">
        <v>48332879</v>
      </c>
      <c r="D28" s="64">
        <v>17444354</v>
      </c>
      <c r="E28" s="64">
        <v>23</v>
      </c>
      <c r="F28" s="64">
        <v>8</v>
      </c>
      <c r="G28" s="64">
        <v>2101429.52</v>
      </c>
      <c r="H28" s="64">
        <v>2180544.25</v>
      </c>
      <c r="L28" s="113">
        <v>45684</v>
      </c>
      <c r="M28" s="2">
        <v>2088851</v>
      </c>
    </row>
    <row r="29" spans="1:13" x14ac:dyDescent="0.25">
      <c r="A29">
        <v>2025</v>
      </c>
      <c r="B29" t="s">
        <v>208</v>
      </c>
      <c r="C29" s="64">
        <v>45140209</v>
      </c>
      <c r="D29" s="64">
        <v>17450124</v>
      </c>
      <c r="E29" s="64">
        <v>20</v>
      </c>
      <c r="F29" s="64">
        <v>8</v>
      </c>
      <c r="G29" s="64">
        <v>2257010.4500000002</v>
      </c>
      <c r="H29" s="64">
        <v>2181265.5</v>
      </c>
      <c r="L29" s="113">
        <v>45685</v>
      </c>
      <c r="M29" s="2">
        <v>1599434</v>
      </c>
    </row>
    <row r="30" spans="1:13" x14ac:dyDescent="0.25">
      <c r="A30">
        <v>2025</v>
      </c>
      <c r="B30" t="s">
        <v>209</v>
      </c>
      <c r="C30" s="64">
        <v>51865034</v>
      </c>
      <c r="D30" s="64">
        <v>25364607</v>
      </c>
      <c r="E30" s="64">
        <v>21</v>
      </c>
      <c r="F30" s="64">
        <v>10</v>
      </c>
      <c r="G30" s="64">
        <v>2469763.52</v>
      </c>
      <c r="H30" s="64">
        <v>2536460.7000000002</v>
      </c>
      <c r="L30" s="113">
        <v>45686</v>
      </c>
      <c r="M30" s="2">
        <v>1792651</v>
      </c>
    </row>
    <row r="31" spans="1:13" x14ac:dyDescent="0.25">
      <c r="A31">
        <v>2025</v>
      </c>
      <c r="B31" t="s">
        <v>210</v>
      </c>
      <c r="C31" s="64">
        <v>54430894</v>
      </c>
      <c r="D31" s="64">
        <v>19775367</v>
      </c>
      <c r="E31" s="64">
        <v>22</v>
      </c>
      <c r="F31" s="64">
        <v>8</v>
      </c>
      <c r="G31" s="64">
        <v>2474131.5499999998</v>
      </c>
      <c r="H31" s="64">
        <v>2471920.88</v>
      </c>
      <c r="L31" s="113">
        <v>45687</v>
      </c>
      <c r="M31" s="2">
        <v>2219044</v>
      </c>
    </row>
    <row r="32" spans="1:13" x14ac:dyDescent="0.25">
      <c r="A32">
        <v>2025</v>
      </c>
      <c r="B32" t="s">
        <v>182</v>
      </c>
      <c r="C32" s="64">
        <v>57287702</v>
      </c>
      <c r="D32" s="64">
        <v>22075390</v>
      </c>
      <c r="E32" s="64">
        <v>22</v>
      </c>
      <c r="F32" s="64">
        <v>9</v>
      </c>
      <c r="G32" s="64">
        <v>2603986.4500000002</v>
      </c>
      <c r="H32" s="64">
        <v>2452821.11</v>
      </c>
      <c r="L32" s="113">
        <v>45688</v>
      </c>
      <c r="M32" s="2">
        <v>2273071</v>
      </c>
    </row>
    <row r="33" spans="1:13" x14ac:dyDescent="0.25">
      <c r="A33">
        <v>2025</v>
      </c>
      <c r="B33" t="s">
        <v>211</v>
      </c>
      <c r="C33" s="64">
        <v>56907643</v>
      </c>
      <c r="D33" s="64">
        <v>24848861</v>
      </c>
      <c r="E33" s="64">
        <v>21</v>
      </c>
      <c r="F33" s="64">
        <v>9</v>
      </c>
      <c r="G33" s="64">
        <v>2709887.76</v>
      </c>
      <c r="H33" s="64">
        <v>2760984.56</v>
      </c>
      <c r="L33" s="113">
        <v>45689</v>
      </c>
      <c r="M33" s="2">
        <v>1791123</v>
      </c>
    </row>
    <row r="34" spans="1:13" x14ac:dyDescent="0.25">
      <c r="A34">
        <v>2025</v>
      </c>
      <c r="B34" t="s">
        <v>212</v>
      </c>
      <c r="C34" s="64">
        <v>62660411</v>
      </c>
      <c r="D34" s="64">
        <v>22432624</v>
      </c>
      <c r="E34" s="64">
        <v>23</v>
      </c>
      <c r="F34" s="64">
        <v>8</v>
      </c>
      <c r="G34" s="64">
        <v>2724365.7</v>
      </c>
      <c r="H34" s="64">
        <v>2804078</v>
      </c>
      <c r="L34" s="113">
        <v>45690</v>
      </c>
      <c r="M34" s="2">
        <v>2331440</v>
      </c>
    </row>
    <row r="35" spans="1:13" x14ac:dyDescent="0.25">
      <c r="A35">
        <v>2025</v>
      </c>
      <c r="B35" t="s">
        <v>213</v>
      </c>
      <c r="C35" s="64">
        <v>54477125</v>
      </c>
      <c r="D35" s="64">
        <v>25853946</v>
      </c>
      <c r="E35" s="64">
        <v>21</v>
      </c>
      <c r="F35" s="64">
        <v>10</v>
      </c>
      <c r="G35" s="64">
        <v>2594148.81</v>
      </c>
      <c r="H35" s="64">
        <v>2585394.6</v>
      </c>
      <c r="L35" s="113">
        <v>45691</v>
      </c>
      <c r="M35" s="2">
        <v>2102830</v>
      </c>
    </row>
    <row r="36" spans="1:13" x14ac:dyDescent="0.25">
      <c r="A36">
        <v>2025</v>
      </c>
      <c r="B36" t="s">
        <v>214</v>
      </c>
      <c r="C36" s="64">
        <v>52747554</v>
      </c>
      <c r="D36" s="64">
        <v>19343914</v>
      </c>
      <c r="E36" s="64">
        <v>22</v>
      </c>
      <c r="F36" s="64">
        <v>8</v>
      </c>
      <c r="G36" s="64">
        <v>2397616.09</v>
      </c>
      <c r="H36" s="64">
        <v>2417989.25</v>
      </c>
      <c r="L36" s="113">
        <v>45692</v>
      </c>
      <c r="M36" s="2">
        <v>1649904</v>
      </c>
    </row>
    <row r="37" spans="1:13" x14ac:dyDescent="0.25">
      <c r="A37">
        <v>2025</v>
      </c>
      <c r="B37" t="s">
        <v>215</v>
      </c>
      <c r="C37" s="64">
        <v>58530563</v>
      </c>
      <c r="D37" s="64">
        <v>20568528</v>
      </c>
      <c r="E37" s="64">
        <v>23</v>
      </c>
      <c r="F37" s="64">
        <v>8</v>
      </c>
      <c r="G37" s="64">
        <v>2544807.09</v>
      </c>
      <c r="H37" s="64">
        <v>2571066</v>
      </c>
      <c r="L37" s="113">
        <v>45693</v>
      </c>
      <c r="M37" s="2">
        <v>1821551</v>
      </c>
    </row>
    <row r="38" spans="1:13" x14ac:dyDescent="0.25">
      <c r="A38">
        <v>2025</v>
      </c>
      <c r="B38" t="s">
        <v>216</v>
      </c>
      <c r="C38" s="64">
        <v>46919274</v>
      </c>
      <c r="D38" s="64">
        <v>24857696</v>
      </c>
      <c r="E38" s="64">
        <v>20</v>
      </c>
      <c r="F38" s="64">
        <v>10</v>
      </c>
      <c r="G38" s="64">
        <v>2345963.7000000002</v>
      </c>
      <c r="H38" s="64">
        <v>2485769.6</v>
      </c>
      <c r="L38" s="113">
        <v>45694</v>
      </c>
      <c r="M38" s="2">
        <v>2211186</v>
      </c>
    </row>
    <row r="39" spans="1:13" x14ac:dyDescent="0.25">
      <c r="A39">
        <v>2025</v>
      </c>
      <c r="B39" t="s">
        <v>217</v>
      </c>
      <c r="C39" s="64">
        <v>56844659</v>
      </c>
      <c r="D39" s="64">
        <v>20576618</v>
      </c>
      <c r="E39" s="64">
        <v>23</v>
      </c>
      <c r="F39" s="64">
        <v>8</v>
      </c>
      <c r="G39" s="64">
        <v>2471506.91</v>
      </c>
      <c r="H39" s="64">
        <v>2572077.25</v>
      </c>
      <c r="L39" s="113">
        <v>45695</v>
      </c>
      <c r="M39" s="2">
        <v>2338385</v>
      </c>
    </row>
    <row r="40" spans="1:13" x14ac:dyDescent="0.25">
      <c r="A40" s="1">
        <v>2025</v>
      </c>
      <c r="B40" s="1" t="s">
        <v>3</v>
      </c>
      <c r="C40" s="112">
        <v>646143947</v>
      </c>
      <c r="D40" s="112">
        <v>260592029</v>
      </c>
      <c r="E40" s="112">
        <v>261</v>
      </c>
      <c r="F40" s="112">
        <v>104</v>
      </c>
      <c r="G40" s="112">
        <v>2475647.31</v>
      </c>
      <c r="H40" s="112">
        <v>2505692.59</v>
      </c>
      <c r="L40" s="113">
        <v>45696</v>
      </c>
      <c r="M40" s="2">
        <v>1828477</v>
      </c>
    </row>
    <row r="41" spans="1:13" x14ac:dyDescent="0.25">
      <c r="L41" s="113">
        <v>45697</v>
      </c>
      <c r="M41" s="2">
        <v>2186024</v>
      </c>
    </row>
    <row r="42" spans="1:13" x14ac:dyDescent="0.25">
      <c r="L42" s="113">
        <v>45698</v>
      </c>
      <c r="M42" s="2">
        <v>2323951</v>
      </c>
    </row>
    <row r="43" spans="1:13" x14ac:dyDescent="0.25">
      <c r="L43" s="113">
        <v>45699</v>
      </c>
      <c r="M43" s="2">
        <v>1753906</v>
      </c>
    </row>
    <row r="44" spans="1:13" x14ac:dyDescent="0.25">
      <c r="L44" s="113">
        <v>45700</v>
      </c>
      <c r="M44" s="2">
        <v>1990225</v>
      </c>
    </row>
    <row r="45" spans="1:13" x14ac:dyDescent="0.25">
      <c r="L45" s="113">
        <v>45701</v>
      </c>
      <c r="M45" s="2">
        <v>2563360</v>
      </c>
    </row>
    <row r="46" spans="1:13" x14ac:dyDescent="0.25">
      <c r="L46" s="113">
        <v>45702</v>
      </c>
      <c r="M46" s="2">
        <v>2626024</v>
      </c>
    </row>
    <row r="47" spans="1:13" x14ac:dyDescent="0.25">
      <c r="L47" s="113">
        <v>45703</v>
      </c>
      <c r="M47" s="2">
        <v>2160974</v>
      </c>
    </row>
    <row r="48" spans="1:13" x14ac:dyDescent="0.25">
      <c r="L48" s="113">
        <v>45704</v>
      </c>
      <c r="M48" s="2">
        <v>2394991</v>
      </c>
    </row>
    <row r="49" spans="12:13" x14ac:dyDescent="0.25">
      <c r="L49" s="113">
        <v>45705</v>
      </c>
      <c r="M49" s="2">
        <v>2721332</v>
      </c>
    </row>
    <row r="50" spans="12:13" x14ac:dyDescent="0.25">
      <c r="L50" s="113">
        <v>45706</v>
      </c>
      <c r="M50" s="2">
        <v>2243788</v>
      </c>
    </row>
    <row r="51" spans="12:13" x14ac:dyDescent="0.25">
      <c r="L51" s="113">
        <v>45707</v>
      </c>
      <c r="M51" s="2">
        <v>2122519</v>
      </c>
    </row>
    <row r="52" spans="12:13" x14ac:dyDescent="0.25">
      <c r="L52" s="113">
        <v>45708</v>
      </c>
      <c r="M52" s="2">
        <v>2466484</v>
      </c>
    </row>
    <row r="53" spans="12:13" x14ac:dyDescent="0.25">
      <c r="L53" s="113">
        <v>45709</v>
      </c>
      <c r="M53" s="2">
        <v>2553110</v>
      </c>
    </row>
    <row r="54" spans="12:13" x14ac:dyDescent="0.25">
      <c r="L54" s="113">
        <v>45710</v>
      </c>
      <c r="M54" s="2">
        <v>2162478</v>
      </c>
    </row>
    <row r="55" spans="12:13" x14ac:dyDescent="0.25">
      <c r="L55" s="113">
        <v>45711</v>
      </c>
      <c r="M55" s="2">
        <v>2594617</v>
      </c>
    </row>
    <row r="56" spans="12:13" x14ac:dyDescent="0.25">
      <c r="L56" s="113">
        <v>45712</v>
      </c>
      <c r="M56" s="2">
        <v>2399600</v>
      </c>
    </row>
    <row r="57" spans="12:13" x14ac:dyDescent="0.25">
      <c r="L57" s="113">
        <v>45713</v>
      </c>
      <c r="M57" s="2">
        <v>1917007</v>
      </c>
    </row>
    <row r="58" spans="12:13" x14ac:dyDescent="0.25">
      <c r="L58" s="113">
        <v>45714</v>
      </c>
      <c r="M58" s="2">
        <v>2124463</v>
      </c>
    </row>
    <row r="59" spans="12:13" x14ac:dyDescent="0.25">
      <c r="L59" s="113">
        <v>45715</v>
      </c>
      <c r="M59" s="2">
        <v>2579759</v>
      </c>
    </row>
    <row r="60" spans="12:13" x14ac:dyDescent="0.25">
      <c r="L60" s="113">
        <v>45716</v>
      </c>
      <c r="M60" s="2">
        <v>2630825</v>
      </c>
    </row>
    <row r="61" spans="12:13" x14ac:dyDescent="0.25">
      <c r="L61" s="113">
        <v>45717</v>
      </c>
      <c r="M61" s="2">
        <v>2158850</v>
      </c>
    </row>
    <row r="62" spans="12:13" x14ac:dyDescent="0.25">
      <c r="L62" s="113">
        <v>45718</v>
      </c>
      <c r="M62" s="2">
        <v>2599903</v>
      </c>
    </row>
    <row r="63" spans="12:13" x14ac:dyDescent="0.25">
      <c r="L63" s="113">
        <v>45719</v>
      </c>
      <c r="M63" s="2">
        <v>2366161</v>
      </c>
    </row>
    <row r="64" spans="12:13" x14ac:dyDescent="0.25">
      <c r="L64" s="113">
        <v>45720</v>
      </c>
      <c r="M64" s="2">
        <v>1875355</v>
      </c>
    </row>
    <row r="65" spans="12:13" x14ac:dyDescent="0.25">
      <c r="L65" s="113">
        <v>45721</v>
      </c>
      <c r="M65" s="2">
        <v>2136554</v>
      </c>
    </row>
    <row r="66" spans="12:13" x14ac:dyDescent="0.25">
      <c r="L66" s="113">
        <v>45722</v>
      </c>
      <c r="M66" s="2">
        <v>2576928</v>
      </c>
    </row>
    <row r="67" spans="12:13" x14ac:dyDescent="0.25">
      <c r="L67" s="113">
        <v>45723</v>
      </c>
      <c r="M67" s="2">
        <v>2643053</v>
      </c>
    </row>
    <row r="68" spans="12:13" x14ac:dyDescent="0.25">
      <c r="L68" s="113">
        <v>45724</v>
      </c>
      <c r="M68" s="2">
        <v>2281542</v>
      </c>
    </row>
    <row r="69" spans="12:13" x14ac:dyDescent="0.25">
      <c r="L69" s="113">
        <v>45725</v>
      </c>
      <c r="M69" s="2">
        <v>2663677</v>
      </c>
    </row>
    <row r="70" spans="12:13" x14ac:dyDescent="0.25">
      <c r="L70" s="113">
        <v>45726</v>
      </c>
      <c r="M70" s="2">
        <v>2463857</v>
      </c>
    </row>
    <row r="71" spans="12:13" x14ac:dyDescent="0.25">
      <c r="L71" s="113">
        <v>45727</v>
      </c>
      <c r="M71" s="2">
        <v>2027490</v>
      </c>
    </row>
    <row r="72" spans="12:13" x14ac:dyDescent="0.25">
      <c r="L72" s="113">
        <v>45728</v>
      </c>
      <c r="M72" s="2">
        <v>2297329</v>
      </c>
    </row>
    <row r="73" spans="12:13" x14ac:dyDescent="0.25">
      <c r="L73" s="113">
        <v>45729</v>
      </c>
      <c r="M73" s="2">
        <v>2708449</v>
      </c>
    </row>
    <row r="74" spans="12:13" x14ac:dyDescent="0.25">
      <c r="L74" s="113">
        <v>45730</v>
      </c>
      <c r="M74" s="2">
        <v>2767748</v>
      </c>
    </row>
    <row r="75" spans="12:13" x14ac:dyDescent="0.25">
      <c r="L75" s="113">
        <v>45731</v>
      </c>
      <c r="M75" s="2">
        <v>2487259</v>
      </c>
    </row>
    <row r="76" spans="12:13" x14ac:dyDescent="0.25">
      <c r="L76" s="113">
        <v>45732</v>
      </c>
      <c r="M76" s="2">
        <v>2789837</v>
      </c>
    </row>
    <row r="77" spans="12:13" x14ac:dyDescent="0.25">
      <c r="L77" s="113">
        <v>45733</v>
      </c>
      <c r="M77" s="2">
        <v>2699013</v>
      </c>
    </row>
    <row r="78" spans="12:13" x14ac:dyDescent="0.25">
      <c r="L78" s="113">
        <v>45734</v>
      </c>
      <c r="M78" s="2">
        <v>2270253</v>
      </c>
    </row>
    <row r="79" spans="12:13" x14ac:dyDescent="0.25">
      <c r="L79" s="113">
        <v>45735</v>
      </c>
      <c r="M79" s="2">
        <v>2408377</v>
      </c>
    </row>
    <row r="80" spans="12:13" x14ac:dyDescent="0.25">
      <c r="L80" s="113">
        <v>45736</v>
      </c>
      <c r="M80" s="2">
        <v>2768538</v>
      </c>
    </row>
    <row r="81" spans="12:13" x14ac:dyDescent="0.25">
      <c r="L81" s="113">
        <v>45737</v>
      </c>
      <c r="M81" s="2">
        <v>2771173</v>
      </c>
    </row>
    <row r="82" spans="12:13" x14ac:dyDescent="0.25">
      <c r="L82" s="113">
        <v>45738</v>
      </c>
      <c r="M82" s="2">
        <v>2501942</v>
      </c>
    </row>
    <row r="83" spans="12:13" x14ac:dyDescent="0.25">
      <c r="L83" s="113">
        <v>45739</v>
      </c>
      <c r="M83" s="2">
        <v>2832539</v>
      </c>
    </row>
    <row r="84" spans="12:13" x14ac:dyDescent="0.25">
      <c r="L84" s="113">
        <v>45740</v>
      </c>
      <c r="M84" s="2">
        <v>2617185</v>
      </c>
    </row>
    <row r="85" spans="12:13" x14ac:dyDescent="0.25">
      <c r="L85" s="113">
        <v>45741</v>
      </c>
      <c r="M85" s="2">
        <v>2153871</v>
      </c>
    </row>
    <row r="86" spans="12:13" x14ac:dyDescent="0.25">
      <c r="L86" s="113">
        <v>45742</v>
      </c>
      <c r="M86" s="2">
        <v>2339528</v>
      </c>
    </row>
    <row r="87" spans="12:13" x14ac:dyDescent="0.25">
      <c r="L87" s="113">
        <v>45743</v>
      </c>
      <c r="M87" s="2">
        <v>2703280</v>
      </c>
    </row>
    <row r="88" spans="12:13" x14ac:dyDescent="0.25">
      <c r="L88" s="113">
        <v>45744</v>
      </c>
      <c r="M88" s="2">
        <v>2715766</v>
      </c>
    </row>
    <row r="89" spans="12:13" x14ac:dyDescent="0.25">
      <c r="L89" s="113">
        <v>45745</v>
      </c>
      <c r="M89" s="2">
        <v>2348454</v>
      </c>
    </row>
    <row r="90" spans="12:13" x14ac:dyDescent="0.25">
      <c r="L90" s="113">
        <v>45746</v>
      </c>
      <c r="M90" s="2">
        <v>2700604</v>
      </c>
    </row>
    <row r="91" spans="12:13" x14ac:dyDescent="0.25">
      <c r="L91" s="113">
        <v>45747</v>
      </c>
      <c r="M91" s="2">
        <v>2555126</v>
      </c>
    </row>
    <row r="92" spans="12:13" x14ac:dyDescent="0.25">
      <c r="L92" s="113">
        <v>45748</v>
      </c>
      <c r="M92" s="2">
        <v>2181917</v>
      </c>
    </row>
    <row r="93" spans="12:13" x14ac:dyDescent="0.25">
      <c r="L93" s="113">
        <v>45749</v>
      </c>
      <c r="M93" s="2">
        <v>2179265</v>
      </c>
    </row>
    <row r="94" spans="12:13" x14ac:dyDescent="0.25">
      <c r="L94" s="113">
        <v>45750</v>
      </c>
      <c r="M94" s="2">
        <v>2619950</v>
      </c>
    </row>
    <row r="95" spans="12:13" x14ac:dyDescent="0.25">
      <c r="L95" s="113">
        <v>45751</v>
      </c>
      <c r="M95" s="2">
        <v>2657802</v>
      </c>
    </row>
    <row r="96" spans="12:13" x14ac:dyDescent="0.25">
      <c r="L96" s="113">
        <v>45752</v>
      </c>
      <c r="M96" s="2">
        <v>2240401</v>
      </c>
    </row>
    <row r="97" spans="12:13" x14ac:dyDescent="0.25">
      <c r="L97" s="113">
        <v>45753</v>
      </c>
      <c r="M97" s="2">
        <v>2735362</v>
      </c>
    </row>
    <row r="98" spans="12:13" x14ac:dyDescent="0.25">
      <c r="L98" s="113">
        <v>45754</v>
      </c>
      <c r="M98" s="2">
        <v>2532641</v>
      </c>
    </row>
    <row r="99" spans="12:13" x14ac:dyDescent="0.25">
      <c r="L99" s="113">
        <v>45755</v>
      </c>
      <c r="M99" s="2">
        <v>2087676</v>
      </c>
    </row>
    <row r="100" spans="12:13" x14ac:dyDescent="0.25">
      <c r="L100" s="113">
        <v>45756</v>
      </c>
      <c r="M100" s="2">
        <v>2302933</v>
      </c>
    </row>
    <row r="101" spans="12:13" x14ac:dyDescent="0.25">
      <c r="L101" s="113">
        <v>45757</v>
      </c>
      <c r="M101" s="2">
        <v>2720572</v>
      </c>
    </row>
    <row r="102" spans="12:13" x14ac:dyDescent="0.25">
      <c r="L102" s="113">
        <v>45758</v>
      </c>
      <c r="M102" s="2">
        <v>2743057</v>
      </c>
    </row>
    <row r="103" spans="12:13" x14ac:dyDescent="0.25">
      <c r="L103" s="113">
        <v>45759</v>
      </c>
      <c r="M103" s="2">
        <v>2271278</v>
      </c>
    </row>
    <row r="104" spans="12:13" x14ac:dyDescent="0.25">
      <c r="L104" s="113">
        <v>45760</v>
      </c>
      <c r="M104" s="2">
        <v>2747565</v>
      </c>
    </row>
    <row r="105" spans="12:13" x14ac:dyDescent="0.25">
      <c r="L105" s="113">
        <v>45761</v>
      </c>
      <c r="M105" s="2">
        <v>2565091</v>
      </c>
    </row>
    <row r="106" spans="12:13" x14ac:dyDescent="0.25">
      <c r="L106" s="113">
        <v>45762</v>
      </c>
      <c r="M106" s="2">
        <v>2114573</v>
      </c>
    </row>
    <row r="107" spans="12:13" x14ac:dyDescent="0.25">
      <c r="L107" s="113">
        <v>45763</v>
      </c>
      <c r="M107" s="2">
        <v>2359864</v>
      </c>
    </row>
    <row r="108" spans="12:13" x14ac:dyDescent="0.25">
      <c r="L108" s="113">
        <v>45764</v>
      </c>
      <c r="M108" s="2">
        <v>2821542</v>
      </c>
    </row>
    <row r="109" spans="12:13" x14ac:dyDescent="0.25">
      <c r="L109" s="113">
        <v>45765</v>
      </c>
      <c r="M109" s="2">
        <v>2658132</v>
      </c>
    </row>
    <row r="110" spans="12:13" x14ac:dyDescent="0.25">
      <c r="L110" s="113">
        <v>45766</v>
      </c>
      <c r="M110" s="2">
        <v>2156119</v>
      </c>
    </row>
    <row r="111" spans="12:13" x14ac:dyDescent="0.25">
      <c r="L111" s="113">
        <v>45767</v>
      </c>
      <c r="M111" s="2">
        <v>2591393</v>
      </c>
    </row>
    <row r="112" spans="12:13" x14ac:dyDescent="0.25">
      <c r="L112" s="113">
        <v>45768</v>
      </c>
      <c r="M112" s="2">
        <v>2783476</v>
      </c>
    </row>
    <row r="113" spans="12:13" x14ac:dyDescent="0.25">
      <c r="L113" s="113">
        <v>45769</v>
      </c>
      <c r="M113" s="2">
        <v>2266040</v>
      </c>
    </row>
    <row r="114" spans="12:13" x14ac:dyDescent="0.25">
      <c r="L114" s="113">
        <v>45770</v>
      </c>
      <c r="M114" s="2">
        <v>2343680</v>
      </c>
    </row>
    <row r="115" spans="12:13" x14ac:dyDescent="0.25">
      <c r="L115" s="113">
        <v>45771</v>
      </c>
      <c r="M115" s="2">
        <v>2757877</v>
      </c>
    </row>
    <row r="116" spans="12:13" x14ac:dyDescent="0.25">
      <c r="L116" s="113">
        <v>45772</v>
      </c>
      <c r="M116" s="2">
        <v>2766258</v>
      </c>
    </row>
    <row r="117" spans="12:13" x14ac:dyDescent="0.25">
      <c r="L117" s="113">
        <v>45773</v>
      </c>
      <c r="M117" s="2">
        <v>2203462</v>
      </c>
    </row>
    <row r="118" spans="12:13" x14ac:dyDescent="0.25">
      <c r="L118" s="113">
        <v>45774</v>
      </c>
      <c r="M118" s="2">
        <v>2829787</v>
      </c>
    </row>
    <row r="119" spans="12:13" x14ac:dyDescent="0.25">
      <c r="L119" s="113">
        <v>45775</v>
      </c>
      <c r="M119" s="2">
        <v>2601001</v>
      </c>
    </row>
    <row r="120" spans="12:13" x14ac:dyDescent="0.25">
      <c r="L120" s="113">
        <v>45776</v>
      </c>
      <c r="M120" s="2">
        <v>2067463</v>
      </c>
    </row>
    <row r="121" spans="12:13" x14ac:dyDescent="0.25">
      <c r="L121" s="113">
        <v>45777</v>
      </c>
      <c r="M121" s="2">
        <v>2300084</v>
      </c>
    </row>
    <row r="122" spans="12:13" x14ac:dyDescent="0.25">
      <c r="L122" s="113">
        <v>45778</v>
      </c>
      <c r="M122" s="2">
        <v>2744098</v>
      </c>
    </row>
    <row r="123" spans="12:13" x14ac:dyDescent="0.25">
      <c r="L123" s="113">
        <v>45779</v>
      </c>
      <c r="M123" s="2">
        <v>2659193</v>
      </c>
    </row>
    <row r="124" spans="12:13" x14ac:dyDescent="0.25">
      <c r="L124" s="113">
        <v>45780</v>
      </c>
      <c r="M124" s="2">
        <v>2102342</v>
      </c>
    </row>
    <row r="125" spans="12:13" x14ac:dyDescent="0.25">
      <c r="L125" s="113">
        <v>45781</v>
      </c>
      <c r="M125" s="2">
        <v>2762463</v>
      </c>
    </row>
    <row r="126" spans="12:13" x14ac:dyDescent="0.25">
      <c r="L126" s="113">
        <v>45782</v>
      </c>
      <c r="M126" s="2">
        <v>2588956</v>
      </c>
    </row>
    <row r="127" spans="12:13" x14ac:dyDescent="0.25">
      <c r="L127" s="113">
        <v>45783</v>
      </c>
      <c r="M127" s="2">
        <v>2106907</v>
      </c>
    </row>
    <row r="128" spans="12:13" x14ac:dyDescent="0.25">
      <c r="L128" s="113">
        <v>45784</v>
      </c>
      <c r="M128" s="2">
        <v>2288927</v>
      </c>
    </row>
    <row r="129" spans="12:13" x14ac:dyDescent="0.25">
      <c r="L129" s="113">
        <v>45785</v>
      </c>
      <c r="M129" s="2">
        <v>2730456</v>
      </c>
    </row>
    <row r="130" spans="12:13" x14ac:dyDescent="0.25">
      <c r="L130" s="113">
        <v>45786</v>
      </c>
      <c r="M130" s="2">
        <v>2711847</v>
      </c>
    </row>
    <row r="131" spans="12:13" x14ac:dyDescent="0.25">
      <c r="L131" s="113">
        <v>45787</v>
      </c>
      <c r="M131" s="2">
        <v>2125020</v>
      </c>
    </row>
    <row r="132" spans="12:13" x14ac:dyDescent="0.25">
      <c r="L132" s="113">
        <v>45788</v>
      </c>
      <c r="M132" s="2">
        <v>2646042</v>
      </c>
    </row>
    <row r="133" spans="12:13" x14ac:dyDescent="0.25">
      <c r="L133" s="113">
        <v>45789</v>
      </c>
      <c r="M133" s="2">
        <v>2657759</v>
      </c>
    </row>
    <row r="134" spans="12:13" x14ac:dyDescent="0.25">
      <c r="L134" s="113">
        <v>45790</v>
      </c>
      <c r="M134" s="2">
        <v>2131356</v>
      </c>
    </row>
    <row r="135" spans="12:13" x14ac:dyDescent="0.25">
      <c r="L135" s="113">
        <v>45791</v>
      </c>
      <c r="M135" s="2">
        <v>2366860</v>
      </c>
    </row>
    <row r="136" spans="12:13" x14ac:dyDescent="0.25">
      <c r="L136" s="113">
        <v>45792</v>
      </c>
      <c r="M136" s="2">
        <v>2847916</v>
      </c>
    </row>
    <row r="137" spans="12:13" x14ac:dyDescent="0.25">
      <c r="L137" s="113">
        <v>45793</v>
      </c>
      <c r="M137" s="2">
        <v>2834508</v>
      </c>
    </row>
    <row r="138" spans="12:13" x14ac:dyDescent="0.25">
      <c r="L138" s="113">
        <v>45794</v>
      </c>
      <c r="M138" s="2">
        <v>2311326</v>
      </c>
    </row>
    <row r="139" spans="12:13" x14ac:dyDescent="0.25">
      <c r="L139" s="113">
        <v>45795</v>
      </c>
      <c r="M139" s="2">
        <v>2929839</v>
      </c>
    </row>
    <row r="140" spans="12:13" x14ac:dyDescent="0.25">
      <c r="L140" s="113">
        <v>45796</v>
      </c>
      <c r="M140" s="2">
        <v>2793452</v>
      </c>
    </row>
    <row r="141" spans="12:13" x14ac:dyDescent="0.25">
      <c r="L141" s="113">
        <v>45797</v>
      </c>
      <c r="M141" s="2">
        <v>2321388</v>
      </c>
    </row>
    <row r="142" spans="12:13" x14ac:dyDescent="0.25">
      <c r="L142" s="113">
        <v>45798</v>
      </c>
      <c r="M142" s="2">
        <v>2510246</v>
      </c>
    </row>
    <row r="143" spans="12:13" x14ac:dyDescent="0.25">
      <c r="L143" s="113">
        <v>45799</v>
      </c>
      <c r="M143" s="2">
        <v>2960413</v>
      </c>
    </row>
    <row r="144" spans="12:13" x14ac:dyDescent="0.25">
      <c r="L144" s="113">
        <v>45800</v>
      </c>
      <c r="M144" s="2">
        <v>3010183</v>
      </c>
    </row>
    <row r="145" spans="12:13" x14ac:dyDescent="0.25">
      <c r="L145" s="113">
        <v>45801</v>
      </c>
      <c r="M145" s="2">
        <v>2389262</v>
      </c>
    </row>
    <row r="146" spans="12:13" x14ac:dyDescent="0.25">
      <c r="L146" s="113">
        <v>45802</v>
      </c>
      <c r="M146" s="2">
        <v>2456295</v>
      </c>
    </row>
    <row r="147" spans="12:13" x14ac:dyDescent="0.25">
      <c r="L147" s="113">
        <v>45803</v>
      </c>
      <c r="M147" s="2">
        <v>2863596</v>
      </c>
    </row>
    <row r="148" spans="12:13" x14ac:dyDescent="0.25">
      <c r="L148" s="113">
        <v>45804</v>
      </c>
      <c r="M148" s="2">
        <v>2509320</v>
      </c>
    </row>
    <row r="149" spans="12:13" x14ac:dyDescent="0.25">
      <c r="L149" s="113">
        <v>45805</v>
      </c>
      <c r="M149" s="2">
        <v>2325817</v>
      </c>
    </row>
    <row r="150" spans="12:13" x14ac:dyDescent="0.25">
      <c r="L150" s="113">
        <v>45806</v>
      </c>
      <c r="M150" s="2">
        <v>2626367</v>
      </c>
    </row>
    <row r="151" spans="12:13" x14ac:dyDescent="0.25">
      <c r="L151" s="113">
        <v>45807</v>
      </c>
      <c r="M151" s="2">
        <v>2698137</v>
      </c>
    </row>
    <row r="152" spans="12:13" x14ac:dyDescent="0.25">
      <c r="L152" s="113">
        <v>45808</v>
      </c>
      <c r="M152" s="2">
        <v>2352801</v>
      </c>
    </row>
    <row r="153" spans="12:13" x14ac:dyDescent="0.25">
      <c r="L153" s="113">
        <v>45809</v>
      </c>
      <c r="M153" s="2">
        <v>2825055</v>
      </c>
    </row>
    <row r="154" spans="12:13" x14ac:dyDescent="0.25">
      <c r="L154" s="113">
        <v>45810</v>
      </c>
      <c r="M154" s="2">
        <v>2642700</v>
      </c>
    </row>
    <row r="155" spans="12:13" x14ac:dyDescent="0.25">
      <c r="L155" s="113">
        <v>45811</v>
      </c>
      <c r="M155" s="2">
        <v>2213336</v>
      </c>
    </row>
    <row r="156" spans="12:13" x14ac:dyDescent="0.25">
      <c r="L156" s="113">
        <v>45812</v>
      </c>
      <c r="M156" s="2">
        <v>2364375</v>
      </c>
    </row>
    <row r="157" spans="12:13" x14ac:dyDescent="0.25">
      <c r="L157" s="113">
        <v>45813</v>
      </c>
      <c r="M157" s="2">
        <v>2798927</v>
      </c>
    </row>
    <row r="158" spans="12:13" x14ac:dyDescent="0.25">
      <c r="L158" s="113">
        <v>45814</v>
      </c>
      <c r="M158" s="2">
        <v>2766521</v>
      </c>
    </row>
    <row r="159" spans="12:13" x14ac:dyDescent="0.25">
      <c r="L159" s="113">
        <v>45815</v>
      </c>
      <c r="M159" s="2">
        <v>2395746</v>
      </c>
    </row>
    <row r="160" spans="12:13" x14ac:dyDescent="0.25">
      <c r="L160" s="113">
        <v>45816</v>
      </c>
      <c r="M160" s="2">
        <v>2927145</v>
      </c>
    </row>
    <row r="161" spans="12:13" x14ac:dyDescent="0.25">
      <c r="L161" s="113">
        <v>45817</v>
      </c>
      <c r="M161" s="2">
        <v>2833198</v>
      </c>
    </row>
    <row r="162" spans="12:13" x14ac:dyDescent="0.25">
      <c r="L162" s="113">
        <v>45818</v>
      </c>
      <c r="M162" s="2">
        <v>2363770</v>
      </c>
    </row>
    <row r="163" spans="12:13" x14ac:dyDescent="0.25">
      <c r="L163" s="113">
        <v>45819</v>
      </c>
      <c r="M163" s="2">
        <v>2504337</v>
      </c>
    </row>
    <row r="164" spans="12:13" x14ac:dyDescent="0.25">
      <c r="L164" s="113">
        <v>45820</v>
      </c>
      <c r="M164" s="2">
        <v>2887798</v>
      </c>
    </row>
    <row r="165" spans="12:13" x14ac:dyDescent="0.25">
      <c r="L165" s="113">
        <v>45821</v>
      </c>
      <c r="M165" s="2">
        <v>2871959</v>
      </c>
    </row>
    <row r="166" spans="12:13" x14ac:dyDescent="0.25">
      <c r="L166" s="113">
        <v>45822</v>
      </c>
      <c r="M166" s="2">
        <v>2517202</v>
      </c>
    </row>
    <row r="167" spans="12:13" x14ac:dyDescent="0.25">
      <c r="L167" s="113">
        <v>45823</v>
      </c>
      <c r="M167" s="2">
        <v>2888821</v>
      </c>
    </row>
    <row r="168" spans="12:13" x14ac:dyDescent="0.25">
      <c r="L168" s="113">
        <v>45824</v>
      </c>
      <c r="M168" s="2">
        <v>2844254</v>
      </c>
    </row>
    <row r="169" spans="12:13" x14ac:dyDescent="0.25">
      <c r="L169" s="113">
        <v>45825</v>
      </c>
      <c r="M169" s="2">
        <v>2455696</v>
      </c>
    </row>
    <row r="170" spans="12:13" x14ac:dyDescent="0.25">
      <c r="L170" s="113">
        <v>45826</v>
      </c>
      <c r="M170" s="2">
        <v>2705355</v>
      </c>
    </row>
    <row r="171" spans="12:13" x14ac:dyDescent="0.25">
      <c r="L171" s="113">
        <v>45827</v>
      </c>
      <c r="M171" s="2">
        <v>2980935</v>
      </c>
    </row>
    <row r="172" spans="12:13" x14ac:dyDescent="0.25">
      <c r="L172" s="113">
        <v>45828</v>
      </c>
      <c r="M172" s="2">
        <v>2891240</v>
      </c>
    </row>
    <row r="173" spans="12:13" x14ac:dyDescent="0.25">
      <c r="L173" s="113">
        <v>45829</v>
      </c>
      <c r="M173" s="2">
        <v>2614464</v>
      </c>
    </row>
    <row r="174" spans="12:13" x14ac:dyDescent="0.25">
      <c r="L174" s="113">
        <v>45830</v>
      </c>
      <c r="M174" s="2">
        <v>3096797</v>
      </c>
    </row>
    <row r="175" spans="12:13" x14ac:dyDescent="0.25">
      <c r="L175" s="113">
        <v>45831</v>
      </c>
      <c r="M175" s="2">
        <v>2953905</v>
      </c>
    </row>
    <row r="176" spans="12:13" x14ac:dyDescent="0.25">
      <c r="L176" s="113">
        <v>45832</v>
      </c>
      <c r="M176" s="2">
        <v>2508733</v>
      </c>
    </row>
    <row r="177" spans="12:13" x14ac:dyDescent="0.25">
      <c r="L177" s="113">
        <v>45833</v>
      </c>
      <c r="M177" s="2">
        <v>2620696</v>
      </c>
    </row>
    <row r="178" spans="12:13" x14ac:dyDescent="0.25">
      <c r="L178" s="113">
        <v>45834</v>
      </c>
      <c r="M178" s="2">
        <v>2931282</v>
      </c>
    </row>
    <row r="179" spans="12:13" x14ac:dyDescent="0.25">
      <c r="L179" s="113">
        <v>45835</v>
      </c>
      <c r="M179" s="2">
        <v>2988614</v>
      </c>
    </row>
    <row r="180" spans="12:13" x14ac:dyDescent="0.25">
      <c r="L180" s="113">
        <v>45836</v>
      </c>
      <c r="M180" s="2">
        <v>2624407</v>
      </c>
    </row>
    <row r="181" spans="12:13" x14ac:dyDescent="0.25">
      <c r="L181" s="113">
        <v>45837</v>
      </c>
      <c r="M181" s="2">
        <v>2959224</v>
      </c>
    </row>
    <row r="182" spans="12:13" x14ac:dyDescent="0.25">
      <c r="L182" s="113">
        <v>45838</v>
      </c>
      <c r="M182" s="2">
        <v>2780012</v>
      </c>
    </row>
    <row r="183" spans="12:13" x14ac:dyDescent="0.25">
      <c r="L183" s="113">
        <v>45839</v>
      </c>
      <c r="M183" s="2">
        <v>2402675</v>
      </c>
    </row>
    <row r="184" spans="12:13" x14ac:dyDescent="0.25">
      <c r="L184" s="113">
        <v>45840</v>
      </c>
      <c r="M184" s="2">
        <v>2718537</v>
      </c>
    </row>
    <row r="185" spans="12:13" x14ac:dyDescent="0.25">
      <c r="L185" s="113">
        <v>45841</v>
      </c>
      <c r="M185" s="2">
        <v>2923234</v>
      </c>
    </row>
    <row r="186" spans="12:13" x14ac:dyDescent="0.25">
      <c r="L186" s="113">
        <v>45842</v>
      </c>
      <c r="M186" s="2">
        <v>2162755</v>
      </c>
    </row>
    <row r="187" spans="12:13" x14ac:dyDescent="0.25">
      <c r="L187" s="113">
        <v>45843</v>
      </c>
      <c r="M187" s="2">
        <v>2457591</v>
      </c>
    </row>
    <row r="188" spans="12:13" x14ac:dyDescent="0.25">
      <c r="L188" s="113">
        <v>45844</v>
      </c>
      <c r="M188" s="2">
        <v>3041954</v>
      </c>
    </row>
    <row r="189" spans="12:13" x14ac:dyDescent="0.25">
      <c r="L189" s="113">
        <v>45845</v>
      </c>
      <c r="M189" s="2">
        <v>2917942</v>
      </c>
    </row>
    <row r="190" spans="12:13" x14ac:dyDescent="0.25">
      <c r="L190" s="113">
        <v>45846</v>
      </c>
      <c r="M190" s="2">
        <v>2488332</v>
      </c>
    </row>
    <row r="191" spans="12:13" x14ac:dyDescent="0.25">
      <c r="L191" s="113">
        <v>45847</v>
      </c>
      <c r="M191" s="2">
        <v>2554687</v>
      </c>
    </row>
    <row r="192" spans="12:13" x14ac:dyDescent="0.25">
      <c r="L192" s="113">
        <v>45848</v>
      </c>
      <c r="M192" s="2">
        <v>2873682</v>
      </c>
    </row>
    <row r="193" spans="12:13" x14ac:dyDescent="0.25">
      <c r="L193" s="113">
        <v>45849</v>
      </c>
      <c r="M193" s="2">
        <v>2885953</v>
      </c>
    </row>
    <row r="194" spans="12:13" x14ac:dyDescent="0.25">
      <c r="L194" s="113">
        <v>45850</v>
      </c>
      <c r="M194" s="2">
        <v>2589889</v>
      </c>
    </row>
    <row r="195" spans="12:13" x14ac:dyDescent="0.25">
      <c r="L195" s="113">
        <v>45851</v>
      </c>
      <c r="M195" s="2">
        <v>3007773</v>
      </c>
    </row>
    <row r="196" spans="12:13" x14ac:dyDescent="0.25">
      <c r="L196" s="113">
        <v>45852</v>
      </c>
      <c r="M196" s="2">
        <v>2865292</v>
      </c>
    </row>
    <row r="197" spans="12:13" x14ac:dyDescent="0.25">
      <c r="L197" s="113">
        <v>45853</v>
      </c>
      <c r="M197" s="2">
        <v>2557900</v>
      </c>
    </row>
    <row r="198" spans="12:13" x14ac:dyDescent="0.25">
      <c r="L198" s="113">
        <v>45854</v>
      </c>
      <c r="M198" s="2">
        <v>2614183</v>
      </c>
    </row>
    <row r="199" spans="12:13" x14ac:dyDescent="0.25">
      <c r="L199" s="113">
        <v>45855</v>
      </c>
      <c r="M199" s="2">
        <v>2998225</v>
      </c>
    </row>
    <row r="200" spans="12:13" x14ac:dyDescent="0.25">
      <c r="L200" s="113">
        <v>45856</v>
      </c>
      <c r="M200" s="2">
        <v>2962082</v>
      </c>
    </row>
    <row r="201" spans="12:13" x14ac:dyDescent="0.25">
      <c r="L201" s="113">
        <v>45857</v>
      </c>
      <c r="M201" s="2">
        <v>2603307</v>
      </c>
    </row>
    <row r="202" spans="12:13" x14ac:dyDescent="0.25">
      <c r="L202" s="113">
        <v>45858</v>
      </c>
      <c r="M202" s="2">
        <v>3043973</v>
      </c>
    </row>
    <row r="203" spans="12:13" x14ac:dyDescent="0.25">
      <c r="L203" s="113">
        <v>45859</v>
      </c>
      <c r="M203" s="2">
        <v>2886647</v>
      </c>
    </row>
    <row r="204" spans="12:13" x14ac:dyDescent="0.25">
      <c r="L204" s="113">
        <v>45860</v>
      </c>
      <c r="M204" s="2">
        <v>2452271</v>
      </c>
    </row>
    <row r="205" spans="12:13" x14ac:dyDescent="0.25">
      <c r="L205" s="113">
        <v>45861</v>
      </c>
      <c r="M205" s="2">
        <v>2630151</v>
      </c>
    </row>
    <row r="206" spans="12:13" x14ac:dyDescent="0.25">
      <c r="L206" s="113">
        <v>45862</v>
      </c>
      <c r="M206" s="2">
        <v>2968866</v>
      </c>
    </row>
    <row r="207" spans="12:13" x14ac:dyDescent="0.25">
      <c r="L207" s="113">
        <v>45863</v>
      </c>
      <c r="M207" s="2">
        <v>2970569</v>
      </c>
    </row>
    <row r="208" spans="12:13" x14ac:dyDescent="0.25">
      <c r="L208" s="113">
        <v>45864</v>
      </c>
      <c r="M208" s="2">
        <v>2670276</v>
      </c>
    </row>
    <row r="209" spans="12:13" x14ac:dyDescent="0.25">
      <c r="L209" s="113">
        <v>45865</v>
      </c>
      <c r="M209" s="2">
        <v>3017861</v>
      </c>
    </row>
    <row r="210" spans="12:13" x14ac:dyDescent="0.25">
      <c r="L210" s="113">
        <v>45866</v>
      </c>
      <c r="M210" s="2">
        <v>2929749</v>
      </c>
    </row>
    <row r="211" spans="12:13" x14ac:dyDescent="0.25">
      <c r="L211" s="113">
        <v>45867</v>
      </c>
      <c r="M211" s="2">
        <v>2438933</v>
      </c>
    </row>
    <row r="212" spans="12:13" x14ac:dyDescent="0.25">
      <c r="L212" s="113">
        <v>45868</v>
      </c>
      <c r="M212" s="2">
        <v>2574917</v>
      </c>
    </row>
    <row r="213" spans="12:13" x14ac:dyDescent="0.25">
      <c r="L213" s="113">
        <v>45869</v>
      </c>
      <c r="M213" s="2">
        <v>2882829</v>
      </c>
    </row>
    <row r="214" spans="12:13" x14ac:dyDescent="0.25">
      <c r="L214" s="113">
        <v>45870</v>
      </c>
      <c r="M214" s="2">
        <v>2999166</v>
      </c>
    </row>
    <row r="215" spans="12:13" x14ac:dyDescent="0.25">
      <c r="L215" s="113">
        <v>45871</v>
      </c>
      <c r="M215" s="2">
        <v>2640741</v>
      </c>
    </row>
    <row r="216" spans="12:13" x14ac:dyDescent="0.25">
      <c r="L216" s="113">
        <v>45872</v>
      </c>
      <c r="M216" s="2">
        <v>2983755</v>
      </c>
    </row>
    <row r="217" spans="12:13" x14ac:dyDescent="0.25">
      <c r="L217" s="113">
        <v>45873</v>
      </c>
      <c r="M217" s="2">
        <v>2855684</v>
      </c>
    </row>
    <row r="218" spans="12:13" x14ac:dyDescent="0.25">
      <c r="L218" s="113">
        <v>45874</v>
      </c>
      <c r="M218" s="2">
        <v>2364019</v>
      </c>
    </row>
    <row r="219" spans="12:13" x14ac:dyDescent="0.25">
      <c r="L219" s="113">
        <v>45875</v>
      </c>
      <c r="M219" s="2">
        <v>2447464</v>
      </c>
    </row>
    <row r="220" spans="12:13" x14ac:dyDescent="0.25">
      <c r="L220" s="113">
        <v>45876</v>
      </c>
      <c r="M220" s="2">
        <v>2893814</v>
      </c>
    </row>
    <row r="221" spans="12:13" x14ac:dyDescent="0.25">
      <c r="L221" s="113">
        <v>45877</v>
      </c>
      <c r="M221" s="2">
        <v>2854458</v>
      </c>
    </row>
    <row r="222" spans="12:13" x14ac:dyDescent="0.25">
      <c r="L222" s="113">
        <v>45878</v>
      </c>
      <c r="M222" s="2">
        <v>2462226</v>
      </c>
    </row>
    <row r="223" spans="12:13" x14ac:dyDescent="0.25">
      <c r="L223" s="113">
        <v>45879</v>
      </c>
      <c r="M223" s="2">
        <v>2960755</v>
      </c>
    </row>
    <row r="224" spans="12:13" x14ac:dyDescent="0.25">
      <c r="L224" s="113">
        <v>45880</v>
      </c>
      <c r="M224" s="2">
        <v>2763999</v>
      </c>
    </row>
    <row r="225" spans="12:13" x14ac:dyDescent="0.25">
      <c r="L225" s="113">
        <v>45881</v>
      </c>
      <c r="M225" s="2">
        <v>2256579</v>
      </c>
    </row>
    <row r="226" spans="12:13" x14ac:dyDescent="0.25">
      <c r="L226" s="113">
        <v>45882</v>
      </c>
      <c r="M226" s="2">
        <v>2331562</v>
      </c>
    </row>
    <row r="227" spans="12:13" x14ac:dyDescent="0.25">
      <c r="L227" s="113">
        <v>45883</v>
      </c>
      <c r="M227" s="2">
        <v>2835968</v>
      </c>
    </row>
    <row r="228" spans="12:13" x14ac:dyDescent="0.25">
      <c r="L228" s="113">
        <v>45884</v>
      </c>
      <c r="M228" s="2">
        <v>2796277</v>
      </c>
    </row>
    <row r="229" spans="12:13" x14ac:dyDescent="0.25">
      <c r="L229" s="113">
        <v>45885</v>
      </c>
      <c r="M229" s="2">
        <v>2360294</v>
      </c>
    </row>
    <row r="230" spans="12:13" x14ac:dyDescent="0.25">
      <c r="L230" s="113">
        <v>45886</v>
      </c>
      <c r="M230" s="2">
        <v>2907660</v>
      </c>
    </row>
    <row r="231" spans="12:13" x14ac:dyDescent="0.25">
      <c r="L231" s="113">
        <v>45887</v>
      </c>
      <c r="M231" s="2">
        <v>2705168</v>
      </c>
    </row>
    <row r="232" spans="12:13" x14ac:dyDescent="0.25">
      <c r="L232" s="113">
        <v>45888</v>
      </c>
      <c r="M232" s="2">
        <v>2187411</v>
      </c>
    </row>
    <row r="233" spans="12:13" x14ac:dyDescent="0.25">
      <c r="L233" s="113">
        <v>45889</v>
      </c>
      <c r="M233" s="2">
        <v>2294086</v>
      </c>
    </row>
    <row r="234" spans="12:13" x14ac:dyDescent="0.25">
      <c r="L234" s="113">
        <v>45890</v>
      </c>
      <c r="M234" s="2">
        <v>2731931</v>
      </c>
    </row>
    <row r="235" spans="12:13" x14ac:dyDescent="0.25">
      <c r="L235" s="113">
        <v>45891</v>
      </c>
      <c r="M235" s="2">
        <v>2667258</v>
      </c>
    </row>
    <row r="236" spans="12:13" x14ac:dyDescent="0.25">
      <c r="L236" s="113">
        <v>45892</v>
      </c>
      <c r="M236" s="2">
        <v>2185460</v>
      </c>
    </row>
    <row r="237" spans="12:13" x14ac:dyDescent="0.25">
      <c r="L237" s="113">
        <v>45893</v>
      </c>
      <c r="M237" s="2">
        <v>2786648</v>
      </c>
    </row>
    <row r="238" spans="12:13" x14ac:dyDescent="0.25">
      <c r="L238" s="113">
        <v>45894</v>
      </c>
      <c r="M238" s="2">
        <v>2506611</v>
      </c>
    </row>
    <row r="239" spans="12:13" x14ac:dyDescent="0.25">
      <c r="L239" s="113">
        <v>45895</v>
      </c>
      <c r="M239" s="2">
        <v>1950994</v>
      </c>
    </row>
    <row r="240" spans="12:13" x14ac:dyDescent="0.25">
      <c r="L240" s="113">
        <v>45896</v>
      </c>
      <c r="M240" s="2">
        <v>2229905</v>
      </c>
    </row>
    <row r="241" spans="12:13" x14ac:dyDescent="0.25">
      <c r="L241" s="113">
        <v>45897</v>
      </c>
      <c r="M241" s="2">
        <v>2833316</v>
      </c>
    </row>
    <row r="242" spans="12:13" x14ac:dyDescent="0.25">
      <c r="L242" s="113">
        <v>45898</v>
      </c>
      <c r="M242" s="2">
        <v>2971455</v>
      </c>
    </row>
    <row r="243" spans="12:13" x14ac:dyDescent="0.25">
      <c r="L243" s="113">
        <v>45899</v>
      </c>
      <c r="M243" s="2">
        <v>2223191</v>
      </c>
    </row>
    <row r="244" spans="12:13" x14ac:dyDescent="0.25">
      <c r="L244" s="113">
        <v>45900</v>
      </c>
      <c r="M244" s="2">
        <v>2343216</v>
      </c>
    </row>
    <row r="245" spans="12:13" x14ac:dyDescent="0.25">
      <c r="L245" s="113">
        <v>45901</v>
      </c>
      <c r="M245" s="2">
        <v>2836013</v>
      </c>
    </row>
    <row r="246" spans="12:13" x14ac:dyDescent="0.25">
      <c r="L246" s="113">
        <v>45902</v>
      </c>
      <c r="M246" s="2">
        <v>2276201</v>
      </c>
    </row>
    <row r="247" spans="12:13" x14ac:dyDescent="0.25">
      <c r="L247" s="113">
        <v>45903</v>
      </c>
      <c r="M247" s="2">
        <v>1965954</v>
      </c>
    </row>
    <row r="248" spans="12:13" x14ac:dyDescent="0.25">
      <c r="L248" s="113">
        <v>45904</v>
      </c>
      <c r="M248" s="2">
        <v>2305882</v>
      </c>
    </row>
    <row r="249" spans="12:13" x14ac:dyDescent="0.25">
      <c r="L249" s="113">
        <v>45905</v>
      </c>
      <c r="M249" s="2">
        <v>2427350</v>
      </c>
    </row>
    <row r="250" spans="12:13" x14ac:dyDescent="0.25">
      <c r="L250" s="113">
        <v>45906</v>
      </c>
      <c r="M250" s="2">
        <v>1923040</v>
      </c>
    </row>
    <row r="251" spans="12:13" x14ac:dyDescent="0.25">
      <c r="L251" s="113">
        <v>45907</v>
      </c>
      <c r="M251" s="2">
        <v>2673762</v>
      </c>
    </row>
    <row r="252" spans="12:13" x14ac:dyDescent="0.25">
      <c r="L252" s="113">
        <v>45908</v>
      </c>
      <c r="M252" s="2">
        <v>2456693</v>
      </c>
    </row>
    <row r="253" spans="12:13" x14ac:dyDescent="0.25">
      <c r="L253" s="113">
        <v>45909</v>
      </c>
      <c r="M253" s="2">
        <v>1896803</v>
      </c>
    </row>
    <row r="254" spans="12:13" x14ac:dyDescent="0.25">
      <c r="L254" s="113">
        <v>45910</v>
      </c>
      <c r="M254" s="2">
        <v>2107833</v>
      </c>
    </row>
    <row r="255" spans="12:13" x14ac:dyDescent="0.25">
      <c r="L255" s="113">
        <v>45911</v>
      </c>
      <c r="M255" s="2">
        <v>2610925</v>
      </c>
    </row>
    <row r="256" spans="12:13" x14ac:dyDescent="0.25">
      <c r="L256" s="113">
        <v>45912</v>
      </c>
      <c r="M256" s="2">
        <v>2669713</v>
      </c>
    </row>
    <row r="257" spans="12:13" x14ac:dyDescent="0.25">
      <c r="L257" s="113">
        <v>45913</v>
      </c>
      <c r="M257" s="2">
        <v>2020113</v>
      </c>
    </row>
    <row r="258" spans="12:13" x14ac:dyDescent="0.25">
      <c r="L258" s="113">
        <v>45914</v>
      </c>
      <c r="M258" s="2">
        <v>2810804</v>
      </c>
    </row>
    <row r="259" spans="12:13" x14ac:dyDescent="0.25">
      <c r="L259" s="113">
        <v>45915</v>
      </c>
      <c r="M259" s="2">
        <v>2590221</v>
      </c>
    </row>
    <row r="260" spans="12:13" x14ac:dyDescent="0.25">
      <c r="L260" s="113">
        <v>45916</v>
      </c>
      <c r="M260" s="2">
        <v>2004769</v>
      </c>
    </row>
    <row r="261" spans="12:13" x14ac:dyDescent="0.25">
      <c r="L261" s="113">
        <v>45917</v>
      </c>
      <c r="M261" s="2">
        <v>2219220</v>
      </c>
    </row>
    <row r="262" spans="12:13" x14ac:dyDescent="0.25">
      <c r="L262" s="113">
        <v>45918</v>
      </c>
      <c r="M262" s="2">
        <v>2788191</v>
      </c>
    </row>
    <row r="263" spans="12:13" x14ac:dyDescent="0.25">
      <c r="L263" s="113">
        <v>45919</v>
      </c>
      <c r="M263" s="2">
        <v>2788902</v>
      </c>
    </row>
    <row r="264" spans="12:13" x14ac:dyDescent="0.25">
      <c r="L264" s="113">
        <v>45920</v>
      </c>
      <c r="M264" s="2">
        <v>2140805</v>
      </c>
    </row>
    <row r="265" spans="12:13" x14ac:dyDescent="0.25">
      <c r="L265" s="113">
        <v>45921</v>
      </c>
      <c r="M265" s="2">
        <v>2848945</v>
      </c>
    </row>
    <row r="266" spans="12:13" x14ac:dyDescent="0.25">
      <c r="L266" s="113">
        <v>45922</v>
      </c>
      <c r="M266" s="2">
        <v>2598440</v>
      </c>
    </row>
    <row r="267" spans="12:13" x14ac:dyDescent="0.25">
      <c r="L267" s="113">
        <v>45923</v>
      </c>
      <c r="M267" s="2">
        <v>1975026</v>
      </c>
    </row>
    <row r="268" spans="12:13" x14ac:dyDescent="0.25">
      <c r="L268" s="113">
        <v>45924</v>
      </c>
      <c r="M268" s="2">
        <v>2165846</v>
      </c>
    </row>
    <row r="269" spans="12:13" x14ac:dyDescent="0.25">
      <c r="L269" s="113">
        <v>45925</v>
      </c>
      <c r="M269" s="2">
        <v>2739357</v>
      </c>
    </row>
    <row r="270" spans="12:13" x14ac:dyDescent="0.25">
      <c r="L270" s="113">
        <v>45926</v>
      </c>
      <c r="M270" s="2">
        <v>2741844</v>
      </c>
    </row>
    <row r="271" spans="12:13" x14ac:dyDescent="0.25">
      <c r="L271" s="113">
        <v>45927</v>
      </c>
      <c r="M271" s="2">
        <v>2083134</v>
      </c>
    </row>
    <row r="272" spans="12:13" x14ac:dyDescent="0.25">
      <c r="L272" s="113">
        <v>45928</v>
      </c>
      <c r="M272" s="2">
        <v>2843311</v>
      </c>
    </row>
    <row r="273" spans="12:13" x14ac:dyDescent="0.25">
      <c r="L273" s="113">
        <v>45929</v>
      </c>
      <c r="M273" s="2">
        <v>2577248</v>
      </c>
    </row>
    <row r="274" spans="12:13" x14ac:dyDescent="0.25">
      <c r="L274" s="113">
        <v>45930</v>
      </c>
      <c r="M274" s="2">
        <v>2005123</v>
      </c>
    </row>
    <row r="275" spans="12:13" x14ac:dyDescent="0.25">
      <c r="L275" s="113">
        <v>45931</v>
      </c>
      <c r="M275" s="2">
        <v>2199312</v>
      </c>
    </row>
    <row r="276" spans="12:13" x14ac:dyDescent="0.25">
      <c r="L276" s="113">
        <v>45932</v>
      </c>
      <c r="M276" s="2">
        <v>2673111</v>
      </c>
    </row>
    <row r="277" spans="12:13" x14ac:dyDescent="0.25">
      <c r="L277" s="113">
        <v>45933</v>
      </c>
      <c r="M277" s="2">
        <v>2697756</v>
      </c>
    </row>
    <row r="278" spans="12:13" x14ac:dyDescent="0.25">
      <c r="L278" s="113">
        <v>45934</v>
      </c>
      <c r="M278" s="2">
        <v>2091602</v>
      </c>
    </row>
    <row r="279" spans="12:13" x14ac:dyDescent="0.25">
      <c r="L279" s="113">
        <v>45935</v>
      </c>
      <c r="M279" s="2">
        <v>2901606</v>
      </c>
    </row>
    <row r="280" spans="12:13" x14ac:dyDescent="0.25">
      <c r="L280" s="113">
        <v>45936</v>
      </c>
      <c r="M280" s="2">
        <v>2686873</v>
      </c>
    </row>
    <row r="281" spans="12:13" x14ac:dyDescent="0.25">
      <c r="L281" s="113">
        <v>45937</v>
      </c>
      <c r="M281" s="2">
        <v>2104449</v>
      </c>
    </row>
    <row r="282" spans="12:13" x14ac:dyDescent="0.25">
      <c r="L282" s="113">
        <v>45938</v>
      </c>
      <c r="M282" s="2">
        <v>2417075</v>
      </c>
    </row>
    <row r="283" spans="12:13" x14ac:dyDescent="0.25">
      <c r="L283" s="113">
        <v>45939</v>
      </c>
      <c r="M283" s="2">
        <v>2975982</v>
      </c>
    </row>
    <row r="284" spans="12:13" x14ac:dyDescent="0.25">
      <c r="L284" s="113">
        <v>45940</v>
      </c>
      <c r="M284" s="2">
        <v>3017612</v>
      </c>
    </row>
    <row r="285" spans="12:13" x14ac:dyDescent="0.25">
      <c r="L285" s="113">
        <v>45941</v>
      </c>
      <c r="M285" s="2">
        <v>2381106</v>
      </c>
    </row>
    <row r="286" spans="12:13" x14ac:dyDescent="0.25">
      <c r="L286" s="113">
        <v>45942</v>
      </c>
      <c r="M286" s="2">
        <v>2951273</v>
      </c>
    </row>
    <row r="287" spans="12:13" x14ac:dyDescent="0.25">
      <c r="L287" s="113">
        <v>45943</v>
      </c>
      <c r="M287" s="2">
        <v>2874884</v>
      </c>
    </row>
    <row r="288" spans="12:13" x14ac:dyDescent="0.25">
      <c r="L288" s="113">
        <v>45944</v>
      </c>
      <c r="M288" s="2">
        <v>2413133</v>
      </c>
    </row>
    <row r="289" spans="12:13" x14ac:dyDescent="0.25">
      <c r="L289" s="113">
        <v>45945</v>
      </c>
      <c r="M289" s="2">
        <v>2438918</v>
      </c>
    </row>
    <row r="290" spans="12:13" x14ac:dyDescent="0.25">
      <c r="L290" s="113">
        <v>45946</v>
      </c>
      <c r="M290" s="2">
        <v>2901650</v>
      </c>
    </row>
    <row r="291" spans="12:13" x14ac:dyDescent="0.25">
      <c r="L291" s="113">
        <v>45947</v>
      </c>
      <c r="M291" s="2">
        <v>2878950</v>
      </c>
    </row>
    <row r="292" spans="12:13" x14ac:dyDescent="0.25">
      <c r="L292" s="113">
        <v>45948</v>
      </c>
      <c r="M292" s="2">
        <v>2268485</v>
      </c>
    </row>
    <row r="293" spans="12:13" x14ac:dyDescent="0.25">
      <c r="L293" s="113">
        <v>45949</v>
      </c>
      <c r="M293" s="2">
        <v>2988255</v>
      </c>
    </row>
    <row r="294" spans="12:13" x14ac:dyDescent="0.25">
      <c r="L294" s="113">
        <v>45950</v>
      </c>
      <c r="M294" s="2">
        <v>2794820</v>
      </c>
    </row>
    <row r="295" spans="12:13" x14ac:dyDescent="0.25">
      <c r="L295" s="113">
        <v>45951</v>
      </c>
      <c r="M295" s="2">
        <v>2141971</v>
      </c>
    </row>
    <row r="296" spans="12:13" x14ac:dyDescent="0.25">
      <c r="L296" s="113">
        <v>45952</v>
      </c>
      <c r="M296" s="2">
        <v>2278249</v>
      </c>
    </row>
    <row r="297" spans="12:13" x14ac:dyDescent="0.25">
      <c r="L297" s="113">
        <v>45953</v>
      </c>
      <c r="M297" s="2">
        <v>2780271</v>
      </c>
    </row>
    <row r="298" spans="12:13" x14ac:dyDescent="0.25">
      <c r="L298" s="113">
        <v>45954</v>
      </c>
      <c r="M298" s="2">
        <v>2773635</v>
      </c>
    </row>
    <row r="299" spans="12:13" x14ac:dyDescent="0.25">
      <c r="L299" s="113">
        <v>45955</v>
      </c>
      <c r="M299" s="2">
        <v>2126979</v>
      </c>
    </row>
    <row r="300" spans="12:13" x14ac:dyDescent="0.25">
      <c r="L300" s="113">
        <v>45956</v>
      </c>
      <c r="M300" s="2">
        <v>2859222</v>
      </c>
    </row>
    <row r="301" spans="12:13" x14ac:dyDescent="0.25">
      <c r="L301" s="113">
        <v>45957</v>
      </c>
      <c r="M301" s="2">
        <v>2636402</v>
      </c>
    </row>
    <row r="302" spans="12:13" x14ac:dyDescent="0.25">
      <c r="L302" s="113">
        <v>45958</v>
      </c>
      <c r="M302" s="2">
        <v>1945466</v>
      </c>
    </row>
    <row r="303" spans="12:13" x14ac:dyDescent="0.25">
      <c r="L303" s="113">
        <v>45959</v>
      </c>
      <c r="M303" s="2">
        <v>2087383</v>
      </c>
    </row>
    <row r="304" spans="12:13" x14ac:dyDescent="0.25">
      <c r="L304" s="113">
        <v>45960</v>
      </c>
      <c r="M304" s="2">
        <v>2532054</v>
      </c>
    </row>
    <row r="305" spans="12:13" x14ac:dyDescent="0.25">
      <c r="L305" s="113">
        <v>45961</v>
      </c>
      <c r="M305" s="2">
        <v>2280607</v>
      </c>
    </row>
    <row r="306" spans="12:13" x14ac:dyDescent="0.25">
      <c r="L306" s="113">
        <v>45962</v>
      </c>
      <c r="M306" s="2">
        <v>2029708</v>
      </c>
    </row>
    <row r="307" spans="12:13" x14ac:dyDescent="0.25">
      <c r="L307" s="113">
        <v>45963</v>
      </c>
      <c r="M307" s="2">
        <v>2678442</v>
      </c>
    </row>
    <row r="308" spans="12:13" x14ac:dyDescent="0.25">
      <c r="L308" s="113">
        <v>45964</v>
      </c>
      <c r="M308" s="2">
        <v>2492532</v>
      </c>
    </row>
    <row r="309" spans="12:13" x14ac:dyDescent="0.25">
      <c r="L309" s="113">
        <v>45965</v>
      </c>
      <c r="M309" s="2">
        <v>2015706</v>
      </c>
    </row>
    <row r="310" spans="12:13" x14ac:dyDescent="0.25">
      <c r="L310" s="113">
        <v>45966</v>
      </c>
      <c r="M310" s="2">
        <v>2162311</v>
      </c>
    </row>
    <row r="311" spans="12:13" x14ac:dyDescent="0.25">
      <c r="L311" s="113">
        <v>45967</v>
      </c>
      <c r="M311" s="2">
        <v>2704209</v>
      </c>
    </row>
    <row r="312" spans="12:13" x14ac:dyDescent="0.25">
      <c r="L312" s="113">
        <v>45968</v>
      </c>
      <c r="M312" s="2">
        <v>2645578</v>
      </c>
    </row>
    <row r="313" spans="12:13" x14ac:dyDescent="0.25">
      <c r="L313" s="113">
        <v>45969</v>
      </c>
      <c r="M313" s="2">
        <v>2080116</v>
      </c>
    </row>
    <row r="314" spans="12:13" x14ac:dyDescent="0.25">
      <c r="L314" s="113">
        <v>45970</v>
      </c>
      <c r="M314" s="2">
        <v>2631788</v>
      </c>
    </row>
    <row r="315" spans="12:13" x14ac:dyDescent="0.25">
      <c r="L315" s="113">
        <v>45971</v>
      </c>
      <c r="M315" s="2">
        <v>2488335</v>
      </c>
    </row>
    <row r="316" spans="12:13" x14ac:dyDescent="0.25">
      <c r="L316" s="113">
        <v>45972</v>
      </c>
      <c r="M316" s="2">
        <v>2054768</v>
      </c>
    </row>
    <row r="317" spans="12:13" x14ac:dyDescent="0.25">
      <c r="L317" s="113">
        <v>45973</v>
      </c>
      <c r="M317" s="2">
        <v>1996069</v>
      </c>
    </row>
    <row r="318" spans="12:13" x14ac:dyDescent="0.25">
      <c r="L318" s="113">
        <v>45974</v>
      </c>
      <c r="M318" s="2">
        <v>2434496</v>
      </c>
    </row>
    <row r="319" spans="12:13" x14ac:dyDescent="0.25">
      <c r="L319" s="113">
        <v>45975</v>
      </c>
      <c r="M319" s="2">
        <v>2456308</v>
      </c>
    </row>
    <row r="320" spans="12:13" x14ac:dyDescent="0.25">
      <c r="L320" s="113">
        <v>45976</v>
      </c>
      <c r="M320" s="2">
        <v>1902157</v>
      </c>
    </row>
    <row r="321" spans="12:13" x14ac:dyDescent="0.25">
      <c r="L321" s="113">
        <v>45977</v>
      </c>
      <c r="M321" s="2">
        <v>2604321</v>
      </c>
    </row>
    <row r="322" spans="12:13" x14ac:dyDescent="0.25">
      <c r="L322" s="113">
        <v>45978</v>
      </c>
      <c r="M322" s="2">
        <v>2349327</v>
      </c>
    </row>
    <row r="323" spans="12:13" x14ac:dyDescent="0.25">
      <c r="L323" s="113">
        <v>45979</v>
      </c>
      <c r="M323" s="2">
        <v>1816617</v>
      </c>
    </row>
    <row r="324" spans="12:13" x14ac:dyDescent="0.25">
      <c r="L324" s="113">
        <v>45980</v>
      </c>
      <c r="M324" s="2">
        <v>2073637</v>
      </c>
    </row>
    <row r="325" spans="12:13" x14ac:dyDescent="0.25">
      <c r="L325" s="113">
        <v>45981</v>
      </c>
      <c r="M325" s="2">
        <v>2493511</v>
      </c>
    </row>
    <row r="326" spans="12:13" x14ac:dyDescent="0.25">
      <c r="L326" s="113">
        <v>45982</v>
      </c>
      <c r="M326" s="2">
        <v>2792495</v>
      </c>
    </row>
    <row r="327" spans="12:13" x14ac:dyDescent="0.25">
      <c r="L327" s="113">
        <v>45983</v>
      </c>
      <c r="M327" s="2">
        <v>2482593</v>
      </c>
    </row>
    <row r="328" spans="12:13" x14ac:dyDescent="0.25">
      <c r="L328" s="113">
        <v>45984</v>
      </c>
      <c r="M328" s="2">
        <v>2617142</v>
      </c>
    </row>
    <row r="329" spans="12:13" x14ac:dyDescent="0.25">
      <c r="L329" s="113">
        <v>45985</v>
      </c>
      <c r="M329" s="2">
        <v>2563877</v>
      </c>
    </row>
    <row r="330" spans="12:13" x14ac:dyDescent="0.25">
      <c r="L330" s="113">
        <v>45986</v>
      </c>
      <c r="M330" s="2">
        <v>2675261</v>
      </c>
    </row>
    <row r="331" spans="12:13" x14ac:dyDescent="0.25">
      <c r="L331" s="113">
        <v>45987</v>
      </c>
      <c r="M331" s="2">
        <v>2753036</v>
      </c>
    </row>
    <row r="332" spans="12:13" x14ac:dyDescent="0.25">
      <c r="L332" s="113">
        <v>45988</v>
      </c>
      <c r="M332" s="2">
        <v>1559165</v>
      </c>
    </row>
    <row r="333" spans="12:13" x14ac:dyDescent="0.25">
      <c r="L333" s="113">
        <v>45989</v>
      </c>
      <c r="M333" s="2">
        <v>2392036</v>
      </c>
    </row>
    <row r="334" spans="12:13" x14ac:dyDescent="0.25">
      <c r="L334" s="113">
        <v>45990</v>
      </c>
      <c r="M334" s="2">
        <v>2696816</v>
      </c>
    </row>
    <row r="335" spans="12:13" x14ac:dyDescent="0.25">
      <c r="L335" s="113">
        <v>45991</v>
      </c>
      <c r="M335" s="2">
        <v>3134613</v>
      </c>
    </row>
    <row r="336" spans="12:13" x14ac:dyDescent="0.25">
      <c r="L336" s="113">
        <v>45992</v>
      </c>
      <c r="M336" s="2">
        <v>2893451</v>
      </c>
    </row>
    <row r="337" spans="12:13" x14ac:dyDescent="0.25">
      <c r="L337" s="113">
        <v>45993</v>
      </c>
      <c r="M337" s="2">
        <v>2233828</v>
      </c>
    </row>
    <row r="338" spans="12:13" x14ac:dyDescent="0.25">
      <c r="L338" s="113">
        <v>45994</v>
      </c>
      <c r="M338" s="2">
        <v>2125688</v>
      </c>
    </row>
    <row r="339" spans="12:13" x14ac:dyDescent="0.25">
      <c r="L339" s="113">
        <v>45995</v>
      </c>
      <c r="M339" s="2">
        <v>2437542</v>
      </c>
    </row>
    <row r="340" spans="12:13" x14ac:dyDescent="0.25">
      <c r="L340" s="113">
        <v>45996</v>
      </c>
      <c r="M340" s="2">
        <v>2456311</v>
      </c>
    </row>
    <row r="341" spans="12:13" x14ac:dyDescent="0.25">
      <c r="L341" s="113">
        <v>45997</v>
      </c>
      <c r="M341" s="2">
        <v>1987785</v>
      </c>
    </row>
    <row r="342" spans="12:13" x14ac:dyDescent="0.25">
      <c r="L342" s="113">
        <v>45998</v>
      </c>
      <c r="M342" s="2">
        <v>2597892</v>
      </c>
    </row>
    <row r="343" spans="12:13" x14ac:dyDescent="0.25">
      <c r="L343" s="113">
        <v>45999</v>
      </c>
      <c r="M343" s="2">
        <v>2470751</v>
      </c>
    </row>
    <row r="344" spans="12:13" x14ac:dyDescent="0.25">
      <c r="L344" s="113">
        <v>46000</v>
      </c>
      <c r="M344" s="2">
        <v>1977202</v>
      </c>
    </row>
    <row r="345" spans="12:13" x14ac:dyDescent="0.25">
      <c r="L345" s="113">
        <v>46001</v>
      </c>
      <c r="M345" s="2">
        <v>2160994</v>
      </c>
    </row>
    <row r="346" spans="12:13" x14ac:dyDescent="0.25">
      <c r="L346" s="113">
        <v>46002</v>
      </c>
      <c r="M346" s="2">
        <v>2584914</v>
      </c>
    </row>
    <row r="347" spans="12:13" x14ac:dyDescent="0.25">
      <c r="L347" s="113">
        <v>46003</v>
      </c>
      <c r="M347" s="2">
        <v>2651654</v>
      </c>
    </row>
    <row r="348" spans="12:13" x14ac:dyDescent="0.25">
      <c r="L348" s="113">
        <v>46004</v>
      </c>
      <c r="M348" s="2">
        <v>2157148</v>
      </c>
    </row>
    <row r="349" spans="12:13" x14ac:dyDescent="0.25">
      <c r="L349" s="113">
        <v>46005</v>
      </c>
      <c r="M349" s="2">
        <v>2586427</v>
      </c>
    </row>
    <row r="350" spans="12:13" x14ac:dyDescent="0.25">
      <c r="L350" s="113">
        <v>46006</v>
      </c>
      <c r="M350" s="2">
        <v>2503757</v>
      </c>
    </row>
    <row r="351" spans="12:13" x14ac:dyDescent="0.25">
      <c r="L351" s="113">
        <v>46007</v>
      </c>
      <c r="M351" s="2">
        <v>2047653</v>
      </c>
    </row>
    <row r="352" spans="12:13" x14ac:dyDescent="0.25">
      <c r="L352" s="113">
        <v>46008</v>
      </c>
      <c r="M352" s="2">
        <v>2271960</v>
      </c>
    </row>
    <row r="353" spans="12:13" x14ac:dyDescent="0.25">
      <c r="L353" s="113">
        <v>46009</v>
      </c>
      <c r="M353" s="2">
        <v>2637016</v>
      </c>
    </row>
    <row r="354" spans="12:13" x14ac:dyDescent="0.25">
      <c r="L354" s="113">
        <v>46010</v>
      </c>
      <c r="M354" s="2">
        <v>2824905</v>
      </c>
    </row>
    <row r="355" spans="12:13" x14ac:dyDescent="0.25">
      <c r="L355" s="113">
        <v>46011</v>
      </c>
      <c r="M355" s="2">
        <v>2748731</v>
      </c>
    </row>
    <row r="356" spans="12:13" x14ac:dyDescent="0.25">
      <c r="L356" s="113">
        <v>46012</v>
      </c>
      <c r="M356" s="2">
        <v>2769228</v>
      </c>
    </row>
    <row r="357" spans="12:13" x14ac:dyDescent="0.25">
      <c r="L357" s="113">
        <v>46013</v>
      </c>
      <c r="M357" s="2">
        <v>2795090</v>
      </c>
    </row>
    <row r="358" spans="12:13" x14ac:dyDescent="0.25">
      <c r="L358" s="113">
        <v>46014</v>
      </c>
      <c r="M358" s="2">
        <v>2822653</v>
      </c>
    </row>
    <row r="359" spans="12:13" x14ac:dyDescent="0.25">
      <c r="L359" s="113">
        <v>46015</v>
      </c>
      <c r="M359" s="2">
        <v>2236205</v>
      </c>
    </row>
    <row r="360" spans="12:13" x14ac:dyDescent="0.25">
      <c r="L360" s="113">
        <v>46016</v>
      </c>
      <c r="M360" s="2">
        <v>2066118</v>
      </c>
    </row>
    <row r="361" spans="12:13" x14ac:dyDescent="0.25">
      <c r="L361" s="113">
        <v>46017</v>
      </c>
      <c r="M361" s="2">
        <v>2716278</v>
      </c>
    </row>
    <row r="362" spans="12:13" x14ac:dyDescent="0.25">
      <c r="L362" s="113">
        <v>46018</v>
      </c>
      <c r="M362" s="2">
        <v>2804814</v>
      </c>
    </row>
    <row r="363" spans="12:13" x14ac:dyDescent="0.25">
      <c r="L363" s="113">
        <v>46019</v>
      </c>
      <c r="M363" s="2">
        <v>2924593</v>
      </c>
    </row>
    <row r="364" spans="12:13" x14ac:dyDescent="0.25">
      <c r="L364" s="113">
        <v>46020</v>
      </c>
      <c r="M364" s="2">
        <v>2811757</v>
      </c>
    </row>
    <row r="365" spans="12:13" x14ac:dyDescent="0.25">
      <c r="L365" s="113">
        <v>46021</v>
      </c>
      <c r="M365" s="2">
        <v>2827572</v>
      </c>
    </row>
    <row r="366" spans="12:13" x14ac:dyDescent="0.25">
      <c r="L366" s="113">
        <v>46022</v>
      </c>
      <c r="M366" s="2">
        <v>2291360</v>
      </c>
    </row>
    <row r="367" spans="12:13" x14ac:dyDescent="0.25">
      <c r="L367" s="113">
        <v>45292</v>
      </c>
      <c r="M367" s="2">
        <v>2303507</v>
      </c>
    </row>
    <row r="368" spans="12:13" x14ac:dyDescent="0.25">
      <c r="L368" s="113">
        <v>45293</v>
      </c>
      <c r="M368" s="2">
        <v>2555447</v>
      </c>
    </row>
    <row r="369" spans="12:13" x14ac:dyDescent="0.25">
      <c r="L369" s="113">
        <v>45294</v>
      </c>
      <c r="M369" s="2">
        <v>2418600</v>
      </c>
    </row>
    <row r="370" spans="12:13" x14ac:dyDescent="0.25">
      <c r="L370" s="113">
        <v>45295</v>
      </c>
      <c r="M370" s="2">
        <v>2281402</v>
      </c>
    </row>
    <row r="371" spans="12:13" x14ac:dyDescent="0.25">
      <c r="L371" s="113">
        <v>45296</v>
      </c>
      <c r="M371" s="2">
        <v>2279609</v>
      </c>
    </row>
    <row r="372" spans="12:13" x14ac:dyDescent="0.25">
      <c r="L372" s="113">
        <v>45297</v>
      </c>
      <c r="M372" s="2">
        <v>2198958</v>
      </c>
    </row>
    <row r="373" spans="12:13" x14ac:dyDescent="0.25">
      <c r="L373" s="113">
        <v>45298</v>
      </c>
      <c r="M373" s="2">
        <v>2380127</v>
      </c>
    </row>
    <row r="374" spans="12:13" x14ac:dyDescent="0.25">
      <c r="L374" s="113">
        <v>45299</v>
      </c>
      <c r="M374" s="2">
        <v>2193524</v>
      </c>
    </row>
    <row r="375" spans="12:13" x14ac:dyDescent="0.25">
      <c r="L375" s="113">
        <v>45300</v>
      </c>
      <c r="M375" s="2">
        <v>1774066</v>
      </c>
    </row>
    <row r="376" spans="12:13" x14ac:dyDescent="0.25">
      <c r="L376" s="113">
        <v>45301</v>
      </c>
      <c r="M376" s="2">
        <v>1934765</v>
      </c>
    </row>
    <row r="377" spans="12:13" x14ac:dyDescent="0.25">
      <c r="L377" s="113">
        <v>45302</v>
      </c>
      <c r="M377" s="2">
        <v>2300884</v>
      </c>
    </row>
    <row r="378" spans="12:13" x14ac:dyDescent="0.25">
      <c r="L378" s="113">
        <v>45303</v>
      </c>
      <c r="M378" s="2">
        <v>2326842</v>
      </c>
    </row>
    <row r="379" spans="12:13" x14ac:dyDescent="0.25">
      <c r="L379" s="113">
        <v>45304</v>
      </c>
      <c r="M379" s="2">
        <v>1914063</v>
      </c>
    </row>
    <row r="380" spans="12:13" x14ac:dyDescent="0.25">
      <c r="L380" s="113">
        <v>45305</v>
      </c>
      <c r="M380" s="2">
        <v>2116540</v>
      </c>
    </row>
    <row r="381" spans="12:13" x14ac:dyDescent="0.25">
      <c r="L381" s="113">
        <v>45306</v>
      </c>
      <c r="M381" s="2">
        <v>2214409</v>
      </c>
    </row>
    <row r="382" spans="12:13" x14ac:dyDescent="0.25">
      <c r="L382" s="113">
        <v>45307</v>
      </c>
      <c r="M382" s="2">
        <v>1864219</v>
      </c>
    </row>
    <row r="383" spans="12:13" x14ac:dyDescent="0.25">
      <c r="L383" s="113">
        <v>45308</v>
      </c>
      <c r="M383" s="2">
        <v>1857915</v>
      </c>
    </row>
    <row r="384" spans="12:13" x14ac:dyDescent="0.25">
      <c r="L384" s="113">
        <v>45309</v>
      </c>
      <c r="M384" s="2">
        <v>2104712</v>
      </c>
    </row>
    <row r="385" spans="12:13" x14ac:dyDescent="0.25">
      <c r="L385" s="113">
        <v>45310</v>
      </c>
      <c r="M385" s="2">
        <v>2094212</v>
      </c>
    </row>
    <row r="386" spans="12:13" x14ac:dyDescent="0.25">
      <c r="L386" s="113">
        <v>45311</v>
      </c>
      <c r="M386" s="2">
        <v>1753693</v>
      </c>
    </row>
    <row r="387" spans="12:13" x14ac:dyDescent="0.25">
      <c r="L387" s="113">
        <v>45312</v>
      </c>
      <c r="M387" s="2">
        <v>2243155</v>
      </c>
    </row>
    <row r="388" spans="12:13" x14ac:dyDescent="0.25">
      <c r="L388" s="113">
        <v>45313</v>
      </c>
      <c r="M388" s="2">
        <v>2053656</v>
      </c>
    </row>
    <row r="389" spans="12:13" x14ac:dyDescent="0.25">
      <c r="L389" s="113">
        <v>45314</v>
      </c>
      <c r="M389" s="2">
        <v>1610765</v>
      </c>
    </row>
    <row r="390" spans="12:13" x14ac:dyDescent="0.25">
      <c r="L390" s="113">
        <v>45315</v>
      </c>
      <c r="M390" s="2">
        <v>1815119</v>
      </c>
    </row>
    <row r="391" spans="12:13" x14ac:dyDescent="0.25">
      <c r="L391" s="113">
        <v>45316</v>
      </c>
      <c r="M391" s="2">
        <v>2232670</v>
      </c>
    </row>
    <row r="392" spans="12:13" x14ac:dyDescent="0.25">
      <c r="L392" s="113">
        <v>45317</v>
      </c>
      <c r="M392" s="2">
        <v>2278406</v>
      </c>
    </row>
    <row r="393" spans="12:13" x14ac:dyDescent="0.25">
      <c r="L393" s="113">
        <v>45318</v>
      </c>
      <c r="M393" s="2">
        <v>1772563</v>
      </c>
    </row>
    <row r="394" spans="12:13" x14ac:dyDescent="0.25">
      <c r="L394" s="113">
        <v>45319</v>
      </c>
      <c r="M394" s="2">
        <v>2261245</v>
      </c>
    </row>
    <row r="395" spans="12:13" x14ac:dyDescent="0.25">
      <c r="L395" s="113">
        <v>45320</v>
      </c>
      <c r="M395" s="2">
        <v>2077644</v>
      </c>
    </row>
    <row r="396" spans="12:13" x14ac:dyDescent="0.25">
      <c r="L396" s="113">
        <v>45321</v>
      </c>
      <c r="M396" s="2">
        <v>1617523</v>
      </c>
    </row>
    <row r="397" spans="12:13" x14ac:dyDescent="0.25">
      <c r="L397" s="113">
        <v>45322</v>
      </c>
      <c r="M397" s="2">
        <v>1817011</v>
      </c>
    </row>
    <row r="398" spans="12:13" x14ac:dyDescent="0.25">
      <c r="L398" s="113">
        <v>45323</v>
      </c>
      <c r="M398" s="2">
        <v>2203945</v>
      </c>
    </row>
    <row r="399" spans="12:13" x14ac:dyDescent="0.25">
      <c r="L399" s="113">
        <v>45324</v>
      </c>
      <c r="M399" s="2">
        <v>2208138</v>
      </c>
    </row>
    <row r="400" spans="12:13" x14ac:dyDescent="0.25">
      <c r="L400" s="113">
        <v>45325</v>
      </c>
      <c r="M400" s="2">
        <v>1752024</v>
      </c>
    </row>
    <row r="401" spans="12:13" x14ac:dyDescent="0.25">
      <c r="L401" s="113">
        <v>45326</v>
      </c>
      <c r="M401" s="2">
        <v>2281882</v>
      </c>
    </row>
    <row r="402" spans="12:13" x14ac:dyDescent="0.25">
      <c r="L402" s="113">
        <v>45327</v>
      </c>
      <c r="M402" s="2">
        <v>2160140</v>
      </c>
    </row>
    <row r="403" spans="12:13" x14ac:dyDescent="0.25">
      <c r="L403" s="113">
        <v>45328</v>
      </c>
      <c r="M403" s="2">
        <v>1695022</v>
      </c>
    </row>
    <row r="404" spans="12:13" x14ac:dyDescent="0.25">
      <c r="L404" s="113">
        <v>45329</v>
      </c>
      <c r="M404" s="2">
        <v>1880126</v>
      </c>
    </row>
    <row r="405" spans="12:13" x14ac:dyDescent="0.25">
      <c r="L405" s="113">
        <v>45330</v>
      </c>
      <c r="M405" s="2">
        <v>2305984</v>
      </c>
    </row>
    <row r="406" spans="12:13" x14ac:dyDescent="0.25">
      <c r="L406" s="113">
        <v>45331</v>
      </c>
      <c r="M406" s="2">
        <v>2369929</v>
      </c>
    </row>
    <row r="407" spans="12:13" x14ac:dyDescent="0.25">
      <c r="L407" s="113">
        <v>45332</v>
      </c>
      <c r="M407" s="2">
        <v>1883035</v>
      </c>
    </row>
    <row r="408" spans="12:13" x14ac:dyDescent="0.25">
      <c r="L408" s="113">
        <v>45333</v>
      </c>
      <c r="M408" s="2">
        <v>2196980</v>
      </c>
    </row>
    <row r="409" spans="12:13" x14ac:dyDescent="0.25">
      <c r="L409" s="113">
        <v>45334</v>
      </c>
      <c r="M409" s="2">
        <v>2283725</v>
      </c>
    </row>
    <row r="410" spans="12:13" x14ac:dyDescent="0.25">
      <c r="L410" s="113">
        <v>45335</v>
      </c>
      <c r="M410" s="2">
        <v>1754659</v>
      </c>
    </row>
    <row r="411" spans="12:13" x14ac:dyDescent="0.25">
      <c r="L411" s="113">
        <v>45336</v>
      </c>
      <c r="M411" s="2">
        <v>2021114</v>
      </c>
    </row>
    <row r="412" spans="12:13" x14ac:dyDescent="0.25">
      <c r="L412" s="113">
        <v>45337</v>
      </c>
      <c r="M412" s="2">
        <v>2515629</v>
      </c>
    </row>
    <row r="413" spans="12:13" x14ac:dyDescent="0.25">
      <c r="L413" s="113">
        <v>45338</v>
      </c>
      <c r="M413" s="2">
        <v>2615463</v>
      </c>
    </row>
    <row r="414" spans="12:13" x14ac:dyDescent="0.25">
      <c r="L414" s="113">
        <v>45339</v>
      </c>
      <c r="M414" s="2">
        <v>2159328</v>
      </c>
    </row>
    <row r="415" spans="12:13" x14ac:dyDescent="0.25">
      <c r="L415" s="113">
        <v>45340</v>
      </c>
      <c r="M415" s="2">
        <v>2474646</v>
      </c>
    </row>
    <row r="416" spans="12:13" x14ac:dyDescent="0.25">
      <c r="L416" s="113">
        <v>45341</v>
      </c>
      <c r="M416" s="2">
        <v>2606125</v>
      </c>
    </row>
    <row r="417" spans="12:13" x14ac:dyDescent="0.25">
      <c r="L417" s="113">
        <v>45342</v>
      </c>
      <c r="M417" s="2">
        <v>2206877</v>
      </c>
    </row>
    <row r="418" spans="12:13" x14ac:dyDescent="0.25">
      <c r="L418" s="113">
        <v>45343</v>
      </c>
      <c r="M418" s="2">
        <v>2162956</v>
      </c>
    </row>
    <row r="419" spans="12:13" x14ac:dyDescent="0.25">
      <c r="L419" s="113">
        <v>45344</v>
      </c>
      <c r="M419" s="2">
        <v>2513429</v>
      </c>
    </row>
    <row r="420" spans="12:13" x14ac:dyDescent="0.25">
      <c r="L420" s="113">
        <v>45345</v>
      </c>
      <c r="M420" s="2">
        <v>2555082</v>
      </c>
    </row>
    <row r="421" spans="12:13" x14ac:dyDescent="0.25">
      <c r="L421" s="113">
        <v>45346</v>
      </c>
      <c r="M421" s="2">
        <v>2106561</v>
      </c>
    </row>
    <row r="422" spans="12:13" x14ac:dyDescent="0.25">
      <c r="L422" s="113">
        <v>45347</v>
      </c>
      <c r="M422" s="2">
        <v>2561682</v>
      </c>
    </row>
    <row r="423" spans="12:13" x14ac:dyDescent="0.25">
      <c r="L423" s="113">
        <v>45348</v>
      </c>
      <c r="M423" s="2">
        <v>2405209</v>
      </c>
    </row>
    <row r="424" spans="12:13" x14ac:dyDescent="0.25">
      <c r="L424" s="113">
        <v>45349</v>
      </c>
      <c r="M424" s="2">
        <v>1935225</v>
      </c>
    </row>
    <row r="425" spans="12:13" x14ac:dyDescent="0.25">
      <c r="L425" s="113">
        <v>45350</v>
      </c>
      <c r="M425" s="2">
        <v>2140789</v>
      </c>
    </row>
    <row r="426" spans="12:13" x14ac:dyDescent="0.25">
      <c r="L426" s="113">
        <v>45351</v>
      </c>
      <c r="M426" s="2">
        <v>2551534</v>
      </c>
    </row>
    <row r="427" spans="12:13" x14ac:dyDescent="0.25">
      <c r="L427" s="113">
        <v>45352</v>
      </c>
      <c r="M427" s="2">
        <v>2602686</v>
      </c>
    </row>
    <row r="428" spans="12:13" x14ac:dyDescent="0.25">
      <c r="L428" s="113">
        <v>45353</v>
      </c>
      <c r="M428" s="2">
        <v>2132092</v>
      </c>
    </row>
    <row r="429" spans="12:13" x14ac:dyDescent="0.25">
      <c r="L429" s="113">
        <v>45354</v>
      </c>
      <c r="M429" s="2">
        <v>2566870</v>
      </c>
    </row>
    <row r="430" spans="12:13" x14ac:dyDescent="0.25">
      <c r="L430" s="113">
        <v>45355</v>
      </c>
      <c r="M430" s="2">
        <v>2405790</v>
      </c>
    </row>
    <row r="431" spans="12:13" x14ac:dyDescent="0.25">
      <c r="L431" s="113">
        <v>45356</v>
      </c>
      <c r="M431" s="2">
        <v>1983750</v>
      </c>
    </row>
    <row r="432" spans="12:13" x14ac:dyDescent="0.25">
      <c r="L432" s="113">
        <v>45357</v>
      </c>
      <c r="M432" s="2">
        <v>2211599</v>
      </c>
    </row>
    <row r="433" spans="12:13" x14ac:dyDescent="0.25">
      <c r="L433" s="113">
        <v>45358</v>
      </c>
      <c r="M433" s="2">
        <v>2578074</v>
      </c>
    </row>
    <row r="434" spans="12:13" x14ac:dyDescent="0.25">
      <c r="L434" s="113">
        <v>45359</v>
      </c>
      <c r="M434" s="2">
        <v>2720377</v>
      </c>
    </row>
    <row r="435" spans="12:13" x14ac:dyDescent="0.25">
      <c r="L435" s="113">
        <v>45360</v>
      </c>
      <c r="M435" s="2">
        <v>2342497</v>
      </c>
    </row>
    <row r="436" spans="12:13" x14ac:dyDescent="0.25">
      <c r="L436" s="113">
        <v>45361</v>
      </c>
      <c r="M436" s="2">
        <v>2719857</v>
      </c>
    </row>
    <row r="437" spans="12:13" x14ac:dyDescent="0.25">
      <c r="L437" s="113">
        <v>45362</v>
      </c>
      <c r="M437" s="2">
        <v>2563158</v>
      </c>
    </row>
    <row r="438" spans="12:13" x14ac:dyDescent="0.25">
      <c r="L438" s="113">
        <v>45363</v>
      </c>
      <c r="M438" s="2">
        <v>2199126</v>
      </c>
    </row>
    <row r="439" spans="12:13" x14ac:dyDescent="0.25">
      <c r="L439" s="113">
        <v>45364</v>
      </c>
      <c r="M439" s="2">
        <v>2388007</v>
      </c>
    </row>
    <row r="440" spans="12:13" x14ac:dyDescent="0.25">
      <c r="L440" s="113">
        <v>45365</v>
      </c>
      <c r="M440" s="2">
        <v>2568962</v>
      </c>
    </row>
    <row r="441" spans="12:13" x14ac:dyDescent="0.25">
      <c r="L441" s="113">
        <v>45366</v>
      </c>
      <c r="M441" s="2">
        <v>2722855</v>
      </c>
    </row>
    <row r="442" spans="12:13" x14ac:dyDescent="0.25">
      <c r="L442" s="113">
        <v>45367</v>
      </c>
      <c r="M442" s="2">
        <v>2410078</v>
      </c>
    </row>
    <row r="443" spans="12:13" x14ac:dyDescent="0.25">
      <c r="L443" s="113">
        <v>45368</v>
      </c>
      <c r="M443" s="2">
        <v>2734318</v>
      </c>
    </row>
    <row r="444" spans="12:13" x14ac:dyDescent="0.25">
      <c r="L444" s="113">
        <v>45369</v>
      </c>
      <c r="M444" s="2">
        <v>2582796</v>
      </c>
    </row>
    <row r="445" spans="12:13" x14ac:dyDescent="0.25">
      <c r="L445" s="113">
        <v>45370</v>
      </c>
      <c r="M445" s="2">
        <v>2205546</v>
      </c>
    </row>
    <row r="446" spans="12:13" x14ac:dyDescent="0.25">
      <c r="L446" s="113">
        <v>45371</v>
      </c>
      <c r="M446" s="2">
        <v>2413710</v>
      </c>
    </row>
    <row r="447" spans="12:13" x14ac:dyDescent="0.25">
      <c r="L447" s="113">
        <v>45372</v>
      </c>
      <c r="M447" s="2">
        <v>2690138</v>
      </c>
    </row>
    <row r="448" spans="12:13" x14ac:dyDescent="0.25">
      <c r="L448" s="113">
        <v>45373</v>
      </c>
      <c r="M448" s="2">
        <v>2732493</v>
      </c>
    </row>
    <row r="449" spans="12:13" x14ac:dyDescent="0.25">
      <c r="L449" s="113">
        <v>45374</v>
      </c>
      <c r="M449" s="2">
        <v>2422106</v>
      </c>
    </row>
    <row r="450" spans="12:13" x14ac:dyDescent="0.25">
      <c r="L450" s="113">
        <v>45375</v>
      </c>
      <c r="M450" s="2">
        <v>2755433</v>
      </c>
    </row>
    <row r="451" spans="12:13" x14ac:dyDescent="0.25">
      <c r="L451" s="113">
        <v>45376</v>
      </c>
      <c r="M451" s="2">
        <v>2607498</v>
      </c>
    </row>
    <row r="452" spans="12:13" x14ac:dyDescent="0.25">
      <c r="L452" s="113">
        <v>45377</v>
      </c>
      <c r="M452" s="2">
        <v>2243576</v>
      </c>
    </row>
    <row r="453" spans="12:13" x14ac:dyDescent="0.25">
      <c r="L453" s="113">
        <v>45378</v>
      </c>
      <c r="M453" s="2">
        <v>2462360</v>
      </c>
    </row>
    <row r="454" spans="12:13" x14ac:dyDescent="0.25">
      <c r="L454" s="113">
        <v>45379</v>
      </c>
      <c r="M454" s="2">
        <v>2786223</v>
      </c>
    </row>
    <row r="455" spans="12:13" x14ac:dyDescent="0.25">
      <c r="L455" s="113">
        <v>45380</v>
      </c>
      <c r="M455" s="2">
        <v>2693787</v>
      </c>
    </row>
    <row r="456" spans="12:13" x14ac:dyDescent="0.25">
      <c r="L456" s="113">
        <v>45381</v>
      </c>
      <c r="M456" s="2">
        <v>2320632</v>
      </c>
    </row>
    <row r="457" spans="12:13" x14ac:dyDescent="0.25">
      <c r="L457" s="113">
        <v>45382</v>
      </c>
      <c r="M457" s="2">
        <v>2595625</v>
      </c>
    </row>
    <row r="458" spans="12:13" x14ac:dyDescent="0.25">
      <c r="L458" s="113">
        <v>45383</v>
      </c>
      <c r="M458" s="2">
        <v>2658016</v>
      </c>
    </row>
    <row r="459" spans="12:13" x14ac:dyDescent="0.25">
      <c r="L459" s="113">
        <v>45384</v>
      </c>
      <c r="M459" s="2">
        <v>2261390</v>
      </c>
    </row>
    <row r="460" spans="12:13" x14ac:dyDescent="0.25">
      <c r="L460" s="113">
        <v>45385</v>
      </c>
      <c r="M460" s="2">
        <v>2266046</v>
      </c>
    </row>
    <row r="461" spans="12:13" x14ac:dyDescent="0.25">
      <c r="L461" s="113">
        <v>45386</v>
      </c>
      <c r="M461" s="2">
        <v>2640572</v>
      </c>
    </row>
    <row r="462" spans="12:13" x14ac:dyDescent="0.25">
      <c r="L462" s="113">
        <v>45387</v>
      </c>
      <c r="M462" s="2">
        <v>2703180</v>
      </c>
    </row>
    <row r="463" spans="12:13" x14ac:dyDescent="0.25">
      <c r="L463" s="113">
        <v>45388</v>
      </c>
      <c r="M463" s="2">
        <v>2324739</v>
      </c>
    </row>
    <row r="464" spans="12:13" x14ac:dyDescent="0.25">
      <c r="L464" s="113">
        <v>45389</v>
      </c>
      <c r="M464" s="2">
        <v>2675829</v>
      </c>
    </row>
    <row r="465" spans="12:13" x14ac:dyDescent="0.25">
      <c r="L465" s="113">
        <v>45390</v>
      </c>
      <c r="M465" s="2">
        <v>2487391</v>
      </c>
    </row>
    <row r="466" spans="12:13" x14ac:dyDescent="0.25">
      <c r="L466" s="113">
        <v>45391</v>
      </c>
      <c r="M466" s="2">
        <v>2212961</v>
      </c>
    </row>
    <row r="467" spans="12:13" x14ac:dyDescent="0.25">
      <c r="L467" s="113">
        <v>45392</v>
      </c>
      <c r="M467" s="2">
        <v>2316545</v>
      </c>
    </row>
    <row r="468" spans="12:13" x14ac:dyDescent="0.25">
      <c r="L468" s="113">
        <v>45393</v>
      </c>
      <c r="M468" s="2">
        <v>2641708</v>
      </c>
    </row>
    <row r="469" spans="12:13" x14ac:dyDescent="0.25">
      <c r="L469" s="113">
        <v>45394</v>
      </c>
      <c r="M469" s="2">
        <v>2714741</v>
      </c>
    </row>
    <row r="470" spans="12:13" x14ac:dyDescent="0.25">
      <c r="L470" s="113">
        <v>45395</v>
      </c>
      <c r="M470" s="2">
        <v>2180816</v>
      </c>
    </row>
    <row r="471" spans="12:13" x14ac:dyDescent="0.25">
      <c r="L471" s="113">
        <v>45396</v>
      </c>
      <c r="M471" s="2">
        <v>2689549</v>
      </c>
    </row>
    <row r="472" spans="12:13" x14ac:dyDescent="0.25">
      <c r="L472" s="113">
        <v>45397</v>
      </c>
      <c r="M472" s="2">
        <v>2532672</v>
      </c>
    </row>
    <row r="473" spans="12:13" x14ac:dyDescent="0.25">
      <c r="L473" s="113">
        <v>45398</v>
      </c>
      <c r="M473" s="2">
        <v>2148436</v>
      </c>
    </row>
    <row r="474" spans="12:13" x14ac:dyDescent="0.25">
      <c r="L474" s="113">
        <v>45399</v>
      </c>
      <c r="M474" s="2">
        <v>2351694</v>
      </c>
    </row>
    <row r="475" spans="12:13" x14ac:dyDescent="0.25">
      <c r="L475" s="113">
        <v>45400</v>
      </c>
      <c r="M475" s="2">
        <v>2695566</v>
      </c>
    </row>
    <row r="476" spans="12:13" x14ac:dyDescent="0.25">
      <c r="L476" s="113">
        <v>45401</v>
      </c>
      <c r="M476" s="2">
        <v>2722053</v>
      </c>
    </row>
    <row r="477" spans="12:13" x14ac:dyDescent="0.25">
      <c r="L477" s="113">
        <v>45402</v>
      </c>
      <c r="M477" s="2">
        <v>2221738</v>
      </c>
    </row>
    <row r="478" spans="12:13" x14ac:dyDescent="0.25">
      <c r="L478" s="113">
        <v>45403</v>
      </c>
      <c r="M478" s="2">
        <v>2756922</v>
      </c>
    </row>
    <row r="479" spans="12:13" x14ac:dyDescent="0.25">
      <c r="L479" s="113">
        <v>45404</v>
      </c>
      <c r="M479" s="2">
        <v>2579973</v>
      </c>
    </row>
    <row r="480" spans="12:13" x14ac:dyDescent="0.25">
      <c r="L480" s="113">
        <v>45405</v>
      </c>
      <c r="M480" s="2">
        <v>2144330</v>
      </c>
    </row>
    <row r="481" spans="12:13" x14ac:dyDescent="0.25">
      <c r="L481" s="113">
        <v>45406</v>
      </c>
      <c r="M481" s="2">
        <v>2308366</v>
      </c>
    </row>
    <row r="482" spans="12:13" x14ac:dyDescent="0.25">
      <c r="L482" s="113">
        <v>45407</v>
      </c>
      <c r="M482" s="2">
        <v>2686172</v>
      </c>
    </row>
    <row r="483" spans="12:13" x14ac:dyDescent="0.25">
      <c r="L483" s="113">
        <v>45408</v>
      </c>
      <c r="M483" s="2">
        <v>2675321</v>
      </c>
    </row>
    <row r="484" spans="12:13" x14ac:dyDescent="0.25">
      <c r="L484" s="113">
        <v>45409</v>
      </c>
      <c r="M484" s="2">
        <v>2138255</v>
      </c>
    </row>
    <row r="485" spans="12:13" x14ac:dyDescent="0.25">
      <c r="L485" s="113">
        <v>45410</v>
      </c>
      <c r="M485" s="2">
        <v>2646469</v>
      </c>
    </row>
    <row r="486" spans="12:13" x14ac:dyDescent="0.25">
      <c r="L486" s="113">
        <v>45411</v>
      </c>
      <c r="M486" s="2">
        <v>2506141</v>
      </c>
    </row>
    <row r="487" spans="12:13" x14ac:dyDescent="0.25">
      <c r="L487" s="113">
        <v>45412</v>
      </c>
      <c r="M487" s="2">
        <v>2151933</v>
      </c>
    </row>
    <row r="488" spans="12:13" x14ac:dyDescent="0.25">
      <c r="L488" s="113">
        <v>45413</v>
      </c>
      <c r="M488" s="2">
        <v>2358798</v>
      </c>
    </row>
    <row r="489" spans="12:13" x14ac:dyDescent="0.25">
      <c r="L489" s="113">
        <v>45414</v>
      </c>
      <c r="M489" s="2">
        <v>2648857</v>
      </c>
    </row>
    <row r="490" spans="12:13" x14ac:dyDescent="0.25">
      <c r="L490" s="113">
        <v>45415</v>
      </c>
      <c r="M490" s="2">
        <v>2675921</v>
      </c>
    </row>
    <row r="491" spans="12:13" x14ac:dyDescent="0.25">
      <c r="L491" s="113">
        <v>45416</v>
      </c>
      <c r="M491" s="2">
        <v>2175786</v>
      </c>
    </row>
    <row r="492" spans="12:13" x14ac:dyDescent="0.25">
      <c r="L492" s="113">
        <v>45417</v>
      </c>
      <c r="M492" s="2">
        <v>2717249</v>
      </c>
    </row>
    <row r="493" spans="12:13" x14ac:dyDescent="0.25">
      <c r="L493" s="113">
        <v>45418</v>
      </c>
      <c r="M493" s="2">
        <v>2647929</v>
      </c>
    </row>
    <row r="494" spans="12:13" x14ac:dyDescent="0.25">
      <c r="L494" s="113">
        <v>45419</v>
      </c>
      <c r="M494" s="2">
        <v>2244683</v>
      </c>
    </row>
    <row r="495" spans="12:13" x14ac:dyDescent="0.25">
      <c r="L495" s="113">
        <v>45420</v>
      </c>
      <c r="M495" s="2">
        <v>2452419</v>
      </c>
    </row>
    <row r="496" spans="12:13" x14ac:dyDescent="0.25">
      <c r="L496" s="113">
        <v>45421</v>
      </c>
      <c r="M496" s="2">
        <v>2797162</v>
      </c>
    </row>
    <row r="497" spans="12:13" x14ac:dyDescent="0.25">
      <c r="L497" s="113">
        <v>45422</v>
      </c>
      <c r="M497" s="2">
        <v>2789715</v>
      </c>
    </row>
    <row r="498" spans="12:13" x14ac:dyDescent="0.25">
      <c r="L498" s="113">
        <v>45423</v>
      </c>
      <c r="M498" s="2">
        <v>2295451</v>
      </c>
    </row>
    <row r="499" spans="12:13" x14ac:dyDescent="0.25">
      <c r="L499" s="113">
        <v>45424</v>
      </c>
      <c r="M499" s="2">
        <v>2677001</v>
      </c>
    </row>
    <row r="500" spans="12:13" x14ac:dyDescent="0.25">
      <c r="L500" s="113">
        <v>45425</v>
      </c>
      <c r="M500" s="2">
        <v>2717876</v>
      </c>
    </row>
    <row r="501" spans="12:13" x14ac:dyDescent="0.25">
      <c r="L501" s="113">
        <v>45426</v>
      </c>
      <c r="M501" s="2">
        <v>2343094</v>
      </c>
    </row>
    <row r="502" spans="12:13" x14ac:dyDescent="0.25">
      <c r="L502" s="113">
        <v>45427</v>
      </c>
      <c r="M502" s="2">
        <v>2463627</v>
      </c>
    </row>
    <row r="503" spans="12:13" x14ac:dyDescent="0.25">
      <c r="L503" s="113">
        <v>45428</v>
      </c>
      <c r="M503" s="2">
        <v>2807609</v>
      </c>
    </row>
    <row r="504" spans="12:13" x14ac:dyDescent="0.25">
      <c r="L504" s="113">
        <v>45429</v>
      </c>
      <c r="M504" s="2">
        <v>2855596</v>
      </c>
    </row>
    <row r="505" spans="12:13" x14ac:dyDescent="0.25">
      <c r="L505" s="113">
        <v>45430</v>
      </c>
      <c r="M505" s="2">
        <v>2365492</v>
      </c>
    </row>
    <row r="506" spans="12:13" x14ac:dyDescent="0.25">
      <c r="L506" s="113">
        <v>45431</v>
      </c>
      <c r="M506" s="2">
        <v>2843144</v>
      </c>
    </row>
    <row r="507" spans="12:13" x14ac:dyDescent="0.25">
      <c r="L507" s="113">
        <v>45432</v>
      </c>
      <c r="M507" s="2">
        <v>2751841</v>
      </c>
    </row>
    <row r="508" spans="12:13" x14ac:dyDescent="0.25">
      <c r="L508" s="113">
        <v>45433</v>
      </c>
      <c r="M508" s="2">
        <v>2442301</v>
      </c>
    </row>
    <row r="509" spans="12:13" x14ac:dyDescent="0.25">
      <c r="L509" s="113">
        <v>45434</v>
      </c>
      <c r="M509" s="2">
        <v>2591593</v>
      </c>
    </row>
    <row r="510" spans="12:13" x14ac:dyDescent="0.25">
      <c r="L510" s="113">
        <v>45435</v>
      </c>
      <c r="M510" s="2">
        <v>2897421</v>
      </c>
    </row>
    <row r="511" spans="12:13" x14ac:dyDescent="0.25">
      <c r="L511" s="113">
        <v>45436</v>
      </c>
      <c r="M511" s="2">
        <v>2951859</v>
      </c>
    </row>
    <row r="512" spans="12:13" x14ac:dyDescent="0.25">
      <c r="L512" s="113">
        <v>45437</v>
      </c>
      <c r="M512" s="2">
        <v>2429201</v>
      </c>
    </row>
    <row r="513" spans="12:13" x14ac:dyDescent="0.25">
      <c r="L513" s="113">
        <v>45438</v>
      </c>
      <c r="M513" s="2">
        <v>2413165</v>
      </c>
    </row>
    <row r="514" spans="12:13" x14ac:dyDescent="0.25">
      <c r="L514" s="113">
        <v>45439</v>
      </c>
      <c r="M514" s="2">
        <v>2771700</v>
      </c>
    </row>
    <row r="515" spans="12:13" x14ac:dyDescent="0.25">
      <c r="L515" s="113">
        <v>45440</v>
      </c>
      <c r="M515" s="2">
        <v>2555425</v>
      </c>
    </row>
    <row r="516" spans="12:13" x14ac:dyDescent="0.25">
      <c r="L516" s="113">
        <v>45441</v>
      </c>
      <c r="M516" s="2">
        <v>2446571</v>
      </c>
    </row>
    <row r="517" spans="12:13" x14ac:dyDescent="0.25">
      <c r="L517" s="113">
        <v>45442</v>
      </c>
      <c r="M517" s="2">
        <v>2653600</v>
      </c>
    </row>
    <row r="518" spans="12:13" x14ac:dyDescent="0.25">
      <c r="L518" s="113">
        <v>45443</v>
      </c>
      <c r="M518" s="2">
        <v>2775176</v>
      </c>
    </row>
    <row r="519" spans="12:13" x14ac:dyDescent="0.25">
      <c r="L519" s="113">
        <v>45444</v>
      </c>
      <c r="M519" s="2">
        <v>2415153</v>
      </c>
    </row>
    <row r="520" spans="12:13" x14ac:dyDescent="0.25">
      <c r="L520" s="113">
        <v>45445</v>
      </c>
      <c r="M520" s="2">
        <v>2822822</v>
      </c>
    </row>
    <row r="521" spans="12:13" x14ac:dyDescent="0.25">
      <c r="L521" s="113">
        <v>45446</v>
      </c>
      <c r="M521" s="2">
        <v>2719030</v>
      </c>
    </row>
    <row r="522" spans="12:13" x14ac:dyDescent="0.25">
      <c r="L522" s="113">
        <v>45447</v>
      </c>
      <c r="M522" s="2">
        <v>2397066</v>
      </c>
    </row>
    <row r="523" spans="12:13" x14ac:dyDescent="0.25">
      <c r="L523" s="113">
        <v>45448</v>
      </c>
      <c r="M523" s="2">
        <v>2551287</v>
      </c>
    </row>
    <row r="524" spans="12:13" x14ac:dyDescent="0.25">
      <c r="L524" s="113">
        <v>45449</v>
      </c>
      <c r="M524" s="2">
        <v>2829183</v>
      </c>
    </row>
    <row r="525" spans="12:13" x14ac:dyDescent="0.25">
      <c r="L525" s="113">
        <v>45450</v>
      </c>
      <c r="M525" s="2">
        <v>2842268</v>
      </c>
    </row>
    <row r="526" spans="12:13" x14ac:dyDescent="0.25">
      <c r="L526" s="113">
        <v>45451</v>
      </c>
      <c r="M526" s="2">
        <v>2499204</v>
      </c>
    </row>
    <row r="527" spans="12:13" x14ac:dyDescent="0.25">
      <c r="L527" s="113">
        <v>45452</v>
      </c>
      <c r="M527" s="2">
        <v>2915830</v>
      </c>
    </row>
    <row r="528" spans="12:13" x14ac:dyDescent="0.25">
      <c r="L528" s="113">
        <v>45453</v>
      </c>
      <c r="M528" s="2">
        <v>2815125</v>
      </c>
    </row>
    <row r="529" spans="12:13" x14ac:dyDescent="0.25">
      <c r="L529" s="113">
        <v>45454</v>
      </c>
      <c r="M529" s="2">
        <v>2487316</v>
      </c>
    </row>
    <row r="530" spans="12:13" x14ac:dyDescent="0.25">
      <c r="L530" s="113">
        <v>45455</v>
      </c>
      <c r="M530" s="2">
        <v>2599257</v>
      </c>
    </row>
    <row r="531" spans="12:13" x14ac:dyDescent="0.25">
      <c r="L531" s="113">
        <v>45456</v>
      </c>
      <c r="M531" s="2">
        <v>2859994</v>
      </c>
    </row>
    <row r="532" spans="12:13" x14ac:dyDescent="0.25">
      <c r="L532" s="113">
        <v>45457</v>
      </c>
      <c r="M532" s="2">
        <v>2929467</v>
      </c>
    </row>
    <row r="533" spans="12:13" x14ac:dyDescent="0.25">
      <c r="L533" s="113">
        <v>45458</v>
      </c>
      <c r="M533" s="2">
        <v>2617341</v>
      </c>
    </row>
    <row r="534" spans="12:13" x14ac:dyDescent="0.25">
      <c r="L534" s="113">
        <v>45459</v>
      </c>
      <c r="M534" s="2">
        <v>2858844</v>
      </c>
    </row>
    <row r="535" spans="12:13" x14ac:dyDescent="0.25">
      <c r="L535" s="113">
        <v>45460</v>
      </c>
      <c r="M535" s="2">
        <v>2790851</v>
      </c>
    </row>
    <row r="536" spans="12:13" x14ac:dyDescent="0.25">
      <c r="L536" s="113">
        <v>45461</v>
      </c>
      <c r="M536" s="2">
        <v>2537934</v>
      </c>
    </row>
    <row r="537" spans="12:13" x14ac:dyDescent="0.25">
      <c r="L537" s="113">
        <v>45462</v>
      </c>
      <c r="M537" s="2">
        <v>2686866</v>
      </c>
    </row>
    <row r="538" spans="12:13" x14ac:dyDescent="0.25">
      <c r="L538" s="113">
        <v>45463</v>
      </c>
      <c r="M538" s="2">
        <v>2833516</v>
      </c>
    </row>
    <row r="539" spans="12:13" x14ac:dyDescent="0.25">
      <c r="L539" s="113">
        <v>45464</v>
      </c>
      <c r="M539" s="2">
        <v>2873390</v>
      </c>
    </row>
    <row r="540" spans="12:13" x14ac:dyDescent="0.25">
      <c r="L540" s="113">
        <v>45465</v>
      </c>
      <c r="M540" s="2">
        <v>2624783</v>
      </c>
    </row>
    <row r="541" spans="12:13" x14ac:dyDescent="0.25">
      <c r="L541" s="113">
        <v>45466</v>
      </c>
      <c r="M541" s="2">
        <v>2996495</v>
      </c>
    </row>
    <row r="542" spans="12:13" x14ac:dyDescent="0.25">
      <c r="L542" s="113">
        <v>45467</v>
      </c>
      <c r="M542" s="2">
        <v>2944001</v>
      </c>
    </row>
    <row r="543" spans="12:13" x14ac:dyDescent="0.25">
      <c r="L543" s="113">
        <v>45468</v>
      </c>
      <c r="M543" s="2">
        <v>2612478</v>
      </c>
    </row>
    <row r="544" spans="12:13" x14ac:dyDescent="0.25">
      <c r="L544" s="113">
        <v>45469</v>
      </c>
      <c r="M544" s="2">
        <v>2722125</v>
      </c>
    </row>
    <row r="545" spans="12:13" x14ac:dyDescent="0.25">
      <c r="L545" s="113">
        <v>45470</v>
      </c>
      <c r="M545" s="2">
        <v>2921687</v>
      </c>
    </row>
    <row r="546" spans="12:13" x14ac:dyDescent="0.25">
      <c r="L546" s="113">
        <v>45471</v>
      </c>
      <c r="M546" s="2">
        <v>2938292</v>
      </c>
    </row>
    <row r="547" spans="12:13" x14ac:dyDescent="0.25">
      <c r="L547" s="113">
        <v>45472</v>
      </c>
      <c r="M547" s="2">
        <v>2648476</v>
      </c>
    </row>
    <row r="548" spans="12:13" x14ac:dyDescent="0.25">
      <c r="L548" s="113">
        <v>45473</v>
      </c>
      <c r="M548" s="2">
        <v>2835019</v>
      </c>
    </row>
    <row r="549" spans="12:13" x14ac:dyDescent="0.25">
      <c r="L549" s="113">
        <v>45474</v>
      </c>
      <c r="M549" s="2">
        <v>2754690</v>
      </c>
    </row>
    <row r="550" spans="12:13" x14ac:dyDescent="0.25">
      <c r="L550" s="113">
        <v>45475</v>
      </c>
      <c r="M550" s="2">
        <v>2537986</v>
      </c>
    </row>
    <row r="551" spans="12:13" x14ac:dyDescent="0.25">
      <c r="L551" s="113">
        <v>45476</v>
      </c>
      <c r="M551" s="2">
        <v>2786534</v>
      </c>
    </row>
    <row r="552" spans="12:13" x14ac:dyDescent="0.25">
      <c r="L552" s="113">
        <v>45477</v>
      </c>
      <c r="M552" s="2">
        <v>2222431</v>
      </c>
    </row>
    <row r="553" spans="12:13" x14ac:dyDescent="0.25">
      <c r="L553" s="113">
        <v>45478</v>
      </c>
      <c r="M553" s="2">
        <v>2431240</v>
      </c>
    </row>
    <row r="554" spans="12:13" x14ac:dyDescent="0.25">
      <c r="L554" s="113">
        <v>45479</v>
      </c>
      <c r="M554" s="2">
        <v>2617154</v>
      </c>
    </row>
    <row r="555" spans="12:13" x14ac:dyDescent="0.25">
      <c r="L555" s="113">
        <v>45480</v>
      </c>
      <c r="M555" s="2">
        <v>3013622</v>
      </c>
    </row>
    <row r="556" spans="12:13" x14ac:dyDescent="0.25">
      <c r="L556" s="113">
        <v>45481</v>
      </c>
      <c r="M556" s="2">
        <v>2785721</v>
      </c>
    </row>
    <row r="557" spans="12:13" x14ac:dyDescent="0.25">
      <c r="L557" s="113">
        <v>45482</v>
      </c>
      <c r="M557" s="2">
        <v>2580105</v>
      </c>
    </row>
    <row r="558" spans="12:13" x14ac:dyDescent="0.25">
      <c r="L558" s="113">
        <v>45483</v>
      </c>
      <c r="M558" s="2">
        <v>2627735</v>
      </c>
    </row>
    <row r="559" spans="12:13" x14ac:dyDescent="0.25">
      <c r="L559" s="113">
        <v>45484</v>
      </c>
      <c r="M559" s="2">
        <v>2839251</v>
      </c>
    </row>
    <row r="560" spans="12:13" x14ac:dyDescent="0.25">
      <c r="L560" s="113">
        <v>45485</v>
      </c>
      <c r="M560" s="2">
        <v>2829067</v>
      </c>
    </row>
    <row r="561" spans="12:13" x14ac:dyDescent="0.25">
      <c r="L561" s="113">
        <v>45486</v>
      </c>
      <c r="M561" s="2">
        <v>2583704</v>
      </c>
    </row>
    <row r="562" spans="12:13" x14ac:dyDescent="0.25">
      <c r="L562" s="113">
        <v>45487</v>
      </c>
      <c r="M562" s="2">
        <v>2937845</v>
      </c>
    </row>
    <row r="563" spans="12:13" x14ac:dyDescent="0.25">
      <c r="L563" s="113">
        <v>45488</v>
      </c>
      <c r="M563" s="2">
        <v>2860799</v>
      </c>
    </row>
    <row r="564" spans="12:13" x14ac:dyDescent="0.25">
      <c r="L564" s="113">
        <v>45489</v>
      </c>
      <c r="M564" s="2">
        <v>2536991</v>
      </c>
    </row>
    <row r="565" spans="12:13" x14ac:dyDescent="0.25">
      <c r="L565" s="113">
        <v>45490</v>
      </c>
      <c r="M565" s="2">
        <v>2641325</v>
      </c>
    </row>
    <row r="566" spans="12:13" x14ac:dyDescent="0.25">
      <c r="L566" s="113">
        <v>45491</v>
      </c>
      <c r="M566" s="2">
        <v>2957170</v>
      </c>
    </row>
    <row r="567" spans="12:13" x14ac:dyDescent="0.25">
      <c r="L567" s="113">
        <v>45492</v>
      </c>
      <c r="M567" s="2">
        <v>2716304</v>
      </c>
    </row>
    <row r="568" spans="12:13" x14ac:dyDescent="0.25">
      <c r="L568" s="113">
        <v>45493</v>
      </c>
      <c r="M568" s="2">
        <v>2606097</v>
      </c>
    </row>
    <row r="569" spans="12:13" x14ac:dyDescent="0.25">
      <c r="L569" s="113">
        <v>45494</v>
      </c>
      <c r="M569" s="2">
        <v>2909267</v>
      </c>
    </row>
    <row r="570" spans="12:13" x14ac:dyDescent="0.25">
      <c r="L570" s="113">
        <v>45495</v>
      </c>
      <c r="M570" s="2">
        <v>2864584</v>
      </c>
    </row>
    <row r="571" spans="12:13" x14ac:dyDescent="0.25">
      <c r="L571" s="113">
        <v>45496</v>
      </c>
      <c r="M571" s="2">
        <v>2603647</v>
      </c>
    </row>
    <row r="572" spans="12:13" x14ac:dyDescent="0.25">
      <c r="L572" s="113">
        <v>45497</v>
      </c>
      <c r="M572" s="2">
        <v>2718954</v>
      </c>
    </row>
    <row r="573" spans="12:13" x14ac:dyDescent="0.25">
      <c r="L573" s="113">
        <v>45498</v>
      </c>
      <c r="M573" s="2">
        <v>2924478</v>
      </c>
    </row>
    <row r="574" spans="12:13" x14ac:dyDescent="0.25">
      <c r="L574" s="113">
        <v>45499</v>
      </c>
      <c r="M574" s="2">
        <v>2877017</v>
      </c>
    </row>
    <row r="575" spans="12:13" x14ac:dyDescent="0.25">
      <c r="L575" s="113">
        <v>45500</v>
      </c>
      <c r="M575" s="2">
        <v>2582953</v>
      </c>
    </row>
    <row r="576" spans="12:13" x14ac:dyDescent="0.25">
      <c r="L576" s="113">
        <v>45501</v>
      </c>
      <c r="M576" s="2">
        <v>2922306</v>
      </c>
    </row>
    <row r="577" spans="12:13" x14ac:dyDescent="0.25">
      <c r="L577" s="113">
        <v>45502</v>
      </c>
      <c r="M577" s="2">
        <v>2795317</v>
      </c>
    </row>
    <row r="578" spans="12:13" x14ac:dyDescent="0.25">
      <c r="L578" s="113">
        <v>45503</v>
      </c>
      <c r="M578" s="2">
        <v>2437121</v>
      </c>
    </row>
    <row r="579" spans="12:13" x14ac:dyDescent="0.25">
      <c r="L579" s="113">
        <v>45504</v>
      </c>
      <c r="M579" s="2">
        <v>2618705</v>
      </c>
    </row>
    <row r="580" spans="12:13" x14ac:dyDescent="0.25">
      <c r="L580" s="113">
        <v>45505</v>
      </c>
      <c r="M580" s="2">
        <v>2871907</v>
      </c>
    </row>
    <row r="581" spans="12:13" x14ac:dyDescent="0.25">
      <c r="L581" s="113">
        <v>45506</v>
      </c>
      <c r="M581" s="2">
        <v>2803445</v>
      </c>
    </row>
    <row r="582" spans="12:13" x14ac:dyDescent="0.25">
      <c r="L582" s="113">
        <v>45507</v>
      </c>
      <c r="M582" s="2">
        <v>2555713</v>
      </c>
    </row>
    <row r="583" spans="12:13" x14ac:dyDescent="0.25">
      <c r="L583" s="113">
        <v>45508</v>
      </c>
      <c r="M583" s="2">
        <v>2800099</v>
      </c>
    </row>
    <row r="584" spans="12:13" x14ac:dyDescent="0.25">
      <c r="L584" s="113">
        <v>45509</v>
      </c>
      <c r="M584" s="2">
        <v>2701321</v>
      </c>
    </row>
    <row r="585" spans="12:13" x14ac:dyDescent="0.25">
      <c r="L585" s="113">
        <v>45510</v>
      </c>
      <c r="M585" s="2">
        <v>2413736</v>
      </c>
    </row>
    <row r="586" spans="12:13" x14ac:dyDescent="0.25">
      <c r="L586" s="113">
        <v>45511</v>
      </c>
      <c r="M586" s="2">
        <v>2555693</v>
      </c>
    </row>
    <row r="587" spans="12:13" x14ac:dyDescent="0.25">
      <c r="L587" s="113">
        <v>45512</v>
      </c>
      <c r="M587" s="2">
        <v>2808911</v>
      </c>
    </row>
    <row r="588" spans="12:13" x14ac:dyDescent="0.25">
      <c r="L588" s="113">
        <v>45513</v>
      </c>
      <c r="M588" s="2">
        <v>2756793</v>
      </c>
    </row>
    <row r="589" spans="12:13" x14ac:dyDescent="0.25">
      <c r="L589" s="113">
        <v>45514</v>
      </c>
      <c r="M589" s="2">
        <v>2475459</v>
      </c>
    </row>
    <row r="590" spans="12:13" x14ac:dyDescent="0.25">
      <c r="L590" s="113">
        <v>45515</v>
      </c>
      <c r="M590" s="2">
        <v>2850074</v>
      </c>
    </row>
    <row r="591" spans="12:13" x14ac:dyDescent="0.25">
      <c r="L591" s="113">
        <v>45516</v>
      </c>
      <c r="M591" s="2">
        <v>2705415</v>
      </c>
    </row>
    <row r="592" spans="12:13" x14ac:dyDescent="0.25">
      <c r="L592" s="113">
        <v>45517</v>
      </c>
      <c r="M592" s="2">
        <v>2266346</v>
      </c>
    </row>
    <row r="593" spans="12:13" x14ac:dyDescent="0.25">
      <c r="L593" s="113">
        <v>45518</v>
      </c>
      <c r="M593" s="2">
        <v>2380580</v>
      </c>
    </row>
    <row r="594" spans="12:13" x14ac:dyDescent="0.25">
      <c r="L594" s="113">
        <v>45519</v>
      </c>
      <c r="M594" s="2">
        <v>2732713</v>
      </c>
    </row>
    <row r="595" spans="12:13" x14ac:dyDescent="0.25">
      <c r="L595" s="113">
        <v>45520</v>
      </c>
      <c r="M595" s="2">
        <v>2748819</v>
      </c>
    </row>
    <row r="596" spans="12:13" x14ac:dyDescent="0.25">
      <c r="L596" s="113">
        <v>45521</v>
      </c>
      <c r="M596" s="2">
        <v>2344279</v>
      </c>
    </row>
    <row r="597" spans="12:13" x14ac:dyDescent="0.25">
      <c r="L597" s="113">
        <v>45522</v>
      </c>
      <c r="M597" s="2">
        <v>2796821</v>
      </c>
    </row>
    <row r="598" spans="12:13" x14ac:dyDescent="0.25">
      <c r="L598" s="113">
        <v>45523</v>
      </c>
      <c r="M598" s="2">
        <v>2686909</v>
      </c>
    </row>
    <row r="599" spans="12:13" x14ac:dyDescent="0.25">
      <c r="L599" s="113">
        <v>45524</v>
      </c>
      <c r="M599" s="2">
        <v>2252171</v>
      </c>
    </row>
    <row r="600" spans="12:13" x14ac:dyDescent="0.25">
      <c r="L600" s="113">
        <v>45525</v>
      </c>
      <c r="M600" s="2">
        <v>2310258</v>
      </c>
    </row>
    <row r="601" spans="12:13" x14ac:dyDescent="0.25">
      <c r="L601" s="113">
        <v>45526</v>
      </c>
      <c r="M601" s="2">
        <v>2654402</v>
      </c>
    </row>
    <row r="602" spans="12:13" x14ac:dyDescent="0.25">
      <c r="L602" s="113">
        <v>45527</v>
      </c>
      <c r="M602" s="2">
        <v>2660166</v>
      </c>
    </row>
    <row r="603" spans="12:13" x14ac:dyDescent="0.25">
      <c r="L603" s="113">
        <v>45528</v>
      </c>
      <c r="M603" s="2">
        <v>2185822</v>
      </c>
    </row>
    <row r="604" spans="12:13" x14ac:dyDescent="0.25">
      <c r="L604" s="113">
        <v>45529</v>
      </c>
      <c r="M604" s="2">
        <v>2702492</v>
      </c>
    </row>
    <row r="605" spans="12:13" x14ac:dyDescent="0.25">
      <c r="L605" s="113">
        <v>45530</v>
      </c>
      <c r="M605" s="2">
        <v>2463227</v>
      </c>
    </row>
    <row r="606" spans="12:13" x14ac:dyDescent="0.25">
      <c r="L606" s="113">
        <v>45531</v>
      </c>
      <c r="M606" s="2">
        <v>1980342</v>
      </c>
    </row>
    <row r="607" spans="12:13" x14ac:dyDescent="0.25">
      <c r="L607" s="113">
        <v>45532</v>
      </c>
      <c r="M607" s="2">
        <v>2221120</v>
      </c>
    </row>
    <row r="608" spans="12:13" x14ac:dyDescent="0.25">
      <c r="L608" s="113">
        <v>45533</v>
      </c>
      <c r="M608" s="2">
        <v>2746266</v>
      </c>
    </row>
    <row r="609" spans="12:13" x14ac:dyDescent="0.25">
      <c r="L609" s="113">
        <v>45534</v>
      </c>
      <c r="M609" s="2">
        <v>2913547</v>
      </c>
    </row>
    <row r="610" spans="12:13" x14ac:dyDescent="0.25">
      <c r="L610" s="113">
        <v>45535</v>
      </c>
      <c r="M610" s="2">
        <v>2163592</v>
      </c>
    </row>
    <row r="611" spans="12:13" x14ac:dyDescent="0.25">
      <c r="L611" s="113">
        <v>45536</v>
      </c>
      <c r="M611" s="2">
        <v>2219496</v>
      </c>
    </row>
    <row r="612" spans="12:13" x14ac:dyDescent="0.25">
      <c r="L612" s="113">
        <v>45537</v>
      </c>
      <c r="M612" s="2">
        <v>2748226</v>
      </c>
    </row>
    <row r="613" spans="12:13" x14ac:dyDescent="0.25">
      <c r="L613" s="113">
        <v>45538</v>
      </c>
      <c r="M613" s="2">
        <v>2272637</v>
      </c>
    </row>
    <row r="614" spans="12:13" x14ac:dyDescent="0.25">
      <c r="L614" s="113">
        <v>45539</v>
      </c>
      <c r="M614" s="2">
        <v>1965339</v>
      </c>
    </row>
    <row r="615" spans="12:13" x14ac:dyDescent="0.25">
      <c r="L615" s="113">
        <v>45540</v>
      </c>
      <c r="M615" s="2">
        <v>2277401</v>
      </c>
    </row>
    <row r="616" spans="12:13" x14ac:dyDescent="0.25">
      <c r="L616" s="113">
        <v>45541</v>
      </c>
      <c r="M616" s="2">
        <v>2404754</v>
      </c>
    </row>
    <row r="617" spans="12:13" x14ac:dyDescent="0.25">
      <c r="L617" s="113">
        <v>45542</v>
      </c>
      <c r="M617" s="2">
        <v>1944006</v>
      </c>
    </row>
    <row r="618" spans="12:13" x14ac:dyDescent="0.25">
      <c r="L618" s="113">
        <v>45543</v>
      </c>
      <c r="M618" s="2">
        <v>2635080</v>
      </c>
    </row>
    <row r="619" spans="12:13" x14ac:dyDescent="0.25">
      <c r="L619" s="113">
        <v>45544</v>
      </c>
      <c r="M619" s="2">
        <v>2447809</v>
      </c>
    </row>
    <row r="620" spans="12:13" x14ac:dyDescent="0.25">
      <c r="L620" s="113">
        <v>45545</v>
      </c>
      <c r="M620" s="2">
        <v>1947530</v>
      </c>
    </row>
    <row r="621" spans="12:13" x14ac:dyDescent="0.25">
      <c r="L621" s="113">
        <v>45546</v>
      </c>
      <c r="M621" s="2">
        <v>1999757</v>
      </c>
    </row>
    <row r="622" spans="12:13" x14ac:dyDescent="0.25">
      <c r="L622" s="113">
        <v>45547</v>
      </c>
      <c r="M622" s="2">
        <v>2630964</v>
      </c>
    </row>
    <row r="623" spans="12:13" x14ac:dyDescent="0.25">
      <c r="L623" s="113">
        <v>45548</v>
      </c>
      <c r="M623" s="2">
        <v>2629323</v>
      </c>
    </row>
    <row r="624" spans="12:13" x14ac:dyDescent="0.25">
      <c r="L624" s="113">
        <v>45549</v>
      </c>
      <c r="M624" s="2">
        <v>2039797</v>
      </c>
    </row>
    <row r="625" spans="12:13" x14ac:dyDescent="0.25">
      <c r="L625" s="113">
        <v>45550</v>
      </c>
      <c r="M625" s="2">
        <v>2751418</v>
      </c>
    </row>
    <row r="626" spans="12:13" x14ac:dyDescent="0.25">
      <c r="L626" s="113">
        <v>45551</v>
      </c>
      <c r="M626" s="2">
        <v>2568141</v>
      </c>
    </row>
    <row r="627" spans="12:13" x14ac:dyDescent="0.25">
      <c r="L627" s="113">
        <v>45552</v>
      </c>
      <c r="M627" s="2">
        <v>2047363</v>
      </c>
    </row>
    <row r="628" spans="12:13" x14ac:dyDescent="0.25">
      <c r="L628" s="113">
        <v>45553</v>
      </c>
      <c r="M628" s="2">
        <v>2204592</v>
      </c>
    </row>
    <row r="629" spans="12:13" x14ac:dyDescent="0.25">
      <c r="L629" s="113">
        <v>45554</v>
      </c>
      <c r="M629" s="2">
        <v>2720369</v>
      </c>
    </row>
    <row r="630" spans="12:13" x14ac:dyDescent="0.25">
      <c r="L630" s="113">
        <v>45555</v>
      </c>
      <c r="M630" s="2">
        <v>2746884</v>
      </c>
    </row>
    <row r="631" spans="12:13" x14ac:dyDescent="0.25">
      <c r="L631" s="113">
        <v>45556</v>
      </c>
      <c r="M631" s="2">
        <v>2113564</v>
      </c>
    </row>
    <row r="632" spans="12:13" x14ac:dyDescent="0.25">
      <c r="L632" s="113">
        <v>45557</v>
      </c>
      <c r="M632" s="2">
        <v>2834755</v>
      </c>
    </row>
    <row r="633" spans="12:13" x14ac:dyDescent="0.25">
      <c r="L633" s="113">
        <v>45558</v>
      </c>
      <c r="M633" s="2">
        <v>2624958</v>
      </c>
    </row>
    <row r="634" spans="12:13" x14ac:dyDescent="0.25">
      <c r="L634" s="113">
        <v>45559</v>
      </c>
      <c r="M634" s="2">
        <v>2063662</v>
      </c>
    </row>
    <row r="635" spans="12:13" x14ac:dyDescent="0.25">
      <c r="L635" s="113">
        <v>45560</v>
      </c>
      <c r="M635" s="2">
        <v>2245707</v>
      </c>
    </row>
    <row r="636" spans="12:13" x14ac:dyDescent="0.25">
      <c r="L636" s="113">
        <v>45561</v>
      </c>
      <c r="M636" s="2">
        <v>2550227</v>
      </c>
    </row>
    <row r="637" spans="12:13" x14ac:dyDescent="0.25">
      <c r="L637" s="113">
        <v>45562</v>
      </c>
      <c r="M637" s="2">
        <v>2584954</v>
      </c>
    </row>
    <row r="638" spans="12:13" x14ac:dyDescent="0.25">
      <c r="L638" s="113">
        <v>45563</v>
      </c>
      <c r="M638" s="2">
        <v>2090971</v>
      </c>
    </row>
    <row r="639" spans="12:13" x14ac:dyDescent="0.25">
      <c r="L639" s="113">
        <v>45564</v>
      </c>
      <c r="M639" s="2">
        <v>2744939</v>
      </c>
    </row>
    <row r="640" spans="12:13" x14ac:dyDescent="0.25">
      <c r="L640" s="113">
        <v>45565</v>
      </c>
      <c r="M640" s="2">
        <v>2544480</v>
      </c>
    </row>
    <row r="641" spans="12:13" x14ac:dyDescent="0.25">
      <c r="L641" s="113">
        <v>45566</v>
      </c>
      <c r="M641" s="2">
        <v>1999352</v>
      </c>
    </row>
    <row r="642" spans="12:13" x14ac:dyDescent="0.25">
      <c r="L642" s="113">
        <v>45567</v>
      </c>
      <c r="M642" s="2">
        <v>2151683</v>
      </c>
    </row>
    <row r="643" spans="12:13" x14ac:dyDescent="0.25">
      <c r="L643" s="113">
        <v>45568</v>
      </c>
      <c r="M643" s="2">
        <v>2640399</v>
      </c>
    </row>
    <row r="644" spans="12:13" x14ac:dyDescent="0.25">
      <c r="L644" s="113">
        <v>45569</v>
      </c>
      <c r="M644" s="2">
        <v>2668729</v>
      </c>
    </row>
    <row r="645" spans="12:13" x14ac:dyDescent="0.25">
      <c r="L645" s="113">
        <v>45570</v>
      </c>
      <c r="M645" s="2">
        <v>2107910</v>
      </c>
    </row>
    <row r="646" spans="12:13" x14ac:dyDescent="0.25">
      <c r="L646" s="113">
        <v>45571</v>
      </c>
      <c r="M646" s="2">
        <v>2830443</v>
      </c>
    </row>
    <row r="647" spans="12:13" x14ac:dyDescent="0.25">
      <c r="L647" s="113">
        <v>45572</v>
      </c>
      <c r="M647" s="2">
        <v>2650717</v>
      </c>
    </row>
    <row r="648" spans="12:13" x14ac:dyDescent="0.25">
      <c r="L648" s="113">
        <v>45573</v>
      </c>
      <c r="M648" s="2">
        <v>2092902</v>
      </c>
    </row>
    <row r="649" spans="12:13" x14ac:dyDescent="0.25">
      <c r="L649" s="113">
        <v>45574</v>
      </c>
      <c r="M649" s="2">
        <v>2104384</v>
      </c>
    </row>
    <row r="650" spans="12:13" x14ac:dyDescent="0.25">
      <c r="L650" s="113">
        <v>45575</v>
      </c>
      <c r="M650" s="2">
        <v>2515514</v>
      </c>
    </row>
    <row r="651" spans="12:13" x14ac:dyDescent="0.25">
      <c r="L651" s="113">
        <v>45576</v>
      </c>
      <c r="M651" s="2">
        <v>2840414</v>
      </c>
    </row>
    <row r="652" spans="12:13" x14ac:dyDescent="0.25">
      <c r="L652" s="113">
        <v>45577</v>
      </c>
      <c r="M652" s="2">
        <v>2245955</v>
      </c>
    </row>
    <row r="653" spans="12:13" x14ac:dyDescent="0.25">
      <c r="L653" s="113">
        <v>45578</v>
      </c>
      <c r="M653" s="2">
        <v>2759322</v>
      </c>
    </row>
    <row r="654" spans="12:13" x14ac:dyDescent="0.25">
      <c r="L654" s="113">
        <v>45579</v>
      </c>
      <c r="M654" s="2">
        <v>2753893</v>
      </c>
    </row>
    <row r="655" spans="12:13" x14ac:dyDescent="0.25">
      <c r="L655" s="113">
        <v>45580</v>
      </c>
      <c r="M655" s="2">
        <v>2331229</v>
      </c>
    </row>
    <row r="656" spans="12:13" x14ac:dyDescent="0.25">
      <c r="L656" s="113">
        <v>45581</v>
      </c>
      <c r="M656" s="2">
        <v>2380635</v>
      </c>
    </row>
    <row r="657" spans="12:13" x14ac:dyDescent="0.25">
      <c r="L657" s="113">
        <v>45582</v>
      </c>
      <c r="M657" s="2">
        <v>2790733</v>
      </c>
    </row>
    <row r="658" spans="12:13" x14ac:dyDescent="0.25">
      <c r="L658" s="113">
        <v>45583</v>
      </c>
      <c r="M658" s="2">
        <v>2810221</v>
      </c>
    </row>
    <row r="659" spans="12:13" x14ac:dyDescent="0.25">
      <c r="L659" s="113">
        <v>45584</v>
      </c>
      <c r="M659" s="2">
        <v>2244829</v>
      </c>
    </row>
    <row r="660" spans="12:13" x14ac:dyDescent="0.25">
      <c r="L660" s="113">
        <v>45585</v>
      </c>
      <c r="M660" s="2">
        <v>2934025</v>
      </c>
    </row>
    <row r="661" spans="12:13" x14ac:dyDescent="0.25">
      <c r="L661" s="113">
        <v>45586</v>
      </c>
      <c r="M661" s="2">
        <v>2756016</v>
      </c>
    </row>
    <row r="662" spans="12:13" x14ac:dyDescent="0.25">
      <c r="L662" s="113">
        <v>45587</v>
      </c>
      <c r="M662" s="2">
        <v>2162389</v>
      </c>
    </row>
    <row r="663" spans="12:13" x14ac:dyDescent="0.25">
      <c r="L663" s="113">
        <v>45588</v>
      </c>
      <c r="M663" s="2">
        <v>2283293</v>
      </c>
    </row>
    <row r="664" spans="12:13" x14ac:dyDescent="0.25">
      <c r="L664" s="113">
        <v>45589</v>
      </c>
      <c r="M664" s="2">
        <v>2734510</v>
      </c>
    </row>
    <row r="665" spans="12:13" x14ac:dyDescent="0.25">
      <c r="L665" s="113">
        <v>45590</v>
      </c>
      <c r="M665" s="2">
        <v>2757296</v>
      </c>
    </row>
    <row r="666" spans="12:13" x14ac:dyDescent="0.25">
      <c r="L666" s="113">
        <v>45591</v>
      </c>
      <c r="M666" s="2">
        <v>2138621</v>
      </c>
    </row>
    <row r="667" spans="12:13" x14ac:dyDescent="0.25">
      <c r="L667" s="113">
        <v>45592</v>
      </c>
      <c r="M667" s="2">
        <v>2797199</v>
      </c>
    </row>
    <row r="668" spans="12:13" x14ac:dyDescent="0.25">
      <c r="L668" s="113">
        <v>45593</v>
      </c>
      <c r="M668" s="2">
        <v>2571459</v>
      </c>
    </row>
    <row r="669" spans="12:13" x14ac:dyDescent="0.25">
      <c r="L669" s="113">
        <v>45594</v>
      </c>
      <c r="M669" s="2">
        <v>1956344</v>
      </c>
    </row>
    <row r="670" spans="12:13" x14ac:dyDescent="0.25">
      <c r="L670" s="113">
        <v>45595</v>
      </c>
      <c r="M670" s="2">
        <v>2160195</v>
      </c>
    </row>
    <row r="671" spans="12:13" x14ac:dyDescent="0.25">
      <c r="L671" s="113">
        <v>45596</v>
      </c>
      <c r="M671" s="2">
        <v>2161429</v>
      </c>
    </row>
    <row r="672" spans="12:13" x14ac:dyDescent="0.25">
      <c r="L672" s="113">
        <v>45597</v>
      </c>
      <c r="M672" s="2">
        <v>2565724</v>
      </c>
    </row>
    <row r="673" spans="12:13" x14ac:dyDescent="0.25">
      <c r="L673" s="113">
        <v>45598</v>
      </c>
      <c r="M673" s="2">
        <v>1997801</v>
      </c>
    </row>
    <row r="674" spans="12:13" x14ac:dyDescent="0.25">
      <c r="L674" s="113">
        <v>45599</v>
      </c>
      <c r="M674" s="2">
        <v>2646807</v>
      </c>
    </row>
    <row r="675" spans="12:13" x14ac:dyDescent="0.25">
      <c r="L675" s="113">
        <v>45600</v>
      </c>
      <c r="M675" s="2">
        <v>2403233</v>
      </c>
    </row>
    <row r="676" spans="12:13" x14ac:dyDescent="0.25">
      <c r="L676" s="113">
        <v>45601</v>
      </c>
      <c r="M676" s="2">
        <v>1910059</v>
      </c>
    </row>
    <row r="677" spans="12:13" x14ac:dyDescent="0.25">
      <c r="L677" s="113">
        <v>45602</v>
      </c>
      <c r="M677" s="2">
        <v>2106444</v>
      </c>
    </row>
    <row r="678" spans="12:13" x14ac:dyDescent="0.25">
      <c r="L678" s="113">
        <v>45603</v>
      </c>
      <c r="M678" s="2">
        <v>2597660</v>
      </c>
    </row>
    <row r="679" spans="12:13" x14ac:dyDescent="0.25">
      <c r="L679" s="113">
        <v>45604</v>
      </c>
      <c r="M679" s="2">
        <v>2662635</v>
      </c>
    </row>
    <row r="680" spans="12:13" x14ac:dyDescent="0.25">
      <c r="L680" s="113">
        <v>45605</v>
      </c>
      <c r="M680" s="2">
        <v>2112678</v>
      </c>
    </row>
    <row r="681" spans="12:13" x14ac:dyDescent="0.25">
      <c r="L681" s="113">
        <v>45606</v>
      </c>
      <c r="M681" s="2">
        <v>2660472</v>
      </c>
    </row>
    <row r="682" spans="12:13" x14ac:dyDescent="0.25">
      <c r="L682" s="113">
        <v>45607</v>
      </c>
      <c r="M682" s="2">
        <v>2697567</v>
      </c>
    </row>
    <row r="683" spans="12:13" x14ac:dyDescent="0.25">
      <c r="L683" s="113">
        <v>45608</v>
      </c>
      <c r="M683" s="2">
        <v>2085620</v>
      </c>
    </row>
    <row r="684" spans="12:13" x14ac:dyDescent="0.25">
      <c r="L684" s="113">
        <v>45609</v>
      </c>
      <c r="M684" s="2">
        <v>2088739</v>
      </c>
    </row>
    <row r="685" spans="12:13" x14ac:dyDescent="0.25">
      <c r="L685" s="113">
        <v>45610</v>
      </c>
      <c r="M685" s="2">
        <v>2561968</v>
      </c>
    </row>
    <row r="686" spans="12:13" x14ac:dyDescent="0.25">
      <c r="L686" s="113">
        <v>45611</v>
      </c>
      <c r="M686" s="2">
        <v>2636505</v>
      </c>
    </row>
    <row r="687" spans="12:13" x14ac:dyDescent="0.25">
      <c r="L687" s="113">
        <v>45612</v>
      </c>
      <c r="M687" s="2">
        <v>1949769</v>
      </c>
    </row>
    <row r="688" spans="12:13" x14ac:dyDescent="0.25">
      <c r="L688" s="113">
        <v>45613</v>
      </c>
      <c r="M688" s="2">
        <v>2663030</v>
      </c>
    </row>
    <row r="689" spans="12:13" x14ac:dyDescent="0.25">
      <c r="L689" s="113">
        <v>45614</v>
      </c>
      <c r="M689" s="2">
        <v>2455375</v>
      </c>
    </row>
    <row r="690" spans="12:13" x14ac:dyDescent="0.25">
      <c r="L690" s="113">
        <v>45615</v>
      </c>
      <c r="M690" s="2">
        <v>1885832</v>
      </c>
    </row>
    <row r="691" spans="12:13" x14ac:dyDescent="0.25">
      <c r="L691" s="113">
        <v>45616</v>
      </c>
      <c r="M691" s="2">
        <v>2070826</v>
      </c>
    </row>
    <row r="692" spans="12:13" x14ac:dyDescent="0.25">
      <c r="L692" s="113">
        <v>45617</v>
      </c>
      <c r="M692" s="2">
        <v>2550762</v>
      </c>
    </row>
    <row r="693" spans="12:13" x14ac:dyDescent="0.25">
      <c r="L693" s="113">
        <v>45618</v>
      </c>
      <c r="M693" s="2">
        <v>2754798</v>
      </c>
    </row>
    <row r="694" spans="12:13" x14ac:dyDescent="0.25">
      <c r="L694" s="113">
        <v>45619</v>
      </c>
      <c r="M694" s="2">
        <v>2493313</v>
      </c>
    </row>
    <row r="695" spans="12:13" x14ac:dyDescent="0.25">
      <c r="L695" s="113">
        <v>45620</v>
      </c>
      <c r="M695" s="2">
        <v>2659301</v>
      </c>
    </row>
    <row r="696" spans="12:13" x14ac:dyDescent="0.25">
      <c r="L696" s="113">
        <v>45621</v>
      </c>
      <c r="M696" s="2">
        <v>2506373</v>
      </c>
    </row>
    <row r="697" spans="12:13" x14ac:dyDescent="0.25">
      <c r="L697" s="113">
        <v>45622</v>
      </c>
      <c r="M697" s="2">
        <v>2694504</v>
      </c>
    </row>
    <row r="698" spans="12:13" x14ac:dyDescent="0.25">
      <c r="L698" s="113">
        <v>45623</v>
      </c>
      <c r="M698" s="2">
        <v>2726845</v>
      </c>
    </row>
    <row r="699" spans="12:13" x14ac:dyDescent="0.25">
      <c r="L699" s="113">
        <v>45624</v>
      </c>
      <c r="M699" s="2">
        <v>1551896</v>
      </c>
    </row>
    <row r="700" spans="12:13" x14ac:dyDescent="0.25">
      <c r="L700" s="113">
        <v>45625</v>
      </c>
      <c r="M700" s="2">
        <v>2377911</v>
      </c>
    </row>
    <row r="701" spans="12:13" x14ac:dyDescent="0.25">
      <c r="L701" s="113">
        <v>45626</v>
      </c>
      <c r="M701" s="2">
        <v>2811101</v>
      </c>
    </row>
    <row r="702" spans="12:13" x14ac:dyDescent="0.25">
      <c r="L702" s="113">
        <v>45627</v>
      </c>
      <c r="M702" s="2">
        <v>3088836</v>
      </c>
    </row>
    <row r="703" spans="12:13" x14ac:dyDescent="0.25">
      <c r="L703" s="113">
        <v>45628</v>
      </c>
      <c r="M703" s="2">
        <v>2829000</v>
      </c>
    </row>
    <row r="704" spans="12:13" x14ac:dyDescent="0.25">
      <c r="L704" s="113">
        <v>45629</v>
      </c>
      <c r="M704" s="2">
        <v>2283750</v>
      </c>
    </row>
    <row r="705" spans="12:13" x14ac:dyDescent="0.25">
      <c r="L705" s="113">
        <v>45630</v>
      </c>
      <c r="M705" s="2">
        <v>2120703</v>
      </c>
    </row>
    <row r="706" spans="12:13" x14ac:dyDescent="0.25">
      <c r="L706" s="113">
        <v>45631</v>
      </c>
      <c r="M706" s="2">
        <v>2443620</v>
      </c>
    </row>
    <row r="707" spans="12:13" x14ac:dyDescent="0.25">
      <c r="L707" s="113">
        <v>45632</v>
      </c>
      <c r="M707" s="2">
        <v>2522641</v>
      </c>
    </row>
    <row r="708" spans="12:13" x14ac:dyDescent="0.25">
      <c r="L708" s="113">
        <v>45633</v>
      </c>
      <c r="M708" s="2">
        <v>2012382</v>
      </c>
    </row>
    <row r="709" spans="12:13" x14ac:dyDescent="0.25">
      <c r="L709" s="113">
        <v>45634</v>
      </c>
      <c r="M709" s="2">
        <v>2603322</v>
      </c>
    </row>
    <row r="710" spans="12:13" x14ac:dyDescent="0.25">
      <c r="L710" s="113">
        <v>45635</v>
      </c>
      <c r="M710" s="2">
        <v>2438070</v>
      </c>
    </row>
    <row r="711" spans="12:13" x14ac:dyDescent="0.25">
      <c r="L711" s="113">
        <v>45636</v>
      </c>
      <c r="M711" s="2">
        <v>2013749</v>
      </c>
    </row>
    <row r="712" spans="12:13" x14ac:dyDescent="0.25">
      <c r="L712" s="113">
        <v>45637</v>
      </c>
      <c r="M712" s="2">
        <v>2148651</v>
      </c>
    </row>
    <row r="713" spans="12:13" x14ac:dyDescent="0.25">
      <c r="L713" s="113">
        <v>45638</v>
      </c>
      <c r="M713" s="2">
        <v>2588225</v>
      </c>
    </row>
    <row r="714" spans="12:13" x14ac:dyDescent="0.25">
      <c r="L714" s="113">
        <v>45639</v>
      </c>
      <c r="M714" s="2">
        <v>2655019</v>
      </c>
    </row>
    <row r="715" spans="12:13" x14ac:dyDescent="0.25">
      <c r="L715" s="113">
        <v>45640</v>
      </c>
      <c r="M715" s="2">
        <v>2146894</v>
      </c>
    </row>
    <row r="716" spans="12:13" x14ac:dyDescent="0.25">
      <c r="L716" s="113">
        <v>45641</v>
      </c>
      <c r="M716" s="2">
        <v>2599354</v>
      </c>
    </row>
    <row r="717" spans="12:13" x14ac:dyDescent="0.25">
      <c r="L717" s="113">
        <v>45642</v>
      </c>
      <c r="M717" s="2">
        <v>2401238</v>
      </c>
    </row>
    <row r="718" spans="12:13" x14ac:dyDescent="0.25">
      <c r="L718" s="113">
        <v>45643</v>
      </c>
      <c r="M718" s="2">
        <v>2122028</v>
      </c>
    </row>
    <row r="719" spans="12:13" x14ac:dyDescent="0.25">
      <c r="L719" s="113">
        <v>45644</v>
      </c>
      <c r="M719" s="2">
        <v>2351328</v>
      </c>
    </row>
    <row r="720" spans="12:13" x14ac:dyDescent="0.25">
      <c r="L720" s="113">
        <v>45645</v>
      </c>
      <c r="M720" s="2">
        <v>2651437</v>
      </c>
    </row>
    <row r="721" spans="12:13" x14ac:dyDescent="0.25">
      <c r="L721" s="113">
        <v>45646</v>
      </c>
      <c r="M721" s="2">
        <v>2845856</v>
      </c>
    </row>
    <row r="722" spans="12:13" x14ac:dyDescent="0.25">
      <c r="L722" s="113">
        <v>45647</v>
      </c>
      <c r="M722" s="2">
        <v>2773545</v>
      </c>
    </row>
    <row r="723" spans="12:13" x14ac:dyDescent="0.25">
      <c r="L723" s="113">
        <v>45648</v>
      </c>
      <c r="M723" s="2">
        <v>2800962</v>
      </c>
    </row>
    <row r="724" spans="12:13" x14ac:dyDescent="0.25">
      <c r="L724" s="113">
        <v>45649</v>
      </c>
      <c r="M724" s="2">
        <v>2758299</v>
      </c>
    </row>
    <row r="725" spans="12:13" x14ac:dyDescent="0.25">
      <c r="L725" s="113">
        <v>45650</v>
      </c>
      <c r="M725" s="2">
        <v>2068817</v>
      </c>
    </row>
    <row r="726" spans="12:13" x14ac:dyDescent="0.25">
      <c r="L726" s="113">
        <v>45651</v>
      </c>
      <c r="M726" s="2">
        <v>2039342</v>
      </c>
    </row>
    <row r="727" spans="12:13" x14ac:dyDescent="0.25">
      <c r="L727" s="113">
        <v>45652</v>
      </c>
      <c r="M727" s="2">
        <v>2743795</v>
      </c>
    </row>
    <row r="728" spans="12:13" x14ac:dyDescent="0.25">
      <c r="L728" s="113">
        <v>45653</v>
      </c>
      <c r="M728" s="2">
        <v>2848156</v>
      </c>
    </row>
    <row r="729" spans="12:13" x14ac:dyDescent="0.25">
      <c r="L729" s="113">
        <v>45654</v>
      </c>
      <c r="M729" s="2">
        <v>2741872</v>
      </c>
    </row>
    <row r="730" spans="12:13" x14ac:dyDescent="0.25">
      <c r="L730" s="113">
        <v>45655</v>
      </c>
      <c r="M730" s="2">
        <v>2805401</v>
      </c>
    </row>
    <row r="731" spans="12:13" x14ac:dyDescent="0.25">
      <c r="L731" s="113">
        <v>45656</v>
      </c>
      <c r="M731" s="2">
        <v>2765740</v>
      </c>
    </row>
    <row r="732" spans="12:13" x14ac:dyDescent="0.25">
      <c r="L732" s="113">
        <v>45657</v>
      </c>
      <c r="M732" s="2">
        <v>2172902</v>
      </c>
    </row>
    <row r="733" spans="12:13" x14ac:dyDescent="0.25">
      <c r="L733" s="113">
        <v>44927</v>
      </c>
      <c r="M733" s="2">
        <v>2046950</v>
      </c>
    </row>
    <row r="734" spans="12:13" x14ac:dyDescent="0.25">
      <c r="L734" s="113">
        <v>44928</v>
      </c>
      <c r="M734" s="2">
        <v>2368194</v>
      </c>
    </row>
    <row r="735" spans="12:13" x14ac:dyDescent="0.25">
      <c r="L735" s="113">
        <v>44929</v>
      </c>
      <c r="M735" s="2">
        <v>2212528</v>
      </c>
    </row>
    <row r="736" spans="12:13" x14ac:dyDescent="0.25">
      <c r="L736" s="113">
        <v>44930</v>
      </c>
      <c r="M736" s="2">
        <v>1985965</v>
      </c>
    </row>
    <row r="737" spans="12:13" x14ac:dyDescent="0.25">
      <c r="L737" s="113">
        <v>44931</v>
      </c>
      <c r="M737" s="2">
        <v>2031976</v>
      </c>
    </row>
    <row r="738" spans="12:13" x14ac:dyDescent="0.25">
      <c r="L738" s="113">
        <v>44932</v>
      </c>
      <c r="M738" s="2">
        <v>2043547</v>
      </c>
    </row>
    <row r="739" spans="12:13" x14ac:dyDescent="0.25">
      <c r="L739" s="113">
        <v>44933</v>
      </c>
      <c r="M739" s="2">
        <v>1917290</v>
      </c>
    </row>
    <row r="740" spans="12:13" x14ac:dyDescent="0.25">
      <c r="L740" s="113">
        <v>44934</v>
      </c>
      <c r="M740" s="2">
        <v>2226917</v>
      </c>
    </row>
    <row r="741" spans="12:13" x14ac:dyDescent="0.25">
      <c r="L741" s="113">
        <v>44935</v>
      </c>
      <c r="M741" s="2">
        <v>2009868</v>
      </c>
    </row>
    <row r="742" spans="12:13" x14ac:dyDescent="0.25">
      <c r="L742" s="113">
        <v>44936</v>
      </c>
      <c r="M742" s="2">
        <v>1678250</v>
      </c>
    </row>
    <row r="743" spans="12:13" x14ac:dyDescent="0.25">
      <c r="L743" s="113">
        <v>44937</v>
      </c>
      <c r="M743" s="2">
        <v>1723117</v>
      </c>
    </row>
    <row r="744" spans="12:13" x14ac:dyDescent="0.25">
      <c r="L744" s="113">
        <v>44938</v>
      </c>
      <c r="M744" s="2">
        <v>2189475</v>
      </c>
    </row>
    <row r="745" spans="12:13" x14ac:dyDescent="0.25">
      <c r="L745" s="113">
        <v>44939</v>
      </c>
      <c r="M745" s="2">
        <v>2316713</v>
      </c>
    </row>
    <row r="746" spans="12:13" x14ac:dyDescent="0.25">
      <c r="L746" s="113">
        <v>44940</v>
      </c>
      <c r="M746" s="2">
        <v>1803651</v>
      </c>
    </row>
    <row r="747" spans="12:13" x14ac:dyDescent="0.25">
      <c r="L747" s="113">
        <v>44941</v>
      </c>
      <c r="M747" s="2">
        <v>2038119</v>
      </c>
    </row>
    <row r="748" spans="12:13" x14ac:dyDescent="0.25">
      <c r="L748" s="113">
        <v>44942</v>
      </c>
      <c r="M748" s="2">
        <v>2244873</v>
      </c>
    </row>
    <row r="749" spans="12:13" x14ac:dyDescent="0.25">
      <c r="L749" s="113">
        <v>44943</v>
      </c>
      <c r="M749" s="2">
        <v>1803155</v>
      </c>
    </row>
    <row r="750" spans="12:13" x14ac:dyDescent="0.25">
      <c r="L750" s="113">
        <v>44944</v>
      </c>
      <c r="M750" s="2">
        <v>1674129</v>
      </c>
    </row>
    <row r="751" spans="12:13" x14ac:dyDescent="0.25">
      <c r="L751" s="113">
        <v>44945</v>
      </c>
      <c r="M751" s="2">
        <v>1997346</v>
      </c>
    </row>
    <row r="752" spans="12:13" x14ac:dyDescent="0.25">
      <c r="L752" s="113">
        <v>44946</v>
      </c>
      <c r="M752" s="2">
        <v>2089417</v>
      </c>
    </row>
    <row r="753" spans="12:13" x14ac:dyDescent="0.25">
      <c r="L753" s="113">
        <v>44947</v>
      </c>
      <c r="M753" s="2">
        <v>1662736</v>
      </c>
    </row>
    <row r="754" spans="12:13" x14ac:dyDescent="0.25">
      <c r="L754" s="113">
        <v>44948</v>
      </c>
      <c r="M754" s="2">
        <v>2141703</v>
      </c>
    </row>
    <row r="755" spans="12:13" x14ac:dyDescent="0.25">
      <c r="L755" s="113">
        <v>44949</v>
      </c>
      <c r="M755" s="2">
        <v>1970280</v>
      </c>
    </row>
    <row r="756" spans="12:13" x14ac:dyDescent="0.25">
      <c r="L756" s="113">
        <v>44950</v>
      </c>
      <c r="M756" s="2">
        <v>1567069</v>
      </c>
    </row>
    <row r="757" spans="12:13" x14ac:dyDescent="0.25">
      <c r="L757" s="113">
        <v>44951</v>
      </c>
      <c r="M757" s="2">
        <v>1677909</v>
      </c>
    </row>
    <row r="758" spans="12:13" x14ac:dyDescent="0.25">
      <c r="L758" s="113">
        <v>44952</v>
      </c>
      <c r="M758" s="2">
        <v>2097825</v>
      </c>
    </row>
    <row r="759" spans="12:13" x14ac:dyDescent="0.25">
      <c r="L759" s="113">
        <v>44953</v>
      </c>
      <c r="M759" s="2">
        <v>2122066</v>
      </c>
    </row>
    <row r="760" spans="12:13" x14ac:dyDescent="0.25">
      <c r="L760" s="113">
        <v>44954</v>
      </c>
      <c r="M760" s="2">
        <v>1653401</v>
      </c>
    </row>
    <row r="761" spans="12:13" x14ac:dyDescent="0.25">
      <c r="L761" s="113">
        <v>44955</v>
      </c>
      <c r="M761" s="2">
        <v>2144644</v>
      </c>
    </row>
    <row r="762" spans="12:13" x14ac:dyDescent="0.25">
      <c r="L762" s="113">
        <v>44956</v>
      </c>
      <c r="M762" s="2">
        <v>1932983</v>
      </c>
    </row>
    <row r="763" spans="12:13" x14ac:dyDescent="0.25">
      <c r="L763" s="113">
        <v>44957</v>
      </c>
      <c r="M763" s="2">
        <v>1534786</v>
      </c>
    </row>
    <row r="764" spans="12:13" x14ac:dyDescent="0.25">
      <c r="L764" s="113">
        <v>44958</v>
      </c>
      <c r="M764" s="2">
        <v>1608110</v>
      </c>
    </row>
    <row r="765" spans="12:13" x14ac:dyDescent="0.25">
      <c r="L765" s="113">
        <v>44959</v>
      </c>
      <c r="M765" s="2">
        <v>2042277</v>
      </c>
    </row>
    <row r="766" spans="12:13" x14ac:dyDescent="0.25">
      <c r="L766" s="113">
        <v>44960</v>
      </c>
      <c r="M766" s="2">
        <v>2102998</v>
      </c>
    </row>
    <row r="767" spans="12:13" x14ac:dyDescent="0.25">
      <c r="L767" s="113">
        <v>44961</v>
      </c>
      <c r="M767" s="2">
        <v>1669806</v>
      </c>
    </row>
    <row r="768" spans="12:13" x14ac:dyDescent="0.25">
      <c r="L768" s="113">
        <v>44962</v>
      </c>
      <c r="M768" s="2">
        <v>2202873</v>
      </c>
    </row>
    <row r="769" spans="12:13" x14ac:dyDescent="0.25">
      <c r="L769" s="113">
        <v>44963</v>
      </c>
      <c r="M769" s="2">
        <v>2040256</v>
      </c>
    </row>
    <row r="770" spans="12:13" x14ac:dyDescent="0.25">
      <c r="L770" s="113">
        <v>44964</v>
      </c>
      <c r="M770" s="2">
        <v>1626257</v>
      </c>
    </row>
    <row r="771" spans="12:13" x14ac:dyDescent="0.25">
      <c r="L771" s="113">
        <v>44965</v>
      </c>
      <c r="M771" s="2">
        <v>1796332</v>
      </c>
    </row>
    <row r="772" spans="12:13" x14ac:dyDescent="0.25">
      <c r="L772" s="113">
        <v>44966</v>
      </c>
      <c r="M772" s="2">
        <v>2158573</v>
      </c>
    </row>
    <row r="773" spans="12:13" x14ac:dyDescent="0.25">
      <c r="L773" s="113">
        <v>44967</v>
      </c>
      <c r="M773" s="2">
        <v>2254803</v>
      </c>
    </row>
    <row r="774" spans="12:13" x14ac:dyDescent="0.25">
      <c r="L774" s="113">
        <v>44968</v>
      </c>
      <c r="M774" s="2">
        <v>1809116</v>
      </c>
    </row>
    <row r="775" spans="12:13" x14ac:dyDescent="0.25">
      <c r="L775" s="113">
        <v>44969</v>
      </c>
      <c r="M775" s="2">
        <v>2113837</v>
      </c>
    </row>
    <row r="776" spans="12:13" x14ac:dyDescent="0.25">
      <c r="L776" s="113">
        <v>44970</v>
      </c>
      <c r="M776" s="2">
        <v>2073820</v>
      </c>
    </row>
    <row r="777" spans="12:13" x14ac:dyDescent="0.25">
      <c r="L777" s="113">
        <v>44971</v>
      </c>
      <c r="M777" s="2">
        <v>1674639</v>
      </c>
    </row>
    <row r="778" spans="12:13" x14ac:dyDescent="0.25">
      <c r="L778" s="113">
        <v>44972</v>
      </c>
      <c r="M778" s="2">
        <v>2017144</v>
      </c>
    </row>
    <row r="779" spans="12:13" x14ac:dyDescent="0.25">
      <c r="L779" s="113">
        <v>44973</v>
      </c>
      <c r="M779" s="2">
        <v>2339970</v>
      </c>
    </row>
    <row r="780" spans="12:13" x14ac:dyDescent="0.25">
      <c r="L780" s="113">
        <v>44974</v>
      </c>
      <c r="M780" s="2">
        <v>2509923</v>
      </c>
    </row>
    <row r="781" spans="12:13" x14ac:dyDescent="0.25">
      <c r="L781" s="113">
        <v>44975</v>
      </c>
      <c r="M781" s="2">
        <v>2065901</v>
      </c>
    </row>
    <row r="782" spans="12:13" x14ac:dyDescent="0.25">
      <c r="L782" s="113">
        <v>44976</v>
      </c>
      <c r="M782" s="2">
        <v>2319072</v>
      </c>
    </row>
    <row r="783" spans="12:13" x14ac:dyDescent="0.25">
      <c r="L783" s="113">
        <v>44977</v>
      </c>
      <c r="M783" s="2">
        <v>2479184</v>
      </c>
    </row>
    <row r="784" spans="12:13" x14ac:dyDescent="0.25">
      <c r="L784" s="113">
        <v>44978</v>
      </c>
      <c r="M784" s="2">
        <v>2116450</v>
      </c>
    </row>
    <row r="785" spans="12:13" x14ac:dyDescent="0.25">
      <c r="L785" s="113">
        <v>44979</v>
      </c>
      <c r="M785" s="2">
        <v>2006058</v>
      </c>
    </row>
    <row r="786" spans="12:13" x14ac:dyDescent="0.25">
      <c r="L786" s="113">
        <v>44980</v>
      </c>
      <c r="M786" s="2">
        <v>2322309</v>
      </c>
    </row>
    <row r="787" spans="12:13" x14ac:dyDescent="0.25">
      <c r="L787" s="113">
        <v>44981</v>
      </c>
      <c r="M787" s="2">
        <v>2425335</v>
      </c>
    </row>
    <row r="788" spans="12:13" x14ac:dyDescent="0.25">
      <c r="L788" s="113">
        <v>44982</v>
      </c>
      <c r="M788" s="2">
        <v>2057210</v>
      </c>
    </row>
    <row r="789" spans="12:13" x14ac:dyDescent="0.25">
      <c r="L789" s="113">
        <v>44983</v>
      </c>
      <c r="M789" s="2">
        <v>2402716</v>
      </c>
    </row>
    <row r="790" spans="12:13" x14ac:dyDescent="0.25">
      <c r="L790" s="113">
        <v>44984</v>
      </c>
      <c r="M790" s="2">
        <v>2235417</v>
      </c>
    </row>
    <row r="791" spans="12:13" x14ac:dyDescent="0.25">
      <c r="L791" s="113">
        <v>44985</v>
      </c>
      <c r="M791" s="2">
        <v>1890744</v>
      </c>
    </row>
    <row r="792" spans="12:13" x14ac:dyDescent="0.25">
      <c r="L792" s="113">
        <v>44986</v>
      </c>
      <c r="M792" s="2">
        <v>2066150</v>
      </c>
    </row>
    <row r="793" spans="12:13" x14ac:dyDescent="0.25">
      <c r="L793" s="113">
        <v>44987</v>
      </c>
      <c r="M793" s="2">
        <v>2316735</v>
      </c>
    </row>
    <row r="794" spans="12:13" x14ac:dyDescent="0.25">
      <c r="L794" s="113">
        <v>44988</v>
      </c>
      <c r="M794" s="2">
        <v>2375579</v>
      </c>
    </row>
    <row r="795" spans="12:13" x14ac:dyDescent="0.25">
      <c r="L795" s="113">
        <v>44989</v>
      </c>
      <c r="M795" s="2">
        <v>2040488</v>
      </c>
    </row>
    <row r="796" spans="12:13" x14ac:dyDescent="0.25">
      <c r="L796" s="113">
        <v>44990</v>
      </c>
      <c r="M796" s="2">
        <v>2422425</v>
      </c>
    </row>
    <row r="797" spans="12:13" x14ac:dyDescent="0.25">
      <c r="L797" s="113">
        <v>44991</v>
      </c>
      <c r="M797" s="2">
        <v>2265014</v>
      </c>
    </row>
    <row r="798" spans="12:13" x14ac:dyDescent="0.25">
      <c r="L798" s="113">
        <v>44992</v>
      </c>
      <c r="M798" s="2">
        <v>1908536</v>
      </c>
    </row>
    <row r="799" spans="12:13" x14ac:dyDescent="0.25">
      <c r="L799" s="113">
        <v>44993</v>
      </c>
      <c r="M799" s="2">
        <v>2130141</v>
      </c>
    </row>
    <row r="800" spans="12:13" x14ac:dyDescent="0.25">
      <c r="L800" s="113">
        <v>44994</v>
      </c>
      <c r="M800" s="2">
        <v>2417279</v>
      </c>
    </row>
    <row r="801" spans="12:13" x14ac:dyDescent="0.25">
      <c r="L801" s="113">
        <v>44995</v>
      </c>
      <c r="M801" s="2">
        <v>2562561</v>
      </c>
    </row>
    <row r="802" spans="12:13" x14ac:dyDescent="0.25">
      <c r="L802" s="113">
        <v>44996</v>
      </c>
      <c r="M802" s="2">
        <v>2279320</v>
      </c>
    </row>
    <row r="803" spans="12:13" x14ac:dyDescent="0.25">
      <c r="L803" s="113">
        <v>44997</v>
      </c>
      <c r="M803" s="2">
        <v>2539093</v>
      </c>
    </row>
    <row r="804" spans="12:13" x14ac:dyDescent="0.25">
      <c r="L804" s="113">
        <v>44998</v>
      </c>
      <c r="M804" s="2">
        <v>2393346</v>
      </c>
    </row>
    <row r="805" spans="12:13" x14ac:dyDescent="0.25">
      <c r="L805" s="113">
        <v>44999</v>
      </c>
      <c r="M805" s="2">
        <v>2026905</v>
      </c>
    </row>
    <row r="806" spans="12:13" x14ac:dyDescent="0.25">
      <c r="L806" s="113">
        <v>45000</v>
      </c>
      <c r="M806" s="2">
        <v>2284299</v>
      </c>
    </row>
    <row r="807" spans="12:13" x14ac:dyDescent="0.25">
      <c r="L807" s="113">
        <v>45001</v>
      </c>
      <c r="M807" s="2">
        <v>2483683</v>
      </c>
    </row>
    <row r="808" spans="12:13" x14ac:dyDescent="0.25">
      <c r="L808" s="113">
        <v>45002</v>
      </c>
      <c r="M808" s="2">
        <v>2517226</v>
      </c>
    </row>
    <row r="809" spans="12:13" x14ac:dyDescent="0.25">
      <c r="L809" s="113">
        <v>45003</v>
      </c>
      <c r="M809" s="2">
        <v>2278805</v>
      </c>
    </row>
    <row r="810" spans="12:13" x14ac:dyDescent="0.25">
      <c r="L810" s="113">
        <v>45004</v>
      </c>
      <c r="M810" s="2">
        <v>2608462</v>
      </c>
    </row>
    <row r="811" spans="12:13" x14ac:dyDescent="0.25">
      <c r="L811" s="113">
        <v>45005</v>
      </c>
      <c r="M811" s="2">
        <v>2414648</v>
      </c>
    </row>
    <row r="812" spans="12:13" x14ac:dyDescent="0.25">
      <c r="L812" s="113">
        <v>45006</v>
      </c>
      <c r="M812" s="2">
        <v>2038001</v>
      </c>
    </row>
    <row r="813" spans="12:13" x14ac:dyDescent="0.25">
      <c r="L813" s="113">
        <v>45007</v>
      </c>
      <c r="M813" s="2">
        <v>2203488</v>
      </c>
    </row>
    <row r="814" spans="12:13" x14ac:dyDescent="0.25">
      <c r="L814" s="113">
        <v>45008</v>
      </c>
      <c r="M814" s="2">
        <v>2451051</v>
      </c>
    </row>
    <row r="815" spans="12:13" x14ac:dyDescent="0.25">
      <c r="L815" s="113">
        <v>45009</v>
      </c>
      <c r="M815" s="2">
        <v>2508221</v>
      </c>
    </row>
    <row r="816" spans="12:13" x14ac:dyDescent="0.25">
      <c r="L816" s="113">
        <v>45010</v>
      </c>
      <c r="M816" s="2">
        <v>2208541</v>
      </c>
    </row>
    <row r="817" spans="12:13" x14ac:dyDescent="0.25">
      <c r="L817" s="113">
        <v>45011</v>
      </c>
      <c r="M817" s="2">
        <v>2522600</v>
      </c>
    </row>
    <row r="818" spans="12:13" x14ac:dyDescent="0.25">
      <c r="L818" s="113">
        <v>45012</v>
      </c>
      <c r="M818" s="2">
        <v>2383816</v>
      </c>
    </row>
    <row r="819" spans="12:13" x14ac:dyDescent="0.25">
      <c r="L819" s="113">
        <v>45013</v>
      </c>
      <c r="M819" s="2">
        <v>2039138</v>
      </c>
    </row>
    <row r="820" spans="12:13" x14ac:dyDescent="0.25">
      <c r="L820" s="113">
        <v>45014</v>
      </c>
      <c r="M820" s="2">
        <v>2210676</v>
      </c>
    </row>
    <row r="821" spans="12:13" x14ac:dyDescent="0.25">
      <c r="L821" s="113">
        <v>45015</v>
      </c>
      <c r="M821" s="2">
        <v>2487147</v>
      </c>
    </row>
    <row r="822" spans="12:13" x14ac:dyDescent="0.25">
      <c r="L822" s="113">
        <v>45016</v>
      </c>
      <c r="M822" s="2">
        <v>2536088</v>
      </c>
    </row>
    <row r="823" spans="12:13" x14ac:dyDescent="0.25">
      <c r="L823" s="113">
        <v>45017</v>
      </c>
      <c r="M823" s="2">
        <v>2253892</v>
      </c>
    </row>
    <row r="824" spans="12:13" x14ac:dyDescent="0.25">
      <c r="L824" s="113">
        <v>45018</v>
      </c>
      <c r="M824" s="2">
        <v>2545494</v>
      </c>
    </row>
    <row r="825" spans="12:13" x14ac:dyDescent="0.25">
      <c r="L825" s="113">
        <v>45019</v>
      </c>
      <c r="M825" s="2">
        <v>2404966</v>
      </c>
    </row>
    <row r="826" spans="12:13" x14ac:dyDescent="0.25">
      <c r="L826" s="113">
        <v>45020</v>
      </c>
      <c r="M826" s="2">
        <v>2080546</v>
      </c>
    </row>
    <row r="827" spans="12:13" x14ac:dyDescent="0.25">
      <c r="L827" s="113">
        <v>45021</v>
      </c>
      <c r="M827" s="2">
        <v>2209680</v>
      </c>
    </row>
    <row r="828" spans="12:13" x14ac:dyDescent="0.25">
      <c r="L828" s="113">
        <v>45022</v>
      </c>
      <c r="M828" s="2">
        <v>2532778</v>
      </c>
    </row>
    <row r="829" spans="12:13" x14ac:dyDescent="0.25">
      <c r="L829" s="113">
        <v>45023</v>
      </c>
      <c r="M829" s="2">
        <v>2475896</v>
      </c>
    </row>
    <row r="830" spans="12:13" x14ac:dyDescent="0.25">
      <c r="L830" s="113">
        <v>45024</v>
      </c>
      <c r="M830" s="2">
        <v>2093075</v>
      </c>
    </row>
    <row r="831" spans="12:13" x14ac:dyDescent="0.25">
      <c r="L831" s="113">
        <v>45025</v>
      </c>
      <c r="M831" s="2">
        <v>2387558</v>
      </c>
    </row>
    <row r="832" spans="12:13" x14ac:dyDescent="0.25">
      <c r="L832" s="113">
        <v>45026</v>
      </c>
      <c r="M832" s="2">
        <v>2523060</v>
      </c>
    </row>
    <row r="833" spans="12:13" x14ac:dyDescent="0.25">
      <c r="L833" s="113">
        <v>45027</v>
      </c>
      <c r="M833" s="2">
        <v>2132314</v>
      </c>
    </row>
    <row r="834" spans="12:13" x14ac:dyDescent="0.25">
      <c r="L834" s="113">
        <v>45028</v>
      </c>
      <c r="M834" s="2">
        <v>2168441</v>
      </c>
    </row>
    <row r="835" spans="12:13" x14ac:dyDescent="0.25">
      <c r="L835" s="113">
        <v>45029</v>
      </c>
      <c r="M835" s="2">
        <v>2443213</v>
      </c>
    </row>
    <row r="836" spans="12:13" x14ac:dyDescent="0.25">
      <c r="L836" s="113">
        <v>45030</v>
      </c>
      <c r="M836" s="2">
        <v>2532863</v>
      </c>
    </row>
    <row r="837" spans="12:13" x14ac:dyDescent="0.25">
      <c r="L837" s="113">
        <v>45031</v>
      </c>
      <c r="M837" s="2">
        <v>2150251</v>
      </c>
    </row>
    <row r="838" spans="12:13" x14ac:dyDescent="0.25">
      <c r="L838" s="113">
        <v>45032</v>
      </c>
      <c r="M838" s="2">
        <v>2589787</v>
      </c>
    </row>
    <row r="839" spans="12:13" x14ac:dyDescent="0.25">
      <c r="L839" s="113">
        <v>45033</v>
      </c>
      <c r="M839" s="2">
        <v>2455406</v>
      </c>
    </row>
    <row r="840" spans="12:13" x14ac:dyDescent="0.25">
      <c r="L840" s="113">
        <v>45034</v>
      </c>
      <c r="M840" s="2">
        <v>2070303</v>
      </c>
    </row>
    <row r="841" spans="12:13" x14ac:dyDescent="0.25">
      <c r="L841" s="113">
        <v>45035</v>
      </c>
      <c r="M841" s="2">
        <v>2227164</v>
      </c>
    </row>
    <row r="842" spans="12:13" x14ac:dyDescent="0.25">
      <c r="L842" s="113">
        <v>45036</v>
      </c>
      <c r="M842" s="2">
        <v>2534751</v>
      </c>
    </row>
    <row r="843" spans="12:13" x14ac:dyDescent="0.25">
      <c r="L843" s="113">
        <v>45037</v>
      </c>
      <c r="M843" s="2">
        <v>2585925</v>
      </c>
    </row>
    <row r="844" spans="12:13" x14ac:dyDescent="0.25">
      <c r="L844" s="113">
        <v>45038</v>
      </c>
      <c r="M844" s="2">
        <v>2057354</v>
      </c>
    </row>
    <row r="845" spans="12:13" x14ac:dyDescent="0.25">
      <c r="L845" s="113">
        <v>45039</v>
      </c>
      <c r="M845" s="2">
        <v>2570184</v>
      </c>
    </row>
    <row r="846" spans="12:13" x14ac:dyDescent="0.25">
      <c r="L846" s="113">
        <v>45040</v>
      </c>
      <c r="M846" s="2">
        <v>2425693</v>
      </c>
    </row>
    <row r="847" spans="12:13" x14ac:dyDescent="0.25">
      <c r="L847" s="113">
        <v>45041</v>
      </c>
      <c r="M847" s="2">
        <v>2015155</v>
      </c>
    </row>
    <row r="848" spans="12:13" x14ac:dyDescent="0.25">
      <c r="L848" s="113">
        <v>45042</v>
      </c>
      <c r="M848" s="2">
        <v>2183316</v>
      </c>
    </row>
    <row r="849" spans="12:13" x14ac:dyDescent="0.25">
      <c r="L849" s="113">
        <v>45043</v>
      </c>
      <c r="M849" s="2">
        <v>2522454</v>
      </c>
    </row>
    <row r="850" spans="12:13" x14ac:dyDescent="0.25">
      <c r="L850" s="113">
        <v>45044</v>
      </c>
      <c r="M850" s="2">
        <v>2507149</v>
      </c>
    </row>
    <row r="851" spans="12:13" x14ac:dyDescent="0.25">
      <c r="L851" s="113">
        <v>45045</v>
      </c>
      <c r="M851" s="2">
        <v>2021030</v>
      </c>
    </row>
    <row r="852" spans="12:13" x14ac:dyDescent="0.25">
      <c r="L852" s="113">
        <v>45046</v>
      </c>
      <c r="M852" s="2">
        <v>2517228</v>
      </c>
    </row>
    <row r="853" spans="12:13" x14ac:dyDescent="0.25">
      <c r="L853" s="113">
        <v>45047</v>
      </c>
      <c r="M853" s="2">
        <v>2432660</v>
      </c>
    </row>
    <row r="854" spans="12:13" x14ac:dyDescent="0.25">
      <c r="L854" s="113">
        <v>45048</v>
      </c>
      <c r="M854" s="2">
        <v>1998688</v>
      </c>
    </row>
    <row r="855" spans="12:13" x14ac:dyDescent="0.25">
      <c r="L855" s="113">
        <v>45049</v>
      </c>
      <c r="M855" s="2">
        <v>2167265</v>
      </c>
    </row>
    <row r="856" spans="12:13" x14ac:dyDescent="0.25">
      <c r="L856" s="113">
        <v>45050</v>
      </c>
      <c r="M856" s="2">
        <v>2509080</v>
      </c>
    </row>
    <row r="857" spans="12:13" x14ac:dyDescent="0.25">
      <c r="L857" s="113">
        <v>45051</v>
      </c>
      <c r="M857" s="2">
        <v>2508503</v>
      </c>
    </row>
    <row r="858" spans="12:13" x14ac:dyDescent="0.25">
      <c r="L858" s="113">
        <v>45052</v>
      </c>
      <c r="M858" s="2">
        <v>2043895</v>
      </c>
    </row>
    <row r="859" spans="12:13" x14ac:dyDescent="0.25">
      <c r="L859" s="113">
        <v>45053</v>
      </c>
      <c r="M859" s="2">
        <v>2590391</v>
      </c>
    </row>
    <row r="860" spans="12:13" x14ac:dyDescent="0.25">
      <c r="L860" s="113">
        <v>45054</v>
      </c>
      <c r="M860" s="2">
        <v>2476280</v>
      </c>
    </row>
    <row r="861" spans="12:13" x14ac:dyDescent="0.25">
      <c r="L861" s="113">
        <v>45055</v>
      </c>
      <c r="M861" s="2">
        <v>2089430</v>
      </c>
    </row>
    <row r="862" spans="12:13" x14ac:dyDescent="0.25">
      <c r="L862" s="113">
        <v>45056</v>
      </c>
      <c r="M862" s="2">
        <v>2261499</v>
      </c>
    </row>
    <row r="863" spans="12:13" x14ac:dyDescent="0.25">
      <c r="L863" s="113">
        <v>45057</v>
      </c>
      <c r="M863" s="2">
        <v>2598784</v>
      </c>
    </row>
    <row r="864" spans="12:13" x14ac:dyDescent="0.25">
      <c r="L864" s="113">
        <v>45058</v>
      </c>
      <c r="M864" s="2">
        <v>2605959</v>
      </c>
    </row>
    <row r="865" spans="12:13" x14ac:dyDescent="0.25">
      <c r="L865" s="113">
        <v>45059</v>
      </c>
      <c r="M865" s="2">
        <v>2114178</v>
      </c>
    </row>
    <row r="866" spans="12:13" x14ac:dyDescent="0.25">
      <c r="L866" s="113">
        <v>45060</v>
      </c>
      <c r="M866" s="2">
        <v>2509333</v>
      </c>
    </row>
    <row r="867" spans="12:13" x14ac:dyDescent="0.25">
      <c r="L867" s="113">
        <v>45061</v>
      </c>
      <c r="M867" s="2">
        <v>2597124</v>
      </c>
    </row>
    <row r="868" spans="12:13" x14ac:dyDescent="0.25">
      <c r="L868" s="113">
        <v>45062</v>
      </c>
      <c r="M868" s="2">
        <v>2173966</v>
      </c>
    </row>
    <row r="869" spans="12:13" x14ac:dyDescent="0.25">
      <c r="L869" s="113">
        <v>45063</v>
      </c>
      <c r="M869" s="2">
        <v>2312740</v>
      </c>
    </row>
    <row r="870" spans="12:13" x14ac:dyDescent="0.25">
      <c r="L870" s="113">
        <v>45064</v>
      </c>
      <c r="M870" s="2">
        <v>2641296</v>
      </c>
    </row>
    <row r="871" spans="12:13" x14ac:dyDescent="0.25">
      <c r="L871" s="113">
        <v>45065</v>
      </c>
      <c r="M871" s="2">
        <v>2656058</v>
      </c>
    </row>
    <row r="872" spans="12:13" x14ac:dyDescent="0.25">
      <c r="L872" s="113">
        <v>45066</v>
      </c>
      <c r="M872" s="2">
        <v>2213613</v>
      </c>
    </row>
    <row r="873" spans="12:13" x14ac:dyDescent="0.25">
      <c r="L873" s="113">
        <v>45067</v>
      </c>
      <c r="M873" s="2">
        <v>2673457</v>
      </c>
    </row>
    <row r="874" spans="12:13" x14ac:dyDescent="0.25">
      <c r="L874" s="113">
        <v>45068</v>
      </c>
      <c r="M874" s="2">
        <v>2592466</v>
      </c>
    </row>
    <row r="875" spans="12:13" x14ac:dyDescent="0.25">
      <c r="L875" s="113">
        <v>45069</v>
      </c>
      <c r="M875" s="2">
        <v>2272281</v>
      </c>
    </row>
    <row r="876" spans="12:13" x14ac:dyDescent="0.25">
      <c r="L876" s="113">
        <v>45070</v>
      </c>
      <c r="M876" s="2">
        <v>2435811</v>
      </c>
    </row>
    <row r="877" spans="12:13" x14ac:dyDescent="0.25">
      <c r="L877" s="113">
        <v>45071</v>
      </c>
      <c r="M877" s="2">
        <v>2672648</v>
      </c>
    </row>
    <row r="878" spans="12:13" x14ac:dyDescent="0.25">
      <c r="L878" s="113">
        <v>45072</v>
      </c>
      <c r="M878" s="2">
        <v>2744596</v>
      </c>
    </row>
    <row r="879" spans="12:13" x14ac:dyDescent="0.25">
      <c r="L879" s="113">
        <v>45073</v>
      </c>
      <c r="M879" s="2">
        <v>2206475</v>
      </c>
    </row>
    <row r="880" spans="12:13" x14ac:dyDescent="0.25">
      <c r="L880" s="113">
        <v>45074</v>
      </c>
      <c r="M880" s="2">
        <v>2257797</v>
      </c>
    </row>
    <row r="881" spans="12:13" x14ac:dyDescent="0.25">
      <c r="L881" s="113">
        <v>45075</v>
      </c>
      <c r="M881" s="2">
        <v>2596978</v>
      </c>
    </row>
    <row r="882" spans="12:13" x14ac:dyDescent="0.25">
      <c r="L882" s="113">
        <v>45076</v>
      </c>
      <c r="M882" s="2">
        <v>2349003</v>
      </c>
    </row>
    <row r="883" spans="12:13" x14ac:dyDescent="0.25">
      <c r="L883" s="113">
        <v>45077</v>
      </c>
      <c r="M883" s="2">
        <v>2259502</v>
      </c>
    </row>
    <row r="884" spans="12:13" x14ac:dyDescent="0.25">
      <c r="L884" s="113">
        <v>45078</v>
      </c>
      <c r="M884" s="2">
        <v>2477726</v>
      </c>
    </row>
    <row r="885" spans="12:13" x14ac:dyDescent="0.25">
      <c r="L885" s="113">
        <v>45079</v>
      </c>
      <c r="M885" s="2">
        <v>2534892</v>
      </c>
    </row>
    <row r="886" spans="12:13" x14ac:dyDescent="0.25">
      <c r="L886" s="113">
        <v>45080</v>
      </c>
      <c r="M886" s="2">
        <v>2221890</v>
      </c>
    </row>
    <row r="887" spans="12:13" x14ac:dyDescent="0.25">
      <c r="L887" s="113">
        <v>45081</v>
      </c>
      <c r="M887" s="2">
        <v>2657217</v>
      </c>
    </row>
    <row r="888" spans="12:13" x14ac:dyDescent="0.25">
      <c r="L888" s="113">
        <v>45082</v>
      </c>
      <c r="M888" s="2">
        <v>2560508</v>
      </c>
    </row>
    <row r="889" spans="12:13" x14ac:dyDescent="0.25">
      <c r="L889" s="113">
        <v>45083</v>
      </c>
      <c r="M889" s="2">
        <v>2233160</v>
      </c>
    </row>
    <row r="890" spans="12:13" x14ac:dyDescent="0.25">
      <c r="L890" s="113">
        <v>45084</v>
      </c>
      <c r="M890" s="2">
        <v>2355913</v>
      </c>
    </row>
    <row r="891" spans="12:13" x14ac:dyDescent="0.25">
      <c r="L891" s="113">
        <v>45085</v>
      </c>
      <c r="M891" s="2">
        <v>2641522</v>
      </c>
    </row>
    <row r="892" spans="12:13" x14ac:dyDescent="0.25">
      <c r="L892" s="113">
        <v>45086</v>
      </c>
      <c r="M892" s="2">
        <v>2675115</v>
      </c>
    </row>
    <row r="893" spans="12:13" x14ac:dyDescent="0.25">
      <c r="L893" s="113">
        <v>45087</v>
      </c>
      <c r="M893" s="2">
        <v>2322170</v>
      </c>
    </row>
    <row r="894" spans="12:13" x14ac:dyDescent="0.25">
      <c r="L894" s="113">
        <v>45088</v>
      </c>
      <c r="M894" s="2">
        <v>2732330</v>
      </c>
    </row>
    <row r="895" spans="12:13" x14ac:dyDescent="0.25">
      <c r="L895" s="113">
        <v>45089</v>
      </c>
      <c r="M895" s="2">
        <v>2636399</v>
      </c>
    </row>
    <row r="896" spans="12:13" x14ac:dyDescent="0.25">
      <c r="L896" s="113">
        <v>45090</v>
      </c>
      <c r="M896" s="2">
        <v>2343000</v>
      </c>
    </row>
    <row r="897" spans="12:13" x14ac:dyDescent="0.25">
      <c r="L897" s="113">
        <v>45091</v>
      </c>
      <c r="M897" s="2">
        <v>2465528</v>
      </c>
    </row>
    <row r="898" spans="12:13" x14ac:dyDescent="0.25">
      <c r="L898" s="113">
        <v>45092</v>
      </c>
      <c r="M898" s="2">
        <v>2745743</v>
      </c>
    </row>
    <row r="899" spans="12:13" x14ac:dyDescent="0.25">
      <c r="L899" s="113">
        <v>45093</v>
      </c>
      <c r="M899" s="2">
        <v>2785332</v>
      </c>
    </row>
    <row r="900" spans="12:13" x14ac:dyDescent="0.25">
      <c r="L900" s="113">
        <v>45094</v>
      </c>
      <c r="M900" s="2">
        <v>2436004</v>
      </c>
    </row>
    <row r="901" spans="12:13" x14ac:dyDescent="0.25">
      <c r="L901" s="113">
        <v>45095</v>
      </c>
      <c r="M901" s="2">
        <v>2640349</v>
      </c>
    </row>
    <row r="902" spans="12:13" x14ac:dyDescent="0.25">
      <c r="L902" s="113">
        <v>45096</v>
      </c>
      <c r="M902" s="2">
        <v>2742546</v>
      </c>
    </row>
    <row r="903" spans="12:13" x14ac:dyDescent="0.25">
      <c r="L903" s="113">
        <v>45097</v>
      </c>
      <c r="M903" s="2">
        <v>2449389</v>
      </c>
    </row>
    <row r="904" spans="12:13" x14ac:dyDescent="0.25">
      <c r="L904" s="113">
        <v>45098</v>
      </c>
      <c r="M904" s="2">
        <v>2502239</v>
      </c>
    </row>
    <row r="905" spans="12:13" x14ac:dyDescent="0.25">
      <c r="L905" s="113">
        <v>45099</v>
      </c>
      <c r="M905" s="2">
        <v>2737829</v>
      </c>
    </row>
    <row r="906" spans="12:13" x14ac:dyDescent="0.25">
      <c r="L906" s="113">
        <v>45100</v>
      </c>
      <c r="M906" s="2">
        <v>2771672</v>
      </c>
    </row>
    <row r="907" spans="12:13" x14ac:dyDescent="0.25">
      <c r="L907" s="113">
        <v>45101</v>
      </c>
      <c r="M907" s="2">
        <v>2456148</v>
      </c>
    </row>
    <row r="908" spans="12:13" x14ac:dyDescent="0.25">
      <c r="L908" s="113">
        <v>45102</v>
      </c>
      <c r="M908" s="2">
        <v>2769270</v>
      </c>
    </row>
    <row r="909" spans="12:13" x14ac:dyDescent="0.25">
      <c r="L909" s="113">
        <v>45103</v>
      </c>
      <c r="M909" s="2">
        <v>2687481</v>
      </c>
    </row>
    <row r="910" spans="12:13" x14ac:dyDescent="0.25">
      <c r="L910" s="113">
        <v>45104</v>
      </c>
      <c r="M910" s="2">
        <v>2391503</v>
      </c>
    </row>
    <row r="911" spans="12:13" x14ac:dyDescent="0.25">
      <c r="L911" s="113">
        <v>45105</v>
      </c>
      <c r="M911" s="2">
        <v>2539399</v>
      </c>
    </row>
    <row r="912" spans="12:13" x14ac:dyDescent="0.25">
      <c r="L912" s="113">
        <v>45106</v>
      </c>
      <c r="M912" s="2">
        <v>2759141</v>
      </c>
    </row>
    <row r="913" spans="12:13" x14ac:dyDescent="0.25">
      <c r="L913" s="113">
        <v>45107</v>
      </c>
      <c r="M913" s="2">
        <v>2884783</v>
      </c>
    </row>
    <row r="914" spans="12:13" x14ac:dyDescent="0.25">
      <c r="L914" s="113">
        <v>45108</v>
      </c>
      <c r="M914" s="2">
        <v>2588334</v>
      </c>
    </row>
    <row r="915" spans="12:13" x14ac:dyDescent="0.25">
      <c r="L915" s="113">
        <v>45109</v>
      </c>
      <c r="M915" s="2">
        <v>2529730</v>
      </c>
    </row>
    <row r="916" spans="12:13" x14ac:dyDescent="0.25">
      <c r="L916" s="113">
        <v>45110</v>
      </c>
      <c r="M916" s="2">
        <v>2288645</v>
      </c>
    </row>
    <row r="917" spans="12:13" x14ac:dyDescent="0.25">
      <c r="L917" s="113">
        <v>45111</v>
      </c>
      <c r="M917" s="2">
        <v>2007441</v>
      </c>
    </row>
    <row r="918" spans="12:13" x14ac:dyDescent="0.25">
      <c r="L918" s="113">
        <v>45112</v>
      </c>
      <c r="M918" s="2">
        <v>2492923</v>
      </c>
    </row>
    <row r="919" spans="12:13" x14ac:dyDescent="0.25">
      <c r="L919" s="113">
        <v>45113</v>
      </c>
      <c r="M919" s="2">
        <v>2540237</v>
      </c>
    </row>
    <row r="920" spans="12:13" x14ac:dyDescent="0.25">
      <c r="L920" s="113">
        <v>45114</v>
      </c>
      <c r="M920" s="2">
        <v>2555001</v>
      </c>
    </row>
    <row r="921" spans="12:13" x14ac:dyDescent="0.25">
      <c r="L921" s="113">
        <v>45115</v>
      </c>
      <c r="M921" s="2">
        <v>2431155</v>
      </c>
    </row>
    <row r="922" spans="12:13" x14ac:dyDescent="0.25">
      <c r="L922" s="113">
        <v>45116</v>
      </c>
      <c r="M922" s="2">
        <v>2644639</v>
      </c>
    </row>
    <row r="923" spans="12:13" x14ac:dyDescent="0.25">
      <c r="L923" s="113">
        <v>45117</v>
      </c>
      <c r="M923" s="2">
        <v>2688266</v>
      </c>
    </row>
    <row r="924" spans="12:13" x14ac:dyDescent="0.25">
      <c r="L924" s="113">
        <v>45118</v>
      </c>
      <c r="M924" s="2">
        <v>2382030</v>
      </c>
    </row>
    <row r="925" spans="12:13" x14ac:dyDescent="0.25">
      <c r="L925" s="113">
        <v>45119</v>
      </c>
      <c r="M925" s="2">
        <v>2458378</v>
      </c>
    </row>
    <row r="926" spans="12:13" x14ac:dyDescent="0.25">
      <c r="L926" s="113">
        <v>45120</v>
      </c>
      <c r="M926" s="2">
        <v>2726021</v>
      </c>
    </row>
    <row r="927" spans="12:13" x14ac:dyDescent="0.25">
      <c r="L927" s="113">
        <v>45121</v>
      </c>
      <c r="M927" s="2">
        <v>2738461</v>
      </c>
    </row>
    <row r="928" spans="12:13" x14ac:dyDescent="0.25">
      <c r="L928" s="113">
        <v>45122</v>
      </c>
      <c r="M928" s="2">
        <v>2486503</v>
      </c>
    </row>
    <row r="929" spans="12:13" x14ac:dyDescent="0.25">
      <c r="L929" s="113">
        <v>45123</v>
      </c>
      <c r="M929" s="2">
        <v>2741762</v>
      </c>
    </row>
    <row r="930" spans="12:13" x14ac:dyDescent="0.25">
      <c r="L930" s="113">
        <v>45124</v>
      </c>
      <c r="M930" s="2">
        <v>2747357</v>
      </c>
    </row>
    <row r="931" spans="12:13" x14ac:dyDescent="0.25">
      <c r="L931" s="113">
        <v>45125</v>
      </c>
      <c r="M931" s="2">
        <v>2410972</v>
      </c>
    </row>
    <row r="932" spans="12:13" x14ac:dyDescent="0.25">
      <c r="L932" s="113">
        <v>45126</v>
      </c>
      <c r="M932" s="2">
        <v>2519328</v>
      </c>
    </row>
    <row r="933" spans="12:13" x14ac:dyDescent="0.25">
      <c r="L933" s="113">
        <v>45127</v>
      </c>
      <c r="M933" s="2">
        <v>2754386</v>
      </c>
    </row>
    <row r="934" spans="12:13" x14ac:dyDescent="0.25">
      <c r="L934" s="113">
        <v>45128</v>
      </c>
      <c r="M934" s="2">
        <v>2782146</v>
      </c>
    </row>
    <row r="935" spans="12:13" x14ac:dyDescent="0.25">
      <c r="L935" s="113">
        <v>45129</v>
      </c>
      <c r="M935" s="2">
        <v>2485646</v>
      </c>
    </row>
    <row r="936" spans="12:13" x14ac:dyDescent="0.25">
      <c r="L936" s="113">
        <v>45130</v>
      </c>
      <c r="M936" s="2">
        <v>2800368</v>
      </c>
    </row>
    <row r="937" spans="12:13" x14ac:dyDescent="0.25">
      <c r="L937" s="113">
        <v>45131</v>
      </c>
      <c r="M937" s="2">
        <v>2695657</v>
      </c>
    </row>
    <row r="938" spans="12:13" x14ac:dyDescent="0.25">
      <c r="L938" s="113">
        <v>45132</v>
      </c>
      <c r="M938" s="2">
        <v>2358536</v>
      </c>
    </row>
    <row r="939" spans="12:13" x14ac:dyDescent="0.25">
      <c r="L939" s="113">
        <v>45133</v>
      </c>
      <c r="M939" s="2">
        <v>2510210</v>
      </c>
    </row>
    <row r="940" spans="12:13" x14ac:dyDescent="0.25">
      <c r="L940" s="113">
        <v>45134</v>
      </c>
      <c r="M940" s="2">
        <v>2724438</v>
      </c>
    </row>
    <row r="941" spans="12:13" x14ac:dyDescent="0.25">
      <c r="L941" s="113">
        <v>45135</v>
      </c>
      <c r="M941" s="2">
        <v>2787676</v>
      </c>
    </row>
    <row r="942" spans="12:13" x14ac:dyDescent="0.25">
      <c r="L942" s="113">
        <v>45136</v>
      </c>
      <c r="M942" s="2">
        <v>2457943</v>
      </c>
    </row>
    <row r="943" spans="12:13" x14ac:dyDescent="0.25">
      <c r="L943" s="113">
        <v>45137</v>
      </c>
      <c r="M943" s="2">
        <v>2815068</v>
      </c>
    </row>
    <row r="944" spans="12:13" x14ac:dyDescent="0.25">
      <c r="L944" s="113">
        <v>45138</v>
      </c>
      <c r="M944" s="2">
        <v>2697794</v>
      </c>
    </row>
    <row r="945" spans="12:13" x14ac:dyDescent="0.25">
      <c r="L945" s="113">
        <v>45139</v>
      </c>
      <c r="M945" s="2">
        <v>2370591</v>
      </c>
    </row>
    <row r="946" spans="12:13" x14ac:dyDescent="0.25">
      <c r="L946" s="113">
        <v>45140</v>
      </c>
      <c r="M946" s="2">
        <v>2431864</v>
      </c>
    </row>
    <row r="947" spans="12:13" x14ac:dyDescent="0.25">
      <c r="L947" s="113">
        <v>45141</v>
      </c>
      <c r="M947" s="2">
        <v>2671674</v>
      </c>
    </row>
    <row r="948" spans="12:13" x14ac:dyDescent="0.25">
      <c r="L948" s="113">
        <v>45142</v>
      </c>
      <c r="M948" s="2">
        <v>2690858</v>
      </c>
    </row>
    <row r="949" spans="12:13" x14ac:dyDescent="0.25">
      <c r="L949" s="113">
        <v>45143</v>
      </c>
      <c r="M949" s="2">
        <v>2403611</v>
      </c>
    </row>
    <row r="950" spans="12:13" x14ac:dyDescent="0.25">
      <c r="L950" s="113">
        <v>45144</v>
      </c>
      <c r="M950" s="2">
        <v>2743779</v>
      </c>
    </row>
    <row r="951" spans="12:13" x14ac:dyDescent="0.25">
      <c r="L951" s="113">
        <v>45145</v>
      </c>
      <c r="M951" s="2">
        <v>2602015</v>
      </c>
    </row>
    <row r="952" spans="12:13" x14ac:dyDescent="0.25">
      <c r="L952" s="113">
        <v>45146</v>
      </c>
      <c r="M952" s="2">
        <v>2387917</v>
      </c>
    </row>
    <row r="953" spans="12:13" x14ac:dyDescent="0.25">
      <c r="L953" s="113">
        <v>45147</v>
      </c>
      <c r="M953" s="2">
        <v>2407319</v>
      </c>
    </row>
    <row r="954" spans="12:13" x14ac:dyDescent="0.25">
      <c r="L954" s="113">
        <v>45148</v>
      </c>
      <c r="M954" s="2">
        <v>2654716</v>
      </c>
    </row>
    <row r="955" spans="12:13" x14ac:dyDescent="0.25">
      <c r="L955" s="113">
        <v>45149</v>
      </c>
      <c r="M955" s="2">
        <v>2648556</v>
      </c>
    </row>
    <row r="956" spans="12:13" x14ac:dyDescent="0.25">
      <c r="L956" s="113">
        <v>45150</v>
      </c>
      <c r="M956" s="2">
        <v>2322724</v>
      </c>
    </row>
    <row r="957" spans="12:13" x14ac:dyDescent="0.25">
      <c r="L957" s="113">
        <v>45151</v>
      </c>
      <c r="M957" s="2">
        <v>2684914</v>
      </c>
    </row>
    <row r="958" spans="12:13" x14ac:dyDescent="0.25">
      <c r="L958" s="113">
        <v>45152</v>
      </c>
      <c r="M958" s="2">
        <v>2548291</v>
      </c>
    </row>
    <row r="959" spans="12:13" x14ac:dyDescent="0.25">
      <c r="L959" s="113">
        <v>45153</v>
      </c>
      <c r="M959" s="2">
        <v>2266285</v>
      </c>
    </row>
    <row r="960" spans="12:13" x14ac:dyDescent="0.25">
      <c r="L960" s="113">
        <v>45154</v>
      </c>
      <c r="M960" s="2">
        <v>2298936</v>
      </c>
    </row>
    <row r="961" spans="12:13" x14ac:dyDescent="0.25">
      <c r="L961" s="113">
        <v>45155</v>
      </c>
      <c r="M961" s="2">
        <v>2599098</v>
      </c>
    </row>
    <row r="962" spans="12:13" x14ac:dyDescent="0.25">
      <c r="L962" s="113">
        <v>45156</v>
      </c>
      <c r="M962" s="2">
        <v>2601291</v>
      </c>
    </row>
    <row r="963" spans="12:13" x14ac:dyDescent="0.25">
      <c r="L963" s="113">
        <v>45157</v>
      </c>
      <c r="M963" s="2">
        <v>2252655</v>
      </c>
    </row>
    <row r="964" spans="12:13" x14ac:dyDescent="0.25">
      <c r="L964" s="113">
        <v>45158</v>
      </c>
      <c r="M964" s="2">
        <v>2535369</v>
      </c>
    </row>
    <row r="965" spans="12:13" x14ac:dyDescent="0.25">
      <c r="L965" s="113">
        <v>45159</v>
      </c>
      <c r="M965" s="2">
        <v>2487458</v>
      </c>
    </row>
    <row r="966" spans="12:13" x14ac:dyDescent="0.25">
      <c r="L966" s="113">
        <v>45160</v>
      </c>
      <c r="M966" s="2">
        <v>2101467</v>
      </c>
    </row>
    <row r="967" spans="12:13" x14ac:dyDescent="0.25">
      <c r="L967" s="113">
        <v>45161</v>
      </c>
      <c r="M967" s="2">
        <v>2169394</v>
      </c>
    </row>
    <row r="968" spans="12:13" x14ac:dyDescent="0.25">
      <c r="L968" s="113">
        <v>45162</v>
      </c>
      <c r="M968" s="2">
        <v>2501995</v>
      </c>
    </row>
    <row r="969" spans="12:13" x14ac:dyDescent="0.25">
      <c r="L969" s="113">
        <v>45163</v>
      </c>
      <c r="M969" s="2">
        <v>2509342</v>
      </c>
    </row>
    <row r="970" spans="12:13" x14ac:dyDescent="0.25">
      <c r="L970" s="113">
        <v>45164</v>
      </c>
      <c r="M970" s="2">
        <v>2063356</v>
      </c>
    </row>
    <row r="971" spans="12:13" x14ac:dyDescent="0.25">
      <c r="L971" s="113">
        <v>45165</v>
      </c>
      <c r="M971" s="2">
        <v>2538318</v>
      </c>
    </row>
    <row r="972" spans="12:13" x14ac:dyDescent="0.25">
      <c r="L972" s="113">
        <v>45166</v>
      </c>
      <c r="M972" s="2">
        <v>2349783</v>
      </c>
    </row>
    <row r="973" spans="12:13" x14ac:dyDescent="0.25">
      <c r="L973" s="113">
        <v>45167</v>
      </c>
      <c r="M973" s="2">
        <v>1888361</v>
      </c>
    </row>
    <row r="974" spans="12:13" x14ac:dyDescent="0.25">
      <c r="L974" s="113">
        <v>45168</v>
      </c>
      <c r="M974" s="2">
        <v>2014332</v>
      </c>
    </row>
    <row r="975" spans="12:13" x14ac:dyDescent="0.25">
      <c r="L975" s="113">
        <v>45169</v>
      </c>
      <c r="M975" s="2">
        <v>2619753</v>
      </c>
    </row>
    <row r="976" spans="12:13" x14ac:dyDescent="0.25">
      <c r="L976" s="113">
        <v>45170</v>
      </c>
      <c r="M976" s="2">
        <v>2742962</v>
      </c>
    </row>
    <row r="977" spans="12:13" x14ac:dyDescent="0.25">
      <c r="L977" s="113">
        <v>45171</v>
      </c>
      <c r="M977" s="2">
        <v>2090550</v>
      </c>
    </row>
    <row r="978" spans="12:13" x14ac:dyDescent="0.25">
      <c r="L978" s="113">
        <v>45172</v>
      </c>
      <c r="M978" s="2">
        <v>2081144</v>
      </c>
    </row>
    <row r="979" spans="12:13" x14ac:dyDescent="0.25">
      <c r="L979" s="113">
        <v>45173</v>
      </c>
      <c r="M979" s="2">
        <v>2645012</v>
      </c>
    </row>
    <row r="980" spans="12:13" x14ac:dyDescent="0.25">
      <c r="L980" s="113">
        <v>45174</v>
      </c>
      <c r="M980" s="2">
        <v>2243518</v>
      </c>
    </row>
    <row r="981" spans="12:13" x14ac:dyDescent="0.25">
      <c r="L981" s="113">
        <v>45175</v>
      </c>
      <c r="M981" s="2">
        <v>1966818</v>
      </c>
    </row>
    <row r="982" spans="12:13" x14ac:dyDescent="0.25">
      <c r="L982" s="113">
        <v>45176</v>
      </c>
      <c r="M982" s="2">
        <v>2283466</v>
      </c>
    </row>
    <row r="983" spans="12:13" x14ac:dyDescent="0.25">
      <c r="L983" s="113">
        <v>45177</v>
      </c>
      <c r="M983" s="2">
        <v>2405867</v>
      </c>
    </row>
    <row r="984" spans="12:13" x14ac:dyDescent="0.25">
      <c r="L984" s="113">
        <v>45178</v>
      </c>
      <c r="M984" s="2">
        <v>1986960</v>
      </c>
    </row>
    <row r="985" spans="12:13" x14ac:dyDescent="0.25">
      <c r="L985" s="113">
        <v>45179</v>
      </c>
      <c r="M985" s="2">
        <v>2584116</v>
      </c>
    </row>
    <row r="986" spans="12:13" x14ac:dyDescent="0.25">
      <c r="L986" s="113">
        <v>45180</v>
      </c>
      <c r="M986" s="2">
        <v>2402206</v>
      </c>
    </row>
    <row r="987" spans="12:13" x14ac:dyDescent="0.25">
      <c r="L987" s="113">
        <v>45181</v>
      </c>
      <c r="M987" s="2">
        <v>1991959</v>
      </c>
    </row>
    <row r="988" spans="12:13" x14ac:dyDescent="0.25">
      <c r="L988" s="113">
        <v>45182</v>
      </c>
      <c r="M988" s="2">
        <v>2113134</v>
      </c>
    </row>
    <row r="989" spans="12:13" x14ac:dyDescent="0.25">
      <c r="L989" s="113">
        <v>45183</v>
      </c>
      <c r="M989" s="2">
        <v>2594681</v>
      </c>
    </row>
    <row r="990" spans="12:13" x14ac:dyDescent="0.25">
      <c r="L990" s="113">
        <v>45184</v>
      </c>
      <c r="M990" s="2">
        <v>2583450</v>
      </c>
    </row>
    <row r="991" spans="12:13" x14ac:dyDescent="0.25">
      <c r="L991" s="113">
        <v>45185</v>
      </c>
      <c r="M991" s="2">
        <v>1978051</v>
      </c>
    </row>
    <row r="992" spans="12:13" x14ac:dyDescent="0.25">
      <c r="L992" s="113">
        <v>45186</v>
      </c>
      <c r="M992" s="2">
        <v>2648872</v>
      </c>
    </row>
    <row r="993" spans="12:13" x14ac:dyDescent="0.25">
      <c r="L993" s="113">
        <v>45187</v>
      </c>
      <c r="M993" s="2">
        <v>2495564</v>
      </c>
    </row>
    <row r="994" spans="12:13" x14ac:dyDescent="0.25">
      <c r="L994" s="113">
        <v>45188</v>
      </c>
      <c r="M994" s="2">
        <v>1992774</v>
      </c>
    </row>
    <row r="995" spans="12:13" x14ac:dyDescent="0.25">
      <c r="L995" s="113">
        <v>45189</v>
      </c>
      <c r="M995" s="2">
        <v>2207680</v>
      </c>
    </row>
    <row r="996" spans="12:13" x14ac:dyDescent="0.25">
      <c r="L996" s="113">
        <v>45190</v>
      </c>
      <c r="M996" s="2">
        <v>2651017</v>
      </c>
    </row>
    <row r="997" spans="12:13" x14ac:dyDescent="0.25">
      <c r="L997" s="113">
        <v>45191</v>
      </c>
      <c r="M997" s="2">
        <v>2684773</v>
      </c>
    </row>
    <row r="998" spans="12:13" x14ac:dyDescent="0.25">
      <c r="L998" s="113">
        <v>45192</v>
      </c>
      <c r="M998" s="2">
        <v>2065137</v>
      </c>
    </row>
    <row r="999" spans="12:13" x14ac:dyDescent="0.25">
      <c r="L999" s="113">
        <v>45193</v>
      </c>
      <c r="M999" s="2">
        <v>2673136</v>
      </c>
    </row>
    <row r="1000" spans="12:13" x14ac:dyDescent="0.25">
      <c r="L1000" s="113">
        <v>45194</v>
      </c>
      <c r="M1000" s="2">
        <v>2543611</v>
      </c>
    </row>
    <row r="1001" spans="12:13" x14ac:dyDescent="0.25">
      <c r="L1001" s="113">
        <v>45195</v>
      </c>
      <c r="M1001" s="2">
        <v>2058961</v>
      </c>
    </row>
    <row r="1002" spans="12:13" x14ac:dyDescent="0.25">
      <c r="L1002" s="113">
        <v>45196</v>
      </c>
      <c r="M1002" s="2">
        <v>2138667</v>
      </c>
    </row>
    <row r="1003" spans="12:13" x14ac:dyDescent="0.25">
      <c r="L1003" s="113">
        <v>45197</v>
      </c>
      <c r="M1003" s="2">
        <v>2616213</v>
      </c>
    </row>
    <row r="1004" spans="12:13" x14ac:dyDescent="0.25">
      <c r="L1004" s="113">
        <v>45198</v>
      </c>
      <c r="M1004" s="2">
        <v>2602713</v>
      </c>
    </row>
    <row r="1005" spans="12:13" x14ac:dyDescent="0.25">
      <c r="L1005" s="113">
        <v>45199</v>
      </c>
      <c r="M1005" s="2">
        <v>2140656</v>
      </c>
    </row>
    <row r="1006" spans="12:13" x14ac:dyDescent="0.25">
      <c r="L1006" s="113">
        <v>45200</v>
      </c>
      <c r="M1006" s="2">
        <v>2682443</v>
      </c>
    </row>
    <row r="1007" spans="12:13" x14ac:dyDescent="0.25">
      <c r="L1007" s="113">
        <v>45201</v>
      </c>
      <c r="M1007" s="2">
        <v>2473560</v>
      </c>
    </row>
    <row r="1008" spans="12:13" x14ac:dyDescent="0.25">
      <c r="L1008" s="113">
        <v>45202</v>
      </c>
      <c r="M1008" s="2">
        <v>2001087</v>
      </c>
    </row>
    <row r="1009" spans="12:13" x14ac:dyDescent="0.25">
      <c r="L1009" s="113">
        <v>45203</v>
      </c>
      <c r="M1009" s="2">
        <v>2213969</v>
      </c>
    </row>
    <row r="1010" spans="12:13" x14ac:dyDescent="0.25">
      <c r="L1010" s="113">
        <v>45204</v>
      </c>
      <c r="M1010" s="2">
        <v>2697601</v>
      </c>
    </row>
    <row r="1011" spans="12:13" x14ac:dyDescent="0.25">
      <c r="L1011" s="113">
        <v>45205</v>
      </c>
      <c r="M1011" s="2">
        <v>2762717</v>
      </c>
    </row>
    <row r="1012" spans="12:13" x14ac:dyDescent="0.25">
      <c r="L1012" s="113">
        <v>45206</v>
      </c>
      <c r="M1012" s="2">
        <v>2232660</v>
      </c>
    </row>
    <row r="1013" spans="12:13" x14ac:dyDescent="0.25">
      <c r="L1013" s="113">
        <v>45207</v>
      </c>
      <c r="M1013" s="2">
        <v>2690153</v>
      </c>
    </row>
    <row r="1014" spans="12:13" x14ac:dyDescent="0.25">
      <c r="L1014" s="113">
        <v>45208</v>
      </c>
      <c r="M1014" s="2">
        <v>2681432</v>
      </c>
    </row>
    <row r="1015" spans="12:13" x14ac:dyDescent="0.25">
      <c r="L1015" s="113">
        <v>45209</v>
      </c>
      <c r="M1015" s="2">
        <v>2293858</v>
      </c>
    </row>
    <row r="1016" spans="12:13" x14ac:dyDescent="0.25">
      <c r="L1016" s="113">
        <v>45210</v>
      </c>
      <c r="M1016" s="2">
        <v>2372544</v>
      </c>
    </row>
    <row r="1017" spans="12:13" x14ac:dyDescent="0.25">
      <c r="L1017" s="113">
        <v>45211</v>
      </c>
      <c r="M1017" s="2">
        <v>2717399</v>
      </c>
    </row>
    <row r="1018" spans="12:13" x14ac:dyDescent="0.25">
      <c r="L1018" s="113">
        <v>45212</v>
      </c>
      <c r="M1018" s="2">
        <v>2673246</v>
      </c>
    </row>
    <row r="1019" spans="12:13" x14ac:dyDescent="0.25">
      <c r="L1019" s="113">
        <v>45213</v>
      </c>
      <c r="M1019" s="2">
        <v>2226278</v>
      </c>
    </row>
    <row r="1020" spans="12:13" x14ac:dyDescent="0.25">
      <c r="L1020" s="113">
        <v>45214</v>
      </c>
      <c r="M1020" s="2">
        <v>2797326</v>
      </c>
    </row>
    <row r="1021" spans="12:13" x14ac:dyDescent="0.25">
      <c r="L1021" s="113">
        <v>45215</v>
      </c>
      <c r="M1021" s="2">
        <v>2627942</v>
      </c>
    </row>
    <row r="1022" spans="12:13" x14ac:dyDescent="0.25">
      <c r="L1022" s="113">
        <v>45216</v>
      </c>
      <c r="M1022" s="2">
        <v>2213819</v>
      </c>
    </row>
    <row r="1023" spans="12:13" x14ac:dyDescent="0.25">
      <c r="L1023" s="113">
        <v>45217</v>
      </c>
      <c r="M1023" s="2">
        <v>2333408</v>
      </c>
    </row>
    <row r="1024" spans="12:13" x14ac:dyDescent="0.25">
      <c r="L1024" s="113">
        <v>45218</v>
      </c>
      <c r="M1024" s="2">
        <v>2695224</v>
      </c>
    </row>
    <row r="1025" spans="12:13" x14ac:dyDescent="0.25">
      <c r="L1025" s="113">
        <v>45219</v>
      </c>
      <c r="M1025" s="2">
        <v>2672262</v>
      </c>
    </row>
    <row r="1026" spans="12:13" x14ac:dyDescent="0.25">
      <c r="L1026" s="113">
        <v>45220</v>
      </c>
      <c r="M1026" s="2">
        <v>2161735</v>
      </c>
    </row>
    <row r="1027" spans="12:13" x14ac:dyDescent="0.25">
      <c r="L1027" s="113">
        <v>45221</v>
      </c>
      <c r="M1027" s="2">
        <v>2770224</v>
      </c>
    </row>
    <row r="1028" spans="12:13" x14ac:dyDescent="0.25">
      <c r="L1028" s="113">
        <v>45222</v>
      </c>
      <c r="M1028" s="2">
        <v>2607835</v>
      </c>
    </row>
    <row r="1029" spans="12:13" x14ac:dyDescent="0.25">
      <c r="L1029" s="113">
        <v>45223</v>
      </c>
      <c r="M1029" s="2">
        <v>2138741</v>
      </c>
    </row>
    <row r="1030" spans="12:13" x14ac:dyDescent="0.25">
      <c r="L1030" s="113">
        <v>45224</v>
      </c>
      <c r="M1030" s="2">
        <v>2251047</v>
      </c>
    </row>
    <row r="1031" spans="12:13" x14ac:dyDescent="0.25">
      <c r="L1031" s="113">
        <v>45225</v>
      </c>
      <c r="M1031" s="2">
        <v>2630523</v>
      </c>
    </row>
    <row r="1032" spans="12:13" x14ac:dyDescent="0.25">
      <c r="L1032" s="113">
        <v>45226</v>
      </c>
      <c r="M1032" s="2">
        <v>2615422</v>
      </c>
    </row>
    <row r="1033" spans="12:13" x14ac:dyDescent="0.25">
      <c r="L1033" s="113">
        <v>45227</v>
      </c>
      <c r="M1033" s="2">
        <v>2015907</v>
      </c>
    </row>
    <row r="1034" spans="12:13" x14ac:dyDescent="0.25">
      <c r="L1034" s="113">
        <v>45228</v>
      </c>
      <c r="M1034" s="2">
        <v>2520086</v>
      </c>
    </row>
    <row r="1035" spans="12:13" x14ac:dyDescent="0.25">
      <c r="L1035" s="113">
        <v>45229</v>
      </c>
      <c r="M1035" s="2">
        <v>2292796</v>
      </c>
    </row>
    <row r="1036" spans="12:13" x14ac:dyDescent="0.25">
      <c r="L1036" s="113">
        <v>45230</v>
      </c>
      <c r="M1036" s="2">
        <v>1665839</v>
      </c>
    </row>
    <row r="1037" spans="12:13" x14ac:dyDescent="0.25">
      <c r="L1037" s="113">
        <v>45231</v>
      </c>
      <c r="M1037" s="2">
        <v>2157473</v>
      </c>
    </row>
    <row r="1038" spans="12:13" x14ac:dyDescent="0.25">
      <c r="L1038" s="113">
        <v>45232</v>
      </c>
      <c r="M1038" s="2">
        <v>2415581</v>
      </c>
    </row>
    <row r="1039" spans="12:13" x14ac:dyDescent="0.25">
      <c r="L1039" s="113">
        <v>45233</v>
      </c>
      <c r="M1039" s="2">
        <v>2502391</v>
      </c>
    </row>
    <row r="1040" spans="12:13" x14ac:dyDescent="0.25">
      <c r="L1040" s="113">
        <v>45234</v>
      </c>
      <c r="M1040" s="2">
        <v>2045614</v>
      </c>
    </row>
    <row r="1041" spans="12:13" x14ac:dyDescent="0.25">
      <c r="L1041" s="113">
        <v>45235</v>
      </c>
      <c r="M1041" s="2">
        <v>2669284</v>
      </c>
    </row>
    <row r="1042" spans="12:13" x14ac:dyDescent="0.25">
      <c r="L1042" s="113">
        <v>45236</v>
      </c>
      <c r="M1042" s="2">
        <v>2491545</v>
      </c>
    </row>
    <row r="1043" spans="12:13" x14ac:dyDescent="0.25">
      <c r="L1043" s="113">
        <v>45237</v>
      </c>
      <c r="M1043" s="2">
        <v>2019225</v>
      </c>
    </row>
    <row r="1044" spans="12:13" x14ac:dyDescent="0.25">
      <c r="L1044" s="113">
        <v>45238</v>
      </c>
      <c r="M1044" s="2">
        <v>2209479</v>
      </c>
    </row>
    <row r="1045" spans="12:13" x14ac:dyDescent="0.25">
      <c r="L1045" s="113">
        <v>45239</v>
      </c>
      <c r="M1045" s="2">
        <v>2658959</v>
      </c>
    </row>
    <row r="1046" spans="12:13" x14ac:dyDescent="0.25">
      <c r="L1046" s="113">
        <v>45240</v>
      </c>
      <c r="M1046" s="2">
        <v>2591818</v>
      </c>
    </row>
    <row r="1047" spans="12:13" x14ac:dyDescent="0.25">
      <c r="L1047" s="113">
        <v>45241</v>
      </c>
      <c r="M1047" s="2">
        <v>2025517</v>
      </c>
    </row>
    <row r="1048" spans="12:13" x14ac:dyDescent="0.25">
      <c r="L1048" s="113">
        <v>45242</v>
      </c>
      <c r="M1048" s="2">
        <v>2683745</v>
      </c>
    </row>
    <row r="1049" spans="12:13" x14ac:dyDescent="0.25">
      <c r="L1049" s="113">
        <v>45243</v>
      </c>
      <c r="M1049" s="2">
        <v>2533300</v>
      </c>
    </row>
    <row r="1050" spans="12:13" x14ac:dyDescent="0.25">
      <c r="L1050" s="113">
        <v>45244</v>
      </c>
      <c r="M1050" s="2">
        <v>2035761</v>
      </c>
    </row>
    <row r="1051" spans="12:13" x14ac:dyDescent="0.25">
      <c r="L1051" s="113">
        <v>45245</v>
      </c>
      <c r="M1051" s="2">
        <v>2224646</v>
      </c>
    </row>
    <row r="1052" spans="12:13" x14ac:dyDescent="0.25">
      <c r="L1052" s="113">
        <v>45246</v>
      </c>
      <c r="M1052" s="2">
        <v>2550045</v>
      </c>
    </row>
    <row r="1053" spans="12:13" x14ac:dyDescent="0.25">
      <c r="L1053" s="113">
        <v>45247</v>
      </c>
      <c r="M1053" s="2">
        <v>2692471</v>
      </c>
    </row>
    <row r="1054" spans="12:13" x14ac:dyDescent="0.25">
      <c r="L1054" s="113">
        <v>45248</v>
      </c>
      <c r="M1054" s="2">
        <v>2379699</v>
      </c>
    </row>
    <row r="1055" spans="12:13" x14ac:dyDescent="0.25">
      <c r="L1055" s="113">
        <v>45249</v>
      </c>
      <c r="M1055" s="2">
        <v>2608680</v>
      </c>
    </row>
    <row r="1056" spans="12:13" x14ac:dyDescent="0.25">
      <c r="L1056" s="113">
        <v>45250</v>
      </c>
      <c r="M1056" s="2">
        <v>2532525</v>
      </c>
    </row>
    <row r="1057" spans="12:13" x14ac:dyDescent="0.25">
      <c r="L1057" s="113">
        <v>45251</v>
      </c>
      <c r="M1057" s="2">
        <v>2647461</v>
      </c>
    </row>
    <row r="1058" spans="12:13" x14ac:dyDescent="0.25">
      <c r="L1058" s="113">
        <v>45252</v>
      </c>
      <c r="M1058" s="2">
        <v>2741610</v>
      </c>
    </row>
    <row r="1059" spans="12:13" x14ac:dyDescent="0.25">
      <c r="L1059" s="113">
        <v>45253</v>
      </c>
      <c r="M1059" s="2">
        <v>1547419</v>
      </c>
    </row>
    <row r="1060" spans="12:13" x14ac:dyDescent="0.25">
      <c r="L1060" s="113">
        <v>45254</v>
      </c>
      <c r="M1060" s="2">
        <v>2199057</v>
      </c>
    </row>
    <row r="1061" spans="12:13" x14ac:dyDescent="0.25">
      <c r="L1061" s="113">
        <v>45255</v>
      </c>
      <c r="M1061" s="2">
        <v>2605387</v>
      </c>
    </row>
    <row r="1062" spans="12:13" x14ac:dyDescent="0.25">
      <c r="L1062" s="113">
        <v>45256</v>
      </c>
      <c r="M1062" s="2">
        <v>2908785</v>
      </c>
    </row>
    <row r="1063" spans="12:13" x14ac:dyDescent="0.25">
      <c r="L1063" s="113">
        <v>45257</v>
      </c>
      <c r="M1063" s="2">
        <v>2633263</v>
      </c>
    </row>
    <row r="1064" spans="12:13" x14ac:dyDescent="0.25">
      <c r="L1064" s="113">
        <v>45258</v>
      </c>
      <c r="M1064" s="2">
        <v>2171943</v>
      </c>
    </row>
    <row r="1065" spans="12:13" x14ac:dyDescent="0.25">
      <c r="L1065" s="113">
        <v>45259</v>
      </c>
      <c r="M1065" s="2">
        <v>1948492</v>
      </c>
    </row>
    <row r="1066" spans="12:13" x14ac:dyDescent="0.25">
      <c r="L1066" s="113">
        <v>45260</v>
      </c>
      <c r="M1066" s="2">
        <v>2276703</v>
      </c>
    </row>
    <row r="1067" spans="12:13" x14ac:dyDescent="0.25">
      <c r="L1067" s="113">
        <v>45261</v>
      </c>
      <c r="M1067" s="2">
        <v>2308362</v>
      </c>
    </row>
    <row r="1068" spans="12:13" x14ac:dyDescent="0.25">
      <c r="L1068" s="113">
        <v>45262</v>
      </c>
      <c r="M1068" s="2">
        <v>1864999</v>
      </c>
    </row>
    <row r="1069" spans="12:13" x14ac:dyDescent="0.25">
      <c r="L1069" s="113">
        <v>45263</v>
      </c>
      <c r="M1069" s="2">
        <v>2321965</v>
      </c>
    </row>
    <row r="1070" spans="12:13" x14ac:dyDescent="0.25">
      <c r="L1070" s="113">
        <v>45264</v>
      </c>
      <c r="M1070" s="2">
        <v>2266792</v>
      </c>
    </row>
    <row r="1071" spans="12:13" x14ac:dyDescent="0.25">
      <c r="L1071" s="113">
        <v>45265</v>
      </c>
      <c r="M1071" s="2">
        <v>1834118</v>
      </c>
    </row>
    <row r="1072" spans="12:13" x14ac:dyDescent="0.25">
      <c r="L1072" s="113">
        <v>45266</v>
      </c>
      <c r="M1072" s="2">
        <v>1998620</v>
      </c>
    </row>
    <row r="1073" spans="12:13" x14ac:dyDescent="0.25">
      <c r="L1073" s="113">
        <v>45267</v>
      </c>
      <c r="M1073" s="2">
        <v>2385629</v>
      </c>
    </row>
    <row r="1074" spans="12:13" x14ac:dyDescent="0.25">
      <c r="L1074" s="113">
        <v>45268</v>
      </c>
      <c r="M1074" s="2">
        <v>2431077</v>
      </c>
    </row>
    <row r="1075" spans="12:13" x14ac:dyDescent="0.25">
      <c r="L1075" s="113">
        <v>45269</v>
      </c>
      <c r="M1075" s="2">
        <v>1975896</v>
      </c>
    </row>
    <row r="1076" spans="12:13" x14ac:dyDescent="0.25">
      <c r="L1076" s="113">
        <v>45270</v>
      </c>
      <c r="M1076" s="2">
        <v>2419762</v>
      </c>
    </row>
    <row r="1077" spans="12:13" x14ac:dyDescent="0.25">
      <c r="L1077" s="113">
        <v>45271</v>
      </c>
      <c r="M1077" s="2">
        <v>2313610</v>
      </c>
    </row>
    <row r="1078" spans="12:13" x14ac:dyDescent="0.25">
      <c r="L1078" s="113">
        <v>45272</v>
      </c>
      <c r="M1078" s="2">
        <v>1954074</v>
      </c>
    </row>
    <row r="1079" spans="12:13" x14ac:dyDescent="0.25">
      <c r="L1079" s="113">
        <v>45273</v>
      </c>
      <c r="M1079" s="2">
        <v>2129193</v>
      </c>
    </row>
    <row r="1080" spans="12:13" x14ac:dyDescent="0.25">
      <c r="L1080" s="113">
        <v>45274</v>
      </c>
      <c r="M1080" s="2">
        <v>2502604</v>
      </c>
    </row>
    <row r="1081" spans="12:13" x14ac:dyDescent="0.25">
      <c r="L1081" s="113">
        <v>45275</v>
      </c>
      <c r="M1081" s="2">
        <v>2622770</v>
      </c>
    </row>
    <row r="1082" spans="12:13" x14ac:dyDescent="0.25">
      <c r="L1082" s="113">
        <v>45276</v>
      </c>
      <c r="M1082" s="2">
        <v>2252933</v>
      </c>
    </row>
    <row r="1083" spans="12:13" x14ac:dyDescent="0.25">
      <c r="L1083" s="113">
        <v>45277</v>
      </c>
      <c r="M1083" s="2">
        <v>2495579</v>
      </c>
    </row>
    <row r="1084" spans="12:13" x14ac:dyDescent="0.25">
      <c r="L1084" s="113">
        <v>45278</v>
      </c>
      <c r="M1084" s="2">
        <v>2366275</v>
      </c>
    </row>
    <row r="1085" spans="12:13" x14ac:dyDescent="0.25">
      <c r="L1085" s="113">
        <v>45279</v>
      </c>
      <c r="M1085" s="2">
        <v>2291458</v>
      </c>
    </row>
    <row r="1086" spans="12:13" x14ac:dyDescent="0.25">
      <c r="L1086" s="113">
        <v>45280</v>
      </c>
      <c r="M1086" s="2">
        <v>2514171</v>
      </c>
    </row>
    <row r="1087" spans="12:13" x14ac:dyDescent="0.25">
      <c r="L1087" s="113">
        <v>45281</v>
      </c>
      <c r="M1087" s="2">
        <v>2650811</v>
      </c>
    </row>
    <row r="1088" spans="12:13" x14ac:dyDescent="0.25">
      <c r="L1088" s="113">
        <v>45282</v>
      </c>
      <c r="M1088" s="2">
        <v>2775193</v>
      </c>
    </row>
    <row r="1089" spans="12:13" x14ac:dyDescent="0.25">
      <c r="L1089" s="113">
        <v>45283</v>
      </c>
      <c r="M1089" s="2">
        <v>2606577</v>
      </c>
    </row>
    <row r="1090" spans="12:13" x14ac:dyDescent="0.25">
      <c r="L1090" s="113">
        <v>45284</v>
      </c>
      <c r="M1090" s="2">
        <v>1972309</v>
      </c>
    </row>
    <row r="1091" spans="12:13" x14ac:dyDescent="0.25">
      <c r="L1091" s="113">
        <v>45285</v>
      </c>
      <c r="M1091" s="2">
        <v>2028266</v>
      </c>
    </row>
    <row r="1092" spans="12:13" x14ac:dyDescent="0.25">
      <c r="L1092" s="113">
        <v>45286</v>
      </c>
      <c r="M1092" s="2">
        <v>2665034</v>
      </c>
    </row>
    <row r="1093" spans="12:13" x14ac:dyDescent="0.25">
      <c r="L1093" s="113">
        <v>45287</v>
      </c>
      <c r="M1093" s="2">
        <v>2663517</v>
      </c>
    </row>
    <row r="1094" spans="12:13" x14ac:dyDescent="0.25">
      <c r="L1094" s="113">
        <v>45288</v>
      </c>
      <c r="M1094" s="2">
        <v>2633264</v>
      </c>
    </row>
    <row r="1095" spans="12:13" x14ac:dyDescent="0.25">
      <c r="L1095" s="113">
        <v>45289</v>
      </c>
      <c r="M1095" s="2">
        <v>2636605</v>
      </c>
    </row>
    <row r="1096" spans="12:13" x14ac:dyDescent="0.25">
      <c r="L1096" s="113">
        <v>45290</v>
      </c>
      <c r="M1096" s="2">
        <v>2563962</v>
      </c>
    </row>
    <row r="1097" spans="12:13" x14ac:dyDescent="0.25">
      <c r="L1097" s="113">
        <v>45291</v>
      </c>
      <c r="M1097" s="2">
        <v>2116715</v>
      </c>
    </row>
  </sheetData>
  <mergeCells count="1">
    <mergeCell ref="J6:J11"/>
  </mergeCells>
  <hyperlinks>
    <hyperlink ref="P1" r:id="rId1" xr:uid="{069299D3-FF81-43C5-BAE7-92DD793A4E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2</vt:i4>
      </vt:variant>
    </vt:vector>
  </HeadingPairs>
  <TitlesOfParts>
    <vt:vector size="11" baseType="lpstr">
      <vt:lpstr>NOTES</vt:lpstr>
      <vt:lpstr>Summary</vt:lpstr>
      <vt:lpstr>Enplanements_by_Year</vt:lpstr>
      <vt:lpstr>FAA_TAF</vt:lpstr>
      <vt:lpstr>SFO</vt:lpstr>
      <vt:lpstr>OAK</vt:lpstr>
      <vt:lpstr>SJC</vt:lpstr>
      <vt:lpstr>BayAreaPopulation</vt:lpstr>
      <vt:lpstr>TSA</vt:lpstr>
      <vt:lpstr>Enplanements(Selected)</vt:lpstr>
      <vt:lpstr>Enplanements_2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 Rapolu</dc:creator>
  <cp:lastModifiedBy>Sujith Rapolu</cp:lastModifiedBy>
  <dcterms:created xsi:type="dcterms:W3CDTF">2026-02-26T19:30:35Z</dcterms:created>
  <dcterms:modified xsi:type="dcterms:W3CDTF">2026-09-16T23:20:57Z</dcterms:modified>
</cp:coreProperties>
</file>